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 Totals" sheetId="1" state="visible" r:id="rId1"/>
    <sheet name="By Company" sheetId="2" state="visible" r:id="rId2"/>
    <sheet name="EV Makers (retail)" sheetId="3" state="visible" r:id="rId3"/>
    <sheet name="Notes &amp; Sour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0.0%;-0.0%"/>
    <numFmt numFmtId="165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0B0B0B"/>
      <sz val="14"/>
    </font>
    <font>
      <name val="Calibri"/>
      <color rgb="0052514E"/>
      <sz val="10"/>
    </font>
    <font>
      <name val="Calibri"/>
      <b val="1"/>
      <color rgb="0052514E"/>
      <sz val="10"/>
    </font>
    <font>
      <name val="Calibri"/>
      <color rgb="000B0B0B"/>
      <sz val="10"/>
    </font>
    <font>
      <name val="Calibri"/>
      <color rgb="00006300"/>
      <sz val="10"/>
    </font>
    <font>
      <name val="Calibri"/>
      <color rgb="00D03B3B"/>
      <sz val="10"/>
    </font>
    <font>
      <name val="Calibri"/>
      <i val="1"/>
      <color rgb="000B0B0B"/>
      <sz val="10"/>
    </font>
    <font>
      <name val="Calibri"/>
      <b val="1"/>
      <color rgb="000B0B0B"/>
      <sz val="10"/>
    </font>
    <font>
      <name val="Calibri"/>
      <i val="1"/>
      <color rgb="00898781"/>
      <sz val="9"/>
    </font>
  </fonts>
  <fills count="4">
    <fill>
      <patternFill/>
    </fill>
    <fill>
      <patternFill patternType="gray125"/>
    </fill>
    <fill>
      <patternFill patternType="solid">
        <fgColor rgb="00F0EFEC"/>
      </patternFill>
    </fill>
    <fill>
      <patternFill patternType="solid">
        <fgColor rgb="00FDF3E0"/>
      </patternFill>
    </fill>
  </fills>
  <borders count="3">
    <border>
      <left/>
      <right/>
      <top/>
      <bottom/>
      <diagonal/>
    </border>
    <border>
      <bottom style="thin">
        <color rgb="00E1E0D9"/>
      </bottom>
    </border>
    <border>
      <top style="thin">
        <color rgb="00E1E0D9"/>
      </top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right"/>
    </xf>
    <xf numFmtId="0" fontId="4" fillId="0" borderId="0" pivotButton="0" quotePrefix="0" xfId="0"/>
    <xf numFmtId="3" fontId="4" fillId="0" borderId="0" pivotButton="0" quotePrefix="0" xfId="0"/>
    <xf numFmtId="164" fontId="5" fillId="0" borderId="0" pivotButton="0" quotePrefix="0" xfId="0"/>
    <xf numFmtId="164" fontId="6" fillId="0" borderId="0" pivotButton="0" quotePrefix="0" xfId="0"/>
    <xf numFmtId="3" fontId="7" fillId="3" borderId="0" pivotButton="0" quotePrefix="0" xfId="0"/>
    <xf numFmtId="0" fontId="8" fillId="0" borderId="2" pivotButton="0" quotePrefix="0" xfId="0"/>
    <xf numFmtId="3" fontId="8" fillId="0" borderId="2" pivotButton="0" quotePrefix="0" xfId="0"/>
    <xf numFmtId="0" fontId="8" fillId="0" borderId="0" pivotButton="0" quotePrefix="0" xfId="0"/>
    <xf numFmtId="3" fontId="8" fillId="0" borderId="0" pivotButton="0" quotePrefix="0" xfId="0"/>
    <xf numFmtId="0" fontId="9" fillId="0" borderId="0" pivotButton="0" quotePrefix="0" xfId="0"/>
    <xf numFmtId="0" fontId="3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India 2W domestic sales by fiscal year (units)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'Annual Totals'!B4</f>
            </strRef>
          </tx>
          <spPr>
            <a:solidFill>
              <a:srgbClr val="2A78D6"/>
            </a:solidFill>
            <a:ln>
              <a:prstDash val="solid"/>
            </a:ln>
          </spPr>
          <cat>
            <numRef>
              <f>'Annual Totals'!$A$5:$A$29</f>
            </numRef>
          </cat>
          <val>
            <numRef>
              <f>'Annual Totals'!$B$5:$B$29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Fiscal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Domestic 2W sales by OEM (units)</a:t>
            </a:r>
          </a:p>
        </rich>
      </tx>
    </title>
    <plotArea>
      <lineChart>
        <grouping val="standard"/>
        <ser>
          <idx val="0"/>
          <order val="0"/>
          <tx>
            <strRef>
              <f>'By Company'!A5</f>
            </strRef>
          </tx>
          <spPr>
            <a:ln w="2000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'By Company'!$B$4:$P$4</f>
            </numRef>
          </cat>
          <val>
            <numRef>
              <f>'By Company'!$B$5:$P$5</f>
            </numRef>
          </val>
          <smooth val="0"/>
        </ser>
        <ser>
          <idx val="1"/>
          <order val="1"/>
          <tx>
            <strRef>
              <f>'By Company'!A6</f>
            </strRef>
          </tx>
          <spPr>
            <a:ln w="20000">
              <a:solidFill>
                <a:srgbClr val="1BAF7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'By Company'!$B$4:$P$4</f>
            </numRef>
          </cat>
          <val>
            <numRef>
              <f>'By Company'!$B$6:$P$6</f>
            </numRef>
          </val>
          <smooth val="0"/>
        </ser>
        <ser>
          <idx val="2"/>
          <order val="2"/>
          <tx>
            <strRef>
              <f>'By Company'!A7</f>
            </strRef>
          </tx>
          <spPr>
            <a:ln w="20000">
              <a:solidFill>
                <a:srgbClr val="EDA1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'By Company'!$B$4:$P$4</f>
            </numRef>
          </cat>
          <val>
            <numRef>
              <f>'By Company'!$B$7:$P$7</f>
            </numRef>
          </val>
          <smooth val="0"/>
        </ser>
        <ser>
          <idx val="3"/>
          <order val="3"/>
          <tx>
            <strRef>
              <f>'By Company'!A8</f>
            </strRef>
          </tx>
          <spPr>
            <a:ln w="20000">
              <a:solidFill>
                <a:srgbClr val="0083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'By Company'!$B$4:$P$4</f>
            </numRef>
          </cat>
          <val>
            <numRef>
              <f>'By Company'!$B$8:$P$8</f>
            </numRef>
          </val>
          <smooth val="0"/>
        </ser>
        <ser>
          <idx val="4"/>
          <order val="4"/>
          <tx>
            <strRef>
              <f>'By Company'!A9</f>
            </strRef>
          </tx>
          <spPr>
            <a:ln w="20000">
              <a:solidFill>
                <a:srgbClr val="4A3AA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'By Company'!$B$4:$P$4</f>
            </numRef>
          </cat>
          <val>
            <numRef>
              <f>'By Company'!$B$9:$P$9</f>
            </numRef>
          </val>
          <smooth val="0"/>
        </ser>
        <ser>
          <idx val="5"/>
          <order val="5"/>
          <tx>
            <strRef>
              <f>'By Company'!A10</f>
            </strRef>
          </tx>
          <spPr>
            <a:ln w="20000">
              <a:solidFill>
                <a:srgbClr val="E3494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'By Company'!$B$4:$P$4</f>
            </numRef>
          </cat>
          <val>
            <numRef>
              <f>'By Company'!$B$10:$P$10</f>
            </numRef>
          </val>
          <smooth val="0"/>
        </ser>
        <ser>
          <idx val="6"/>
          <order val="6"/>
          <tx>
            <strRef>
              <f>'By Company'!A11</f>
            </strRef>
          </tx>
          <spPr>
            <a:ln w="20000">
              <a:solidFill>
                <a:srgbClr val="E87BA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'By Company'!$B$4:$P$4</f>
            </numRef>
          </cat>
          <val>
            <numRef>
              <f>'By Company'!$B$11:$P$11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108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108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</cols>
  <sheetData>
    <row r="1">
      <c r="A1" s="1" t="inlineStr">
        <is>
          <t>India two-wheeler domestic sales, FY2001-02 to FY2025-26</t>
        </is>
      </c>
    </row>
    <row r="2">
      <c r="A2" s="2" t="inlineStr">
        <is>
          <t>SIAM domestic wholesales (factory dispatches), fiscal years April-March. Units.</t>
        </is>
      </c>
    </row>
    <row r="4">
      <c r="A4" s="3" t="inlineStr">
        <is>
          <t>Fiscal year</t>
        </is>
      </c>
      <c r="B4" s="4" t="inlineStr">
        <is>
          <t>Units sold</t>
        </is>
      </c>
      <c r="C4" s="4" t="inlineStr">
        <is>
          <t>YoY change</t>
        </is>
      </c>
    </row>
    <row r="5">
      <c r="A5" s="5" t="inlineStr">
        <is>
          <t>FY2001-02</t>
        </is>
      </c>
      <c r="B5" s="6" t="n">
        <v>4203725</v>
      </c>
    </row>
    <row r="6">
      <c r="A6" s="5" t="inlineStr">
        <is>
          <t>FY2002-03</t>
        </is>
      </c>
      <c r="B6" s="6" t="n">
        <v>4812126</v>
      </c>
      <c r="C6" s="7" t="n">
        <v>0.1447290200952727</v>
      </c>
    </row>
    <row r="7">
      <c r="A7" s="5" t="inlineStr">
        <is>
          <t>FY2003-04</t>
        </is>
      </c>
      <c r="B7" s="6" t="n">
        <v>5364249</v>
      </c>
      <c r="C7" s="7" t="n">
        <v>0.1147357737515602</v>
      </c>
    </row>
    <row r="8">
      <c r="A8" s="5" t="inlineStr">
        <is>
          <t>FY2004-05</t>
        </is>
      </c>
      <c r="B8" s="6" t="n">
        <v>6209765</v>
      </c>
      <c r="C8" s="7" t="n">
        <v>0.157620572795931</v>
      </c>
    </row>
    <row r="9">
      <c r="A9" s="5" t="inlineStr">
        <is>
          <t>FY2005-06</t>
        </is>
      </c>
      <c r="B9" s="6" t="n">
        <v>7052391</v>
      </c>
      <c r="C9" s="7" t="n">
        <v>0.1356937017745439</v>
      </c>
    </row>
    <row r="10">
      <c r="A10" s="5" t="inlineStr">
        <is>
          <t>FY2006-07</t>
        </is>
      </c>
      <c r="B10" s="6" t="n">
        <v>7872334</v>
      </c>
      <c r="C10" s="7" t="n">
        <v>0.1162645406359346</v>
      </c>
    </row>
    <row r="11">
      <c r="A11" s="5" t="inlineStr">
        <is>
          <t>FY2007-08</t>
        </is>
      </c>
      <c r="B11" s="6" t="n">
        <v>7249278</v>
      </c>
      <c r="C11" s="8" t="n">
        <v>-0.07914501595079682</v>
      </c>
    </row>
    <row r="12">
      <c r="A12" s="5" t="inlineStr">
        <is>
          <t>FY2008-09</t>
        </is>
      </c>
      <c r="B12" s="6" t="n">
        <v>7437619</v>
      </c>
      <c r="C12" s="7" t="n">
        <v>0.02598065628052892</v>
      </c>
    </row>
    <row r="13">
      <c r="A13" s="5" t="inlineStr">
        <is>
          <t>FY2009-10</t>
        </is>
      </c>
      <c r="B13" s="6" t="n">
        <v>9370951</v>
      </c>
      <c r="C13" s="7" t="n">
        <v>0.2599396392850992</v>
      </c>
    </row>
    <row r="14">
      <c r="A14" s="5" t="inlineStr">
        <is>
          <t>FY2010-11</t>
        </is>
      </c>
      <c r="B14" s="6" t="n">
        <v>11768910</v>
      </c>
      <c r="C14" s="7" t="n">
        <v>0.2558928117327686</v>
      </c>
    </row>
    <row r="15">
      <c r="A15" s="5" t="inlineStr">
        <is>
          <t>FY2011-12</t>
        </is>
      </c>
      <c r="B15" s="6" t="n">
        <v>13409150</v>
      </c>
      <c r="C15" s="7" t="n">
        <v>0.1393705959175489</v>
      </c>
    </row>
    <row r="16">
      <c r="A16" s="5" t="inlineStr">
        <is>
          <t>FY2012-13</t>
        </is>
      </c>
      <c r="B16" s="6" t="n">
        <v>13797185</v>
      </c>
      <c r="C16" s="7" t="n">
        <v>0.02893807586610642</v>
      </c>
    </row>
    <row r="17">
      <c r="A17" s="5" t="inlineStr">
        <is>
          <t>FY2013-14</t>
        </is>
      </c>
      <c r="B17" s="6" t="n">
        <v>14805481</v>
      </c>
      <c r="C17" s="7" t="n">
        <v>0.07307983476339563</v>
      </c>
    </row>
    <row r="18">
      <c r="A18" s="5" t="inlineStr">
        <is>
          <t>FY2014-15</t>
        </is>
      </c>
      <c r="B18" s="6" t="n">
        <v>15975561</v>
      </c>
      <c r="C18" s="7" t="n">
        <v>0.07903019158918245</v>
      </c>
    </row>
    <row r="19">
      <c r="A19" s="5" t="inlineStr">
        <is>
          <t>FY2015-16</t>
        </is>
      </c>
      <c r="B19" s="6" t="n">
        <v>16455851</v>
      </c>
      <c r="C19" s="7" t="n">
        <v>0.03006404595118761</v>
      </c>
    </row>
    <row r="20">
      <c r="A20" s="5" t="inlineStr">
        <is>
          <t>FY2016-17</t>
        </is>
      </c>
      <c r="B20" s="6" t="n">
        <v>17589738</v>
      </c>
      <c r="C20" s="7" t="n">
        <v>0.06890479258714732</v>
      </c>
    </row>
    <row r="21">
      <c r="A21" s="5" t="inlineStr">
        <is>
          <t>FY2017-18</t>
        </is>
      </c>
      <c r="B21" s="6" t="n">
        <v>20200117</v>
      </c>
      <c r="C21" s="7" t="n">
        <v>0.1484035180057828</v>
      </c>
    </row>
    <row r="22">
      <c r="A22" s="5" t="inlineStr">
        <is>
          <t>FY2018-19</t>
        </is>
      </c>
      <c r="B22" s="6" t="n">
        <v>21181390</v>
      </c>
      <c r="C22" s="7" t="n">
        <v>0.0485775899218801</v>
      </c>
    </row>
    <row r="23">
      <c r="A23" s="5" t="inlineStr">
        <is>
          <t>FY2019-20</t>
        </is>
      </c>
      <c r="B23" s="6" t="n">
        <v>17417616</v>
      </c>
      <c r="C23" s="8" t="n">
        <v>-0.1776924932688554</v>
      </c>
    </row>
    <row r="24">
      <c r="A24" s="5" t="inlineStr">
        <is>
          <t>FY2020-21</t>
        </is>
      </c>
      <c r="B24" s="6" t="n">
        <v>15120783</v>
      </c>
      <c r="C24" s="8" t="n">
        <v>-0.1318683911736256</v>
      </c>
    </row>
    <row r="25">
      <c r="A25" s="5" t="inlineStr">
        <is>
          <t>FY2021-22</t>
        </is>
      </c>
      <c r="B25" s="6" t="n">
        <v>13466412</v>
      </c>
      <c r="C25" s="8" t="n">
        <v>-0.1094104055325706</v>
      </c>
    </row>
    <row r="26">
      <c r="A26" s="5" t="inlineStr">
        <is>
          <t>FY2022-23</t>
        </is>
      </c>
      <c r="B26" s="6" t="n">
        <v>15862087</v>
      </c>
      <c r="C26" s="7" t="n">
        <v>0.177900022663795</v>
      </c>
    </row>
    <row r="27">
      <c r="A27" s="5" t="inlineStr">
        <is>
          <t>FY2023-24</t>
        </is>
      </c>
      <c r="B27" s="6" t="n">
        <v>17974365</v>
      </c>
      <c r="C27" s="7" t="n">
        <v>0.1331652007708695</v>
      </c>
    </row>
    <row r="28">
      <c r="A28" s="5" t="inlineStr">
        <is>
          <t>FY2024-25</t>
        </is>
      </c>
      <c r="B28" s="6" t="n">
        <v>19607332</v>
      </c>
      <c r="C28" s="7" t="n">
        <v>0.09084977410884898</v>
      </c>
    </row>
    <row r="29">
      <c r="A29" s="5" t="inlineStr">
        <is>
          <t>FY2025-26</t>
        </is>
      </c>
      <c r="B29" s="6" t="n">
        <v>21705974</v>
      </c>
      <c r="C29" s="7" t="n">
        <v>0.1070335321501161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  <col width="11.5" customWidth="1" min="16" max="16"/>
  </cols>
  <sheetData>
    <row r="1">
      <c r="A1" s="1" t="inlineStr">
        <is>
          <t>Domestic two-wheeler sales by company (OEM), FY2011-12 to FY2025-26</t>
        </is>
      </c>
    </row>
    <row r="2">
      <c r="A2" s="2" t="inlineStr">
        <is>
          <t>SIAM-convention domestic wholesales, units. Italic amber cells are estimates/derived figures (exact SIAM number not published) - see Notes &amp; Sources.</t>
        </is>
      </c>
    </row>
    <row r="4">
      <c r="A4" s="3" t="inlineStr">
        <is>
          <t>Company</t>
        </is>
      </c>
      <c r="B4" s="4" t="inlineStr">
        <is>
          <t>FY2011-12</t>
        </is>
      </c>
      <c r="C4" s="4" t="inlineStr">
        <is>
          <t>FY2012-13</t>
        </is>
      </c>
      <c r="D4" s="4" t="inlineStr">
        <is>
          <t>FY2013-14</t>
        </is>
      </c>
      <c r="E4" s="4" t="inlineStr">
        <is>
          <t>FY2014-15</t>
        </is>
      </c>
      <c r="F4" s="4" t="inlineStr">
        <is>
          <t>FY2015-16</t>
        </is>
      </c>
      <c r="G4" s="4" t="inlineStr">
        <is>
          <t>FY2016-17</t>
        </is>
      </c>
      <c r="H4" s="4" t="inlineStr">
        <is>
          <t>FY2017-18</t>
        </is>
      </c>
      <c r="I4" s="4" t="inlineStr">
        <is>
          <t>FY2018-19</t>
        </is>
      </c>
      <c r="J4" s="4" t="inlineStr">
        <is>
          <t>FY2019-20</t>
        </is>
      </c>
      <c r="K4" s="4" t="inlineStr">
        <is>
          <t>FY2020-21</t>
        </is>
      </c>
      <c r="L4" s="4" t="inlineStr">
        <is>
          <t>FY2021-22</t>
        </is>
      </c>
      <c r="M4" s="4" t="inlineStr">
        <is>
          <t>FY2022-23</t>
        </is>
      </c>
      <c r="N4" s="4" t="inlineStr">
        <is>
          <t>FY2023-24</t>
        </is>
      </c>
      <c r="O4" s="4" t="inlineStr">
        <is>
          <t>FY2024-25</t>
        </is>
      </c>
      <c r="P4" s="4" t="inlineStr">
        <is>
          <t>FY2025-26</t>
        </is>
      </c>
    </row>
    <row r="5">
      <c r="A5" s="5" t="inlineStr">
        <is>
          <t>Hero MotoCorp</t>
        </is>
      </c>
      <c r="B5" s="6" t="n">
        <v>6070635</v>
      </c>
      <c r="C5" s="6" t="n">
        <v>5912538</v>
      </c>
      <c r="D5" s="6" t="n">
        <v>6115197</v>
      </c>
      <c r="E5" s="6" t="n">
        <v>6431686</v>
      </c>
      <c r="F5" s="6" t="n">
        <v>6422083</v>
      </c>
      <c r="G5" s="6" t="n">
        <v>6481786</v>
      </c>
      <c r="H5" s="6" t="n">
        <v>7382718</v>
      </c>
      <c r="I5" s="6" t="n">
        <v>7612775</v>
      </c>
      <c r="J5" s="6" t="n">
        <v>6231458</v>
      </c>
      <c r="K5" s="6" t="n">
        <v>5599859</v>
      </c>
      <c r="L5" s="6" t="n">
        <v>4635480</v>
      </c>
      <c r="M5" s="6" t="n">
        <v>5130611</v>
      </c>
      <c r="N5" s="6" t="n">
        <v>5420532</v>
      </c>
      <c r="O5" s="6" t="n">
        <v>5611758</v>
      </c>
      <c r="P5" s="9" t="n">
        <v>6070000</v>
      </c>
    </row>
    <row r="6">
      <c r="A6" s="5" t="inlineStr">
        <is>
          <t>Honda (HMSI)</t>
        </is>
      </c>
      <c r="B6" s="6" t="n">
        <v>1996320</v>
      </c>
      <c r="C6" s="6" t="n">
        <v>2606841</v>
      </c>
      <c r="D6" s="6" t="n">
        <v>3558293</v>
      </c>
      <c r="E6" s="9" t="n">
        <v>4250000</v>
      </c>
      <c r="F6" s="6" t="n">
        <v>4283345</v>
      </c>
      <c r="G6" s="6" t="n">
        <v>4725067</v>
      </c>
      <c r="H6" s="6" t="n">
        <v>5775287</v>
      </c>
      <c r="I6" s="6" t="n">
        <v>5520617</v>
      </c>
      <c r="J6" s="6" t="n">
        <v>4706589</v>
      </c>
      <c r="K6" s="6" t="n">
        <v>3867817</v>
      </c>
      <c r="L6" s="9" t="n">
        <v>2971000</v>
      </c>
      <c r="M6" s="6" t="n">
        <v>3892340</v>
      </c>
      <c r="N6" s="6" t="n">
        <v>4530196</v>
      </c>
      <c r="O6" s="6" t="n">
        <v>5326092</v>
      </c>
      <c r="P6" s="9" t="n">
        <v>5750000</v>
      </c>
    </row>
    <row r="7">
      <c r="A7" s="5" t="inlineStr">
        <is>
          <t>TVS Motor</t>
        </is>
      </c>
      <c r="B7" s="9" t="n">
        <v>1888375</v>
      </c>
      <c r="C7" s="9" t="n">
        <v>1784000</v>
      </c>
      <c r="D7" s="9" t="n">
        <v>1751000</v>
      </c>
      <c r="E7" s="9" t="n">
        <v>2101000</v>
      </c>
      <c r="F7" s="9" t="n">
        <v>2209366</v>
      </c>
      <c r="G7" s="9" t="n">
        <v>2490000</v>
      </c>
      <c r="H7" s="6" t="n">
        <v>2875466</v>
      </c>
      <c r="I7" s="6" t="n">
        <v>3136532</v>
      </c>
      <c r="J7" s="6" t="n">
        <v>2410755</v>
      </c>
      <c r="K7" s="6" t="n">
        <v>2164228</v>
      </c>
      <c r="L7" s="6" t="n">
        <v>1996405</v>
      </c>
      <c r="M7" s="6" t="n">
        <v>2484863</v>
      </c>
      <c r="N7" s="9" t="n">
        <v>3080000</v>
      </c>
      <c r="O7" s="9" t="n">
        <v>3510000</v>
      </c>
      <c r="P7" s="6" t="n">
        <v>4243524</v>
      </c>
    </row>
    <row r="8">
      <c r="A8" s="5" t="inlineStr">
        <is>
          <t>Bajaj Auto</t>
        </is>
      </c>
      <c r="B8" s="6" t="n">
        <v>2566757</v>
      </c>
      <c r="C8" s="6" t="n">
        <v>2463874</v>
      </c>
      <c r="D8" s="6" t="n">
        <v>2099230</v>
      </c>
      <c r="E8" s="6" t="n">
        <v>1770778</v>
      </c>
      <c r="F8" s="6" t="n">
        <v>1898957</v>
      </c>
      <c r="G8" s="6" t="n">
        <v>2001391</v>
      </c>
      <c r="H8" s="6" t="n">
        <v>1974577</v>
      </c>
      <c r="I8" s="6" t="n">
        <v>2541320</v>
      </c>
      <c r="J8" s="6" t="n">
        <v>2078348</v>
      </c>
      <c r="K8" s="6" t="n">
        <v>1809375</v>
      </c>
      <c r="L8" s="6" t="n">
        <v>1649968</v>
      </c>
      <c r="M8" s="6" t="n">
        <v>1698789</v>
      </c>
      <c r="N8" s="6" t="n">
        <v>2250585</v>
      </c>
      <c r="O8" s="6" t="n">
        <v>2308249</v>
      </c>
      <c r="P8" s="9" t="n">
        <v>2420000</v>
      </c>
    </row>
    <row r="9">
      <c r="A9" s="5" t="inlineStr">
        <is>
          <t>Royal Enfield</t>
        </is>
      </c>
      <c r="B9" s="9" t="n">
        <v>80000</v>
      </c>
      <c r="C9" s="9" t="n">
        <v>124000</v>
      </c>
      <c r="D9" s="9" t="n">
        <v>203000</v>
      </c>
      <c r="E9" s="9" t="n">
        <v>318000</v>
      </c>
      <c r="F9" s="6" t="n">
        <v>498791</v>
      </c>
      <c r="G9" s="6" t="n">
        <v>651110</v>
      </c>
      <c r="H9" s="6" t="n">
        <v>801229</v>
      </c>
      <c r="I9" s="6" t="n">
        <v>805273</v>
      </c>
      <c r="J9" s="6" t="n">
        <v>656651</v>
      </c>
      <c r="K9" s="6" t="n">
        <v>573438</v>
      </c>
      <c r="L9" s="9" t="n">
        <v>521000</v>
      </c>
      <c r="M9" s="9" t="n">
        <v>734840</v>
      </c>
      <c r="N9" s="6" t="n">
        <v>834795</v>
      </c>
      <c r="O9" s="6" t="n">
        <v>902757</v>
      </c>
      <c r="P9" s="9" t="n">
        <v>1100000</v>
      </c>
    </row>
    <row r="10">
      <c r="A10" s="5" t="inlineStr">
        <is>
          <t>Suzuki</t>
        </is>
      </c>
      <c r="B10" s="6" t="n">
        <v>340893</v>
      </c>
      <c r="C10" s="9" t="n">
        <v>414000</v>
      </c>
      <c r="D10" s="6" t="n">
        <v>356319</v>
      </c>
      <c r="E10" s="9" t="n">
        <v>341000</v>
      </c>
      <c r="F10" s="9" t="n">
        <v>320000</v>
      </c>
      <c r="G10" s="6" t="n">
        <v>350496</v>
      </c>
      <c r="H10" s="6" t="n">
        <v>501203</v>
      </c>
      <c r="I10" s="6" t="n">
        <v>668787</v>
      </c>
      <c r="J10" s="6" t="n">
        <v>685223</v>
      </c>
      <c r="K10" s="9" t="n">
        <v>546000</v>
      </c>
      <c r="L10" s="9" t="n">
        <v>600000</v>
      </c>
      <c r="M10" s="9" t="n">
        <v>740000</v>
      </c>
      <c r="N10" s="6" t="n">
        <v>921009</v>
      </c>
      <c r="O10" s="6" t="n">
        <v>1045662</v>
      </c>
      <c r="P10" s="9" t="n">
        <v>1190000</v>
      </c>
    </row>
    <row r="11">
      <c r="A11" s="5" t="inlineStr">
        <is>
          <t>Yamaha</t>
        </is>
      </c>
      <c r="B11" s="9" t="n">
        <v>340000</v>
      </c>
      <c r="C11" s="9" t="n">
        <v>370000</v>
      </c>
      <c r="D11" s="9" t="n">
        <v>480000</v>
      </c>
      <c r="E11" s="9" t="n">
        <v>570000</v>
      </c>
      <c r="F11" s="9" t="n">
        <v>640000</v>
      </c>
      <c r="G11" s="9" t="n">
        <v>780000</v>
      </c>
      <c r="H11" s="6" t="n">
        <v>792812</v>
      </c>
      <c r="I11" s="6" t="n">
        <v>804682</v>
      </c>
      <c r="J11" s="6" t="n">
        <v>579227</v>
      </c>
      <c r="K11" s="9" t="n">
        <v>515000</v>
      </c>
      <c r="L11" s="9" t="n">
        <v>460000</v>
      </c>
      <c r="M11" s="9" t="n">
        <v>600000</v>
      </c>
      <c r="N11" s="9" t="n">
        <v>660000</v>
      </c>
      <c r="O11" s="9" t="n">
        <v>656000</v>
      </c>
      <c r="P11" s="9" t="n">
        <v>700000</v>
      </c>
    </row>
    <row r="12">
      <c r="A12" s="10" t="inlineStr">
        <is>
          <t>Sum of listed OEMs</t>
        </is>
      </c>
      <c r="B12" s="11">
        <f>SUM(B5:B11)</f>
        <v/>
      </c>
      <c r="C12" s="11">
        <f>SUM(C5:C11)</f>
        <v/>
      </c>
      <c r="D12" s="11">
        <f>SUM(D5:D11)</f>
        <v/>
      </c>
      <c r="E12" s="11">
        <f>SUM(E5:E11)</f>
        <v/>
      </c>
      <c r="F12" s="11">
        <f>SUM(F5:F11)</f>
        <v/>
      </c>
      <c r="G12" s="11">
        <f>SUM(G5:G11)</f>
        <v/>
      </c>
      <c r="H12" s="11">
        <f>SUM(H5:H11)</f>
        <v/>
      </c>
      <c r="I12" s="11">
        <f>SUM(I5:I11)</f>
        <v/>
      </c>
      <c r="J12" s="11">
        <f>SUM(J5:J11)</f>
        <v/>
      </c>
      <c r="K12" s="11">
        <f>SUM(K5:K11)</f>
        <v/>
      </c>
      <c r="L12" s="11">
        <f>SUM(L5:L11)</f>
        <v/>
      </c>
      <c r="M12" s="11">
        <f>SUM(M5:M11)</f>
        <v/>
      </c>
      <c r="N12" s="11">
        <f>SUM(N5:N11)</f>
        <v/>
      </c>
      <c r="O12" s="11">
        <f>SUM(O5:O11)</f>
        <v/>
      </c>
      <c r="P12" s="11">
        <f>SUM(P5:P11)</f>
        <v/>
      </c>
    </row>
    <row r="13">
      <c r="A13" s="12" t="inlineStr">
        <is>
          <t>SIAM industry total</t>
        </is>
      </c>
      <c r="B13" s="13" t="n">
        <v>13409150</v>
      </c>
      <c r="C13" s="13" t="n">
        <v>13797185</v>
      </c>
      <c r="D13" s="13" t="n">
        <v>14805481</v>
      </c>
      <c r="E13" s="13" t="n">
        <v>15975561</v>
      </c>
      <c r="F13" s="13" t="n">
        <v>16455851</v>
      </c>
      <c r="G13" s="13" t="n">
        <v>17589738</v>
      </c>
      <c r="H13" s="13" t="n">
        <v>20200117</v>
      </c>
      <c r="I13" s="13" t="n">
        <v>21181390</v>
      </c>
      <c r="J13" s="13" t="n">
        <v>17417616</v>
      </c>
      <c r="K13" s="13" t="n">
        <v>15120783</v>
      </c>
      <c r="L13" s="13" t="n">
        <v>13466412</v>
      </c>
      <c r="M13" s="13" t="n">
        <v>15862087</v>
      </c>
      <c r="N13" s="13" t="n">
        <v>17974365</v>
      </c>
      <c r="O13" s="13" t="n">
        <v>19607332</v>
      </c>
      <c r="P13" s="13" t="n">
        <v>21705974</v>
      </c>
    </row>
    <row r="14">
      <c r="A14" s="14" t="inlineStr">
        <is>
          <t>Gap = minor OEMs (Piaggio, Mahindra, Jawa, Kawasaki, H-D, Triumph, EV members) + estimation error</t>
        </is>
      </c>
    </row>
    <row r="16">
      <c r="A16" s="15" t="inlineStr">
        <is>
          <t>Market share (% of SIAM industry total)</t>
        </is>
      </c>
    </row>
    <row r="17">
      <c r="A17" s="3" t="inlineStr">
        <is>
          <t>Company</t>
        </is>
      </c>
      <c r="B17" s="4" t="inlineStr">
        <is>
          <t>FY2011-12</t>
        </is>
      </c>
      <c r="C17" s="4" t="inlineStr">
        <is>
          <t>FY2012-13</t>
        </is>
      </c>
      <c r="D17" s="4" t="inlineStr">
        <is>
          <t>FY2013-14</t>
        </is>
      </c>
      <c r="E17" s="4" t="inlineStr">
        <is>
          <t>FY2014-15</t>
        </is>
      </c>
      <c r="F17" s="4" t="inlineStr">
        <is>
          <t>FY2015-16</t>
        </is>
      </c>
      <c r="G17" s="4" t="inlineStr">
        <is>
          <t>FY2016-17</t>
        </is>
      </c>
      <c r="H17" s="4" t="inlineStr">
        <is>
          <t>FY2017-18</t>
        </is>
      </c>
      <c r="I17" s="4" t="inlineStr">
        <is>
          <t>FY2018-19</t>
        </is>
      </c>
      <c r="J17" s="4" t="inlineStr">
        <is>
          <t>FY2019-20</t>
        </is>
      </c>
      <c r="K17" s="4" t="inlineStr">
        <is>
          <t>FY2020-21</t>
        </is>
      </c>
      <c r="L17" s="4" t="inlineStr">
        <is>
          <t>FY2021-22</t>
        </is>
      </c>
      <c r="M17" s="4" t="inlineStr">
        <is>
          <t>FY2022-23</t>
        </is>
      </c>
      <c r="N17" s="4" t="inlineStr">
        <is>
          <t>FY2023-24</t>
        </is>
      </c>
      <c r="O17" s="4" t="inlineStr">
        <is>
          <t>FY2024-25</t>
        </is>
      </c>
      <c r="P17" s="4" t="inlineStr">
        <is>
          <t>FY2025-26</t>
        </is>
      </c>
    </row>
    <row r="18">
      <c r="A18" s="5" t="inlineStr">
        <is>
          <t>Hero MotoCorp</t>
        </is>
      </c>
      <c r="B18" s="16">
        <f>IF(B5="","",B5/B13)</f>
        <v/>
      </c>
      <c r="C18" s="16">
        <f>IF(C5="","",C5/C13)</f>
        <v/>
      </c>
      <c r="D18" s="16">
        <f>IF(D5="","",D5/D13)</f>
        <v/>
      </c>
      <c r="E18" s="16">
        <f>IF(E5="","",E5/E13)</f>
        <v/>
      </c>
      <c r="F18" s="16">
        <f>IF(F5="","",F5/F13)</f>
        <v/>
      </c>
      <c r="G18" s="16">
        <f>IF(G5="","",G5/G13)</f>
        <v/>
      </c>
      <c r="H18" s="16">
        <f>IF(H5="","",H5/H13)</f>
        <v/>
      </c>
      <c r="I18" s="16">
        <f>IF(I5="","",I5/I13)</f>
        <v/>
      </c>
      <c r="J18" s="16">
        <f>IF(J5="","",J5/J13)</f>
        <v/>
      </c>
      <c r="K18" s="16">
        <f>IF(K5="","",K5/K13)</f>
        <v/>
      </c>
      <c r="L18" s="16">
        <f>IF(L5="","",L5/L13)</f>
        <v/>
      </c>
      <c r="M18" s="16">
        <f>IF(M5="","",M5/M13)</f>
        <v/>
      </c>
      <c r="N18" s="16">
        <f>IF(N5="","",N5/N13)</f>
        <v/>
      </c>
      <c r="O18" s="16">
        <f>IF(O5="","",O5/O13)</f>
        <v/>
      </c>
      <c r="P18" s="16">
        <f>IF(P5="","",P5/P13)</f>
        <v/>
      </c>
    </row>
    <row r="19">
      <c r="A19" s="5" t="inlineStr">
        <is>
          <t>Honda (HMSI)</t>
        </is>
      </c>
      <c r="B19" s="16">
        <f>IF(B6="","",B6/B13)</f>
        <v/>
      </c>
      <c r="C19" s="16">
        <f>IF(C6="","",C6/C13)</f>
        <v/>
      </c>
      <c r="D19" s="16">
        <f>IF(D6="","",D6/D13)</f>
        <v/>
      </c>
      <c r="E19" s="16">
        <f>IF(E6="","",E6/E13)</f>
        <v/>
      </c>
      <c r="F19" s="16">
        <f>IF(F6="","",F6/F13)</f>
        <v/>
      </c>
      <c r="G19" s="16">
        <f>IF(G6="","",G6/G13)</f>
        <v/>
      </c>
      <c r="H19" s="16">
        <f>IF(H6="","",H6/H13)</f>
        <v/>
      </c>
      <c r="I19" s="16">
        <f>IF(I6="","",I6/I13)</f>
        <v/>
      </c>
      <c r="J19" s="16">
        <f>IF(J6="","",J6/J13)</f>
        <v/>
      </c>
      <c r="K19" s="16">
        <f>IF(K6="","",K6/K13)</f>
        <v/>
      </c>
      <c r="L19" s="16">
        <f>IF(L6="","",L6/L13)</f>
        <v/>
      </c>
      <c r="M19" s="16">
        <f>IF(M6="","",M6/M13)</f>
        <v/>
      </c>
      <c r="N19" s="16">
        <f>IF(N6="","",N6/N13)</f>
        <v/>
      </c>
      <c r="O19" s="16">
        <f>IF(O6="","",O6/O13)</f>
        <v/>
      </c>
      <c r="P19" s="16">
        <f>IF(P6="","",P6/P13)</f>
        <v/>
      </c>
    </row>
    <row r="20">
      <c r="A20" s="5" t="inlineStr">
        <is>
          <t>TVS Motor</t>
        </is>
      </c>
      <c r="B20" s="16">
        <f>IF(B7="","",B7/B13)</f>
        <v/>
      </c>
      <c r="C20" s="16">
        <f>IF(C7="","",C7/C13)</f>
        <v/>
      </c>
      <c r="D20" s="16">
        <f>IF(D7="","",D7/D13)</f>
        <v/>
      </c>
      <c r="E20" s="16">
        <f>IF(E7="","",E7/E13)</f>
        <v/>
      </c>
      <c r="F20" s="16">
        <f>IF(F7="","",F7/F13)</f>
        <v/>
      </c>
      <c r="G20" s="16">
        <f>IF(G7="","",G7/G13)</f>
        <v/>
      </c>
      <c r="H20" s="16">
        <f>IF(H7="","",H7/H13)</f>
        <v/>
      </c>
      <c r="I20" s="16">
        <f>IF(I7="","",I7/I13)</f>
        <v/>
      </c>
      <c r="J20" s="16">
        <f>IF(J7="","",J7/J13)</f>
        <v/>
      </c>
      <c r="K20" s="16">
        <f>IF(K7="","",K7/K13)</f>
        <v/>
      </c>
      <c r="L20" s="16">
        <f>IF(L7="","",L7/L13)</f>
        <v/>
      </c>
      <c r="M20" s="16">
        <f>IF(M7="","",M7/M13)</f>
        <v/>
      </c>
      <c r="N20" s="16">
        <f>IF(N7="","",N7/N13)</f>
        <v/>
      </c>
      <c r="O20" s="16">
        <f>IF(O7="","",O7/O13)</f>
        <v/>
      </c>
      <c r="P20" s="16">
        <f>IF(P7="","",P7/P13)</f>
        <v/>
      </c>
    </row>
    <row r="21">
      <c r="A21" s="5" t="inlineStr">
        <is>
          <t>Bajaj Auto</t>
        </is>
      </c>
      <c r="B21" s="16">
        <f>IF(B8="","",B8/B13)</f>
        <v/>
      </c>
      <c r="C21" s="16">
        <f>IF(C8="","",C8/C13)</f>
        <v/>
      </c>
      <c r="D21" s="16">
        <f>IF(D8="","",D8/D13)</f>
        <v/>
      </c>
      <c r="E21" s="16">
        <f>IF(E8="","",E8/E13)</f>
        <v/>
      </c>
      <c r="F21" s="16">
        <f>IF(F8="","",F8/F13)</f>
        <v/>
      </c>
      <c r="G21" s="16">
        <f>IF(G8="","",G8/G13)</f>
        <v/>
      </c>
      <c r="H21" s="16">
        <f>IF(H8="","",H8/H13)</f>
        <v/>
      </c>
      <c r="I21" s="16">
        <f>IF(I8="","",I8/I13)</f>
        <v/>
      </c>
      <c r="J21" s="16">
        <f>IF(J8="","",J8/J13)</f>
        <v/>
      </c>
      <c r="K21" s="16">
        <f>IF(K8="","",K8/K13)</f>
        <v/>
      </c>
      <c r="L21" s="16">
        <f>IF(L8="","",L8/L13)</f>
        <v/>
      </c>
      <c r="M21" s="16">
        <f>IF(M8="","",M8/M13)</f>
        <v/>
      </c>
      <c r="N21" s="16">
        <f>IF(N8="","",N8/N13)</f>
        <v/>
      </c>
      <c r="O21" s="16">
        <f>IF(O8="","",O8/O13)</f>
        <v/>
      </c>
      <c r="P21" s="16">
        <f>IF(P8="","",P8/P13)</f>
        <v/>
      </c>
    </row>
    <row r="22">
      <c r="A22" s="5" t="inlineStr">
        <is>
          <t>Royal Enfield</t>
        </is>
      </c>
      <c r="B22" s="16">
        <f>IF(B9="","",B9/B13)</f>
        <v/>
      </c>
      <c r="C22" s="16">
        <f>IF(C9="","",C9/C13)</f>
        <v/>
      </c>
      <c r="D22" s="16">
        <f>IF(D9="","",D9/D13)</f>
        <v/>
      </c>
      <c r="E22" s="16">
        <f>IF(E9="","",E9/E13)</f>
        <v/>
      </c>
      <c r="F22" s="16">
        <f>IF(F9="","",F9/F13)</f>
        <v/>
      </c>
      <c r="G22" s="16">
        <f>IF(G9="","",G9/G13)</f>
        <v/>
      </c>
      <c r="H22" s="16">
        <f>IF(H9="","",H9/H13)</f>
        <v/>
      </c>
      <c r="I22" s="16">
        <f>IF(I9="","",I9/I13)</f>
        <v/>
      </c>
      <c r="J22" s="16">
        <f>IF(J9="","",J9/J13)</f>
        <v/>
      </c>
      <c r="K22" s="16">
        <f>IF(K9="","",K9/K13)</f>
        <v/>
      </c>
      <c r="L22" s="16">
        <f>IF(L9="","",L9/L13)</f>
        <v/>
      </c>
      <c r="M22" s="16">
        <f>IF(M9="","",M9/M13)</f>
        <v/>
      </c>
      <c r="N22" s="16">
        <f>IF(N9="","",N9/N13)</f>
        <v/>
      </c>
      <c r="O22" s="16">
        <f>IF(O9="","",O9/O13)</f>
        <v/>
      </c>
      <c r="P22" s="16">
        <f>IF(P9="","",P9/P13)</f>
        <v/>
      </c>
    </row>
    <row r="23">
      <c r="A23" s="5" t="inlineStr">
        <is>
          <t>Suzuki</t>
        </is>
      </c>
      <c r="B23" s="16">
        <f>IF(B10="","",B10/B13)</f>
        <v/>
      </c>
      <c r="C23" s="16">
        <f>IF(C10="","",C10/C13)</f>
        <v/>
      </c>
      <c r="D23" s="16">
        <f>IF(D10="","",D10/D13)</f>
        <v/>
      </c>
      <c r="E23" s="16">
        <f>IF(E10="","",E10/E13)</f>
        <v/>
      </c>
      <c r="F23" s="16">
        <f>IF(F10="","",F10/F13)</f>
        <v/>
      </c>
      <c r="G23" s="16">
        <f>IF(G10="","",G10/G13)</f>
        <v/>
      </c>
      <c r="H23" s="16">
        <f>IF(H10="","",H10/H13)</f>
        <v/>
      </c>
      <c r="I23" s="16">
        <f>IF(I10="","",I10/I13)</f>
        <v/>
      </c>
      <c r="J23" s="16">
        <f>IF(J10="","",J10/J13)</f>
        <v/>
      </c>
      <c r="K23" s="16">
        <f>IF(K10="","",K10/K13)</f>
        <v/>
      </c>
      <c r="L23" s="16">
        <f>IF(L10="","",L10/L13)</f>
        <v/>
      </c>
      <c r="M23" s="16">
        <f>IF(M10="","",M10/M13)</f>
        <v/>
      </c>
      <c r="N23" s="16">
        <f>IF(N10="","",N10/N13)</f>
        <v/>
      </c>
      <c r="O23" s="16">
        <f>IF(O10="","",O10/O13)</f>
        <v/>
      </c>
      <c r="P23" s="16">
        <f>IF(P10="","",P10/P13)</f>
        <v/>
      </c>
    </row>
    <row r="24">
      <c r="A24" s="5" t="inlineStr">
        <is>
          <t>Yamaha</t>
        </is>
      </c>
      <c r="B24" s="16">
        <f>IF(B11="","",B11/B13)</f>
        <v/>
      </c>
      <c r="C24" s="16">
        <f>IF(C11="","",C11/C13)</f>
        <v/>
      </c>
      <c r="D24" s="16">
        <f>IF(D11="","",D11/D13)</f>
        <v/>
      </c>
      <c r="E24" s="16">
        <f>IF(E11="","",E11/E13)</f>
        <v/>
      </c>
      <c r="F24" s="16">
        <f>IF(F11="","",F11/F13)</f>
        <v/>
      </c>
      <c r="G24" s="16">
        <f>IF(G11="","",G11/G13)</f>
        <v/>
      </c>
      <c r="H24" s="16">
        <f>IF(H11="","",H11/H13)</f>
        <v/>
      </c>
      <c r="I24" s="16">
        <f>IF(I11="","",I11/I13)</f>
        <v/>
      </c>
      <c r="J24" s="16">
        <f>IF(J11="","",J11/J13)</f>
        <v/>
      </c>
      <c r="K24" s="16">
        <f>IF(K11="","",K11/K13)</f>
        <v/>
      </c>
      <c r="L24" s="16">
        <f>IF(L11="","",L11/L13)</f>
        <v/>
      </c>
      <c r="M24" s="16">
        <f>IF(M11="","",M11/M13)</f>
        <v/>
      </c>
      <c r="N24" s="16">
        <f>IF(N11="","",N11/N13)</f>
        <v/>
      </c>
      <c r="O24" s="16">
        <f>IF(O11="","",O11/O13)</f>
        <v/>
      </c>
      <c r="P24" s="16">
        <f>IF(P11="","",P11/P13)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Electric two-wheeler makers - retail registrations (VAHAN/FADA), units</t>
        </is>
      </c>
    </row>
    <row r="2">
      <c r="A2" s="2" t="inlineStr">
        <is>
          <t>Separate basis from the wholesale sheets: these are retail registrations, not SIAM dispatches. TVS iQube / Bajaj Chetak volumes sit inside those companies' rows on the By Company sheet.</t>
        </is>
      </c>
    </row>
    <row r="4">
      <c r="A4" s="3" t="inlineStr">
        <is>
          <t>Company</t>
        </is>
      </c>
      <c r="B4" s="4" t="inlineStr">
        <is>
          <t>FY2022-23</t>
        </is>
      </c>
      <c r="C4" s="4" t="inlineStr">
        <is>
          <t>FY2023-24</t>
        </is>
      </c>
      <c r="D4" s="4" t="inlineStr">
        <is>
          <t>FY2024-25</t>
        </is>
      </c>
      <c r="E4" s="4" t="inlineStr">
        <is>
          <t>FY2025-26</t>
        </is>
      </c>
    </row>
    <row r="5">
      <c r="A5" s="5" t="inlineStr">
        <is>
          <t>Ola Electric</t>
        </is>
      </c>
      <c r="B5" s="6" t="n">
        <v>152791</v>
      </c>
      <c r="C5" s="6" t="n">
        <v>329237</v>
      </c>
      <c r="D5" s="9" t="n">
        <v>342000</v>
      </c>
      <c r="E5" s="6" t="n">
        <v>164294</v>
      </c>
    </row>
    <row r="6">
      <c r="A6" s="5" t="inlineStr">
        <is>
          <t>Ather Energy</t>
        </is>
      </c>
      <c r="B6" s="9" t="n">
        <v>92100</v>
      </c>
      <c r="C6" s="6" t="n">
        <v>108889</v>
      </c>
      <c r="D6" s="9" t="n">
        <v>131400</v>
      </c>
      <c r="E6" s="6" t="n">
        <v>239124</v>
      </c>
    </row>
    <row r="7">
      <c r="A7" s="5" t="inlineStr">
        <is>
          <t>Hero MotoCorp (Vida)</t>
        </is>
      </c>
      <c r="D7" s="9" t="n">
        <v>48800</v>
      </c>
      <c r="E7" s="6" t="n">
        <v>144313</v>
      </c>
    </row>
    <row r="8">
      <c r="A8" s="5" t="inlineStr">
        <is>
          <t>All electric 2W (industry)</t>
        </is>
      </c>
      <c r="B8" s="9" t="n">
        <v>726000</v>
      </c>
      <c r="C8" s="9" t="n">
        <v>945000</v>
      </c>
      <c r="D8" s="6" t="n">
        <v>1150000</v>
      </c>
      <c r="E8" s="6" t="n">
        <v>1400000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9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India two-wheeler sales workbook - notes &amp; sources</t>
        </is>
      </c>
    </row>
    <row r="2">
      <c r="A2" t="inlineStr"/>
    </row>
    <row r="3">
      <c r="A3" s="15" t="inlineStr">
        <is>
          <t>Conventions</t>
        </is>
      </c>
    </row>
    <row r="4">
      <c r="A4" s="5" t="inlineStr">
        <is>
          <t>- All 'Annual Totals' and 'By Company' figures are DOMESTIC WHOLESALES (factory dispatches to dealers,</t>
        </is>
      </c>
    </row>
    <row r="5">
      <c r="A5" s="5" t="inlineStr">
        <is>
          <t xml:space="preserve">  SIAM convention), fiscal years April-March. Exports are excluded throughout.</t>
        </is>
      </c>
    </row>
    <row r="6">
      <c r="A6" s="5" t="inlineStr">
        <is>
          <t>- Wholesales differ from retail registrations (VAHAN/FADA). The EV sheet is retail-basis and is kept separate.</t>
        </is>
      </c>
    </row>
    <row r="7">
      <c r="A7" s="5" t="inlineStr">
        <is>
          <t>- Italic amber cells are estimates or derived figures (company total minus reported exports, interpolation</t>
        </is>
      </c>
    </row>
    <row r="8">
      <c r="A8" s="5" t="inlineStr">
        <is>
          <t xml:space="preserve">  from calendar-year data, or market-share arithmetic). Exact SIAM company tables are not freely published</t>
        </is>
      </c>
    </row>
    <row r="9">
      <c r="A9" s="5" t="inlineStr">
        <is>
          <t xml:space="preserve">  for every year; derivations keep each year consistent with the SIAM industry total.</t>
        </is>
      </c>
    </row>
    <row r="10">
      <c r="A10" s="5" t="inlineStr">
        <is>
          <t>- SIAM occasionally revises figures between publications; individual cells may differ ~0.1-1% from other</t>
        </is>
      </c>
    </row>
    <row r="11">
      <c r="A11" s="5" t="inlineStr">
        <is>
          <t xml:space="preserve">  compilations (e.g. FY2021-22 total appears as both 13,466,412 and 13,570,008 in SIAM releases).</t>
        </is>
      </c>
    </row>
    <row r="12">
      <c r="A12" t="inlineStr"/>
    </row>
    <row r="13">
      <c r="A13" s="15" t="inlineStr">
        <is>
          <t>Company notes</t>
        </is>
      </c>
    </row>
    <row r="14">
      <c r="A14" s="5" t="inlineStr">
        <is>
          <t>- Hero MotoCorp figures before FY2011-12 would refer to Hero Honda (JV renamed in 2011).</t>
        </is>
      </c>
    </row>
    <row r="15">
      <c r="A15" s="5" t="inlineStr">
        <is>
          <t>- Bajaj Auto sells no domestic scooters; its row equals domestic motorcycles.</t>
        </is>
      </c>
    </row>
    <row r="16">
      <c r="A16" s="5" t="inlineStr">
        <is>
          <t>- Royal Enfield pre-FY2015 estimates interpolate Eicher calendar-year disclosures.</t>
        </is>
      </c>
    </row>
    <row r="17">
      <c r="A17" s="5" t="inlineStr">
        <is>
          <t>- Honda FY2014-15 and Royal Enfield FY2014-15 include small exports (domestic split not published).</t>
        </is>
      </c>
    </row>
    <row r="18">
      <c r="A18" s="5" t="inlineStr">
        <is>
          <t>- TVS includes mopeds and (recent years) iQube EVs; Bajaj includes Chetak EVs; Hero includes Vida EVs.</t>
        </is>
      </c>
    </row>
    <row r="19">
      <c r="A19" s="5" t="inlineStr">
        <is>
          <t>- Yamaha reports calendar years; nearly all its fiscal-year cells are estimates.</t>
        </is>
      </c>
    </row>
    <row r="20">
      <c r="A20" t="inlineStr"/>
    </row>
    <row r="21">
      <c r="A21" s="15" t="inlineStr">
        <is>
          <t>Primary sources</t>
        </is>
      </c>
    </row>
    <row r="22">
      <c r="A22" s="5" t="inlineStr">
        <is>
          <t>- SIAM statistics tables &amp; press releases (siam.in): industry totals FY2002-FY2026; FY26 = 2,17,05,974 (14-Apr-2026 release).</t>
        </is>
      </c>
    </row>
    <row r="23">
      <c r="A23" s="5" t="inlineStr">
        <is>
          <t>- Company annual reports: Hero MotoCorp, Bajaj Auto, TVS, Eicher/Royal Enfield, Suzuki Motor Corp (domestic/export splits).</t>
        </is>
      </c>
    </row>
    <row r="24">
      <c r="A24" s="5" t="inlineStr">
        <is>
          <t>- SIAM-based press tables: Autocar Professional, Autocar India (FY2020 full OEM table), autoX (FY2018), Rushlane</t>
        </is>
      </c>
    </row>
    <row r="25">
      <c r="A25" s="5" t="inlineStr">
        <is>
          <t xml:space="preserve">  (FY2019, FY2024-FY2026), MotorBeam (FY2012-13), Autopunditz (FY2021), IndiaTracker (FY2023), Business Standard.</t>
        </is>
      </c>
    </row>
    <row r="26">
      <c r="A26" s="5" t="inlineStr">
        <is>
          <t>- EV retail: VAHAN via Autocar India / Rushlane / EVIndia (FY2026 e2W: TVS 341,471; Bajaj 289,323; Ather 239,124;</t>
        </is>
      </c>
    </row>
    <row r="27">
      <c r="A27" s="5" t="inlineStr">
        <is>
          <t xml:space="preserve">  Ola 164,294; Hero Vida 144,313; industry 1.40 million).</t>
        </is>
      </c>
    </row>
    <row r="28">
      <c r="A28" t="inlineStr"/>
    </row>
    <row r="29">
      <c r="A29" s="14" t="inlineStr">
        <is>
          <t>Compiled 10-Jul-2026.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2026-07-10T04:01:31Z</dcterms:created>
  <dcterms:modified xsi:type="dcterms:W3CDTF">2026-07-10T04:01:31Z</dcterms:modified>
</cp:coreProperties>
</file>