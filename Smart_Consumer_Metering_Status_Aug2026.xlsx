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ources &amp; No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<sst xmlns="http://schemas.openxmlformats.org/spreadsheetml/2006/main" count="149" uniqueCount="125">
  <si>
    <t xml:space="preserve">Smart Consumer Metering Status as on 20-Aug-2026</t>
  </si>
  <si>
    <t xml:space="preserve">Latest official all-India figure: 7.24 crore (72.4 mn) meters installed as of 30-Jun-2026 (MoS Power reply in Parliament, 06-Aug-2026). Blue = hardcoded from source; yellow = estimate/derived. See 'Sources &amp; Notes' sheet.</t>
  </si>
  <si>
    <t xml:space="preserve">Smart meters execution tracker (half-yearly)</t>
  </si>
  <si>
    <t xml:space="preserve">Period</t>
  </si>
  <si>
    <t xml:space="preserve">Cumulative installed, mn (period end)</t>
  </si>
  <si>
    <t xml:space="preserve">Installed in period, mn</t>
  </si>
  <si>
    <t xml:space="preserve">Growth %</t>
  </si>
  <si>
    <t xml:space="preserve">2HCY24</t>
  </si>
  <si>
    <t xml:space="preserve">-</t>
  </si>
  <si>
    <t xml:space="preserve">1HCY25</t>
  </si>
  <si>
    <t xml:space="preserve">2HCY25</t>
  </si>
  <si>
    <t xml:space="preserve">1HCY26</t>
  </si>
  <si>
    <t xml:space="preserve">Run-rate: ~1.35 lakh meters/day (Feb-2026); implied ~79 mn installed by 20-Aug-2026 (est.)</t>
  </si>
  <si>
    <t xml:space="preserve">India summary — all schemes (RDSS + NSGM/others)</t>
  </si>
  <si>
    <t xml:space="preserve">India</t>
  </si>
  <si>
    <t xml:space="preserve">Unit</t>
  </si>
  <si>
    <t xml:space="preserve">Sanctioned</t>
  </si>
  <si>
    <t xml:space="preserve">Awarded</t>
  </si>
  <si>
    <t xml:space="preserve">Deployed</t>
  </si>
  <si>
    <t xml:space="preserve">To be awarded</t>
  </si>
  <si>
    <t xml:space="preserve">Smart meters</t>
  </si>
  <si>
    <t xml:space="preserve">Mn Nos</t>
  </si>
  <si>
    <t xml:space="preserve">Approximate Realisation</t>
  </si>
  <si>
    <t xml:space="preserve">Rs./unit</t>
  </si>
  <si>
    <t xml:space="preserve">Total Opportunity</t>
  </si>
  <si>
    <t xml:space="preserve">Rs. Mn</t>
  </si>
  <si>
    <t xml:space="preserve">Awarded % of sanctioned</t>
  </si>
  <si>
    <t xml:space="preserve">%</t>
  </si>
  <si>
    <t xml:space="preserve">Deployed % of sanctioned</t>
  </si>
  <si>
    <t xml:space="preserve">Smart Meter Mission split, mn meters (Total =D14= 222 mn)</t>
  </si>
  <si>
    <t xml:space="preserve">Category</t>
  </si>
  <si>
    <t xml:space="preserve">Mn meters</t>
  </si>
  <si>
    <t xml:space="preserve">% of total</t>
  </si>
  <si>
    <t xml:space="preserve">Awarded &amp; Installed</t>
  </si>
  <si>
    <t xml:space="preserve">Awarded, Not yet Installed</t>
  </si>
  <si>
    <t xml:space="preserve">Not Yet Awarded</t>
  </si>
  <si>
    <t xml:space="preserve">Total</t>
  </si>
  <si>
    <t xml:space="preserve">RDSS scheme detail (sanctioned 20.33 crore; sunset 31-Mar-2028)</t>
  </si>
  <si>
    <t xml:space="preserve">RDSS component</t>
  </si>
  <si>
    <t xml:space="preserve">Sanctioned, mn</t>
  </si>
  <si>
    <t xml:space="preserve">Installed, mn</t>
  </si>
  <si>
    <t xml:space="preserve">As of</t>
  </si>
  <si>
    <t xml:space="preserve">Consumer smart meters</t>
  </si>
  <si>
    <t xml:space="preserve">DT meters</t>
  </si>
  <si>
    <t xml:space="preserve">Feeder meters</t>
  </si>
  <si>
    <t xml:space="preserve">RDSS total</t>
  </si>
  <si>
    <t xml:space="preserve">30-Jun-26</t>
  </si>
  <si>
    <t xml:space="preserve">Other schemes (NSGM etc.)</t>
  </si>
  <si>
    <t xml:space="preserve">Prepaid mode (of installed)</t>
  </si>
  <si>
    <t xml:space="preserve">11-Dec-25</t>
  </si>
  <si>
    <t xml:space="preserve">State-wise Smart Meters, mn nos (sanctioned per RDSS approvals; installed = latest reported)</t>
  </si>
  <si>
    <t xml:space="preserve">State</t>
  </si>
  <si>
    <t xml:space="preserve">Installed</t>
  </si>
  <si>
    <t xml:space="preserve">Installed as of</t>
  </si>
  <si>
    <t xml:space="preserve">% Installed</t>
  </si>
  <si>
    <t xml:space="preserve">Remark</t>
  </si>
  <si>
    <t xml:space="preserve">Uttar Pradesh</t>
  </si>
  <si>
    <t xml:space="preserve">Nov-25</t>
  </si>
  <si>
    <t xml:space="preserve">Awarded ~ full sanction</t>
  </si>
  <si>
    <t xml:space="preserve">Tamil Nadu</t>
  </si>
  <si>
    <t xml:space="preserve">Tenders still not finalised; rollout yet to start</t>
  </si>
  <si>
    <t xml:space="preserve">Maharashtra</t>
  </si>
  <si>
    <t xml:space="preserve">No.2 in installations; leads DT metering</t>
  </si>
  <si>
    <t xml:space="preserve">West Bengal</t>
  </si>
  <si>
    <t xml:space="preserve">n/a</t>
  </si>
  <si>
    <t xml:space="preserve">Largely yet to be awarded</t>
  </si>
  <si>
    <t xml:space="preserve">Bihar</t>
  </si>
  <si>
    <t xml:space="preserve">No.1 in installations; 100% prepaid</t>
  </si>
  <si>
    <t xml:space="preserve">Gujarat</t>
  </si>
  <si>
    <t xml:space="preserve">Rajasthan</t>
  </si>
  <si>
    <t xml:space="preserve">Madhya Pradesh</t>
  </si>
  <si>
    <t xml:space="preserve">Dec-24</t>
  </si>
  <si>
    <t xml:space="preserve">Kerala</t>
  </si>
  <si>
    <t xml:space="preserve">Not awarded (KSEB opposition to AMISP/TOTEX)</t>
  </si>
  <si>
    <t xml:space="preserve">Punjab</t>
  </si>
  <si>
    <t xml:space="preserve">Assam</t>
  </si>
  <si>
    <t xml:space="preserve">Mar-25</t>
  </si>
  <si>
    <t xml:space="preserve">Fastest % completion; ~80% rural</t>
  </si>
  <si>
    <t xml:space="preserve">Haryana</t>
  </si>
  <si>
    <t xml:space="preserve">Top-12 total</t>
  </si>
  <si>
    <t xml:space="preserve">AMISP / EPC players — order books &amp; installations (mid-2026)</t>
  </si>
  <si>
    <t xml:space="preserve">Player</t>
  </si>
  <si>
    <t xml:space="preserve">Order book, mn meters</t>
  </si>
  <si>
    <t xml:space="preserve">Order book value, Rs. bn</t>
  </si>
  <si>
    <t xml:space="preserve">Installed till date, mn</t>
  </si>
  <si>
    <t xml:space="preserve">As of / note</t>
  </si>
  <si>
    <t xml:space="preserve">Genus Power (incl. SPVs/GIC JV)</t>
  </si>
  <si>
    <t xml:space="preserve">Order book Rs.24,020 cr (Jun-26); crossed 1 crore installed Feb-26 across 9 states; targets +1 crore in FY27</t>
  </si>
  <si>
    <t xml:space="preserve">Adani Energy Solutions (AESL)</t>
  </si>
  <si>
    <t xml:space="preserve">Rev. potential Rs.29,519 cr; first to 1 crore delivered (Feb-26); 13.4 mn = ~55% of mandate (Jun-26)</t>
  </si>
  <si>
    <t xml:space="preserve">GMR Smart Electricity</t>
  </si>
  <si>
    <t xml:space="preserve">No 2026 update found; shortlisted bidder for IntelliSmart (~$400 mn sale)</t>
  </si>
  <si>
    <t xml:space="preserve">L&amp;T</t>
  </si>
  <si>
    <t xml:space="preserve">No 2026 update found</t>
  </si>
  <si>
    <t xml:space="preserve">Techno Electric</t>
  </si>
  <si>
    <t xml:space="preserve">Targets completing RDSS smart metering mandates by Dec-2026</t>
  </si>
  <si>
    <t xml:space="preserve">IntelliSmart (NIIF-EESL JV)</t>
  </si>
  <si>
    <t xml:space="preserve">Stake sale in progress (~$400 mn); Adani &amp; GMR final bidders</t>
  </si>
  <si>
    <t xml:space="preserve">Key meter manufacturers: Genus Power, Secure Meters, HPL Electric, Schneider Electric, Polaris Smart Metering</t>
  </si>
  <si>
    <t xml:space="preserve">Item</t>
  </si>
  <si>
    <t xml:space="preserve">Detail</t>
  </si>
  <si>
    <t xml:space="preserve">All-India installed 72.4 mn (30-Jun-26)</t>
  </si>
  <si>
    <t xml:space="preserve">MoS Power Shripad Naik, written reply in Parliament, 06-Aug-2026 — 7.24 crore total (5.73 crore under RDSS). tndindia.com/indias-smart-meter-population-at-7-24-crore-parliament</t>
  </si>
  <si>
    <t xml:space="preserve">RDSS sanction 20.33 crore</t>
  </si>
  <si>
    <t xml:space="preserve">Same reply: 19.79 crore consumer + 52.53 lakh DT + 2.05 lakh feeder; RDSS sunset 31-Mar-2028</t>
  </si>
  <si>
    <t xml:space="preserve">Cumulative milestones</t>
  </si>
  <si>
    <t xml:space="preserve">Nov-24: 16.8 mn (NSGM); Mar-25: 24.0 mn (NSGM via tndindia); mid-25: ~27.7 mn (indiasmartgrid.org); 15-Nov-25: 47.6 mn (Mercom India); 11-Dec-25: 49.3 mn, 1.6 cr prepaid (Power Minister, newsonair.gov.in); 15-Feb-26: 58.3 mn @ ~1.35 lakh/day (PFI/pfie.com); 30-Jun-26: 72.4 mn (Parliament)</t>
  </si>
  <si>
    <t xml:space="preserve">Awarded 150 mn (15 crore)</t>
  </si>
  <si>
    <t xml:space="preserve">Genus Power management, Q4 FY26 earnings call, 19-May-2026: "total consumer base ... 31 to 32 crore, with 15 crore already tendered and 7 crore installed"; tenders for a further 9 crore expected in FY27. Consistent with trajectory: NSGM dashboard showed awarded = 13,80,22,912 (138.02 mn) of 22,23,54,490 sanctioned in early 2025 (the '138 mn / 62%' in the 04-Mar-25 sheet, also cited by Prayas), and CareEdge reported 10.9 crore awarded as of Mar-2024. Note: 15 crore is management commentary, not an official NSGM publication.</t>
  </si>
  <si>
    <t xml:space="preserve">State installed figures</t>
  </si>
  <si>
    <t xml:space="preserve">Bihar 8.24 mn, Maharashtra 7.40 mn, UP 6.51 mn as of 15-Nov-25 (Mercom India). Assam 3.28 mn (Mar-25, tndindia). MP 1.01 mn (Dec-24, Rajya Sabha). Tamil Nadu &amp; Kerala: rollout not started (tender delays / AMISP opposition). Blank = no recent public figure.</t>
  </si>
  <si>
    <t xml:space="preserve">State sanctioned figures</t>
  </si>
  <si>
    <t xml:space="preserve">Carried from RDSS approvals (unchanged — Prayas: no fresh sanctions in FY25). Bihar shown at 17.2 (172.09 lakh, tndindia Mar-25).</t>
  </si>
  <si>
    <t xml:space="preserve">Genus Power</t>
  </si>
  <si>
    <t xml:space="preserve">Order book ~Rs.24,020 cr incl. SPVs &amp; GIC platform (Jun-26 / Q4FY26 call); ~2.75 crore meters (BusinessToday Apr-26); 1 crore installed under RDSS across 9 states (Feb-26, Energetica India); targets 1 crore installs in FY27; capacity 1.8 crore/yr</t>
  </si>
  <si>
    <t xml:space="preserve">Adani Energy Solutions</t>
  </si>
  <si>
    <t xml:space="preserve">Order book 24.6 mn meters, revenue potential Rs.29,519 cr; 13.4 mn installed by Q1 FY27 (~55% of mandate) (Whalesbook/company); first to deliver 1 crore meters 05-Feb-26 (adani.com)</t>
  </si>
  <si>
    <t xml:space="preserve">GMR / L&amp;T</t>
  </si>
  <si>
    <t xml:space="preserve">No 2026 public update found — figures carried from your 04-Mar-25 sheet. GMR &amp; Adani are final bidders for IntelliSmart (~$400 mn, BW Businessworld)</t>
  </si>
  <si>
    <t xml:space="preserve">Target / deadline</t>
  </si>
  <si>
    <t xml:space="preserve">RDSS target 25 crore prepaid smart meters; original Mar-2026 deadline extended ~2 years (sunset 31-Mar-2028)</t>
  </si>
  <si>
    <t xml:space="preserve">Realisation Rs.11,000/unit</t>
  </si>
  <si>
    <t xml:space="preserve">Assumption carried from your original sheet. Prayas Mar-25: single-phase award rates Rs.7,236–12,118/unit, median Rs.8,839</t>
  </si>
  <si>
    <t xml:space="preserve">Access note</t>
  </si>
  <si>
    <t xml:space="preserve">nsgm.gov.in / pib.gov.in are geo-blocked from this environment (connection reset) — figures compiled from Parliament replies and industry press instead of the live NSGM dashboard.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</si>
</sst>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%"/>
    <numFmt numFmtId="167" formatCode="0"/>
    <numFmt numFmtId="168" formatCode="#,##0"/>
    <numFmt numFmtId="169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C0504D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execution tracker (mn)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Dashboard!D5</c:f>
              <c:strCache>
                <c:ptCount val="1"/>
                <c:pt idx="0">
                  <c:v>Installed in period,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Dashboard!$D$6:$D$9</c:f>
              <c:numCache>
                <c:formatCode>0.0</c:formatCode>
                <c:ptCount val="4"/>
                <c:pt idx="1">
                  <c:v>9.7</c:v>
                </c:pt>
                <c:pt idx="2">
                  <c:v>21.6</c:v>
                </c:pt>
                <c:pt idx="3">
                  <c:v>23.1</c:v>
                </c:pt>
              </c:numCache>
            </c:numRef>
          </c:val>
        </c:ser>
        <c:gapWidth val="150"/>
        <c:overlap val="0"/>
        <c:axId val="86120884"/>
        <c:axId val="84040801"/>
      </c:barChart>
      <c:lineChart>
        <c:grouping val="standard"/>
        <c:varyColors val="0"/>
        <c:ser>
          <c:idx val="1"/>
          <c:order val="1"/>
          <c:tx>
            <c:strRef>
              <c:f>Dashboard!C5</c:f>
              <c:strCache>
                <c:ptCount val="1"/>
                <c:pt idx="0">
                  <c:v>Cumulative installed, mn (period end)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Dashboard!$C$6:$C$9</c:f>
              <c:numCache>
                <c:formatCode>0.0</c:formatCode>
                <c:ptCount val="4"/>
                <c:pt idx="0">
                  <c:v>18</c:v>
                </c:pt>
                <c:pt idx="1">
                  <c:v>27.7</c:v>
                </c:pt>
                <c:pt idx="2">
                  <c:v>49.3</c:v>
                </c:pt>
                <c:pt idx="3">
                  <c:v>72.4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120884"/>
        <c:axId val="84040801"/>
      </c:lineChart>
      <c:catAx>
        <c:axId val="861208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40801"/>
        <c:crosses val="autoZero"/>
        <c:auto val="1"/>
        <c:lblAlgn val="ctr"/>
        <c:lblOffset val="100"/>
        <c:noMultiLvlLbl val="0"/>
      </c:catAx>
      <c:valAx>
        <c:axId val="840408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208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by State, mn nos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Dashboard!C37</c:f>
              <c:strCache>
                <c:ptCount val="1"/>
                <c:pt idx="0">
                  <c:v>Sanctioned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Dashboard!$C$38:$C$49</c:f>
              <c:numCache>
                <c:formatCode>0.0</c:formatCode>
                <c:ptCount val="12"/>
                <c:pt idx="0">
                  <c:v>31</c:v>
                </c:pt>
                <c:pt idx="1">
                  <c:v>30</c:v>
                </c:pt>
                <c:pt idx="2">
                  <c:v>24</c:v>
                </c:pt>
                <c:pt idx="3">
                  <c:v>21</c:v>
                </c:pt>
                <c:pt idx="4">
                  <c:v>17.2</c:v>
                </c:pt>
                <c:pt idx="5">
                  <c:v>17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10</c:v>
                </c:pt>
                <c:pt idx="10">
                  <c:v>3.3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Dashboard!D37</c:f>
              <c:strCache>
                <c:ptCount val="1"/>
                <c:pt idx="0">
                  <c:v>Installed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Dashboard!$D$38:$D$49</c:f>
              <c:numCache>
                <c:formatCode>0.0</c:formatCode>
                <c:ptCount val="12"/>
                <c:pt idx="0">
                  <c:v>6.5</c:v>
                </c:pt>
                <c:pt idx="1">
                  <c:v>0.1</c:v>
                </c:pt>
                <c:pt idx="2">
                  <c:v>7.4</c:v>
                </c:pt>
                <c:pt idx="4">
                  <c:v>8.2</c:v>
                </c:pt>
                <c:pt idx="7">
                  <c:v>1</c:v>
                </c:pt>
                <c:pt idx="8">
                  <c:v>0</c:v>
                </c:pt>
                <c:pt idx="10">
                  <c:v>3.3</c:v>
                </c:pt>
              </c:numCache>
            </c:numRef>
          </c:val>
        </c:ser>
        <c:gapWidth val="150"/>
        <c:overlap val="0"/>
        <c:axId val="34354655"/>
        <c:axId val="44897"/>
      </c:barChart>
      <c:catAx>
        <c:axId val="343546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97"/>
        <c:crosses val="autoZero"/>
        <c:auto val="1"/>
        <c:lblAlgn val="ctr"/>
        <c:lblOffset val="100"/>
        <c:noMultiLvlLbl val="0"/>
      </c:catAx>
      <c:valAx>
        <c:axId val="448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546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 Mission, mn meters (Total 222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Dashboard!C21</c:f>
              <c:strCache>
                <c:ptCount val="1"/>
                <c:pt idx="0">
                  <c:v>Mn meters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Dashboard!$B$22:$B$24</c:f>
              <c:strCache>
                <c:ptCount val="3"/>
                <c:pt idx="0">
                  <c:v>Awarded &amp; Installed</c:v>
                </c:pt>
                <c:pt idx="1">
                  <c:v>Awarded, Not yet Installed</c:v>
                </c:pt>
                <c:pt idx="2">
                  <c:v>Not Yet Awarded</c:v>
                </c:pt>
              </c:strCache>
            </c:strRef>
          </c:cat>
          <c:val>
            <c:numRef>
              <c:f>Dashboard!$C$22:$C$24</c:f>
              <c:numCache>
                <c:formatCode>0.0</c:formatCode>
                <c:ptCount val="3"/>
                <c:pt idx="0">
                  <c:v>72.4</c:v>
                </c:pt>
                <c:pt idx="1">
                  <c:v>77.6</c:v>
                </c:pt>
                <c:pt idx="2">
                  <c:v>72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176040</xdr:rowOff>
    </xdr:from>
    <xdr:to>
      <xdr:col>14</xdr:col>
      <xdr:colOff>126360</xdr:colOff>
      <xdr:row>17</xdr:row>
      <xdr:rowOff>18000</xdr:rowOff>
    </xdr:to>
    <xdr:graphicFrame>
      <xdr:nvGraphicFramePr>
        <xdr:cNvPr id="0" name="Chart 1"/>
        <xdr:cNvGraphicFramePr/>
      </xdr:nvGraphicFramePr>
      <xdr:xfrm>
        <a:off x="14538240" y="566640"/>
        <a:ext cx="467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175680</xdr:rowOff>
    </xdr:from>
    <xdr:to>
      <xdr:col>16</xdr:col>
      <xdr:colOff>48600</xdr:colOff>
      <xdr:row>34</xdr:row>
      <xdr:rowOff>7200</xdr:rowOff>
    </xdr:to>
    <xdr:graphicFrame>
      <xdr:nvGraphicFramePr>
        <xdr:cNvPr id="1" name="Chart 2"/>
        <xdr:cNvGraphicFramePr/>
      </xdr:nvGraphicFramePr>
      <xdr:xfrm>
        <a:off x="14538240" y="3614040"/>
        <a:ext cx="611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176040</xdr:rowOff>
    </xdr:from>
    <xdr:to>
      <xdr:col>13</xdr:col>
      <xdr:colOff>165240</xdr:colOff>
      <xdr:row>53</xdr:row>
      <xdr:rowOff>18000</xdr:rowOff>
    </xdr:to>
    <xdr:graphicFrame>
      <xdr:nvGraphicFramePr>
        <xdr:cNvPr id="2" name="Chart 3"/>
        <xdr:cNvGraphicFramePr/>
      </xdr:nvGraphicFramePr>
      <xdr:xfrm>
        <a:off x="14538240" y="7424640"/>
        <a:ext cx="395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46"/>
  </cols>
  <sheetData>
    <row r="1" customFormat="false" ht="15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B6" s="6" t="s">
        <v>7</v>
      </c>
      <c r="C6" s="7" t="n">
        <v>18</v>
      </c>
      <c r="D6" s="8" t="s">
        <v>8</v>
      </c>
      <c r="E6" s="8" t="s">
        <v>8</v>
      </c>
    </row>
    <row r="7" customFormat="false" ht="15" hidden="false" customHeight="true" outlineLevel="0" collapsed="false">
      <c r="B7" s="6" t="s">
        <v>9</v>
      </c>
      <c r="C7" s="7" t="n">
        <v>27.7</v>
      </c>
      <c r="D7" s="9" t="n">
        <f aca="false">C7-C6</f>
        <v>9.7</v>
      </c>
      <c r="E7" s="10" t="n">
        <f aca="false">(C7-C6)/C6</f>
        <v>0.538888888888889</v>
      </c>
    </row>
    <row r="8" customFormat="false" ht="15" hidden="false" customHeight="true" outlineLevel="0" collapsed="false">
      <c r="B8" s="6" t="s">
        <v>10</v>
      </c>
      <c r="C8" s="11" t="n">
        <v>49.3</v>
      </c>
      <c r="D8" s="9" t="n">
        <f aca="false">C8-C7</f>
        <v>21.6</v>
      </c>
      <c r="E8" s="10" t="n">
        <f aca="false">(C8-C7)/C7</f>
        <v>0.779783393501805</v>
      </c>
    </row>
    <row r="9" customFormat="false" ht="15" hidden="false" customHeight="true" outlineLevel="0" collapsed="false">
      <c r="B9" s="6" t="s">
        <v>11</v>
      </c>
      <c r="C9" s="11" t="n">
        <v>72.4</v>
      </c>
      <c r="D9" s="9" t="n">
        <f aca="false">C9-C8</f>
        <v>23.1</v>
      </c>
      <c r="E9" s="10" t="n">
        <f aca="false">(C9-C8)/C8</f>
        <v>0.468559837728195</v>
      </c>
    </row>
    <row r="10" customFormat="false" ht="15" hidden="false" customHeight="true" outlineLevel="0" collapsed="false">
      <c r="B10" s="3" t="s">
        <v>12</v>
      </c>
    </row>
    <row r="12" customFormat="false" ht="15" hidden="false" customHeight="true" outlineLevel="0" collapsed="false">
      <c r="B12" s="4" t="s">
        <v>13</v>
      </c>
    </row>
    <row r="13" customFormat="false" ht="15" hidden="false" customHeight="true" outlineLevel="0" collapsed="false">
      <c r="B13" s="5" t="s">
        <v>14</v>
      </c>
      <c r="C13" s="5" t="s">
        <v>15</v>
      </c>
      <c r="D13" s="5" t="s">
        <v>16</v>
      </c>
      <c r="E13" s="5" t="s">
        <v>17</v>
      </c>
      <c r="F13" s="5" t="s">
        <v>18</v>
      </c>
      <c r="G13" s="5" t="s">
        <v>19</v>
      </c>
    </row>
    <row r="14" customFormat="false" ht="15" hidden="false" customHeight="true" outlineLevel="0" collapsed="false">
      <c r="B14" s="6" t="s">
        <v>20</v>
      </c>
      <c r="C14" s="6" t="s">
        <v>21</v>
      </c>
      <c r="D14" s="12" t="n">
        <v>222</v>
      </c>
      <c r="E14" s="12" t="n">
        <v>150</v>
      </c>
      <c r="F14" s="11" t="n">
        <v>72.4</v>
      </c>
      <c r="G14" s="13" t="n">
        <f aca="false">D14-E14</f>
        <v>72</v>
      </c>
    </row>
    <row r="15" customFormat="false" ht="15" hidden="false" customHeight="true" outlineLevel="0" collapsed="false">
      <c r="B15" s="6" t="s">
        <v>22</v>
      </c>
      <c r="C15" s="6" t="s">
        <v>23</v>
      </c>
      <c r="D15" s="14" t="n">
        <v>11000</v>
      </c>
      <c r="E15" s="14" t="n">
        <v>11000</v>
      </c>
      <c r="F15" s="14" t="n">
        <v>11000</v>
      </c>
      <c r="G15" s="14" t="n">
        <v>11000</v>
      </c>
    </row>
    <row r="16" customFormat="false" ht="15" hidden="false" customHeight="true" outlineLevel="0" collapsed="false">
      <c r="B16" s="15" t="s">
        <v>24</v>
      </c>
      <c r="C16" s="6" t="s">
        <v>25</v>
      </c>
      <c r="D16" s="16" t="n">
        <f aca="false">D14*D15</f>
        <v>2442000</v>
      </c>
      <c r="E16" s="16" t="n">
        <f aca="false">E14*E15</f>
        <v>1650000</v>
      </c>
      <c r="F16" s="16" t="n">
        <f aca="false">F14*F15</f>
        <v>796400</v>
      </c>
      <c r="G16" s="17" t="n">
        <f aca="false">G14*G15</f>
        <v>792000</v>
      </c>
    </row>
    <row r="17" customFormat="false" ht="15" hidden="false" customHeight="true" outlineLevel="0" collapsed="false">
      <c r="B17" s="6" t="s">
        <v>26</v>
      </c>
      <c r="C17" s="6" t="s">
        <v>27</v>
      </c>
      <c r="D17" s="10" t="n">
        <f aca="false">E14/D14</f>
        <v>0.675675675675676</v>
      </c>
    </row>
    <row r="18" customFormat="false" ht="15" hidden="false" customHeight="true" outlineLevel="0" collapsed="false">
      <c r="B18" s="6" t="s">
        <v>28</v>
      </c>
      <c r="C18" s="6" t="s">
        <v>27</v>
      </c>
      <c r="D18" s="10" t="n">
        <f aca="false">F14/D14</f>
        <v>0.326126126126126</v>
      </c>
    </row>
    <row r="20" customFormat="false" ht="15" hidden="false" customHeight="true" outlineLevel="0" collapsed="false">
      <c r="B20" s="4" t="s">
        <v>29</v>
      </c>
    </row>
    <row r="21" customFormat="false" ht="15" hidden="false" customHeight="true" outlineLevel="0" collapsed="false">
      <c r="B21" s="5" t="s">
        <v>30</v>
      </c>
      <c r="C21" s="5" t="s">
        <v>31</v>
      </c>
      <c r="D21" s="5" t="s">
        <v>32</v>
      </c>
    </row>
    <row r="22" customFormat="false" ht="15" hidden="false" customHeight="true" outlineLevel="0" collapsed="false">
      <c r="B22" s="6" t="s">
        <v>33</v>
      </c>
      <c r="C22" s="9" t="n">
        <f aca="false">F14</f>
        <v>72.4</v>
      </c>
      <c r="D22" s="10" t="n">
        <f aca="false">C22/$D$14</f>
        <v>0.326126126126126</v>
      </c>
    </row>
    <row r="23" customFormat="false" ht="15" hidden="false" customHeight="true" outlineLevel="0" collapsed="false">
      <c r="B23" s="6" t="s">
        <v>34</v>
      </c>
      <c r="C23" s="9" t="n">
        <f aca="false">E14-F14</f>
        <v>77.6</v>
      </c>
      <c r="D23" s="10" t="n">
        <f aca="false">C23/$D$14</f>
        <v>0.34954954954955</v>
      </c>
    </row>
    <row r="24" customFormat="false" ht="15" hidden="false" customHeight="true" outlineLevel="0" collapsed="false">
      <c r="B24" s="6" t="s">
        <v>35</v>
      </c>
      <c r="C24" s="9" t="n">
        <f aca="false">D14-E14</f>
        <v>72</v>
      </c>
      <c r="D24" s="10" t="n">
        <f aca="false">C24/$D$14</f>
        <v>0.324324324324324</v>
      </c>
    </row>
    <row r="25" customFormat="false" ht="15" hidden="false" customHeight="true" outlineLevel="0" collapsed="false">
      <c r="B25" s="15" t="s">
        <v>36</v>
      </c>
      <c r="C25" s="18" t="n">
        <f aca="false">SUM(C22:C24)</f>
        <v>222</v>
      </c>
      <c r="D25" s="19" t="n">
        <f aca="false">SUM(D22:D24)</f>
        <v>1</v>
      </c>
    </row>
    <row r="27" customFormat="false" ht="15" hidden="false" customHeight="true" outlineLevel="0" collapsed="false">
      <c r="B27" s="4" t="s">
        <v>37</v>
      </c>
    </row>
    <row r="28" customFormat="false" ht="15" hidden="false" customHeight="true" outlineLevel="0" collapsed="false">
      <c r="B28" s="5" t="s">
        <v>38</v>
      </c>
      <c r="C28" s="5" t="s">
        <v>39</v>
      </c>
      <c r="D28" s="5" t="s">
        <v>40</v>
      </c>
      <c r="E28" s="5" t="s">
        <v>41</v>
      </c>
    </row>
    <row r="29" customFormat="false" ht="15" hidden="false" customHeight="true" outlineLevel="0" collapsed="false">
      <c r="B29" s="6" t="s">
        <v>42</v>
      </c>
      <c r="C29" s="11" t="n">
        <v>197.9</v>
      </c>
      <c r="D29" s="6"/>
      <c r="E29" s="6"/>
    </row>
    <row r="30" customFormat="false" ht="15" hidden="false" customHeight="true" outlineLevel="0" collapsed="false">
      <c r="B30" s="6" t="s">
        <v>43</v>
      </c>
      <c r="C30" s="20" t="n">
        <v>5.253</v>
      </c>
      <c r="D30" s="6"/>
      <c r="E30" s="6"/>
    </row>
    <row r="31" customFormat="false" ht="15" hidden="false" customHeight="true" outlineLevel="0" collapsed="false">
      <c r="B31" s="6" t="s">
        <v>44</v>
      </c>
      <c r="C31" s="20" t="n">
        <v>0.205</v>
      </c>
      <c r="D31" s="6"/>
      <c r="E31" s="6"/>
    </row>
    <row r="32" customFormat="false" ht="15" hidden="false" customHeight="true" outlineLevel="0" collapsed="false">
      <c r="B32" s="15" t="s">
        <v>45</v>
      </c>
      <c r="C32" s="18" t="n">
        <f aca="false">SUM(C29:C31)</f>
        <v>203.358</v>
      </c>
      <c r="D32" s="11" t="n">
        <v>57.3</v>
      </c>
      <c r="E32" s="6" t="s">
        <v>46</v>
      </c>
    </row>
    <row r="33" customFormat="false" ht="15" hidden="false" customHeight="true" outlineLevel="0" collapsed="false">
      <c r="B33" s="6" t="s">
        <v>47</v>
      </c>
      <c r="C33" s="6"/>
      <c r="D33" s="9" t="n">
        <f aca="false">F14-D32</f>
        <v>15.1</v>
      </c>
      <c r="E33" s="6" t="s">
        <v>46</v>
      </c>
    </row>
    <row r="34" customFormat="false" ht="15" hidden="false" customHeight="true" outlineLevel="0" collapsed="false">
      <c r="B34" s="6" t="s">
        <v>48</v>
      </c>
      <c r="C34" s="6"/>
      <c r="D34" s="7" t="n">
        <v>16</v>
      </c>
      <c r="E34" s="6" t="s">
        <v>49</v>
      </c>
    </row>
    <row r="36" customFormat="false" ht="15" hidden="false" customHeight="true" outlineLevel="0" collapsed="false">
      <c r="B36" s="4" t="s">
        <v>50</v>
      </c>
    </row>
    <row r="37" customFormat="false" ht="15" hidden="false" customHeight="true" outlineLevel="0" collapsed="false">
      <c r="B37" s="5" t="s">
        <v>51</v>
      </c>
      <c r="C37" s="5" t="s">
        <v>16</v>
      </c>
      <c r="D37" s="5" t="s">
        <v>52</v>
      </c>
      <c r="E37" s="5" t="s">
        <v>53</v>
      </c>
      <c r="F37" s="5" t="s">
        <v>54</v>
      </c>
      <c r="G37" s="5" t="s">
        <v>55</v>
      </c>
    </row>
    <row r="38" customFormat="false" ht="15" hidden="false" customHeight="true" outlineLevel="0" collapsed="false">
      <c r="B38" s="6" t="s">
        <v>56</v>
      </c>
      <c r="C38" s="11" t="n">
        <v>31</v>
      </c>
      <c r="D38" s="11" t="n">
        <v>6.5</v>
      </c>
      <c r="E38" s="6" t="s">
        <v>57</v>
      </c>
      <c r="F38" s="10" t="n">
        <f aca="false">D38/C38</f>
        <v>0.209677419354839</v>
      </c>
      <c r="G38" s="21" t="s">
        <v>58</v>
      </c>
    </row>
    <row r="39" customFormat="false" ht="15" hidden="false" customHeight="true" outlineLevel="0" collapsed="false">
      <c r="B39" s="6" t="s">
        <v>59</v>
      </c>
      <c r="C39" s="11" t="n">
        <v>30</v>
      </c>
      <c r="D39" s="11" t="n">
        <v>0.1</v>
      </c>
      <c r="E39" s="6" t="s">
        <v>57</v>
      </c>
      <c r="F39" s="10" t="n">
        <f aca="false">D39/C39</f>
        <v>0.00333333333333333</v>
      </c>
      <c r="G39" s="21" t="s">
        <v>60</v>
      </c>
    </row>
    <row r="40" customFormat="false" ht="15" hidden="false" customHeight="true" outlineLevel="0" collapsed="false">
      <c r="B40" s="6" t="s">
        <v>61</v>
      </c>
      <c r="C40" s="11" t="n">
        <v>24</v>
      </c>
      <c r="D40" s="11" t="n">
        <v>7.4</v>
      </c>
      <c r="E40" s="6" t="s">
        <v>57</v>
      </c>
      <c r="F40" s="10" t="n">
        <f aca="false">D40/C40</f>
        <v>0.308333333333333</v>
      </c>
      <c r="G40" s="21" t="s">
        <v>62</v>
      </c>
    </row>
    <row r="41" customFormat="false" ht="15" hidden="false" customHeight="true" outlineLevel="0" collapsed="false">
      <c r="B41" s="6" t="s">
        <v>63</v>
      </c>
      <c r="C41" s="11" t="n">
        <v>21</v>
      </c>
      <c r="D41" s="8" t="s">
        <v>64</v>
      </c>
      <c r="E41" s="6"/>
      <c r="F41" s="8" t="s">
        <v>64</v>
      </c>
      <c r="G41" s="21" t="s">
        <v>65</v>
      </c>
    </row>
    <row r="42" customFormat="false" ht="15" hidden="false" customHeight="true" outlineLevel="0" collapsed="false">
      <c r="B42" s="6" t="s">
        <v>66</v>
      </c>
      <c r="C42" s="11" t="n">
        <v>17.2</v>
      </c>
      <c r="D42" s="11" t="n">
        <v>8.2</v>
      </c>
      <c r="E42" s="6" t="s">
        <v>57</v>
      </c>
      <c r="F42" s="10" t="n">
        <f aca="false">D42/C42</f>
        <v>0.476744186046512</v>
      </c>
      <c r="G42" s="21" t="s">
        <v>67</v>
      </c>
    </row>
    <row r="43" customFormat="false" ht="15" hidden="false" customHeight="true" outlineLevel="0" collapsed="false">
      <c r="B43" s="6" t="s">
        <v>68</v>
      </c>
      <c r="C43" s="11" t="n">
        <v>17</v>
      </c>
      <c r="D43" s="8" t="s">
        <v>64</v>
      </c>
      <c r="E43" s="6"/>
      <c r="F43" s="8" t="s">
        <v>64</v>
      </c>
      <c r="G43" s="21"/>
    </row>
    <row r="44" customFormat="false" ht="15" hidden="false" customHeight="true" outlineLevel="0" collapsed="false">
      <c r="B44" s="6" t="s">
        <v>69</v>
      </c>
      <c r="C44" s="11" t="n">
        <v>15</v>
      </c>
      <c r="D44" s="8" t="s">
        <v>64</v>
      </c>
      <c r="E44" s="6"/>
      <c r="F44" s="8" t="s">
        <v>64</v>
      </c>
      <c r="G44" s="21"/>
    </row>
    <row r="45" customFormat="false" ht="15" hidden="false" customHeight="true" outlineLevel="0" collapsed="false">
      <c r="B45" s="6" t="s">
        <v>70</v>
      </c>
      <c r="C45" s="11" t="n">
        <v>13</v>
      </c>
      <c r="D45" s="7" t="n">
        <v>1</v>
      </c>
      <c r="E45" s="6" t="s">
        <v>71</v>
      </c>
      <c r="F45" s="10" t="n">
        <f aca="false">D45/C45</f>
        <v>0.0769230769230769</v>
      </c>
      <c r="G45" s="21"/>
    </row>
    <row r="46" customFormat="false" ht="15" hidden="false" customHeight="true" outlineLevel="0" collapsed="false">
      <c r="B46" s="6" t="s">
        <v>72</v>
      </c>
      <c r="C46" s="11" t="n">
        <v>13</v>
      </c>
      <c r="D46" s="11" t="n">
        <v>0</v>
      </c>
      <c r="E46" s="6"/>
      <c r="F46" s="10" t="n">
        <f aca="false">D46/C46</f>
        <v>0</v>
      </c>
      <c r="G46" s="21" t="s">
        <v>73</v>
      </c>
    </row>
    <row r="47" customFormat="false" ht="15" hidden="false" customHeight="true" outlineLevel="0" collapsed="false">
      <c r="B47" s="6" t="s">
        <v>74</v>
      </c>
      <c r="C47" s="11" t="n">
        <v>10</v>
      </c>
      <c r="D47" s="8" t="s">
        <v>64</v>
      </c>
      <c r="E47" s="6"/>
      <c r="F47" s="8" t="s">
        <v>64</v>
      </c>
      <c r="G47" s="21"/>
    </row>
    <row r="48" customFormat="false" ht="15" hidden="false" customHeight="true" outlineLevel="0" collapsed="false">
      <c r="B48" s="6" t="s">
        <v>75</v>
      </c>
      <c r="C48" s="11" t="n">
        <v>3.3</v>
      </c>
      <c r="D48" s="11" t="n">
        <v>3.3</v>
      </c>
      <c r="E48" s="6" t="s">
        <v>76</v>
      </c>
      <c r="F48" s="10" t="n">
        <f aca="false">D48/C48</f>
        <v>1</v>
      </c>
      <c r="G48" s="21" t="s">
        <v>77</v>
      </c>
    </row>
    <row r="49" customFormat="false" ht="15" hidden="false" customHeight="true" outlineLevel="0" collapsed="false">
      <c r="B49" s="6" t="s">
        <v>78</v>
      </c>
      <c r="C49" s="11" t="n">
        <v>1</v>
      </c>
      <c r="D49" s="8" t="s">
        <v>64</v>
      </c>
      <c r="E49" s="6"/>
      <c r="F49" s="8" t="s">
        <v>64</v>
      </c>
      <c r="G49" s="21"/>
    </row>
    <row r="50" customFormat="false" ht="15" hidden="false" customHeight="true" outlineLevel="0" collapsed="false">
      <c r="B50" s="15" t="s">
        <v>79</v>
      </c>
      <c r="C50" s="18" t="n">
        <f aca="false">SUM(C38:C49)</f>
        <v>195.5</v>
      </c>
      <c r="D50" s="18" t="n">
        <f aca="false">SUMIF(D38:D49,"&lt;&gt;n/a")</f>
        <v>26.5</v>
      </c>
    </row>
    <row r="52" customFormat="false" ht="15" hidden="false" customHeight="true" outlineLevel="0" collapsed="false">
      <c r="B52" s="4" t="s">
        <v>80</v>
      </c>
    </row>
    <row r="53" customFormat="false" ht="15" hidden="false" customHeight="true" outlineLevel="0" collapsed="false">
      <c r="B53" s="5" t="s">
        <v>81</v>
      </c>
      <c r="C53" s="5" t="s">
        <v>82</v>
      </c>
      <c r="D53" s="5" t="s">
        <v>83</v>
      </c>
      <c r="E53" s="5" t="s">
        <v>84</v>
      </c>
      <c r="F53" s="5" t="s">
        <v>85</v>
      </c>
    </row>
    <row r="54" customFormat="false" ht="15" hidden="false" customHeight="true" outlineLevel="0" collapsed="false">
      <c r="B54" s="6" t="s">
        <v>86</v>
      </c>
      <c r="C54" s="11" t="n">
        <v>27.5</v>
      </c>
      <c r="D54" s="11" t="n">
        <v>240.2</v>
      </c>
      <c r="E54" s="11" t="n">
        <v>10.4</v>
      </c>
      <c r="F54" s="21" t="s">
        <v>87</v>
      </c>
    </row>
    <row r="55" customFormat="false" ht="15" hidden="false" customHeight="true" outlineLevel="0" collapsed="false">
      <c r="B55" s="6" t="s">
        <v>88</v>
      </c>
      <c r="C55" s="11" t="n">
        <v>24.6</v>
      </c>
      <c r="D55" s="11" t="n">
        <v>295.2</v>
      </c>
      <c r="E55" s="11" t="n">
        <v>13.4</v>
      </c>
      <c r="F55" s="21" t="s">
        <v>89</v>
      </c>
    </row>
    <row r="56" customFormat="false" ht="15" hidden="false" customHeight="true" outlineLevel="0" collapsed="false">
      <c r="B56" s="6" t="s">
        <v>90</v>
      </c>
      <c r="C56" s="11" t="n">
        <v>7.6</v>
      </c>
      <c r="D56" s="11" t="n">
        <v>76</v>
      </c>
      <c r="E56" s="22" t="s">
        <v>64</v>
      </c>
      <c r="F56" s="21" t="s">
        <v>91</v>
      </c>
    </row>
    <row r="57" customFormat="false" ht="15" hidden="false" customHeight="true" outlineLevel="0" collapsed="false">
      <c r="B57" s="6" t="s">
        <v>92</v>
      </c>
      <c r="C57" s="11" t="n">
        <v>5.2</v>
      </c>
      <c r="D57" s="11" t="n">
        <v>61.8</v>
      </c>
      <c r="E57" s="22" t="s">
        <v>64</v>
      </c>
      <c r="F57" s="21" t="s">
        <v>93</v>
      </c>
    </row>
    <row r="58" customFormat="false" ht="15" hidden="false" customHeight="true" outlineLevel="0" collapsed="false">
      <c r="B58" s="6" t="s">
        <v>94</v>
      </c>
      <c r="C58" s="22" t="s">
        <v>8</v>
      </c>
      <c r="D58" s="22" t="s">
        <v>8</v>
      </c>
      <c r="E58" s="22" t="s">
        <v>64</v>
      </c>
      <c r="F58" s="21" t="s">
        <v>95</v>
      </c>
    </row>
    <row r="59" customFormat="false" ht="15" hidden="false" customHeight="true" outlineLevel="0" collapsed="false">
      <c r="B59" s="6" t="s">
        <v>96</v>
      </c>
      <c r="C59" s="22" t="s">
        <v>8</v>
      </c>
      <c r="D59" s="22" t="s">
        <v>8</v>
      </c>
      <c r="E59" s="22" t="s">
        <v>64</v>
      </c>
      <c r="F59" s="21" t="s">
        <v>97</v>
      </c>
    </row>
    <row r="61" customFormat="false" ht="15" hidden="false" customHeight="true" outlineLevel="0" collapsed="false">
      <c r="B61" s="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5"/>
  </cols>
  <sheetData>
    <row r="1" customFormat="false" ht="15" hidden="false" customHeight="true" outlineLevel="0" collapsed="false">
      <c r="A1" s="23" t="s">
        <v>99</v>
      </c>
      <c r="B1" s="23" t="s">
        <v>100</v>
      </c>
    </row>
    <row r="2" customFormat="false" ht="21.75" hidden="false" customHeight="true" outlineLevel="0" collapsed="false">
      <c r="A2" s="24" t="s">
        <v>101</v>
      </c>
      <c r="B2" s="25" t="s">
        <v>102</v>
      </c>
    </row>
    <row r="3" customFormat="false" ht="15" hidden="false" customHeight="true" outlineLevel="0" collapsed="false">
      <c r="A3" s="24" t="s">
        <v>103</v>
      </c>
      <c r="B3" s="25" t="s">
        <v>104</v>
      </c>
    </row>
    <row r="4" customFormat="false" ht="21.75" hidden="false" customHeight="true" outlineLevel="0" collapsed="false">
      <c r="A4" s="24" t="s">
        <v>105</v>
      </c>
      <c r="B4" s="25" t="s">
        <v>106</v>
      </c>
    </row>
    <row r="5" customFormat="false" ht="21.75" hidden="false" customHeight="true" outlineLevel="0" collapsed="false">
      <c r="A5" s="24" t="s">
        <v>107</v>
      </c>
      <c r="B5" s="25" t="s">
        <v>108</v>
      </c>
    </row>
    <row r="6" customFormat="false" ht="21.75" hidden="false" customHeight="true" outlineLevel="0" collapsed="false">
      <c r="A6" s="24" t="s">
        <v>109</v>
      </c>
      <c r="B6" s="25" t="s">
        <v>110</v>
      </c>
    </row>
    <row r="7" customFormat="false" ht="15" hidden="false" customHeight="true" outlineLevel="0" collapsed="false">
      <c r="A7" s="24" t="s">
        <v>111</v>
      </c>
      <c r="B7" s="25" t="s">
        <v>112</v>
      </c>
    </row>
    <row r="8" customFormat="false" ht="21.75" hidden="false" customHeight="true" outlineLevel="0" collapsed="false">
      <c r="A8" s="24" t="s">
        <v>113</v>
      </c>
      <c r="B8" s="25" t="s">
        <v>114</v>
      </c>
    </row>
    <row r="9" customFormat="false" ht="21.75" hidden="false" customHeight="true" outlineLevel="0" collapsed="false">
      <c r="A9" s="24" t="s">
        <v>115</v>
      </c>
      <c r="B9" s="25" t="s">
        <v>116</v>
      </c>
    </row>
    <row r="10" customFormat="false" ht="15" hidden="false" customHeight="true" outlineLevel="0" collapsed="false">
      <c r="A10" s="24" t="s">
        <v>117</v>
      </c>
      <c r="B10" s="25" t="s">
        <v>118</v>
      </c>
    </row>
    <row r="11" customFormat="false" ht="15" hidden="false" customHeight="true" outlineLevel="0" collapsed="false">
      <c r="A11" s="24" t="s">
        <v>119</v>
      </c>
      <c r="B11" s="25" t="s">
        <v>120</v>
      </c>
    </row>
    <row r="12" customFormat="false" ht="15" hidden="false" customHeight="true" outlineLevel="0" collapsed="false">
      <c r="A12" s="24" t="s">
        <v>121</v>
      </c>
      <c r="B12" s="25" t="s">
        <v>122</v>
      </c>
    </row>
    <row r="13" customFormat="false" ht="21.75" hidden="false" customHeight="true" outlineLevel="0" collapsed="false">
      <c r="A13" s="24" t="s">
        <v>123</v>
      </c>
      <c r="B13" s="2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2026-08-20T13:45:13Z</dcterms:created>
  <dc:creator>openpyxl</dc:creator>
  <dc:description/>
  <dc:language>en-US</dc:language>
  <cp:lastModifiedBy/>
  <dcterms:modified xsi:type="dcterms:W3CDTF">2026-08-20T14:09:05Z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