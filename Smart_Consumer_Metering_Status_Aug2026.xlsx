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tatewise S-A-I" sheetId="2" state="visible" r:id="rId4"/>
    <sheet name="Sources &amp; Notes" sheetId="3" state="visible" r:id="rId5"/>
    <sheet name="Genus Q4FY26 Call" sheetId="4" state="visible" r:id="rId6"/>
    <sheet name="Bidding Intens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<sst xmlns="http://schemas.openxmlformats.org/spreadsheetml/2006/main" count="356" uniqueCount="309">
  <si>
    <t xml:space="preserve">Smart Consumer Metering Status as on 20-Aug-2026</t>
  </si>
  <si>
    <t xml:space="preserve">Latest official all-India figure: 7.24 crore (72.4 mn) meters installed as of 30-Jun-2026 (MoS Power reply in Parliament, 06-Aug-2026). Blue = hardcoded from source; yellow = estimate/derived. See 'Sources &amp; Notes' sheet.</t>
  </si>
  <si>
    <t xml:space="preserve">Smart meters execution tracker (half-yearly)</t>
  </si>
  <si>
    <t xml:space="preserve">Period</t>
  </si>
  <si>
    <t xml:space="preserve">Cumulative installed, mn (period end)</t>
  </si>
  <si>
    <t xml:space="preserve">Installed in period, mn</t>
  </si>
  <si>
    <t xml:space="preserve">Growth %</t>
  </si>
  <si>
    <t xml:space="preserve">2HCY24</t>
  </si>
  <si>
    <t xml:space="preserve">-</t>
  </si>
  <si>
    <t xml:space="preserve">1HCY25</t>
  </si>
  <si>
    <t xml:space="preserve">2HCY25</t>
  </si>
  <si>
    <t xml:space="preserve">1HCY26</t>
  </si>
  <si>
    <t xml:space="preserve">Run-rate: ~1.35 lakh meters/day (Feb-2026); implied ~79 mn installed by 20-Aug-2026 (est.)</t>
  </si>
  <si>
    <t xml:space="preserve">India summary — all schemes (RDSS + NSGM/others)</t>
  </si>
  <si>
    <t xml:space="preserve">India</t>
  </si>
  <si>
    <t xml:space="preserve">Unit</t>
  </si>
  <si>
    <t xml:space="preserve">Sanctioned</t>
  </si>
  <si>
    <t xml:space="preserve">Awarded</t>
  </si>
  <si>
    <t xml:space="preserve">Deployed</t>
  </si>
  <si>
    <t xml:space="preserve">To be awarded</t>
  </si>
  <si>
    <t xml:space="preserve">Smart meters</t>
  </si>
  <si>
    <t xml:space="preserve">Mn Nos</t>
  </si>
  <si>
    <t xml:space="preserve">Approximate Realisation</t>
  </si>
  <si>
    <t xml:space="preserve">Rs./unit</t>
  </si>
  <si>
    <t xml:space="preserve">Total Opportunity</t>
  </si>
  <si>
    <t xml:space="preserve">Rs. Mn</t>
  </si>
  <si>
    <t xml:space="preserve">Awarded % of sanctioned</t>
  </si>
  <si>
    <t xml:space="preserve">%</t>
  </si>
  <si>
    <t xml:space="preserve">Deployed % of sanctioned</t>
  </si>
  <si>
    <t xml:space="preserve">Smart Meter Mission split, mn meters (Total =D14= 222 mn)</t>
  </si>
  <si>
    <t xml:space="preserve">Category</t>
  </si>
  <si>
    <t xml:space="preserve">Mn meters</t>
  </si>
  <si>
    <t xml:space="preserve">% of total</t>
  </si>
  <si>
    <t xml:space="preserve">Awarded &amp; Installed</t>
  </si>
  <si>
    <t xml:space="preserve">Awarded, Not yet Installed</t>
  </si>
  <si>
    <t xml:space="preserve">Not Yet Awarded</t>
  </si>
  <si>
    <t xml:space="preserve">Total</t>
  </si>
  <si>
    <t xml:space="preserve">RDSS scheme detail (sanctioned 20.33 crore; sunset 31-Mar-2028)</t>
  </si>
  <si>
    <t xml:space="preserve">RDSS component</t>
  </si>
  <si>
    <t xml:space="preserve">Sanctioned, mn</t>
  </si>
  <si>
    <t xml:space="preserve">Installed, mn</t>
  </si>
  <si>
    <t xml:space="preserve">As of</t>
  </si>
  <si>
    <t xml:space="preserve">Consumer smart meters</t>
  </si>
  <si>
    <t xml:space="preserve">DT meters</t>
  </si>
  <si>
    <t xml:space="preserve">Feeder meters</t>
  </si>
  <si>
    <t xml:space="preserve">RDSS total</t>
  </si>
  <si>
    <t xml:space="preserve">30-Jun-26</t>
  </si>
  <si>
    <t xml:space="preserve">Other schemes (NSGM etc.)</t>
  </si>
  <si>
    <t xml:space="preserve">Prepaid mode (of installed)</t>
  </si>
  <si>
    <t xml:space="preserve">11-Dec-25</t>
  </si>
  <si>
    <t xml:space="preserve">State-wise Smart Meters, mn nos (sanctioned per RDSS approvals; installed = latest reported)</t>
  </si>
  <si>
    <t xml:space="preserve">State</t>
  </si>
  <si>
    <t xml:space="preserve">Installed</t>
  </si>
  <si>
    <t xml:space="preserve">Installed as of</t>
  </si>
  <si>
    <t xml:space="preserve">% Installed</t>
  </si>
  <si>
    <t xml:space="preserve">Remark</t>
  </si>
  <si>
    <t xml:space="preserve">Uttar Pradesh</t>
  </si>
  <si>
    <t xml:space="preserve">Nov-25</t>
  </si>
  <si>
    <t xml:space="preserve">Awarded ~ full sanction</t>
  </si>
  <si>
    <t xml:space="preserve">Tamil Nadu</t>
  </si>
  <si>
    <t xml:space="preserve">Tenders still not finalised; rollout yet to start</t>
  </si>
  <si>
    <t xml:space="preserve">Maharashtra</t>
  </si>
  <si>
    <t xml:space="preserve">No.2 in installations; leads DT metering</t>
  </si>
  <si>
    <t xml:space="preserve">West Bengal</t>
  </si>
  <si>
    <t xml:space="preserve">n/a</t>
  </si>
  <si>
    <t xml:space="preserve">Largely yet to be awarded</t>
  </si>
  <si>
    <t xml:space="preserve">Bihar</t>
  </si>
  <si>
    <t xml:space="preserve">No.1 in installations; 100% prepaid</t>
  </si>
  <si>
    <t xml:space="preserve">Gujarat</t>
  </si>
  <si>
    <t xml:space="preserve">Rajasthan</t>
  </si>
  <si>
    <t xml:space="preserve">Madhya Pradesh</t>
  </si>
  <si>
    <t xml:space="preserve">Dec-24</t>
  </si>
  <si>
    <t xml:space="preserve">Kerala</t>
  </si>
  <si>
    <t xml:space="preserve">Not awarded (KSEB opposition to AMISP/TOTEX)</t>
  </si>
  <si>
    <t xml:space="preserve">Punjab</t>
  </si>
  <si>
    <t xml:space="preserve">Assam</t>
  </si>
  <si>
    <t xml:space="preserve">Mar-25</t>
  </si>
  <si>
    <t xml:space="preserve">Fastest % completion; ~80% rural</t>
  </si>
  <si>
    <t xml:space="preserve">Haryana</t>
  </si>
  <si>
    <t xml:space="preserve">Top-12 total</t>
  </si>
  <si>
    <t xml:space="preserve">AMISP / EPC players — order books &amp; installations (mid-2026)</t>
  </si>
  <si>
    <t xml:space="preserve">Player</t>
  </si>
  <si>
    <t xml:space="preserve">Order book, mn meters</t>
  </si>
  <si>
    <t xml:space="preserve">Order book value, Rs. bn</t>
  </si>
  <si>
    <t xml:space="preserve">Installed till date, mn</t>
  </si>
  <si>
    <t xml:space="preserve">As of / note</t>
  </si>
  <si>
    <t xml:space="preserve">Genus Power (incl. SPVs/GIC JV)</t>
  </si>
  <si>
    <t xml:space="preserve">Per Q4FY26 call transcript (19-May-26): order book Rs.25,173 cr incl. SPVs/GIC platform; 24 AMISP projects all OGL, awarded base 3.61 cr meters; crossed 1 cr installed under RDSS (Q&amp;A: 87 lakh own-RDSS, ~30 lakh in Q4); targets &gt;1 cr installs &amp; Rs.6,000-6,500 cr revenue in FY27; capacity 1.8 cr meters/yr</t>
  </si>
  <si>
    <t xml:space="preserve">Adani Energy Solutions (AESL)</t>
  </si>
  <si>
    <t xml:space="preserve">Rev. potential Rs.29,519 cr; first to 1 crore delivered (Feb-26); 13.4 mn = ~55% of mandate (Jun-26)</t>
  </si>
  <si>
    <t xml:space="preserve">GMR Smart Electricity</t>
  </si>
  <si>
    <t xml:space="preserve">No 2026 update found; shortlisted bidder for IntelliSmart (~$400 mn sale)</t>
  </si>
  <si>
    <t xml:space="preserve">L&amp;T</t>
  </si>
  <si>
    <t xml:space="preserve">No 2026 update found</t>
  </si>
  <si>
    <t xml:space="preserve">Techno Electric</t>
  </si>
  <si>
    <t xml:space="preserve">Targets completing RDSS smart metering mandates by Dec-2026</t>
  </si>
  <si>
    <t xml:space="preserve">IntelliSmart (NIIF-EESL JV)</t>
  </si>
  <si>
    <t xml:space="preserve">Stake sale in progress (~$400 mn); Adani &amp; GMR final bidders</t>
  </si>
  <si>
    <t xml:space="preserve">Key meter manufacturers: Genus Power, Secure Meters, HPL Electric, Schneider Electric, Polaris Smart Metering</t>
  </si>
  <si>
    <t xml:space="preserve">State/UT-wise Smart Meters under RDSS — Sanctioned / Awarded / Installed</t>
  </si>
  <si>
    <t xml:space="preserve">Official source: Rajya Sabha Unstarred Question reply, 10-Feb-2025 (Ministry of Power), via data.gov.in API (resource da474c10-b5dc-4e65-b5af-7687ac3079f1). RDSS meters only (consumer + DT + feeder) — Bihar's large pre-RDSS/state-scheme rollout and Haryana/Karnataka/Telangana/Odisha (no RDSS metering sanction) are outside this table. 'Latest installed' column = newer all-scheme press figures where available (dates noted).</t>
  </si>
  <si>
    <t xml:space="preserve">State/UT</t>
  </si>
  <si>
    <t xml:space="preserve">Awarded %</t>
  </si>
  <si>
    <t xml:space="preserve">Installed %</t>
  </si>
  <si>
    <t xml:space="preserve">Latest installed (mn, all schemes)</t>
  </si>
  <si>
    <t xml:space="preserve">15-Nov-25</t>
  </si>
  <si>
    <t xml:space="preserve">02-Dec-24</t>
  </si>
  <si>
    <t xml:space="preserve">18-Mar-25</t>
  </si>
  <si>
    <t xml:space="preserve">Chhattisgarh</t>
  </si>
  <si>
    <t xml:space="preserve">Andhra Pradesh</t>
  </si>
  <si>
    <t xml:space="preserve">Himachal Pradesh</t>
  </si>
  <si>
    <t xml:space="preserve">Uttarakhand</t>
  </si>
  <si>
    <t xml:space="preserve">Jammu and Kashmir</t>
  </si>
  <si>
    <t xml:space="preserve">Jharkhand</t>
  </si>
  <si>
    <t xml:space="preserve">Goa</t>
  </si>
  <si>
    <t xml:space="preserve">Tripura</t>
  </si>
  <si>
    <t xml:space="preserve">Meghalaya</t>
  </si>
  <si>
    <t xml:space="preserve">Puducherry</t>
  </si>
  <si>
    <t xml:space="preserve">Nagaland</t>
  </si>
  <si>
    <t xml:space="preserve">Arunachal Pradesh</t>
  </si>
  <si>
    <t xml:space="preserve">Mizoram</t>
  </si>
  <si>
    <t xml:space="preserve">Manipur</t>
  </si>
  <si>
    <t xml:space="preserve">Sikkim</t>
  </si>
  <si>
    <t xml:space="preserve">Andaman and Nicobar Islands</t>
  </si>
  <si>
    <t xml:space="preserve">Delhi</t>
  </si>
  <si>
    <t xml:space="preserve">Total (sum of states)</t>
  </si>
  <si>
    <t xml:space="preserve">All India Total (as printed in reply)</t>
  </si>
  <si>
    <t xml:space="preserve">Later all-India milestones for context: installed 49.3 mn (11-Dec-25, Minister), 72.4 mn total / 57.3 mn RDSS (30-Jun-26, Parliament); awarded/tendered ~156 mn (Genus Q4FY26 call, 19-May-26).</t>
  </si>
  <si>
    <t xml:space="preserve">Item</t>
  </si>
  <si>
    <t xml:space="preserve">Detail</t>
  </si>
  <si>
    <t xml:space="preserve">All-India installed 72.4 mn (30-Jun-26)</t>
  </si>
  <si>
    <t xml:space="preserve">MoS Power Shripad Naik, written reply in Parliament, 06-Aug-2026 — 7.24 crore total (5.73 crore under RDSS). tndindia.com/indias-smart-meter-population-at-7-24-crore-parliament</t>
  </si>
  <si>
    <t xml:space="preserve">RDSS sanction 20.33 crore</t>
  </si>
  <si>
    <t xml:space="preserve">Same reply: 19.79 crore consumer + 52.53 lakh DT + 2.05 lakh feeder; RDSS sunset 31-Mar-2028</t>
  </si>
  <si>
    <t xml:space="preserve">Cumulative milestones</t>
  </si>
  <si>
    <t xml:space="preserve">Nov-24: 16.8 mn (NSGM); Mar-25: 24.0 mn (NSGM via tndindia); mid-25: ~27.7 mn (indiasmartgrid.org); 15-Nov-25: 47.6 mn (Mercom India); 11-Dec-25: 49.3 mn, 1.6 cr prepaid (Power Minister, newsonair.gov.in); 15-Feb-26: 58.3 mn @ ~1.35 lakh/day (PFI/pfie.com); 30-Jun-26: 72.4 mn (Parliament)</t>
  </si>
  <si>
    <t xml:space="preserve">Awarded 156 mn (15.6 crore)</t>
  </si>
  <si>
    <t xml:space="preserve">PRIMARY SOURCE: Genus Power Q4FY26 earnings call transcript, 19-May-2026 (BSE/NSE filing, provided by user) — prepared remarks: 'only around 15.6 crore meters have so far been tendered'; Q&amp;A: '15 crores has already been tendered and 7 crores has been installed', with a further ~5 crore of tenders live (Haryana/MP/Punjab/TN) and 9 crore expected in FY27. Trajectory check: NSGM dashboard showed 13,80,22,912 (138.02 mn) awarded of 22,23,54,490 sanctioned in early 2025; CareEdge: 10.9 crore awarded Mar-2024.</t>
  </si>
  <si>
    <t xml:space="preserve">State installed figures</t>
  </si>
  <si>
    <t xml:space="preserve">Bihar 8.24 mn, Maharashtra 7.40 mn, UP 6.51 mn as of 15-Nov-25 (Mercom India). Assam 3.28 mn (Mar-25, tndindia). MP 1.01 mn (Dec-24, Rajya Sabha). Tamil Nadu &amp; Kerala: rollout not started (tender delays / AMISP opposition). Blank = no recent public figure.</t>
  </si>
  <si>
    <t xml:space="preserve">State sanctioned figures</t>
  </si>
  <si>
    <t xml:space="preserve">Carried from RDSS approvals (unchanged — Prayas: no fresh sanctions in FY25). Bihar shown at 17.2 (172.09 lakh, tndindia Mar-25).</t>
  </si>
  <si>
    <t xml:space="preserve">Genus Power</t>
  </si>
  <si>
    <t xml:space="preserve">Order book ~Rs.24,020 cr incl. SPVs &amp; GIC platform (Jun-26 / Q4FY26 call); ~2.75 crore meters (BusinessToday Apr-26); 1 crore installed under RDSS across 9 states (Feb-26, Energetica India); targets 1 crore installs in FY27; capacity 1.8 crore/yr</t>
  </si>
  <si>
    <t xml:space="preserve">Adani Energy Solutions</t>
  </si>
  <si>
    <t xml:space="preserve">Order book 24.6 mn meters, revenue potential Rs.29,519 cr; 13.4 mn installed by Q1 FY27 (~55% of mandate) (Whalesbook/company); first to deliver 1 crore meters 05-Feb-26 (adani.com)</t>
  </si>
  <si>
    <t xml:space="preserve">GMR / L&amp;T</t>
  </si>
  <si>
    <t xml:space="preserve">No 2026 public update found — figures carried from your 04-Mar-25 sheet. GMR &amp; Adani are final bidders for IntelliSmart (~$400 mn, BW Businessworld)</t>
  </si>
  <si>
    <t xml:space="preserve">Target / deadline</t>
  </si>
  <si>
    <t xml:space="preserve">RDSS target 25 crore prepaid smart meters; original Mar-2026 deadline extended ~2 years (sunset 31-Mar-2028)</t>
  </si>
  <si>
    <t xml:space="preserve">Realisation Rs.11,000/unit</t>
  </si>
  <si>
    <t xml:space="preserve">Assumption carried from your original sheet. Prayas Mar-25: single-phase award rates Rs.7,236–12,118/unit, median Rs.8,839</t>
  </si>
  <si>
    <t xml:space="preserve">Access note</t>
  </si>
  <si>
    <t xml:space="preserve">nsgm.gov.in / pib.gov.in are geo-blocked from this environment (connection reset) — figures compiled from Parliament replies and industry press instead of the live NSGM dashboard.</t>
  </si>
  <si>
    <t xml:space="preserve">Genus Power Q4 &amp; FY26 Earnings Call — 19-May-2026 (transcript filed 26-May-2026). Source: user-provided PDF (BSE/NSE filing).</t>
  </si>
  <si>
    <t xml:space="preserve">Figure</t>
  </si>
  <si>
    <t xml:space="preserve">Industry: total consumer base</t>
  </si>
  <si>
    <t xml:space="preserve">31-32 crore</t>
  </si>
  <si>
    <t xml:space="preserve">To be replaced with smart meters over next 4-5 years (JMD, Q&amp;A)</t>
  </si>
  <si>
    <t xml:space="preserve">Industry: tendered so far</t>
  </si>
  <si>
    <t xml:space="preserve">15.6 crore</t>
  </si>
  <si>
    <t xml:space="preserve">Prepared remarks: 'only around 15.6 crore meters have so far been tendered'; Q&amp;A rounds to 15 crore</t>
  </si>
  <si>
    <t xml:space="preserve">Industry: installed</t>
  </si>
  <si>
    <t xml:space="preserve">7 crore</t>
  </si>
  <si>
    <t xml:space="preserve">Matches official 7.24 crore as of 30-Jun-26</t>
  </si>
  <si>
    <t xml:space="preserve">Industry: remaining to install</t>
  </si>
  <si>
    <t xml:space="preserve">24-25 crore</t>
  </si>
  <si>
    <t xml:space="preserve">Industry: RDSS sanctioned</t>
  </si>
  <si>
    <t xml:space="preserve">23 crore</t>
  </si>
  <si>
    <t xml:space="preserve">Program extended till 2028</t>
  </si>
  <si>
    <t xml:space="preserve">Tenders live now</t>
  </si>
  <si>
    <t xml:space="preserve">~5 crore</t>
  </si>
  <si>
    <t xml:space="preserve">Haryana, MP, Punjab, Tamil Nadu</t>
  </si>
  <si>
    <t xml:space="preserve">Tender pipeline</t>
  </si>
  <si>
    <t xml:space="preserve">4+ crore</t>
  </si>
  <si>
    <t xml:space="preserve">More Haryana, Punjab, Delhi; large quantities from West Bengal, Kerala</t>
  </si>
  <si>
    <t xml:space="preserve">Tenders expected in FY27</t>
  </si>
  <si>
    <t xml:space="preserve">9 crore</t>
  </si>
  <si>
    <t xml:space="preserve">Q4FY26 revenue (standalone)</t>
  </si>
  <si>
    <t xml:space="preserve">Rs.1,524 cr</t>
  </si>
  <si>
    <t xml:space="preserve">+63% YoY, +36% QoQ</t>
  </si>
  <si>
    <t xml:space="preserve">Q4FY26 EBITDA / PAT</t>
  </si>
  <si>
    <t xml:space="preserve">Rs.284 cr / Rs.181 cr</t>
  </si>
  <si>
    <t xml:space="preserve">+36% / +41% YoY</t>
  </si>
  <si>
    <t xml:space="preserve">FY26 revenue</t>
  </si>
  <si>
    <t xml:space="preserve">Rs.4,738 cr</t>
  </si>
  <si>
    <t xml:space="preserve">+94% YoY</t>
  </si>
  <si>
    <t xml:space="preserve">FY26 EBITDA</t>
  </si>
  <si>
    <t xml:space="preserve">Rs.960 cr</t>
  </si>
  <si>
    <t xml:space="preserve">+104% YoY; margin 20.3% (+102 bps)</t>
  </si>
  <si>
    <t xml:space="preserve">FY26 PAT</t>
  </si>
  <si>
    <t xml:space="preserve">Rs.605 cr</t>
  </si>
  <si>
    <t xml:space="preserve">+106% YoY; margin 12.8%</t>
  </si>
  <si>
    <t xml:space="preserve">Order book (31-Mar-26)</t>
  </si>
  <si>
    <t xml:space="preserve">Rs.25,173 cr</t>
  </si>
  <si>
    <t xml:space="preserve">Net of taxes, incl. all SPVs &amp; GIC platform; concessions 8-9 yrs</t>
  </si>
  <si>
    <t xml:space="preserve">Order book split</t>
  </si>
  <si>
    <t xml:space="preserve">23,000 + 2,000</t>
  </si>
  <si>
    <t xml:space="preserve">Rs.23,000 cr platform (Rs.16,000 cr capex + ~Rs.7,000 cr opex/O&amp;M); Rs.2,000 cr exports/gas/water/other AMISPs/utilities</t>
  </si>
  <si>
    <t xml:space="preserve">AMISP projects / awarded base</t>
  </si>
  <si>
    <t xml:space="preserve">24 / 3.61 crore</t>
  </si>
  <si>
    <t xml:space="preserve">All 24 projects Operational-Go-Live</t>
  </si>
  <si>
    <t xml:space="preserve">Meters installed under RDSS</t>
  </si>
  <si>
    <t xml:space="preserve">1 crore+ crossed</t>
  </si>
  <si>
    <t xml:space="preserve">Q&amp;A: 87 lakh under RDSS program; ~30 lakh installed in Q4FY26</t>
  </si>
  <si>
    <t xml:space="preserve">Manufacturing capacity</t>
  </si>
  <si>
    <t xml:space="preserve">&gt;1.8 crore/yr</t>
  </si>
  <si>
    <t xml:space="preserve">'exceeding 18 million meters annually'</t>
  </si>
  <si>
    <t xml:space="preserve">Market share</t>
  </si>
  <si>
    <t xml:space="preserve">22-23% / &gt;30%</t>
  </si>
  <si>
    <t xml:space="preserve">As AMISP / as meter manufacturer + AMISP</t>
  </si>
  <si>
    <t xml:space="preserve">FY27 guidance: revenue</t>
  </si>
  <si>
    <t xml:space="preserve">Rs.6,000-6,500 cr</t>
  </si>
  <si>
    <t xml:space="preserve">FY27 guidance: EBITDA margin</t>
  </si>
  <si>
    <t xml:space="preserve">~18%</t>
  </si>
  <si>
    <t xml:space="preserve">-2.5pp: RM/chips/forex; fixed-price contracts, no pass-through; hardware ~45-50% of platform book</t>
  </si>
  <si>
    <t xml:space="preserve">FY27 guidance: installs</t>
  </si>
  <si>
    <t xml:space="preserve">&gt;1 crore meters</t>
  </si>
  <si>
    <t xml:space="preserve">FY27 capex</t>
  </si>
  <si>
    <t xml:space="preserve">Rs.10-20 cr</t>
  </si>
  <si>
    <t xml:space="preserve">Routine only (dies &amp; molds)</t>
  </si>
  <si>
    <t xml:space="preserve">O&amp;M revenue</t>
  </si>
  <si>
    <t xml:space="preserve">Rs.150 cr -&gt; Rs.800-900 cr/yr</t>
  </si>
  <si>
    <t xml:space="preserve">FY26 -&gt; within 2-3 yrs, sustained 5-7 yrs, on current order book</t>
  </si>
  <si>
    <t xml:space="preserve">Net debt</t>
  </si>
  <si>
    <t xml:space="preserve">Rs.1,573 cr</t>
  </si>
  <si>
    <t xml:space="preserve">vs Rs.605 cr Mar-25; peak expected Rs.1,900-2,000 cr</t>
  </si>
  <si>
    <t xml:space="preserve">Cash &amp; equivalents</t>
  </si>
  <si>
    <t xml:space="preserve">Rs.719 cr</t>
  </si>
  <si>
    <t xml:space="preserve">FDs &amp; current investments</t>
  </si>
  <si>
    <t xml:space="preserve">GIC platform (Gemstar) investment</t>
  </si>
  <si>
    <t xml:space="preserve">Rs.487 cr done</t>
  </si>
  <si>
    <t xml:space="preserve">Genus 26% / GIC 74%; further Rs.600-700 cr over FY27-Q1FY29</t>
  </si>
  <si>
    <t xml:space="preserve">Working capital days</t>
  </si>
  <si>
    <t xml:space="preserve">343 -&gt; 274</t>
  </si>
  <si>
    <t xml:space="preserve">Debtors 187-&gt;89, inventory 127-&gt;104; another 50-75 day cut expected FY27</t>
  </si>
  <si>
    <t xml:space="preserve">Cash flow outlook</t>
  </si>
  <si>
    <t xml:space="preserve">Positive from FY28</t>
  </si>
  <si>
    <t xml:space="preserve">~Breakeven/slightly negative by end-FY27; positive from Q1-Q2 FY28</t>
  </si>
  <si>
    <t xml:space="preserve">Gas meters opportunity</t>
  </si>
  <si>
    <t xml:space="preserve">12 crore / Rs.35,000-36,000 cr</t>
  </si>
  <si>
    <t xml:space="preserve">Mandated over 3-4 yrs; Genus to participate</t>
  </si>
  <si>
    <t xml:space="preserve">Exports target</t>
  </si>
  <si>
    <t xml:space="preserve">Rs.500 cr in 2-3 yrs</t>
  </si>
  <si>
    <t xml:space="preserve">Australia go-live expected in 3-6 months</t>
  </si>
  <si>
    <t xml:space="preserve">R&amp;D team</t>
  </si>
  <si>
    <t xml:space="preserve">~300 device + ~250 software</t>
  </si>
  <si>
    <t xml:space="preserve">HES/MDM/WFM in-house; proprietary interoperable RF mesh</t>
  </si>
  <si>
    <t xml:space="preserve">IntelliSmart bid</t>
  </si>
  <si>
    <t xml:space="preserve">No comment</t>
  </si>
  <si>
    <t xml:space="preserve">Decision rests with GIC as platform majority owner</t>
  </si>
  <si>
    <t xml:space="preserve">AMISP Bidding — Competitive Intensity Data</t>
  </si>
  <si>
    <t xml:space="preserve">Note: L1 vs L2 financial bid spreads are NOT public — RFP &amp; AMISP contracts carry confidentiality clauses (Prayas, Apr-2025). Competitive intensity must be read from: (1) award-rate dispersion, (2) PMPM service-charge spread, (3) bidder pools per tender, (4) benchmark-vs-L1 gaps, (5) consolidation.</t>
  </si>
  <si>
    <t xml:space="preserve">1) Award-rate dispersion — single-phase consumer meters, 33 discoms (RDSS dashboard via Prayas, Apr-2025)</t>
  </si>
  <si>
    <t xml:space="preserve">Metric</t>
  </si>
  <si>
    <t xml:space="preserve">Rs./meter (10-yr TOTEX)</t>
  </si>
  <si>
    <t xml:space="preserve">Lowest award rate</t>
  </si>
  <si>
    <t xml:space="preserve">Median</t>
  </si>
  <si>
    <t xml:space="preserve">Mean (right-skewed)</t>
  </si>
  <si>
    <t xml:space="preserve">Highest (large discoms)</t>
  </si>
  <si>
    <t xml:space="preserve">Outlier: Sikkim (smallest volume)</t>
  </si>
  <si>
    <t xml:space="preserve">Max/Min spread</t>
  </si>
  <si>
    <t xml:space="preserve">1.67x</t>
  </si>
  <si>
    <t xml:space="preserve">DT meters: Rs.15,962 - 51,660 (median 28,954). Feeder: Rs.14,755 - 1,33,765 (median 48,529; Tripura/Mizoram/HP highest). Select-state single-phase: highest exceeds lowest by 45%, no correlation with volume.</t>
  </si>
  <si>
    <t xml:space="preserve">2) PMPM service charge won (= (award rate - subsidy)/93 months) — proxy for how aggressively each state's tender was bid</t>
  </si>
  <si>
    <t xml:space="preserve">PMPM Rs./meter/month</t>
  </si>
  <si>
    <t xml:space="preserve">West Bengal (lowest = most aggressive)</t>
  </si>
  <si>
    <t xml:space="preserve">Madhya Pradesh (avg, highest)</t>
  </si>
  <si>
    <t xml:space="preserve">MP Paschim discom (max)</t>
  </si>
  <si>
    <t xml:space="preserve">Spread</t>
  </si>
  <si>
    <t xml:space="preserve">2.8x</t>
  </si>
  <si>
    <t xml:space="preserve">3) Tender case studies — bidder pools &amp; outcomes</t>
  </si>
  <si>
    <t xml:space="preserve">Tender</t>
  </si>
  <si>
    <t xml:space="preserve">Size</t>
  </si>
  <si>
    <t xml:space="preserve">Bidders / competition</t>
  </si>
  <si>
    <t xml:space="preserve">Outcome</t>
  </si>
  <si>
    <t xml:space="preserve">UP 4 discoms, Round 1 (2022)</t>
  </si>
  <si>
    <t xml:space="preserve">2.85 cr meters, ~Rs.23,000 cr</t>
  </si>
  <si>
    <t xml:space="preserve">Adani, GMR, L&amp;T bid all 4; IntelliSmart 2 (3-4 bidders/tender)</t>
  </si>
  <si>
    <t xml:space="preserve">Scrapped: L1 (Adani) quoted ~Rs.10,000/meter vs REC benchmark ~Rs.6,000 — 67% above benchmark</t>
  </si>
  <si>
    <t xml:space="preserve">UP re-bid (2023)</t>
  </si>
  <si>
    <t xml:space="preserve">Same</t>
  </si>
  <si>
    <t xml:space="preserve">Same pool</t>
  </si>
  <si>
    <t xml:space="preserve">PVVNL: IntelliSmart L1 (67 lakh, Apr-23); awards near Rs.9,000/meter level (national median 8,839)</t>
  </si>
  <si>
    <t xml:space="preserve">MSEDCL Maharashtra (Sep-23)</t>
  </si>
  <si>
    <t xml:space="preserve">6 packages, 1.72+ cr meters, Rs.20,000+ cr</t>
  </si>
  <si>
    <t xml:space="preserve">Multiple packages split competition</t>
  </si>
  <si>
    <t xml:space="preserve">Winners: Adani (largest share), NCC, Genus, Montecarlo</t>
  </si>
  <si>
    <t xml:space="preserve">Chhattisgarh Pkg-2 (2023)</t>
  </si>
  <si>
    <t xml:space="preserve">~Rs.1,744 cr / 10 yrs</t>
  </si>
  <si>
    <t xml:space="preserve">Tata Power L1</t>
  </si>
  <si>
    <t xml:space="preserve">Tamil Nadu R1 (2025)</t>
  </si>
  <si>
    <t xml:space="preserve">82 lakh meters, ~Rs.19,000 cr</t>
  </si>
  <si>
    <t xml:space="preserve">Cancelled (Adani-linked controversy); re-tendered via PFC Consulting</t>
  </si>
  <si>
    <t xml:space="preserve">Tamil Nadu Phase-2 (Jun-26)</t>
  </si>
  <si>
    <t xml:space="preserve">5.45 lakh meters</t>
  </si>
  <si>
    <t xml:space="preserve">Restricted to 8 empanelled Group-2 entities: Apraava, Adani, Genus, IntelliSmart, GMR, Iskraemeco, Polaris, Montecarlo</t>
  </si>
  <si>
    <t xml:space="preserve">Bidding ongoing; R1 closed 16-Mar-26</t>
  </si>
  <si>
    <t xml:space="preserve">Punjab PSPCL (Jan-26)</t>
  </si>
  <si>
    <t xml:space="preserve">~1 cr meters</t>
  </si>
  <si>
    <t xml:space="preserve">PSU route</t>
  </si>
  <si>
    <t xml:space="preserve">TCIL L1 (LoA 30-Jan-26); agreement unsigned as of Jul-26 amid CAPEX-vs-RDSS dispute (~Rs.350 cr implication alleged)</t>
  </si>
  <si>
    <t xml:space="preserve">4) Market structure &amp; consolidation</t>
  </si>
  <si>
    <t xml:space="preserve">- AMISP market shares (Genus mgmt, Q4FY26 call): Genus ~22-23% as AMISP, &gt;30% as manufacturer+AMISP; AESL order book 24.6 mn meters; IntelliSmart ~Rs.20,000 cr orders (UP/Gujarat/Bihar/Assam); AESL ~Rs.25,000 cr (Maharashtra/Bihar/Assam/AP).</t>
  </si>
  <si>
    <t xml:space="preserve">- Manufacturing: ~10 crore meters/yr capacity; top 8-9 manufacturers hold 70-80% (CareEdge, Mar-25). Genus alone 1.8 crore/yr.</t>
  </si>
  <si>
    <t xml:space="preserve">- Consolidation shrinking the bidder pool: IntelliSmart stake sale (~$400 mn; Adani &amp; GMR in final round); Polaris Smart Metering sale (Adani, Actis, Apraava in round 2).</t>
  </si>
  <si>
    <t xml:space="preserve">- Barriers to entry keep intensity moderate: TOTEX annuity over 93-month O&amp;M, DDF payment security, working-capital drag (Genus WC 274 days FY26), empanelment requirements.</t>
  </si>
  <si>
    <t xml:space="preserve">- Trend: FY27 pipeline of ~9 crore meters of tenders (Genus call) vs 8-10 active AMISPs -&gt; intensity rising in large states, single-bidder risk persists in small/NE states.</t>
  </si>
  <si>
    <t xml:space="preserve">Sources: Prayas (Energy Group) Apr-2025 (RDSS dashboard compilation); ThePrint 24-Oct-22; T&amp;D India 22-Sep-23 &amp; 15-Jun-26; Tehelka Jul-26; CareEdge Mar-2025; Genus Q4FY26 call transcript; Tata Power release.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</si>
</sst>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%"/>
    <numFmt numFmtId="167" formatCode="0"/>
    <numFmt numFmtId="168" formatCode="#,##0"/>
    <numFmt numFmtId="169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i val="true"/>
      <sz val="8.5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C0504D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Smart meters execution tracker (mn)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Dashboard!D5</c:f>
              <c:strCache>
                <c:ptCount val="1"/>
                <c:pt idx="0">
                  <c:v>Installed in period, mn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Dashboard!$B$6:$B$9</c:f>
              <c:strCache>
                <c:ptCount val="4"/>
                <c:pt idx="0">
                  <c:v>2HCY24</c:v>
                </c:pt>
                <c:pt idx="1">
                  <c:v>1HCY25</c:v>
                </c:pt>
                <c:pt idx="2">
                  <c:v>2HCY25</c:v>
                </c:pt>
                <c:pt idx="3">
                  <c:v>1HCY26</c:v>
                </c:pt>
              </c:strCache>
            </c:strRef>
          </c:cat>
          <c:val>
            <c:numRef>
              <c:f>Dashboard!$D$6:$D$9</c:f>
              <c:numCache>
                <c:formatCode>0.0</c:formatCode>
                <c:ptCount val="4"/>
                <c:pt idx="1">
                  <c:v>9.7</c:v>
                </c:pt>
                <c:pt idx="2">
                  <c:v>21.6</c:v>
                </c:pt>
                <c:pt idx="3">
                  <c:v>23.1</c:v>
                </c:pt>
              </c:numCache>
            </c:numRef>
          </c:val>
        </c:ser>
        <c:gapWidth val="150"/>
        <c:overlap val="0"/>
        <c:axId val="88362268"/>
        <c:axId val="51747353"/>
      </c:barChart>
      <c:lineChart>
        <c:grouping val="standard"/>
        <c:varyColors val="0"/>
        <c:ser>
          <c:idx val="1"/>
          <c:order val="1"/>
          <c:tx>
            <c:strRef>
              <c:f>Dashboard!C5</c:f>
              <c:strCache>
                <c:ptCount val="1"/>
                <c:pt idx="0">
                  <c:v>Cumulative installed, mn (period end)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Dashboard!$B$6:$B$9</c:f>
              <c:strCache>
                <c:ptCount val="4"/>
                <c:pt idx="0">
                  <c:v>2HCY24</c:v>
                </c:pt>
                <c:pt idx="1">
                  <c:v>1HCY25</c:v>
                </c:pt>
                <c:pt idx="2">
                  <c:v>2HCY25</c:v>
                </c:pt>
                <c:pt idx="3">
                  <c:v>1HCY26</c:v>
                </c:pt>
              </c:strCache>
            </c:strRef>
          </c:cat>
          <c:val>
            <c:numRef>
              <c:f>Dashboard!$C$6:$C$9</c:f>
              <c:numCache>
                <c:formatCode>0.0</c:formatCode>
                <c:ptCount val="4"/>
                <c:pt idx="0">
                  <c:v>18</c:v>
                </c:pt>
                <c:pt idx="1">
                  <c:v>27.7</c:v>
                </c:pt>
                <c:pt idx="2">
                  <c:v>49.3</c:v>
                </c:pt>
                <c:pt idx="3">
                  <c:v>72.4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8362268"/>
        <c:axId val="51747353"/>
      </c:lineChart>
      <c:catAx>
        <c:axId val="883622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47353"/>
        <c:crosses val="autoZero"/>
        <c:auto val="1"/>
        <c:lblAlgn val="ctr"/>
        <c:lblOffset val="100"/>
        <c:noMultiLvlLbl val="0"/>
      </c:catAx>
      <c:valAx>
        <c:axId val="517473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622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Smart Meters by State, mn nos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Dashboard!C37</c:f>
              <c:strCache>
                <c:ptCount val="1"/>
                <c:pt idx="0">
                  <c:v>Sanctioned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Dashboard!$B$38:$B$49</c:f>
              <c:strCache>
                <c:ptCount val="12"/>
                <c:pt idx="0">
                  <c:v>Uttar Pradesh</c:v>
                </c:pt>
                <c:pt idx="1">
                  <c:v>Tamil Nadu</c:v>
                </c:pt>
                <c:pt idx="2">
                  <c:v>Maharashtra</c:v>
                </c:pt>
                <c:pt idx="3">
                  <c:v>West Bengal</c:v>
                </c:pt>
                <c:pt idx="4">
                  <c:v>Bihar</c:v>
                </c:pt>
                <c:pt idx="5">
                  <c:v>Gujarat</c:v>
                </c:pt>
                <c:pt idx="6">
                  <c:v>Rajasthan</c:v>
                </c:pt>
                <c:pt idx="7">
                  <c:v>Madhya Pradesh</c:v>
                </c:pt>
                <c:pt idx="8">
                  <c:v>Kerala</c:v>
                </c:pt>
                <c:pt idx="9">
                  <c:v>Punjab</c:v>
                </c:pt>
                <c:pt idx="10">
                  <c:v>Assam</c:v>
                </c:pt>
                <c:pt idx="11">
                  <c:v>Haryana</c:v>
                </c:pt>
              </c:strCache>
            </c:strRef>
          </c:cat>
          <c:val>
            <c:numRef>
              <c:f>Dashboard!$C$38:$C$49</c:f>
              <c:numCache>
                <c:formatCode>0.0</c:formatCode>
                <c:ptCount val="12"/>
                <c:pt idx="0">
                  <c:v>31</c:v>
                </c:pt>
                <c:pt idx="1">
                  <c:v>30</c:v>
                </c:pt>
                <c:pt idx="2">
                  <c:v>24</c:v>
                </c:pt>
                <c:pt idx="3">
                  <c:v>21</c:v>
                </c:pt>
                <c:pt idx="4">
                  <c:v>17.2</c:v>
                </c:pt>
                <c:pt idx="5">
                  <c:v>17</c:v>
                </c:pt>
                <c:pt idx="6">
                  <c:v>15</c:v>
                </c:pt>
                <c:pt idx="7">
                  <c:v>13</c:v>
                </c:pt>
                <c:pt idx="8">
                  <c:v>13</c:v>
                </c:pt>
                <c:pt idx="9">
                  <c:v>10</c:v>
                </c:pt>
                <c:pt idx="10">
                  <c:v>3.3</c:v>
                </c:pt>
                <c:pt idx="11">
                  <c:v>1</c:v>
                </c:pt>
              </c:numCache>
            </c:numRef>
          </c:val>
        </c:ser>
        <c:ser>
          <c:idx val="1"/>
          <c:order val="1"/>
          <c:tx>
            <c:strRef>
              <c:f>Dashboard!D37</c:f>
              <c:strCache>
                <c:ptCount val="1"/>
                <c:pt idx="0">
                  <c:v>Installed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Dashboard!$B$38:$B$49</c:f>
              <c:strCache>
                <c:ptCount val="12"/>
                <c:pt idx="0">
                  <c:v>Uttar Pradesh</c:v>
                </c:pt>
                <c:pt idx="1">
                  <c:v>Tamil Nadu</c:v>
                </c:pt>
                <c:pt idx="2">
                  <c:v>Maharashtra</c:v>
                </c:pt>
                <c:pt idx="3">
                  <c:v>West Bengal</c:v>
                </c:pt>
                <c:pt idx="4">
                  <c:v>Bihar</c:v>
                </c:pt>
                <c:pt idx="5">
                  <c:v>Gujarat</c:v>
                </c:pt>
                <c:pt idx="6">
                  <c:v>Rajasthan</c:v>
                </c:pt>
                <c:pt idx="7">
                  <c:v>Madhya Pradesh</c:v>
                </c:pt>
                <c:pt idx="8">
                  <c:v>Kerala</c:v>
                </c:pt>
                <c:pt idx="9">
                  <c:v>Punjab</c:v>
                </c:pt>
                <c:pt idx="10">
                  <c:v>Assam</c:v>
                </c:pt>
                <c:pt idx="11">
                  <c:v>Haryana</c:v>
                </c:pt>
              </c:strCache>
            </c:strRef>
          </c:cat>
          <c:val>
            <c:numRef>
              <c:f>Dashboard!$D$38:$D$49</c:f>
              <c:numCache>
                <c:formatCode>0.0</c:formatCode>
                <c:ptCount val="12"/>
                <c:pt idx="0">
                  <c:v>6.5</c:v>
                </c:pt>
                <c:pt idx="1">
                  <c:v>0.1</c:v>
                </c:pt>
                <c:pt idx="2">
                  <c:v>7.4</c:v>
                </c:pt>
                <c:pt idx="4">
                  <c:v>8.2</c:v>
                </c:pt>
                <c:pt idx="7">
                  <c:v>1</c:v>
                </c:pt>
                <c:pt idx="8">
                  <c:v>0</c:v>
                </c:pt>
                <c:pt idx="10">
                  <c:v>3.3</c:v>
                </c:pt>
              </c:numCache>
            </c:numRef>
          </c:val>
        </c:ser>
        <c:gapWidth val="150"/>
        <c:overlap val="0"/>
        <c:axId val="6985815"/>
        <c:axId val="79293854"/>
      </c:barChart>
      <c:catAx>
        <c:axId val="69858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93854"/>
        <c:crosses val="autoZero"/>
        <c:auto val="1"/>
        <c:lblAlgn val="ctr"/>
        <c:lblOffset val="100"/>
        <c:noMultiLvlLbl val="0"/>
      </c:catAx>
      <c:valAx>
        <c:axId val="792938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58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Smart Meter Mission, mn meters (Total 222 mn)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Dashboard!C21</c:f>
              <c:strCache>
                <c:ptCount val="1"/>
                <c:pt idx="0">
                  <c:v>Mn meters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Dashboard!$B$22:$B$24</c:f>
              <c:strCache>
                <c:ptCount val="3"/>
                <c:pt idx="0">
                  <c:v>Awarded &amp; Installed</c:v>
                </c:pt>
                <c:pt idx="1">
                  <c:v>Awarded, Not yet Installed</c:v>
                </c:pt>
                <c:pt idx="2">
                  <c:v>Not Yet Awarded</c:v>
                </c:pt>
              </c:strCache>
            </c:strRef>
          </c:cat>
          <c:val>
            <c:numRef>
              <c:f>Dashboard!$C$22:$C$24</c:f>
              <c:numCache>
                <c:formatCode>0.0</c:formatCode>
                <c:ptCount val="3"/>
                <c:pt idx="0">
                  <c:v>72.4</c:v>
                </c:pt>
                <c:pt idx="1">
                  <c:v>83.6</c:v>
                </c:pt>
                <c:pt idx="2">
                  <c:v>66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176040</xdr:rowOff>
    </xdr:from>
    <xdr:to>
      <xdr:col>14</xdr:col>
      <xdr:colOff>125280</xdr:colOff>
      <xdr:row>17</xdr:row>
      <xdr:rowOff>16920</xdr:rowOff>
    </xdr:to>
    <xdr:graphicFrame>
      <xdr:nvGraphicFramePr>
        <xdr:cNvPr id="0" name="Chart 1"/>
        <xdr:cNvGraphicFramePr/>
      </xdr:nvGraphicFramePr>
      <xdr:xfrm>
        <a:off x="14538240" y="566640"/>
        <a:ext cx="4678200" cy="269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18</xdr:row>
      <xdr:rowOff>175680</xdr:rowOff>
    </xdr:from>
    <xdr:to>
      <xdr:col>16</xdr:col>
      <xdr:colOff>47520</xdr:colOff>
      <xdr:row>34</xdr:row>
      <xdr:rowOff>6120</xdr:rowOff>
    </xdr:to>
    <xdr:graphicFrame>
      <xdr:nvGraphicFramePr>
        <xdr:cNvPr id="1" name="Chart 2"/>
        <xdr:cNvGraphicFramePr/>
      </xdr:nvGraphicFramePr>
      <xdr:xfrm>
        <a:off x="14538240" y="3614040"/>
        <a:ext cx="611820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38</xdr:row>
      <xdr:rowOff>176040</xdr:rowOff>
    </xdr:from>
    <xdr:to>
      <xdr:col>13</xdr:col>
      <xdr:colOff>164160</xdr:colOff>
      <xdr:row>53</xdr:row>
      <xdr:rowOff>16920</xdr:rowOff>
    </xdr:to>
    <xdr:graphicFrame>
      <xdr:nvGraphicFramePr>
        <xdr:cNvPr id="2" name="Chart 3"/>
        <xdr:cNvGraphicFramePr/>
      </xdr:nvGraphicFramePr>
      <xdr:xfrm>
        <a:off x="14538240" y="7424640"/>
        <a:ext cx="3958200" cy="269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46"/>
  </cols>
  <sheetData>
    <row r="1" customFormat="false" ht="15.75" hidden="false" customHeight="true" outlineLevel="0" collapsed="false">
      <c r="B1" s="2" t="s">
        <v>0</v>
      </c>
    </row>
    <row r="2" customFormat="false" ht="15" hidden="false" customHeight="true" outlineLevel="0" collapsed="false">
      <c r="B2" s="3" t="s">
        <v>1</v>
      </c>
    </row>
    <row r="4" customFormat="false" ht="15" hidden="false" customHeight="true" outlineLevel="0" collapsed="false">
      <c r="B4" s="4" t="s">
        <v>2</v>
      </c>
    </row>
    <row r="5" customFormat="false" ht="15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</row>
    <row r="6" customFormat="false" ht="15" hidden="false" customHeight="true" outlineLevel="0" collapsed="false">
      <c r="B6" s="6" t="s">
        <v>7</v>
      </c>
      <c r="C6" s="7" t="n">
        <v>18</v>
      </c>
      <c r="D6" s="8" t="s">
        <v>8</v>
      </c>
      <c r="E6" s="8" t="s">
        <v>8</v>
      </c>
    </row>
    <row r="7" customFormat="false" ht="15" hidden="false" customHeight="true" outlineLevel="0" collapsed="false">
      <c r="B7" s="6" t="s">
        <v>9</v>
      </c>
      <c r="C7" s="7" t="n">
        <v>27.7</v>
      </c>
      <c r="D7" s="9" t="n">
        <f aca="false">C7-C6</f>
        <v>9.7</v>
      </c>
      <c r="E7" s="10" t="n">
        <f aca="false">(C7-C6)/C6</f>
        <v>0.538888888888889</v>
      </c>
    </row>
    <row r="8" customFormat="false" ht="15" hidden="false" customHeight="true" outlineLevel="0" collapsed="false">
      <c r="B8" s="6" t="s">
        <v>10</v>
      </c>
      <c r="C8" s="11" t="n">
        <v>49.3</v>
      </c>
      <c r="D8" s="9" t="n">
        <f aca="false">C8-C7</f>
        <v>21.6</v>
      </c>
      <c r="E8" s="10" t="n">
        <f aca="false">(C8-C7)/C7</f>
        <v>0.779783393501805</v>
      </c>
    </row>
    <row r="9" customFormat="false" ht="15" hidden="false" customHeight="true" outlineLevel="0" collapsed="false">
      <c r="B9" s="6" t="s">
        <v>11</v>
      </c>
      <c r="C9" s="11" t="n">
        <v>72.4</v>
      </c>
      <c r="D9" s="9" t="n">
        <f aca="false">C9-C8</f>
        <v>23.1</v>
      </c>
      <c r="E9" s="10" t="n">
        <f aca="false">(C9-C8)/C8</f>
        <v>0.468559837728195</v>
      </c>
    </row>
    <row r="10" customFormat="false" ht="15" hidden="false" customHeight="true" outlineLevel="0" collapsed="false">
      <c r="B10" s="3" t="s">
        <v>12</v>
      </c>
    </row>
    <row r="12" customFormat="false" ht="15" hidden="false" customHeight="true" outlineLevel="0" collapsed="false">
      <c r="B12" s="4" t="s">
        <v>13</v>
      </c>
    </row>
    <row r="13" customFormat="false" ht="15" hidden="false" customHeight="true" outlineLevel="0" collapsed="false"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19</v>
      </c>
    </row>
    <row r="14" customFormat="false" ht="15" hidden="false" customHeight="true" outlineLevel="0" collapsed="false">
      <c r="B14" s="6" t="s">
        <v>20</v>
      </c>
      <c r="C14" s="6" t="s">
        <v>21</v>
      </c>
      <c r="D14" s="12" t="n">
        <v>222</v>
      </c>
      <c r="E14" s="12" t="n">
        <v>156</v>
      </c>
      <c r="F14" s="11" t="n">
        <v>72.4</v>
      </c>
      <c r="G14" s="13" t="n">
        <f aca="false">D14-E14</f>
        <v>66</v>
      </c>
    </row>
    <row r="15" customFormat="false" ht="15" hidden="false" customHeight="true" outlineLevel="0" collapsed="false">
      <c r="B15" s="6" t="s">
        <v>22</v>
      </c>
      <c r="C15" s="6" t="s">
        <v>23</v>
      </c>
      <c r="D15" s="14" t="n">
        <v>11000</v>
      </c>
      <c r="E15" s="14" t="n">
        <v>11000</v>
      </c>
      <c r="F15" s="14" t="n">
        <v>11000</v>
      </c>
      <c r="G15" s="14" t="n">
        <v>11000</v>
      </c>
    </row>
    <row r="16" customFormat="false" ht="15" hidden="false" customHeight="true" outlineLevel="0" collapsed="false">
      <c r="B16" s="15" t="s">
        <v>24</v>
      </c>
      <c r="C16" s="6" t="s">
        <v>25</v>
      </c>
      <c r="D16" s="16" t="n">
        <f aca="false">D14*D15</f>
        <v>2442000</v>
      </c>
      <c r="E16" s="16" t="n">
        <f aca="false">E14*E15</f>
        <v>1716000</v>
      </c>
      <c r="F16" s="16" t="n">
        <f aca="false">F14*F15</f>
        <v>796400</v>
      </c>
      <c r="G16" s="17" t="n">
        <f aca="false">G14*G15</f>
        <v>726000</v>
      </c>
    </row>
    <row r="17" customFormat="false" ht="15" hidden="false" customHeight="true" outlineLevel="0" collapsed="false">
      <c r="B17" s="6" t="s">
        <v>26</v>
      </c>
      <c r="C17" s="6" t="s">
        <v>27</v>
      </c>
      <c r="D17" s="10" t="n">
        <f aca="false">E14/D14</f>
        <v>0.702702702702703</v>
      </c>
    </row>
    <row r="18" customFormat="false" ht="15" hidden="false" customHeight="true" outlineLevel="0" collapsed="false">
      <c r="B18" s="6" t="s">
        <v>28</v>
      </c>
      <c r="C18" s="6" t="s">
        <v>27</v>
      </c>
      <c r="D18" s="10" t="n">
        <f aca="false">F14/D14</f>
        <v>0.326126126126126</v>
      </c>
    </row>
    <row r="20" customFormat="false" ht="15" hidden="false" customHeight="true" outlineLevel="0" collapsed="false">
      <c r="B20" s="4" t="s">
        <v>29</v>
      </c>
    </row>
    <row r="21" customFormat="false" ht="15" hidden="false" customHeight="true" outlineLevel="0" collapsed="false">
      <c r="B21" s="5" t="s">
        <v>30</v>
      </c>
      <c r="C21" s="5" t="s">
        <v>31</v>
      </c>
      <c r="D21" s="5" t="s">
        <v>32</v>
      </c>
    </row>
    <row r="22" customFormat="false" ht="15" hidden="false" customHeight="true" outlineLevel="0" collapsed="false">
      <c r="B22" s="6" t="s">
        <v>33</v>
      </c>
      <c r="C22" s="9" t="n">
        <f aca="false">F14</f>
        <v>72.4</v>
      </c>
      <c r="D22" s="10" t="n">
        <f aca="false">C22/$D$14</f>
        <v>0.326126126126126</v>
      </c>
    </row>
    <row r="23" customFormat="false" ht="15" hidden="false" customHeight="true" outlineLevel="0" collapsed="false">
      <c r="B23" s="6" t="s">
        <v>34</v>
      </c>
      <c r="C23" s="9" t="n">
        <f aca="false">E14-F14</f>
        <v>83.6</v>
      </c>
      <c r="D23" s="10" t="n">
        <f aca="false">C23/$D$14</f>
        <v>0.376576576576577</v>
      </c>
    </row>
    <row r="24" customFormat="false" ht="15" hidden="false" customHeight="true" outlineLevel="0" collapsed="false">
      <c r="B24" s="6" t="s">
        <v>35</v>
      </c>
      <c r="C24" s="9" t="n">
        <f aca="false">D14-E14</f>
        <v>66</v>
      </c>
      <c r="D24" s="10" t="n">
        <f aca="false">C24/$D$14</f>
        <v>0.297297297297297</v>
      </c>
    </row>
    <row r="25" customFormat="false" ht="15" hidden="false" customHeight="true" outlineLevel="0" collapsed="false">
      <c r="B25" s="15" t="s">
        <v>36</v>
      </c>
      <c r="C25" s="18" t="n">
        <f aca="false">SUM(C22:C24)</f>
        <v>222</v>
      </c>
      <c r="D25" s="19" t="n">
        <f aca="false">SUM(D22:D24)</f>
        <v>1</v>
      </c>
    </row>
    <row r="27" customFormat="false" ht="15" hidden="false" customHeight="true" outlineLevel="0" collapsed="false">
      <c r="B27" s="4" t="s">
        <v>37</v>
      </c>
    </row>
    <row r="28" customFormat="false" ht="15" hidden="false" customHeight="true" outlineLevel="0" collapsed="false">
      <c r="B28" s="5" t="s">
        <v>38</v>
      </c>
      <c r="C28" s="5" t="s">
        <v>39</v>
      </c>
      <c r="D28" s="5" t="s">
        <v>40</v>
      </c>
      <c r="E28" s="5" t="s">
        <v>41</v>
      </c>
    </row>
    <row r="29" customFormat="false" ht="15" hidden="false" customHeight="true" outlineLevel="0" collapsed="false">
      <c r="B29" s="6" t="s">
        <v>42</v>
      </c>
      <c r="C29" s="11" t="n">
        <v>197.9</v>
      </c>
      <c r="D29" s="6"/>
      <c r="E29" s="6"/>
    </row>
    <row r="30" customFormat="false" ht="15" hidden="false" customHeight="true" outlineLevel="0" collapsed="false">
      <c r="B30" s="6" t="s">
        <v>43</v>
      </c>
      <c r="C30" s="20" t="n">
        <v>5.253</v>
      </c>
      <c r="D30" s="6"/>
      <c r="E30" s="6"/>
    </row>
    <row r="31" customFormat="false" ht="15" hidden="false" customHeight="true" outlineLevel="0" collapsed="false">
      <c r="B31" s="6" t="s">
        <v>44</v>
      </c>
      <c r="C31" s="20" t="n">
        <v>0.205</v>
      </c>
      <c r="D31" s="6"/>
      <c r="E31" s="6"/>
    </row>
    <row r="32" customFormat="false" ht="15" hidden="false" customHeight="true" outlineLevel="0" collapsed="false">
      <c r="B32" s="15" t="s">
        <v>45</v>
      </c>
      <c r="C32" s="18" t="n">
        <f aca="false">SUM(C29:C31)</f>
        <v>203.358</v>
      </c>
      <c r="D32" s="11" t="n">
        <v>57.3</v>
      </c>
      <c r="E32" s="6" t="s">
        <v>46</v>
      </c>
    </row>
    <row r="33" customFormat="false" ht="15" hidden="false" customHeight="true" outlineLevel="0" collapsed="false">
      <c r="B33" s="6" t="s">
        <v>47</v>
      </c>
      <c r="C33" s="6"/>
      <c r="D33" s="9" t="n">
        <f aca="false">F14-D32</f>
        <v>15.1</v>
      </c>
      <c r="E33" s="6" t="s">
        <v>46</v>
      </c>
    </row>
    <row r="34" customFormat="false" ht="15" hidden="false" customHeight="true" outlineLevel="0" collapsed="false">
      <c r="B34" s="6" t="s">
        <v>48</v>
      </c>
      <c r="C34" s="6"/>
      <c r="D34" s="7" t="n">
        <v>16</v>
      </c>
      <c r="E34" s="6" t="s">
        <v>49</v>
      </c>
    </row>
    <row r="36" customFormat="false" ht="15" hidden="false" customHeight="true" outlineLevel="0" collapsed="false">
      <c r="B36" s="4" t="s">
        <v>50</v>
      </c>
    </row>
    <row r="37" customFormat="false" ht="15" hidden="false" customHeight="true" outlineLevel="0" collapsed="false">
      <c r="B37" s="5" t="s">
        <v>51</v>
      </c>
      <c r="C37" s="5" t="s">
        <v>16</v>
      </c>
      <c r="D37" s="5" t="s">
        <v>52</v>
      </c>
      <c r="E37" s="5" t="s">
        <v>53</v>
      </c>
      <c r="F37" s="5" t="s">
        <v>54</v>
      </c>
      <c r="G37" s="5" t="s">
        <v>55</v>
      </c>
    </row>
    <row r="38" customFormat="false" ht="15" hidden="false" customHeight="true" outlineLevel="0" collapsed="false">
      <c r="B38" s="6" t="s">
        <v>56</v>
      </c>
      <c r="C38" s="11" t="n">
        <v>31</v>
      </c>
      <c r="D38" s="11" t="n">
        <v>6.5</v>
      </c>
      <c r="E38" s="6" t="s">
        <v>57</v>
      </c>
      <c r="F38" s="10" t="n">
        <f aca="false">D38/C38</f>
        <v>0.209677419354839</v>
      </c>
      <c r="G38" s="21" t="s">
        <v>58</v>
      </c>
    </row>
    <row r="39" customFormat="false" ht="15" hidden="false" customHeight="true" outlineLevel="0" collapsed="false">
      <c r="B39" s="6" t="s">
        <v>59</v>
      </c>
      <c r="C39" s="11" t="n">
        <v>30</v>
      </c>
      <c r="D39" s="11" t="n">
        <v>0.1</v>
      </c>
      <c r="E39" s="6" t="s">
        <v>57</v>
      </c>
      <c r="F39" s="10" t="n">
        <f aca="false">D39/C39</f>
        <v>0.00333333333333333</v>
      </c>
      <c r="G39" s="21" t="s">
        <v>60</v>
      </c>
    </row>
    <row r="40" customFormat="false" ht="15" hidden="false" customHeight="true" outlineLevel="0" collapsed="false">
      <c r="B40" s="6" t="s">
        <v>61</v>
      </c>
      <c r="C40" s="11" t="n">
        <v>24</v>
      </c>
      <c r="D40" s="11" t="n">
        <v>7.4</v>
      </c>
      <c r="E40" s="6" t="s">
        <v>57</v>
      </c>
      <c r="F40" s="10" t="n">
        <f aca="false">D40/C40</f>
        <v>0.308333333333333</v>
      </c>
      <c r="G40" s="21" t="s">
        <v>62</v>
      </c>
    </row>
    <row r="41" customFormat="false" ht="15" hidden="false" customHeight="true" outlineLevel="0" collapsed="false">
      <c r="B41" s="6" t="s">
        <v>63</v>
      </c>
      <c r="C41" s="11" t="n">
        <v>21</v>
      </c>
      <c r="D41" s="8" t="s">
        <v>64</v>
      </c>
      <c r="E41" s="6"/>
      <c r="F41" s="8" t="s">
        <v>64</v>
      </c>
      <c r="G41" s="21" t="s">
        <v>65</v>
      </c>
    </row>
    <row r="42" customFormat="false" ht="15" hidden="false" customHeight="true" outlineLevel="0" collapsed="false">
      <c r="B42" s="6" t="s">
        <v>66</v>
      </c>
      <c r="C42" s="11" t="n">
        <v>17.2</v>
      </c>
      <c r="D42" s="11" t="n">
        <v>8.2</v>
      </c>
      <c r="E42" s="6" t="s">
        <v>57</v>
      </c>
      <c r="F42" s="10" t="n">
        <f aca="false">D42/C42</f>
        <v>0.476744186046512</v>
      </c>
      <c r="G42" s="21" t="s">
        <v>67</v>
      </c>
    </row>
    <row r="43" customFormat="false" ht="15" hidden="false" customHeight="true" outlineLevel="0" collapsed="false">
      <c r="B43" s="6" t="s">
        <v>68</v>
      </c>
      <c r="C43" s="11" t="n">
        <v>17</v>
      </c>
      <c r="D43" s="8" t="s">
        <v>64</v>
      </c>
      <c r="E43" s="6"/>
      <c r="F43" s="8" t="s">
        <v>64</v>
      </c>
      <c r="G43" s="21"/>
    </row>
    <row r="44" customFormat="false" ht="15" hidden="false" customHeight="true" outlineLevel="0" collapsed="false">
      <c r="B44" s="6" t="s">
        <v>69</v>
      </c>
      <c r="C44" s="11" t="n">
        <v>15</v>
      </c>
      <c r="D44" s="8" t="s">
        <v>64</v>
      </c>
      <c r="E44" s="6"/>
      <c r="F44" s="8" t="s">
        <v>64</v>
      </c>
      <c r="G44" s="21"/>
    </row>
    <row r="45" customFormat="false" ht="15" hidden="false" customHeight="true" outlineLevel="0" collapsed="false">
      <c r="B45" s="6" t="s">
        <v>70</v>
      </c>
      <c r="C45" s="11" t="n">
        <v>13</v>
      </c>
      <c r="D45" s="7" t="n">
        <v>1</v>
      </c>
      <c r="E45" s="6" t="s">
        <v>71</v>
      </c>
      <c r="F45" s="10" t="n">
        <f aca="false">D45/C45</f>
        <v>0.0769230769230769</v>
      </c>
      <c r="G45" s="21"/>
    </row>
    <row r="46" customFormat="false" ht="15" hidden="false" customHeight="true" outlineLevel="0" collapsed="false">
      <c r="B46" s="6" t="s">
        <v>72</v>
      </c>
      <c r="C46" s="11" t="n">
        <v>13</v>
      </c>
      <c r="D46" s="11" t="n">
        <v>0</v>
      </c>
      <c r="E46" s="6"/>
      <c r="F46" s="10" t="n">
        <f aca="false">D46/C46</f>
        <v>0</v>
      </c>
      <c r="G46" s="21" t="s">
        <v>73</v>
      </c>
    </row>
    <row r="47" customFormat="false" ht="15" hidden="false" customHeight="true" outlineLevel="0" collapsed="false">
      <c r="B47" s="6" t="s">
        <v>74</v>
      </c>
      <c r="C47" s="11" t="n">
        <v>10</v>
      </c>
      <c r="D47" s="8" t="s">
        <v>64</v>
      </c>
      <c r="E47" s="6"/>
      <c r="F47" s="8" t="s">
        <v>64</v>
      </c>
      <c r="G47" s="21"/>
    </row>
    <row r="48" customFormat="false" ht="15" hidden="false" customHeight="true" outlineLevel="0" collapsed="false">
      <c r="B48" s="6" t="s">
        <v>75</v>
      </c>
      <c r="C48" s="11" t="n">
        <v>3.3</v>
      </c>
      <c r="D48" s="11" t="n">
        <v>3.3</v>
      </c>
      <c r="E48" s="6" t="s">
        <v>76</v>
      </c>
      <c r="F48" s="10" t="n">
        <f aca="false">D48/C48</f>
        <v>1</v>
      </c>
      <c r="G48" s="21" t="s">
        <v>77</v>
      </c>
    </row>
    <row r="49" customFormat="false" ht="15" hidden="false" customHeight="true" outlineLevel="0" collapsed="false">
      <c r="B49" s="6" t="s">
        <v>78</v>
      </c>
      <c r="C49" s="11" t="n">
        <v>1</v>
      </c>
      <c r="D49" s="8" t="s">
        <v>64</v>
      </c>
      <c r="E49" s="6"/>
      <c r="F49" s="8" t="s">
        <v>64</v>
      </c>
      <c r="G49" s="21"/>
    </row>
    <row r="50" customFormat="false" ht="15" hidden="false" customHeight="true" outlineLevel="0" collapsed="false">
      <c r="B50" s="15" t="s">
        <v>79</v>
      </c>
      <c r="C50" s="18" t="n">
        <f aca="false">SUM(C38:C49)</f>
        <v>195.5</v>
      </c>
      <c r="D50" s="18" t="n">
        <f aca="false">SUMIF(D38:D49,"&lt;&gt;n/a")</f>
        <v>26.5</v>
      </c>
    </row>
    <row r="52" customFormat="false" ht="15" hidden="false" customHeight="true" outlineLevel="0" collapsed="false">
      <c r="B52" s="4" t="s">
        <v>80</v>
      </c>
    </row>
    <row r="53" customFormat="false" ht="15" hidden="false" customHeight="true" outlineLevel="0" collapsed="false">
      <c r="B53" s="5" t="s">
        <v>81</v>
      </c>
      <c r="C53" s="5" t="s">
        <v>82</v>
      </c>
      <c r="D53" s="5" t="s">
        <v>83</v>
      </c>
      <c r="E53" s="5" t="s">
        <v>84</v>
      </c>
      <c r="F53" s="5" t="s">
        <v>85</v>
      </c>
    </row>
    <row r="54" customFormat="false" ht="15" hidden="false" customHeight="true" outlineLevel="0" collapsed="false">
      <c r="B54" s="6" t="s">
        <v>86</v>
      </c>
      <c r="C54" s="11" t="n">
        <v>36.1</v>
      </c>
      <c r="D54" s="11" t="n">
        <v>251.7</v>
      </c>
      <c r="E54" s="11" t="n">
        <v>10</v>
      </c>
      <c r="F54" s="21" t="s">
        <v>87</v>
      </c>
    </row>
    <row r="55" customFormat="false" ht="15" hidden="false" customHeight="true" outlineLevel="0" collapsed="false">
      <c r="B55" s="6" t="s">
        <v>88</v>
      </c>
      <c r="C55" s="11" t="n">
        <v>24.6</v>
      </c>
      <c r="D55" s="11" t="n">
        <v>295.2</v>
      </c>
      <c r="E55" s="11" t="n">
        <v>13.4</v>
      </c>
      <c r="F55" s="21" t="s">
        <v>89</v>
      </c>
    </row>
    <row r="56" customFormat="false" ht="15" hidden="false" customHeight="true" outlineLevel="0" collapsed="false">
      <c r="B56" s="6" t="s">
        <v>90</v>
      </c>
      <c r="C56" s="11" t="n">
        <v>7.6</v>
      </c>
      <c r="D56" s="11" t="n">
        <v>76</v>
      </c>
      <c r="E56" s="22" t="s">
        <v>64</v>
      </c>
      <c r="F56" s="21" t="s">
        <v>91</v>
      </c>
    </row>
    <row r="57" customFormat="false" ht="15" hidden="false" customHeight="true" outlineLevel="0" collapsed="false">
      <c r="B57" s="6" t="s">
        <v>92</v>
      </c>
      <c r="C57" s="11" t="n">
        <v>5.2</v>
      </c>
      <c r="D57" s="11" t="n">
        <v>61.8</v>
      </c>
      <c r="E57" s="22" t="s">
        <v>64</v>
      </c>
      <c r="F57" s="21" t="s">
        <v>93</v>
      </c>
    </row>
    <row r="58" customFormat="false" ht="15" hidden="false" customHeight="true" outlineLevel="0" collapsed="false">
      <c r="B58" s="6" t="s">
        <v>94</v>
      </c>
      <c r="C58" s="22" t="s">
        <v>8</v>
      </c>
      <c r="D58" s="22" t="s">
        <v>8</v>
      </c>
      <c r="E58" s="22" t="s">
        <v>64</v>
      </c>
      <c r="F58" s="21" t="s">
        <v>95</v>
      </c>
    </row>
    <row r="59" customFormat="false" ht="15" hidden="false" customHeight="true" outlineLevel="0" collapsed="false">
      <c r="B59" s="6" t="s">
        <v>96</v>
      </c>
      <c r="C59" s="22" t="s">
        <v>8</v>
      </c>
      <c r="D59" s="22" t="s">
        <v>8</v>
      </c>
      <c r="E59" s="22" t="s">
        <v>64</v>
      </c>
      <c r="F59" s="21" t="s">
        <v>97</v>
      </c>
    </row>
    <row r="61" customFormat="false" ht="15" hidden="false" customHeight="true" outlineLevel="0" collapsed="false">
      <c r="B61" s="3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5" min="3" style="1" width="13"/>
    <col collapsed="false" customWidth="true" hidden="false" outlineLevel="0" max="7" min="6" style="1" width="11"/>
    <col collapsed="false" customWidth="true" hidden="false" outlineLevel="0" max="8" min="8" style="1" width="16"/>
    <col collapsed="false" customWidth="true" hidden="false" outlineLevel="0" max="9" min="9" style="1" width="11"/>
  </cols>
  <sheetData>
    <row r="1" customFormat="false" ht="15" hidden="false" customHeight="true" outlineLevel="0" collapsed="false">
      <c r="B1" s="23" t="s">
        <v>99</v>
      </c>
    </row>
    <row r="2" customFormat="false" ht="15" hidden="false" customHeight="true" outlineLevel="0" collapsed="false">
      <c r="B2" s="24" t="s">
        <v>100</v>
      </c>
      <c r="C2" s="24"/>
      <c r="D2" s="24"/>
      <c r="E2" s="24"/>
      <c r="F2" s="24"/>
      <c r="G2" s="24"/>
      <c r="H2" s="24"/>
      <c r="I2" s="24"/>
    </row>
    <row r="3" customFormat="false" ht="15" hidden="false" customHeight="true" outlineLevel="0" collapsed="false">
      <c r="B3" s="24"/>
      <c r="C3" s="24"/>
      <c r="D3" s="24"/>
      <c r="E3" s="24"/>
      <c r="F3" s="24"/>
      <c r="G3" s="24"/>
      <c r="H3" s="24"/>
      <c r="I3" s="24"/>
    </row>
    <row r="5" customFormat="false" ht="15" hidden="false" customHeight="true" outlineLevel="0" collapsed="false">
      <c r="B5" s="5" t="s">
        <v>101</v>
      </c>
      <c r="C5" s="5" t="s">
        <v>16</v>
      </c>
      <c r="D5" s="5" t="s">
        <v>17</v>
      </c>
      <c r="E5" s="5" t="s">
        <v>52</v>
      </c>
      <c r="F5" s="5" t="s">
        <v>102</v>
      </c>
      <c r="G5" s="5" t="s">
        <v>103</v>
      </c>
      <c r="H5" s="5" t="s">
        <v>104</v>
      </c>
      <c r="I5" s="5" t="s">
        <v>41</v>
      </c>
    </row>
    <row r="6" customFormat="false" ht="15" hidden="false" customHeight="true" outlineLevel="0" collapsed="false">
      <c r="B6" s="6" t="s">
        <v>59</v>
      </c>
      <c r="C6" s="14" t="n">
        <v>30490774</v>
      </c>
      <c r="D6" s="14" t="n">
        <v>0</v>
      </c>
      <c r="E6" s="14" t="n">
        <v>0</v>
      </c>
      <c r="F6" s="25" t="n">
        <f aca="false">IF(C6=0,"",D6/C6)</f>
        <v>0</v>
      </c>
      <c r="G6" s="25" t="n">
        <f aca="false">IF(C6=0,"",E6/C6)</f>
        <v>0</v>
      </c>
      <c r="H6" s="26"/>
      <c r="I6" s="27"/>
    </row>
    <row r="7" customFormat="false" ht="15" hidden="false" customHeight="true" outlineLevel="0" collapsed="false">
      <c r="B7" s="6" t="s">
        <v>56</v>
      </c>
      <c r="C7" s="14" t="n">
        <v>28526731</v>
      </c>
      <c r="D7" s="14" t="n">
        <v>28526730</v>
      </c>
      <c r="E7" s="14" t="n">
        <v>858147</v>
      </c>
      <c r="F7" s="25" t="n">
        <f aca="false">IF(C7=0,"",D7/C7)</f>
        <v>0.99999996494516</v>
      </c>
      <c r="G7" s="25" t="n">
        <f aca="false">IF(C7=0,"",E7/C7)</f>
        <v>0.0300822060543846</v>
      </c>
      <c r="H7" s="28" t="n">
        <v>6.51</v>
      </c>
      <c r="I7" s="6" t="s">
        <v>105</v>
      </c>
    </row>
    <row r="8" customFormat="false" ht="15" hidden="false" customHeight="true" outlineLevel="0" collapsed="false">
      <c r="B8" s="6" t="s">
        <v>61</v>
      </c>
      <c r="C8" s="14" t="n">
        <v>24004866</v>
      </c>
      <c r="D8" s="14" t="n">
        <v>25273775</v>
      </c>
      <c r="E8" s="14" t="n">
        <v>696405</v>
      </c>
      <c r="F8" s="25" t="n">
        <f aca="false">IF(C8=0,"",D8/C8)</f>
        <v>1.05286049086881</v>
      </c>
      <c r="G8" s="25" t="n">
        <f aca="false">IF(C8=0,"",E8/C8)</f>
        <v>0.029010993021165</v>
      </c>
      <c r="H8" s="28" t="n">
        <v>7.4</v>
      </c>
      <c r="I8" s="6" t="s">
        <v>105</v>
      </c>
    </row>
    <row r="9" customFormat="false" ht="15" hidden="false" customHeight="true" outlineLevel="0" collapsed="false">
      <c r="B9" s="6" t="s">
        <v>63</v>
      </c>
      <c r="C9" s="14" t="n">
        <v>21035262</v>
      </c>
      <c r="D9" s="14" t="n">
        <v>4031566</v>
      </c>
      <c r="E9" s="14" t="n">
        <v>178681</v>
      </c>
      <c r="F9" s="25" t="n">
        <f aca="false">IF(C9=0,"",D9/C9)</f>
        <v>0.191657512989379</v>
      </c>
      <c r="G9" s="25" t="n">
        <f aca="false">IF(C9=0,"",E9/C9)</f>
        <v>0.00849435581073343</v>
      </c>
      <c r="H9" s="26"/>
      <c r="I9" s="27"/>
    </row>
    <row r="10" customFormat="false" ht="15" hidden="false" customHeight="true" outlineLevel="0" collapsed="false">
      <c r="B10" s="6" t="s">
        <v>68</v>
      </c>
      <c r="C10" s="14" t="n">
        <v>16787587</v>
      </c>
      <c r="D10" s="14" t="n">
        <v>11071687</v>
      </c>
      <c r="E10" s="14" t="n">
        <v>425818</v>
      </c>
      <c r="F10" s="25" t="n">
        <f aca="false">IF(C10=0,"",D10/C10)</f>
        <v>0.659516284264082</v>
      </c>
      <c r="G10" s="25" t="n">
        <f aca="false">IF(C10=0,"",E10/C10)</f>
        <v>0.0253650509748661</v>
      </c>
      <c r="H10" s="26"/>
      <c r="I10" s="27"/>
    </row>
    <row r="11" customFormat="false" ht="15" hidden="false" customHeight="true" outlineLevel="0" collapsed="false">
      <c r="B11" s="6" t="s">
        <v>69</v>
      </c>
      <c r="C11" s="14" t="n">
        <v>14736692</v>
      </c>
      <c r="D11" s="14" t="n">
        <v>14754023</v>
      </c>
      <c r="E11" s="14" t="n">
        <v>11416</v>
      </c>
      <c r="F11" s="25" t="n">
        <f aca="false">IF(C11=0,"",D11/C11)</f>
        <v>1.00117604412171</v>
      </c>
      <c r="G11" s="25" t="n">
        <f aca="false">IF(C11=0,"",E11/C11)</f>
        <v>0.00077466503337384</v>
      </c>
      <c r="H11" s="26"/>
      <c r="I11" s="27"/>
    </row>
    <row r="12" customFormat="false" ht="15" hidden="false" customHeight="true" outlineLevel="0" collapsed="false">
      <c r="B12" s="6" t="s">
        <v>70</v>
      </c>
      <c r="C12" s="14" t="n">
        <v>13429206</v>
      </c>
      <c r="D12" s="14" t="n">
        <v>5490509</v>
      </c>
      <c r="E12" s="14" t="n">
        <v>1366302</v>
      </c>
      <c r="F12" s="25" t="n">
        <f aca="false">IF(C12=0,"",D12/C12)</f>
        <v>0.408848371229096</v>
      </c>
      <c r="G12" s="25" t="n">
        <f aca="false">IF(C12=0,"",E12/C12)</f>
        <v>0.101741085809541</v>
      </c>
      <c r="H12" s="28" t="n">
        <v>1.01</v>
      </c>
      <c r="I12" s="6" t="s">
        <v>106</v>
      </c>
    </row>
    <row r="13" customFormat="false" ht="15" hidden="false" customHeight="true" outlineLevel="0" collapsed="false">
      <c r="B13" s="6" t="s">
        <v>72</v>
      </c>
      <c r="C13" s="14" t="n">
        <v>13383001</v>
      </c>
      <c r="D13" s="14" t="n">
        <v>291690</v>
      </c>
      <c r="E13" s="14" t="n">
        <v>0</v>
      </c>
      <c r="F13" s="25" t="n">
        <f aca="false">IF(C13=0,"",D13/C13)</f>
        <v>0.021795559904688</v>
      </c>
      <c r="G13" s="25" t="n">
        <f aca="false">IF(C13=0,"",E13/C13)</f>
        <v>0</v>
      </c>
      <c r="H13" s="26"/>
      <c r="I13" s="27"/>
    </row>
    <row r="14" customFormat="false" ht="15" hidden="false" customHeight="true" outlineLevel="0" collapsed="false">
      <c r="B14" s="6" t="s">
        <v>74</v>
      </c>
      <c r="C14" s="14" t="n">
        <v>8981414</v>
      </c>
      <c r="D14" s="14" t="n">
        <v>0</v>
      </c>
      <c r="E14" s="14" t="n">
        <v>0</v>
      </c>
      <c r="F14" s="25" t="n">
        <f aca="false">IF(C14=0,"",D14/C14)</f>
        <v>0</v>
      </c>
      <c r="G14" s="25" t="n">
        <f aca="false">IF(C14=0,"",E14/C14)</f>
        <v>0</v>
      </c>
      <c r="H14" s="26"/>
      <c r="I14" s="27"/>
    </row>
    <row r="15" customFormat="false" ht="15" hidden="false" customHeight="true" outlineLevel="0" collapsed="false">
      <c r="B15" s="6" t="s">
        <v>75</v>
      </c>
      <c r="C15" s="14" t="n">
        <v>6445127</v>
      </c>
      <c r="D15" s="14" t="n">
        <v>6558446</v>
      </c>
      <c r="E15" s="14" t="n">
        <v>2520475</v>
      </c>
      <c r="F15" s="25" t="n">
        <f aca="false">IF(C15=0,"",D15/C15)</f>
        <v>1.01758212056954</v>
      </c>
      <c r="G15" s="25" t="n">
        <f aca="false">IF(C15=0,"",E15/C15)</f>
        <v>0.391066770290174</v>
      </c>
      <c r="H15" s="28" t="n">
        <v>3.28</v>
      </c>
      <c r="I15" s="6" t="s">
        <v>107</v>
      </c>
    </row>
    <row r="16" customFormat="false" ht="15" hidden="false" customHeight="true" outlineLevel="0" collapsed="false">
      <c r="B16" s="6" t="s">
        <v>108</v>
      </c>
      <c r="C16" s="14" t="n">
        <v>6179479</v>
      </c>
      <c r="D16" s="14" t="n">
        <v>7345604</v>
      </c>
      <c r="E16" s="14" t="n">
        <v>1046898</v>
      </c>
      <c r="F16" s="25" t="n">
        <f aca="false">IF(C16=0,"",D16/C16)</f>
        <v>1.18870927468157</v>
      </c>
      <c r="G16" s="25" t="n">
        <f aca="false">IF(C16=0,"",E16/C16)</f>
        <v>0.169415253292389</v>
      </c>
      <c r="H16" s="26"/>
      <c r="I16" s="27"/>
    </row>
    <row r="17" customFormat="false" ht="15" hidden="false" customHeight="true" outlineLevel="0" collapsed="false">
      <c r="B17" s="6" t="s">
        <v>109</v>
      </c>
      <c r="C17" s="14" t="n">
        <v>5919344</v>
      </c>
      <c r="D17" s="14" t="n">
        <v>5981561</v>
      </c>
      <c r="E17" s="14" t="n">
        <v>823382</v>
      </c>
      <c r="F17" s="25" t="n">
        <f aca="false">IF(C17=0,"",D17/C17)</f>
        <v>1.01051079308788</v>
      </c>
      <c r="G17" s="25" t="n">
        <f aca="false">IF(C17=0,"",E17/C17)</f>
        <v>0.139100211104474</v>
      </c>
      <c r="H17" s="26"/>
      <c r="I17" s="27"/>
    </row>
    <row r="18" customFormat="false" ht="15" hidden="false" customHeight="true" outlineLevel="0" collapsed="false">
      <c r="B18" s="6" t="s">
        <v>110</v>
      </c>
      <c r="C18" s="14" t="n">
        <v>2841908</v>
      </c>
      <c r="D18" s="14" t="n">
        <v>934409</v>
      </c>
      <c r="E18" s="14" t="n">
        <v>103524</v>
      </c>
      <c r="F18" s="25" t="n">
        <f aca="false">IF(C18=0,"",D18/C18)</f>
        <v>0.328796357939807</v>
      </c>
      <c r="G18" s="25" t="n">
        <f aca="false">IF(C18=0,"",E18/C18)</f>
        <v>0.0364276394591239</v>
      </c>
      <c r="H18" s="26"/>
      <c r="I18" s="27"/>
    </row>
    <row r="19" customFormat="false" ht="15" hidden="false" customHeight="true" outlineLevel="0" collapsed="false">
      <c r="B19" s="6" t="s">
        <v>66</v>
      </c>
      <c r="C19" s="14" t="n">
        <v>2607153</v>
      </c>
      <c r="D19" s="14" t="n">
        <v>2598542</v>
      </c>
      <c r="E19" s="14" t="n">
        <v>1861464</v>
      </c>
      <c r="F19" s="25" t="n">
        <f aca="false">IF(C19=0,"",D19/C19)</f>
        <v>0.996697163534323</v>
      </c>
      <c r="G19" s="25" t="n">
        <f aca="false">IF(C19=0,"",E19/C19)</f>
        <v>0.713983414091923</v>
      </c>
      <c r="H19" s="28" t="n">
        <v>8.24</v>
      </c>
      <c r="I19" s="6" t="s">
        <v>105</v>
      </c>
    </row>
    <row r="20" customFormat="false" ht="15" hidden="false" customHeight="true" outlineLevel="0" collapsed="false">
      <c r="B20" s="6" t="s">
        <v>111</v>
      </c>
      <c r="C20" s="14" t="n">
        <v>1649684</v>
      </c>
      <c r="D20" s="14" t="n">
        <v>1649684</v>
      </c>
      <c r="E20" s="14" t="n">
        <v>12720</v>
      </c>
      <c r="F20" s="25" t="n">
        <f aca="false">IF(C20=0,"",D20/C20)</f>
        <v>1</v>
      </c>
      <c r="G20" s="25" t="n">
        <f aca="false">IF(C20=0,"",E20/C20)</f>
        <v>0.00771056759961302</v>
      </c>
      <c r="H20" s="26"/>
      <c r="I20" s="27"/>
    </row>
    <row r="21" customFormat="false" ht="15" hidden="false" customHeight="true" outlineLevel="0" collapsed="false">
      <c r="B21" s="6" t="s">
        <v>112</v>
      </c>
      <c r="C21" s="14" t="n">
        <v>1497690</v>
      </c>
      <c r="D21" s="14" t="n">
        <v>1490727</v>
      </c>
      <c r="E21" s="14" t="n">
        <v>14707</v>
      </c>
      <c r="F21" s="25" t="n">
        <f aca="false">IF(C21=0,"",D21/C21)</f>
        <v>0.995350840294053</v>
      </c>
      <c r="G21" s="25" t="n">
        <f aca="false">IF(C21=0,"",E21/C21)</f>
        <v>0.00981978914194526</v>
      </c>
      <c r="H21" s="26"/>
      <c r="I21" s="27"/>
    </row>
    <row r="22" customFormat="false" ht="15" hidden="false" customHeight="true" outlineLevel="0" collapsed="false">
      <c r="B22" s="6" t="s">
        <v>113</v>
      </c>
      <c r="C22" s="14" t="n">
        <v>1362044</v>
      </c>
      <c r="D22" s="14" t="n">
        <v>1362044</v>
      </c>
      <c r="E22" s="14" t="n">
        <v>15680</v>
      </c>
      <c r="F22" s="25" t="n">
        <f aca="false">IF(C22=0,"",D22/C22)</f>
        <v>1</v>
      </c>
      <c r="G22" s="25" t="n">
        <f aca="false">IF(C22=0,"",E22/C22)</f>
        <v>0.0115121097409482</v>
      </c>
      <c r="H22" s="26"/>
      <c r="I22" s="27"/>
    </row>
    <row r="23" customFormat="false" ht="15" hidden="false" customHeight="true" outlineLevel="0" collapsed="false">
      <c r="B23" s="6" t="s">
        <v>114</v>
      </c>
      <c r="C23" s="14" t="n">
        <v>750356</v>
      </c>
      <c r="D23" s="14" t="n">
        <v>0</v>
      </c>
      <c r="E23" s="14" t="n">
        <v>0</v>
      </c>
      <c r="F23" s="25" t="n">
        <f aca="false">IF(C23=0,"",D23/C23)</f>
        <v>0</v>
      </c>
      <c r="G23" s="25" t="n">
        <f aca="false">IF(C23=0,"",E23/C23)</f>
        <v>0</v>
      </c>
      <c r="H23" s="26"/>
      <c r="I23" s="27"/>
    </row>
    <row r="24" customFormat="false" ht="15" hidden="false" customHeight="true" outlineLevel="0" collapsed="false">
      <c r="B24" s="6" t="s">
        <v>115</v>
      </c>
      <c r="C24" s="14" t="n">
        <v>562870</v>
      </c>
      <c r="D24" s="14" t="n">
        <v>427013</v>
      </c>
      <c r="E24" s="14" t="n">
        <v>3694</v>
      </c>
      <c r="F24" s="25" t="n">
        <f aca="false">IF(C24=0,"",D24/C24)</f>
        <v>0.758635208840407</v>
      </c>
      <c r="G24" s="25" t="n">
        <f aca="false">IF(C24=0,"",E24/C24)</f>
        <v>0.00656279425089275</v>
      </c>
      <c r="H24" s="26"/>
      <c r="I24" s="27"/>
    </row>
    <row r="25" customFormat="false" ht="15" hidden="false" customHeight="true" outlineLevel="0" collapsed="false">
      <c r="B25" s="6" t="s">
        <v>116</v>
      </c>
      <c r="C25" s="14" t="n">
        <v>472743</v>
      </c>
      <c r="D25" s="14" t="n">
        <v>0</v>
      </c>
      <c r="E25" s="14" t="n">
        <v>0</v>
      </c>
      <c r="F25" s="25" t="n">
        <f aca="false">IF(C25=0,"",D25/C25)</f>
        <v>0</v>
      </c>
      <c r="G25" s="25" t="n">
        <f aca="false">IF(C25=0,"",E25/C25)</f>
        <v>0</v>
      </c>
      <c r="H25" s="26"/>
      <c r="I25" s="27"/>
    </row>
    <row r="26" customFormat="false" ht="15" hidden="false" customHeight="true" outlineLevel="0" collapsed="false">
      <c r="B26" s="6" t="s">
        <v>117</v>
      </c>
      <c r="C26" s="14" t="n">
        <v>407052</v>
      </c>
      <c r="D26" s="14" t="n">
        <v>0</v>
      </c>
      <c r="E26" s="14" t="n">
        <v>0</v>
      </c>
      <c r="F26" s="25" t="n">
        <f aca="false">IF(C26=0,"",D26/C26)</f>
        <v>0</v>
      </c>
      <c r="G26" s="25" t="n">
        <f aca="false">IF(C26=0,"",E26/C26)</f>
        <v>0</v>
      </c>
      <c r="H26" s="26"/>
      <c r="I26" s="27"/>
    </row>
    <row r="27" customFormat="false" ht="15" hidden="false" customHeight="true" outlineLevel="0" collapsed="false">
      <c r="B27" s="6" t="s">
        <v>118</v>
      </c>
      <c r="C27" s="14" t="n">
        <v>323878</v>
      </c>
      <c r="D27" s="14" t="n">
        <v>323878</v>
      </c>
      <c r="E27" s="14" t="n">
        <v>0</v>
      </c>
      <c r="F27" s="25" t="n">
        <f aca="false">IF(C27=0,"",D27/C27)</f>
        <v>1</v>
      </c>
      <c r="G27" s="25" t="n">
        <f aca="false">IF(C27=0,"",E27/C27)</f>
        <v>0</v>
      </c>
      <c r="H27" s="26"/>
      <c r="I27" s="27"/>
    </row>
    <row r="28" customFormat="false" ht="15" hidden="false" customHeight="true" outlineLevel="0" collapsed="false">
      <c r="B28" s="6" t="s">
        <v>119</v>
      </c>
      <c r="C28" s="14" t="n">
        <v>298250</v>
      </c>
      <c r="D28" s="14" t="n">
        <v>298250</v>
      </c>
      <c r="E28" s="14" t="n">
        <v>276</v>
      </c>
      <c r="F28" s="25" t="n">
        <f aca="false">IF(C28=0,"",D28/C28)</f>
        <v>1</v>
      </c>
      <c r="G28" s="25" t="n">
        <f aca="false">IF(C28=0,"",E28/C28)</f>
        <v>0.000925398155909472</v>
      </c>
      <c r="H28" s="26"/>
      <c r="I28" s="27"/>
    </row>
    <row r="29" customFormat="false" ht="15" hidden="false" customHeight="true" outlineLevel="0" collapsed="false">
      <c r="B29" s="6" t="s">
        <v>120</v>
      </c>
      <c r="C29" s="14" t="n">
        <v>292081</v>
      </c>
      <c r="D29" s="14" t="n">
        <v>292081</v>
      </c>
      <c r="E29" s="14" t="n">
        <v>0</v>
      </c>
      <c r="F29" s="25" t="n">
        <f aca="false">IF(C29=0,"",D29/C29)</f>
        <v>1</v>
      </c>
      <c r="G29" s="25" t="n">
        <f aca="false">IF(C29=0,"",E29/C29)</f>
        <v>0</v>
      </c>
      <c r="H29" s="26"/>
      <c r="I29" s="27"/>
    </row>
    <row r="30" customFormat="false" ht="15" hidden="false" customHeight="true" outlineLevel="0" collapsed="false">
      <c r="B30" s="6" t="s">
        <v>121</v>
      </c>
      <c r="C30" s="14" t="n">
        <v>166208</v>
      </c>
      <c r="D30" s="14" t="n">
        <v>166208</v>
      </c>
      <c r="E30" s="14" t="n">
        <v>628</v>
      </c>
      <c r="F30" s="25" t="n">
        <f aca="false">IF(C30=0,"",D30/C30)</f>
        <v>1</v>
      </c>
      <c r="G30" s="25" t="n">
        <f aca="false">IF(C30=0,"",E30/C30)</f>
        <v>0.00377839815171352</v>
      </c>
      <c r="H30" s="26"/>
      <c r="I30" s="27"/>
    </row>
    <row r="31" customFormat="false" ht="15" hidden="false" customHeight="true" outlineLevel="0" collapsed="false">
      <c r="B31" s="6" t="s">
        <v>122</v>
      </c>
      <c r="C31" s="14" t="n">
        <v>148542</v>
      </c>
      <c r="D31" s="14" t="n">
        <v>148542</v>
      </c>
      <c r="E31" s="14" t="n">
        <v>11170</v>
      </c>
      <c r="F31" s="25" t="n">
        <f aca="false">IF(C31=0,"",D31/C31)</f>
        <v>1</v>
      </c>
      <c r="G31" s="25" t="n">
        <f aca="false">IF(C31=0,"",E31/C31)</f>
        <v>0.0751975872143905</v>
      </c>
      <c r="H31" s="26"/>
      <c r="I31" s="27"/>
    </row>
    <row r="32" customFormat="false" ht="15" hidden="false" customHeight="true" outlineLevel="0" collapsed="false">
      <c r="B32" s="6" t="s">
        <v>123</v>
      </c>
      <c r="C32" s="14" t="n">
        <v>84835</v>
      </c>
      <c r="D32" s="14" t="n">
        <v>0</v>
      </c>
      <c r="E32" s="14" t="n">
        <v>0</v>
      </c>
      <c r="F32" s="25" t="n">
        <f aca="false">IF(C32=0,"",D32/C32)</f>
        <v>0</v>
      </c>
      <c r="G32" s="25" t="n">
        <f aca="false">IF(C32=0,"",E32/C32)</f>
        <v>0</v>
      </c>
      <c r="H32" s="26"/>
      <c r="I32" s="27"/>
    </row>
    <row r="33" customFormat="false" ht="15" hidden="false" customHeight="true" outlineLevel="0" collapsed="false">
      <c r="B33" s="6" t="s">
        <v>124</v>
      </c>
      <c r="C33" s="14" t="n">
        <v>3521</v>
      </c>
      <c r="D33" s="14" t="n">
        <v>0</v>
      </c>
      <c r="E33" s="14" t="n">
        <v>0</v>
      </c>
      <c r="F33" s="25" t="n">
        <f aca="false">IF(C33=0,"",D33/C33)</f>
        <v>0</v>
      </c>
      <c r="G33" s="25" t="n">
        <f aca="false">IF(C33=0,"",E33/C33)</f>
        <v>0</v>
      </c>
      <c r="H33" s="26"/>
      <c r="I33" s="27"/>
    </row>
    <row r="34" customFormat="false" ht="15" hidden="false" customHeight="true" outlineLevel="0" collapsed="false">
      <c r="B34" s="15" t="s">
        <v>125</v>
      </c>
      <c r="C34" s="29" t="n">
        <f aca="false">SUM(C6:C33)</f>
        <v>203388298</v>
      </c>
      <c r="D34" s="29" t="n">
        <f aca="false">SUM(D6:D33)</f>
        <v>119016969</v>
      </c>
      <c r="E34" s="29" t="n">
        <f aca="false">SUM(E6:E33)</f>
        <v>9951387</v>
      </c>
      <c r="F34" s="25" t="n">
        <f aca="false">D34/C34</f>
        <v>0.585171173417263</v>
      </c>
      <c r="G34" s="25" t="n">
        <f aca="false">E34/C34</f>
        <v>0.0489280214144867</v>
      </c>
    </row>
    <row r="35" customFormat="false" ht="15" hidden="false" customHeight="true" outlineLevel="0" collapsed="false">
      <c r="B35" s="15" t="s">
        <v>126</v>
      </c>
      <c r="C35" s="14" t="n">
        <v>203388298</v>
      </c>
      <c r="D35" s="14" t="n">
        <v>119016969</v>
      </c>
      <c r="E35" s="14" t="n">
        <v>9951387</v>
      </c>
    </row>
    <row r="37" customFormat="false" ht="15" hidden="false" customHeight="true" outlineLevel="0" collapsed="false">
      <c r="B37" s="3" t="s">
        <v>127</v>
      </c>
    </row>
  </sheetData>
  <mergeCells count="1">
    <mergeCell ref="B2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5"/>
  </cols>
  <sheetData>
    <row r="1" customFormat="false" ht="15" hidden="false" customHeight="true" outlineLevel="0" collapsed="false">
      <c r="A1" s="30" t="s">
        <v>128</v>
      </c>
      <c r="B1" s="30" t="s">
        <v>129</v>
      </c>
    </row>
    <row r="2" customFormat="false" ht="21.75" hidden="false" customHeight="true" outlineLevel="0" collapsed="false">
      <c r="A2" s="31" t="s">
        <v>130</v>
      </c>
      <c r="B2" s="32" t="s">
        <v>131</v>
      </c>
    </row>
    <row r="3" customFormat="false" ht="15" hidden="false" customHeight="true" outlineLevel="0" collapsed="false">
      <c r="A3" s="31" t="s">
        <v>132</v>
      </c>
      <c r="B3" s="32" t="s">
        <v>133</v>
      </c>
    </row>
    <row r="4" customFormat="false" ht="21.75" hidden="false" customHeight="true" outlineLevel="0" collapsed="false">
      <c r="A4" s="31" t="s">
        <v>134</v>
      </c>
      <c r="B4" s="32" t="s">
        <v>135</v>
      </c>
    </row>
    <row r="5" customFormat="false" ht="21.75" hidden="false" customHeight="true" outlineLevel="0" collapsed="false">
      <c r="A5" s="31" t="s">
        <v>136</v>
      </c>
      <c r="B5" s="32" t="s">
        <v>137</v>
      </c>
    </row>
    <row r="6" customFormat="false" ht="21.75" hidden="false" customHeight="true" outlineLevel="0" collapsed="false">
      <c r="A6" s="31" t="s">
        <v>138</v>
      </c>
      <c r="B6" s="32" t="s">
        <v>139</v>
      </c>
    </row>
    <row r="7" customFormat="false" ht="15" hidden="false" customHeight="true" outlineLevel="0" collapsed="false">
      <c r="A7" s="31" t="s">
        <v>140</v>
      </c>
      <c r="B7" s="32" t="s">
        <v>141</v>
      </c>
    </row>
    <row r="8" customFormat="false" ht="21.75" hidden="false" customHeight="true" outlineLevel="0" collapsed="false">
      <c r="A8" s="31" t="s">
        <v>142</v>
      </c>
      <c r="B8" s="32" t="s">
        <v>143</v>
      </c>
    </row>
    <row r="9" customFormat="false" ht="21.75" hidden="false" customHeight="true" outlineLevel="0" collapsed="false">
      <c r="A9" s="31" t="s">
        <v>144</v>
      </c>
      <c r="B9" s="32" t="s">
        <v>145</v>
      </c>
    </row>
    <row r="10" customFormat="false" ht="15" hidden="false" customHeight="true" outlineLevel="0" collapsed="false">
      <c r="A10" s="31" t="s">
        <v>146</v>
      </c>
      <c r="B10" s="32" t="s">
        <v>147</v>
      </c>
    </row>
    <row r="11" customFormat="false" ht="15" hidden="false" customHeight="true" outlineLevel="0" collapsed="false">
      <c r="A11" s="31" t="s">
        <v>148</v>
      </c>
      <c r="B11" s="32" t="s">
        <v>149</v>
      </c>
    </row>
    <row r="12" customFormat="false" ht="15" hidden="false" customHeight="true" outlineLevel="0" collapsed="false">
      <c r="A12" s="31" t="s">
        <v>150</v>
      </c>
      <c r="B12" s="32" t="s">
        <v>151</v>
      </c>
    </row>
    <row r="13" customFormat="false" ht="21.75" hidden="false" customHeight="true" outlineLevel="0" collapsed="false">
      <c r="A13" s="31" t="s">
        <v>152</v>
      </c>
      <c r="B13" s="32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6"/>
    <col collapsed="false" customWidth="true" hidden="false" outlineLevel="0" max="3" min="3" style="1" width="78"/>
  </cols>
  <sheetData>
    <row r="1" customFormat="false" ht="23.25" hidden="false" customHeight="true" outlineLevel="0" collapsed="false">
      <c r="A1" s="33" t="s">
        <v>154</v>
      </c>
    </row>
    <row r="3" customFormat="false" ht="15" hidden="false" customHeight="true" outlineLevel="0" collapsed="false">
      <c r="A3" s="5" t="s">
        <v>128</v>
      </c>
      <c r="B3" s="5" t="s">
        <v>155</v>
      </c>
      <c r="C3" s="5" t="s">
        <v>129</v>
      </c>
    </row>
    <row r="4" customFormat="false" ht="15" hidden="false" customHeight="true" outlineLevel="0" collapsed="false">
      <c r="A4" s="6" t="s">
        <v>156</v>
      </c>
      <c r="B4" s="15" t="s">
        <v>157</v>
      </c>
      <c r="C4" s="34" t="s">
        <v>158</v>
      </c>
    </row>
    <row r="5" customFormat="false" ht="15" hidden="false" customHeight="true" outlineLevel="0" collapsed="false">
      <c r="A5" s="6" t="s">
        <v>159</v>
      </c>
      <c r="B5" s="15" t="s">
        <v>160</v>
      </c>
      <c r="C5" s="34" t="s">
        <v>161</v>
      </c>
    </row>
    <row r="6" customFormat="false" ht="15" hidden="false" customHeight="true" outlineLevel="0" collapsed="false">
      <c r="A6" s="6" t="s">
        <v>162</v>
      </c>
      <c r="B6" s="15" t="s">
        <v>163</v>
      </c>
      <c r="C6" s="34" t="s">
        <v>164</v>
      </c>
    </row>
    <row r="7" customFormat="false" ht="15" hidden="false" customHeight="true" outlineLevel="0" collapsed="false">
      <c r="A7" s="6" t="s">
        <v>165</v>
      </c>
      <c r="B7" s="15" t="s">
        <v>166</v>
      </c>
      <c r="C7" s="34"/>
    </row>
    <row r="8" customFormat="false" ht="15" hidden="false" customHeight="true" outlineLevel="0" collapsed="false">
      <c r="A8" s="6" t="s">
        <v>167</v>
      </c>
      <c r="B8" s="15" t="s">
        <v>168</v>
      </c>
      <c r="C8" s="34" t="s">
        <v>169</v>
      </c>
    </row>
    <row r="9" customFormat="false" ht="15" hidden="false" customHeight="true" outlineLevel="0" collapsed="false">
      <c r="A9" s="6" t="s">
        <v>170</v>
      </c>
      <c r="B9" s="15" t="s">
        <v>171</v>
      </c>
      <c r="C9" s="34" t="s">
        <v>172</v>
      </c>
    </row>
    <row r="10" customFormat="false" ht="15" hidden="false" customHeight="true" outlineLevel="0" collapsed="false">
      <c r="A10" s="6" t="s">
        <v>173</v>
      </c>
      <c r="B10" s="15" t="s">
        <v>174</v>
      </c>
      <c r="C10" s="34" t="s">
        <v>175</v>
      </c>
    </row>
    <row r="11" customFormat="false" ht="15" hidden="false" customHeight="true" outlineLevel="0" collapsed="false">
      <c r="A11" s="6" t="s">
        <v>176</v>
      </c>
      <c r="B11" s="15" t="s">
        <v>177</v>
      </c>
      <c r="C11" s="34"/>
    </row>
    <row r="12" customFormat="false" ht="15" hidden="false" customHeight="true" outlineLevel="0" collapsed="false">
      <c r="A12" s="6" t="s">
        <v>178</v>
      </c>
      <c r="B12" s="15" t="s">
        <v>179</v>
      </c>
      <c r="C12" s="34" t="s">
        <v>180</v>
      </c>
    </row>
    <row r="13" customFormat="false" ht="15" hidden="false" customHeight="true" outlineLevel="0" collapsed="false">
      <c r="A13" s="6" t="s">
        <v>181</v>
      </c>
      <c r="B13" s="15" t="s">
        <v>182</v>
      </c>
      <c r="C13" s="34" t="s">
        <v>183</v>
      </c>
    </row>
    <row r="14" customFormat="false" ht="15" hidden="false" customHeight="true" outlineLevel="0" collapsed="false">
      <c r="A14" s="6" t="s">
        <v>184</v>
      </c>
      <c r="B14" s="15" t="s">
        <v>185</v>
      </c>
      <c r="C14" s="34" t="s">
        <v>186</v>
      </c>
    </row>
    <row r="15" customFormat="false" ht="15" hidden="false" customHeight="true" outlineLevel="0" collapsed="false">
      <c r="A15" s="6" t="s">
        <v>187</v>
      </c>
      <c r="B15" s="15" t="s">
        <v>188</v>
      </c>
      <c r="C15" s="34" t="s">
        <v>189</v>
      </c>
    </row>
    <row r="16" customFormat="false" ht="15" hidden="false" customHeight="true" outlineLevel="0" collapsed="false">
      <c r="A16" s="6" t="s">
        <v>190</v>
      </c>
      <c r="B16" s="15" t="s">
        <v>191</v>
      </c>
      <c r="C16" s="34" t="s">
        <v>192</v>
      </c>
    </row>
    <row r="17" customFormat="false" ht="15" hidden="false" customHeight="true" outlineLevel="0" collapsed="false">
      <c r="A17" s="6" t="s">
        <v>193</v>
      </c>
      <c r="B17" s="15" t="s">
        <v>194</v>
      </c>
      <c r="C17" s="34" t="s">
        <v>195</v>
      </c>
    </row>
    <row r="18" customFormat="false" ht="15" hidden="false" customHeight="true" outlineLevel="0" collapsed="false">
      <c r="A18" s="6" t="s">
        <v>196</v>
      </c>
      <c r="B18" s="15" t="s">
        <v>197</v>
      </c>
      <c r="C18" s="34" t="s">
        <v>198</v>
      </c>
    </row>
    <row r="19" customFormat="false" ht="15" hidden="false" customHeight="true" outlineLevel="0" collapsed="false">
      <c r="A19" s="6" t="s">
        <v>199</v>
      </c>
      <c r="B19" s="15" t="s">
        <v>200</v>
      </c>
      <c r="C19" s="34" t="s">
        <v>201</v>
      </c>
    </row>
    <row r="20" customFormat="false" ht="15" hidden="false" customHeight="true" outlineLevel="0" collapsed="false">
      <c r="A20" s="6" t="s">
        <v>202</v>
      </c>
      <c r="B20" s="15" t="s">
        <v>203</v>
      </c>
      <c r="C20" s="34" t="s">
        <v>204</v>
      </c>
    </row>
    <row r="21" customFormat="false" ht="15" hidden="false" customHeight="true" outlineLevel="0" collapsed="false">
      <c r="A21" s="6" t="s">
        <v>205</v>
      </c>
      <c r="B21" s="15" t="s">
        <v>206</v>
      </c>
      <c r="C21" s="34" t="s">
        <v>207</v>
      </c>
    </row>
    <row r="22" customFormat="false" ht="15" hidden="false" customHeight="true" outlineLevel="0" collapsed="false">
      <c r="A22" s="6" t="s">
        <v>208</v>
      </c>
      <c r="B22" s="15" t="s">
        <v>209</v>
      </c>
      <c r="C22" s="34" t="s">
        <v>210</v>
      </c>
    </row>
    <row r="23" customFormat="false" ht="15" hidden="false" customHeight="true" outlineLevel="0" collapsed="false">
      <c r="A23" s="6" t="s">
        <v>211</v>
      </c>
      <c r="B23" s="15" t="s">
        <v>212</v>
      </c>
      <c r="C23" s="34"/>
    </row>
    <row r="24" customFormat="false" ht="15" hidden="false" customHeight="true" outlineLevel="0" collapsed="false">
      <c r="A24" s="6" t="s">
        <v>213</v>
      </c>
      <c r="B24" s="15" t="s">
        <v>214</v>
      </c>
      <c r="C24" s="34" t="s">
        <v>215</v>
      </c>
    </row>
    <row r="25" customFormat="false" ht="15" hidden="false" customHeight="true" outlineLevel="0" collapsed="false">
      <c r="A25" s="6" t="s">
        <v>216</v>
      </c>
      <c r="B25" s="15" t="s">
        <v>217</v>
      </c>
      <c r="C25" s="34"/>
    </row>
    <row r="26" customFormat="false" ht="15" hidden="false" customHeight="true" outlineLevel="0" collapsed="false">
      <c r="A26" s="6" t="s">
        <v>218</v>
      </c>
      <c r="B26" s="15" t="s">
        <v>219</v>
      </c>
      <c r="C26" s="34" t="s">
        <v>220</v>
      </c>
    </row>
    <row r="27" customFormat="false" ht="15" hidden="false" customHeight="true" outlineLevel="0" collapsed="false">
      <c r="A27" s="6" t="s">
        <v>221</v>
      </c>
      <c r="B27" s="15" t="s">
        <v>222</v>
      </c>
      <c r="C27" s="34" t="s">
        <v>223</v>
      </c>
    </row>
    <row r="28" customFormat="false" ht="15" hidden="false" customHeight="true" outlineLevel="0" collapsed="false">
      <c r="A28" s="6" t="s">
        <v>224</v>
      </c>
      <c r="B28" s="15" t="s">
        <v>225</v>
      </c>
      <c r="C28" s="34" t="s">
        <v>226</v>
      </c>
    </row>
    <row r="29" customFormat="false" ht="15" hidden="false" customHeight="true" outlineLevel="0" collapsed="false">
      <c r="A29" s="6" t="s">
        <v>227</v>
      </c>
      <c r="B29" s="15" t="s">
        <v>228</v>
      </c>
      <c r="C29" s="34" t="s">
        <v>229</v>
      </c>
    </row>
    <row r="30" customFormat="false" ht="15" hidden="false" customHeight="true" outlineLevel="0" collapsed="false">
      <c r="A30" s="6" t="s">
        <v>230</v>
      </c>
      <c r="B30" s="15" t="s">
        <v>231</v>
      </c>
      <c r="C30" s="34" t="s">
        <v>232</v>
      </c>
    </row>
    <row r="31" customFormat="false" ht="15" hidden="false" customHeight="true" outlineLevel="0" collapsed="false">
      <c r="A31" s="6" t="s">
        <v>233</v>
      </c>
      <c r="B31" s="15" t="s">
        <v>234</v>
      </c>
      <c r="C31" s="34" t="s">
        <v>235</v>
      </c>
    </row>
    <row r="32" customFormat="false" ht="15" hidden="false" customHeight="true" outlineLevel="0" collapsed="false">
      <c r="A32" s="6" t="s">
        <v>236</v>
      </c>
      <c r="B32" s="15" t="s">
        <v>237</v>
      </c>
      <c r="C32" s="34" t="s">
        <v>238</v>
      </c>
    </row>
    <row r="33" customFormat="false" ht="15" hidden="false" customHeight="true" outlineLevel="0" collapsed="false">
      <c r="A33" s="6" t="s">
        <v>239</v>
      </c>
      <c r="B33" s="15" t="s">
        <v>240</v>
      </c>
      <c r="C33" s="34" t="s">
        <v>241</v>
      </c>
    </row>
    <row r="34" customFormat="false" ht="15" hidden="false" customHeight="true" outlineLevel="0" collapsed="false">
      <c r="A34" s="6" t="s">
        <v>242</v>
      </c>
      <c r="B34" s="15" t="s">
        <v>243</v>
      </c>
      <c r="C34" s="34" t="s">
        <v>244</v>
      </c>
    </row>
    <row r="35" customFormat="false" ht="15" hidden="false" customHeight="true" outlineLevel="0" collapsed="false">
      <c r="A35" s="6" t="s">
        <v>245</v>
      </c>
      <c r="B35" s="15" t="s">
        <v>246</v>
      </c>
      <c r="C35" s="34" t="s">
        <v>247</v>
      </c>
    </row>
    <row r="36" customFormat="false" ht="15" hidden="false" customHeight="true" outlineLevel="0" collapsed="false">
      <c r="A36" s="6" t="s">
        <v>248</v>
      </c>
      <c r="B36" s="15" t="s">
        <v>249</v>
      </c>
      <c r="C36" s="34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5" min="5" style="0" width="42"/>
    <col collapsed="false" customWidth="true" hidden="false" outlineLevel="0" max="7" min="6" style="0" width="12"/>
  </cols>
  <sheetData>
    <row r="1" customFormat="false" ht="15" hidden="false" customHeight="false" outlineLevel="0" collapsed="false">
      <c r="B1" s="35" t="s">
        <v>251</v>
      </c>
    </row>
    <row r="2" customFormat="false" ht="15" hidden="false" customHeight="true" outlineLevel="0" collapsed="false">
      <c r="B2" s="36" t="s">
        <v>252</v>
      </c>
      <c r="C2" s="36"/>
      <c r="D2" s="36"/>
      <c r="E2" s="36"/>
      <c r="F2" s="36"/>
      <c r="G2" s="36"/>
    </row>
    <row r="3" customFormat="false" ht="15" hidden="false" customHeight="false" outlineLevel="0" collapsed="false">
      <c r="B3" s="36"/>
      <c r="C3" s="36"/>
      <c r="D3" s="36"/>
      <c r="E3" s="36"/>
      <c r="F3" s="36"/>
      <c r="G3" s="36"/>
    </row>
    <row r="5" customFormat="false" ht="15" hidden="false" customHeight="false" outlineLevel="0" collapsed="false">
      <c r="B5" s="37" t="s">
        <v>253</v>
      </c>
    </row>
    <row r="6" customFormat="false" ht="15" hidden="false" customHeight="false" outlineLevel="0" collapsed="false">
      <c r="B6" s="38" t="s">
        <v>254</v>
      </c>
      <c r="C6" s="38" t="s">
        <v>255</v>
      </c>
    </row>
    <row r="7" customFormat="false" ht="15" hidden="false" customHeight="false" outlineLevel="0" collapsed="false">
      <c r="B7" s="39" t="s">
        <v>256</v>
      </c>
      <c r="C7" s="40" t="n">
        <v>7236</v>
      </c>
    </row>
    <row r="8" customFormat="false" ht="15" hidden="false" customHeight="false" outlineLevel="0" collapsed="false">
      <c r="B8" s="39" t="s">
        <v>257</v>
      </c>
      <c r="C8" s="40" t="n">
        <v>8839</v>
      </c>
    </row>
    <row r="9" customFormat="false" ht="15" hidden="false" customHeight="false" outlineLevel="0" collapsed="false">
      <c r="B9" s="39" t="s">
        <v>258</v>
      </c>
      <c r="C9" s="40" t="n">
        <v>9093</v>
      </c>
    </row>
    <row r="10" customFormat="false" ht="15" hidden="false" customHeight="false" outlineLevel="0" collapsed="false">
      <c r="B10" s="39" t="s">
        <v>259</v>
      </c>
      <c r="C10" s="40" t="n">
        <v>12118</v>
      </c>
    </row>
    <row r="11" customFormat="false" ht="15" hidden="false" customHeight="false" outlineLevel="0" collapsed="false">
      <c r="B11" s="39" t="s">
        <v>260</v>
      </c>
      <c r="C11" s="40" t="n">
        <v>14697</v>
      </c>
    </row>
    <row r="12" customFormat="false" ht="15" hidden="false" customHeight="false" outlineLevel="0" collapsed="false">
      <c r="B12" s="39" t="s">
        <v>261</v>
      </c>
      <c r="C12" s="40" t="s">
        <v>262</v>
      </c>
    </row>
    <row r="14" customFormat="false" ht="15" hidden="false" customHeight="true" outlineLevel="0" collapsed="false">
      <c r="B14" s="41" t="s">
        <v>263</v>
      </c>
      <c r="C14" s="41"/>
      <c r="D14" s="41"/>
      <c r="E14" s="41"/>
      <c r="F14" s="41"/>
      <c r="G14" s="41"/>
    </row>
    <row r="16" customFormat="false" ht="15" hidden="false" customHeight="false" outlineLevel="0" collapsed="false">
      <c r="B16" s="37" t="s">
        <v>264</v>
      </c>
    </row>
    <row r="17" customFormat="false" ht="15" hidden="false" customHeight="false" outlineLevel="0" collapsed="false">
      <c r="B17" s="38" t="s">
        <v>51</v>
      </c>
      <c r="C17" s="38" t="s">
        <v>265</v>
      </c>
    </row>
    <row r="18" customFormat="false" ht="15" hidden="false" customHeight="false" outlineLevel="0" collapsed="false">
      <c r="B18" s="39" t="s">
        <v>266</v>
      </c>
      <c r="C18" s="40" t="n">
        <v>60</v>
      </c>
    </row>
    <row r="19" customFormat="false" ht="15" hidden="false" customHeight="false" outlineLevel="0" collapsed="false">
      <c r="B19" s="39" t="s">
        <v>69</v>
      </c>
      <c r="C19" s="40" t="n">
        <v>79</v>
      </c>
    </row>
    <row r="20" customFormat="false" ht="15" hidden="false" customHeight="false" outlineLevel="0" collapsed="false">
      <c r="B20" s="39" t="s">
        <v>267</v>
      </c>
      <c r="C20" s="40" t="n">
        <v>146</v>
      </c>
    </row>
    <row r="21" customFormat="false" ht="15" hidden="false" customHeight="false" outlineLevel="0" collapsed="false">
      <c r="B21" s="39" t="s">
        <v>268</v>
      </c>
      <c r="C21" s="40" t="n">
        <v>167</v>
      </c>
    </row>
    <row r="22" customFormat="false" ht="15" hidden="false" customHeight="false" outlineLevel="0" collapsed="false">
      <c r="B22" s="39" t="s">
        <v>269</v>
      </c>
      <c r="C22" s="40" t="s">
        <v>270</v>
      </c>
    </row>
    <row r="24" customFormat="false" ht="15" hidden="false" customHeight="false" outlineLevel="0" collapsed="false">
      <c r="B24" s="37" t="s">
        <v>271</v>
      </c>
    </row>
    <row r="25" customFormat="false" ht="15" hidden="false" customHeight="false" outlineLevel="0" collapsed="false">
      <c r="B25" s="38" t="s">
        <v>272</v>
      </c>
      <c r="C25" s="38" t="s">
        <v>273</v>
      </c>
      <c r="D25" s="38" t="s">
        <v>274</v>
      </c>
      <c r="E25" s="38" t="s">
        <v>275</v>
      </c>
    </row>
    <row r="26" customFormat="false" ht="30" hidden="false" customHeight="true" outlineLevel="0" collapsed="false">
      <c r="B26" s="39" t="s">
        <v>276</v>
      </c>
      <c r="C26" s="39" t="s">
        <v>277</v>
      </c>
      <c r="D26" s="39" t="s">
        <v>278</v>
      </c>
      <c r="E26" s="39" t="s">
        <v>279</v>
      </c>
    </row>
    <row r="27" customFormat="false" ht="30" hidden="false" customHeight="true" outlineLevel="0" collapsed="false">
      <c r="B27" s="39" t="s">
        <v>280</v>
      </c>
      <c r="C27" s="39" t="s">
        <v>281</v>
      </c>
      <c r="D27" s="39" t="s">
        <v>282</v>
      </c>
      <c r="E27" s="39" t="s">
        <v>283</v>
      </c>
    </row>
    <row r="28" customFormat="false" ht="30" hidden="false" customHeight="true" outlineLevel="0" collapsed="false">
      <c r="B28" s="39" t="s">
        <v>284</v>
      </c>
      <c r="C28" s="39" t="s">
        <v>285</v>
      </c>
      <c r="D28" s="39" t="s">
        <v>286</v>
      </c>
      <c r="E28" s="39" t="s">
        <v>287</v>
      </c>
    </row>
    <row r="29" customFormat="false" ht="30" hidden="false" customHeight="true" outlineLevel="0" collapsed="false">
      <c r="B29" s="39" t="s">
        <v>288</v>
      </c>
      <c r="C29" s="39" t="s">
        <v>289</v>
      </c>
      <c r="D29" s="39" t="s">
        <v>64</v>
      </c>
      <c r="E29" s="39" t="s">
        <v>290</v>
      </c>
    </row>
    <row r="30" customFormat="false" ht="30" hidden="false" customHeight="true" outlineLevel="0" collapsed="false">
      <c r="B30" s="39" t="s">
        <v>291</v>
      </c>
      <c r="C30" s="39" t="s">
        <v>292</v>
      </c>
      <c r="D30" s="39" t="s">
        <v>64</v>
      </c>
      <c r="E30" s="39" t="s">
        <v>293</v>
      </c>
    </row>
    <row r="31" customFormat="false" ht="30" hidden="false" customHeight="true" outlineLevel="0" collapsed="false">
      <c r="B31" s="39" t="s">
        <v>294</v>
      </c>
      <c r="C31" s="39" t="s">
        <v>295</v>
      </c>
      <c r="D31" s="39" t="s">
        <v>296</v>
      </c>
      <c r="E31" s="39" t="s">
        <v>297</v>
      </c>
    </row>
    <row r="32" customFormat="false" ht="30" hidden="false" customHeight="true" outlineLevel="0" collapsed="false">
      <c r="B32" s="39" t="s">
        <v>298</v>
      </c>
      <c r="C32" s="39" t="s">
        <v>299</v>
      </c>
      <c r="D32" s="39" t="s">
        <v>300</v>
      </c>
      <c r="E32" s="39" t="s">
        <v>301</v>
      </c>
    </row>
    <row r="34" customFormat="false" ht="15" hidden="false" customHeight="false" outlineLevel="0" collapsed="false">
      <c r="B34" s="37" t="s">
        <v>302</v>
      </c>
    </row>
    <row r="35" customFormat="false" ht="25.5" hidden="false" customHeight="true" outlineLevel="0" collapsed="false">
      <c r="B35" s="42" t="s">
        <v>303</v>
      </c>
      <c r="C35" s="42"/>
      <c r="D35" s="42"/>
      <c r="E35" s="42"/>
      <c r="F35" s="42"/>
      <c r="G35" s="42"/>
    </row>
    <row r="36" customFormat="false" ht="25.5" hidden="false" customHeight="true" outlineLevel="0" collapsed="false">
      <c r="B36" s="42" t="s">
        <v>304</v>
      </c>
      <c r="C36" s="42"/>
      <c r="D36" s="42"/>
      <c r="E36" s="42"/>
      <c r="F36" s="42"/>
      <c r="G36" s="42"/>
    </row>
    <row r="37" customFormat="false" ht="25.5" hidden="false" customHeight="true" outlineLevel="0" collapsed="false">
      <c r="B37" s="42" t="s">
        <v>305</v>
      </c>
      <c r="C37" s="42"/>
      <c r="D37" s="42"/>
      <c r="E37" s="42"/>
      <c r="F37" s="42"/>
      <c r="G37" s="42"/>
    </row>
    <row r="38" customFormat="false" ht="25.5" hidden="false" customHeight="true" outlineLevel="0" collapsed="false">
      <c r="B38" s="42" t="s">
        <v>306</v>
      </c>
      <c r="C38" s="42"/>
      <c r="D38" s="42"/>
      <c r="E38" s="42"/>
      <c r="F38" s="42"/>
      <c r="G38" s="42"/>
    </row>
    <row r="39" customFormat="false" ht="25.5" hidden="false" customHeight="true" outlineLevel="0" collapsed="false">
      <c r="B39" s="42" t="s">
        <v>307</v>
      </c>
      <c r="C39" s="42"/>
      <c r="D39" s="42"/>
      <c r="E39" s="42"/>
      <c r="F39" s="42"/>
      <c r="G39" s="42"/>
    </row>
    <row r="41" customFormat="false" ht="15" hidden="false" customHeight="true" outlineLevel="0" collapsed="false">
      <c r="B41" s="43" t="s">
        <v>308</v>
      </c>
      <c r="C41" s="43"/>
      <c r="D41" s="43"/>
      <c r="E41" s="43"/>
      <c r="F41" s="43"/>
      <c r="G41" s="43"/>
    </row>
  </sheetData>
  <mergeCells count="8">
    <mergeCell ref="B2:G3"/>
    <mergeCell ref="B14:G14"/>
    <mergeCell ref="B35:G35"/>
    <mergeCell ref="B36:G36"/>
    <mergeCell ref="B37:G37"/>
    <mergeCell ref="B38:G38"/>
    <mergeCell ref="B39:G39"/>
    <mergeCell ref="B41:G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2026-08-20T13:45:13Z</dcterms:created>
  <dc:creator>openpyxl</dc:creator>
  <dc:description/>
  <dc:language>en-US</dc:language>
  <cp:lastModifiedBy/>
  <dcterms:modified xsi:type="dcterms:W3CDTF">2026-08-20T15:36:48Z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