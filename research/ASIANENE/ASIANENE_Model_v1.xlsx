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Segments" sheetId="2" state="visible" r:id="rId4"/>
    <sheet name="Valuation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Consolidated, Rs. crore, from ACE Equity consolidated dump (18 Oct 2026) for FY09-FY26; standalone ACE for FY05-FY08. Cross-checked to audited ARs FY16-FY26 (see Notes sheet). Blue = hardcoded; black = formula.</t>
        </r>
      </text>
    </comment>
    <comment ref="A13" authorId="0">
      <text>
        <r>
          <rPr>
            <sz val="10"/>
            <rFont val="Arial"/>
            <family val="2"/>
          </rPr>
          <t xml:space="preserve">ACE "Other Manufacturing Expenses" = project/oilfield-services related expense in the AR (sub-contracting, stores &amp; spares, equipment hire, project expenses). This is the main variable cost line for a services company; ACE puts no cost in Raw Material.</t>
        </r>
      </text>
    </comment>
    <comment ref="A26" authorId="0">
      <text>
        <r>
          <rPr>
            <sz val="10"/>
            <rFont val="Arial"/>
            <family val="2"/>
          </rPr>
          <t xml:space="preserve">Row added to the sample layout: equity-accounted JVs (Zuberi-Asian, Asian-Indwell, Asian-Oilmax, AESL-FFIL) contribute Rs.3.5cr in FY26 and Rs.6.2cr in FY25, too large to fold into other income or exceptionals.</t>
        </r>
      </text>
    </comment>
    <comment ref="A32" authorId="0">
      <text>
        <r>
          <rPr>
            <sz val="10"/>
            <rFont val="Arial"/>
            <family val="2"/>
          </rPr>
          <t xml:space="preserve">Row added to the sample layout. ACE reports minority interest as a negative deduction; shown here as a positive charge so that PAT attributable = PAT - this row.</t>
        </r>
      </text>
    </comment>
    <comment ref="A36" authorId="0">
      <text>
        <r>
          <rPr>
            <sz val="10"/>
            <rFont val="Arial"/>
            <family val="2"/>
          </rPr>
          <t xml:space="preserve">Face value Rs.10 in every year of the ACE series. FY26 year-end shares 4.49cr; 36.6 lakh more were issued on warrant conversion in May-2026 (post year-end).</t>
        </r>
      </text>
    </comment>
    <comment ref="A39" authorId="0">
      <text>
        <r>
          <rPr>
            <sz val="10"/>
            <rFont val="Arial"/>
            <family val="2"/>
          </rPr>
          <t xml:space="preserve">Source: ACE consolidated ratios sheet, DPS row. First dividend in the listed history was Rs.1.0 for FY25 (12.5% / Rs.1.25 for FY26).</t>
        </r>
      </text>
    </comment>
    <comment ref="A44" authorId="0">
      <text>
        <r>
          <rPr>
            <sz val="10"/>
            <rFont val="Arial"/>
            <family val="2"/>
          </rPr>
          <t xml:space="preserve">Includes money received against convertible warrants (Rs.39.4cr allotted Nov-2024 under the Rs.160cr programme) and ESOP reserve. Warrants converted May-2026 (post FY26) raising Rs.92cr.</t>
        </r>
      </text>
    </comment>
    <comment ref="A59" authorId="0">
      <text>
        <r>
          <rPr>
            <sz val="10"/>
            <rFont val="Arial"/>
            <family val="2"/>
          </rPr>
          <t xml:space="preserve">Includes current maturities of long-term debt (Rs.25.2cr at FY26, Rs.1.6cr at FY25); see memo row in Key Ratios, which adds them to Total Debt.</t>
        </r>
      </text>
    </comment>
    <comment ref="A83" authorId="0">
      <text>
        <r>
          <rPr>
            <sz val="10"/>
            <rFont val="Arial"/>
            <family val="2"/>
          </rPr>
          <t xml:space="preserve">ACE "Cash and Bank" = cash + all bank balances incl. fixed deposits (Rs.146.9cr at FY26). The cash-flow statement closing cash (Rs.108.7cr) is cash &amp; cash equivalents only; the difference is FDs and earmarked balances.</t>
        </r>
      </text>
    </comment>
    <comment ref="A85" authorId="0">
      <text>
        <r>
          <rPr>
            <sz val="10"/>
            <rFont val="Arial"/>
            <family val="2"/>
          </rPr>
          <t xml:space="preserve">ACE maps contract assets / unbilled work-in-progress (Rs.163.9cr at FY26, Rs.86.0cr at FY25) into this line ("advances recoverable for purchases"). Economically it is unbilled revenue, i.e. receivables; see working-capital days, which add it to debtors.</t>
        </r>
      </text>
    </comment>
    <comment ref="A111" authorId="0">
      <text>
        <r>
          <rPr>
            <sz val="10"/>
            <rFont val="Arial"/>
            <family val="2"/>
          </rPr>
          <t xml:space="preserve">Contains ESOP charge (Rs.9.2cr FY26; Rs.30.1cr FY21; Rs.29.5cr FY18 per ARs), share of JV profit reversal, unrealised FX and sundry write-offs. FY17-FY18 ESOP charges (Rs.43cr, Rs.29cr) are the reason reported PAT and cash profit diverge in those years.</t>
        </r>
      </text>
    </comment>
    <comment ref="A132" authorId="0">
      <text>
        <r>
          <rPr>
            <sz val="10"/>
            <rFont val="Arial"/>
            <family val="2"/>
          </rPr>
          <t xml:space="preserve">Row added to the sample layout. FY26: Rs.122.8cr paid for Kuiper Holdings / Kuiper Group (international O&amp;M); Rs.72.1cr of cash came in with the acquisition (shown below in the cash reconciliation).</t>
        </r>
      </text>
    </comment>
    <comment ref="A144" authorId="0">
      <text>
        <r>
          <rPr>
            <sz val="10"/>
            <rFont val="Arial"/>
            <family val="2"/>
          </rPr>
          <t xml:space="preserve">Equity raised: FY17 Rs.88.6cr (Oilmax takeover), FY18 Rs.48cr, FY24 Rs.49.9cr (pref + warrants), FY25 Rs.78.5cr (pref + warrants), FY26 Rs.2.2cr (ESOP). Warrant money is in this row because ACE reports it together with equity.</t>
        </r>
      </text>
    </comment>
    <comment ref="A154" authorId="0">
      <text>
        <r>
          <rPr>
            <sz val="10"/>
            <rFont val="Arial"/>
            <family val="2"/>
          </rPr>
          <t xml:space="preserve">Row added to the sample layout so that closing cash reconciles: FY26 includes Rs.72.1cr cash acquired with Kuiper and Rs.-0.4cr FX translation.</t>
        </r>
      </text>
    </comment>
    <comment ref="A186" authorId="0">
      <text>
        <r>
          <rPr>
            <sz val="10"/>
            <rFont val="Arial"/>
            <family val="2"/>
          </rPr>
          <t xml:space="preserve">Trade receivables only (ACE Sundry Debtors). Unbilled contract assets sit in Short Term Loans &amp; Advances; the next row adds them.</t>
        </r>
      </text>
    </comment>
    <comment ref="A197" authorId="0">
      <text>
        <r>
          <rPr>
            <sz val="10"/>
            <rFont val="Arial"/>
            <family val="2"/>
          </rPr>
          <t xml:space="preserve">Same construction as the sample (EBIT x (1 - tax rate) / average total assets less CWIP). In loss years the tax shield is ignored. Total assets include trade payables, so this is a gross-capital measure; see ROCE ex-cash below.</t>
        </r>
      </text>
    </comment>
    <comment ref="A208" authorId="0">
      <text>
        <r>
          <rPr>
            <sz val="10"/>
            <rFont val="Arial"/>
            <family val="2"/>
          </rPr>
          <t xml:space="preserve">Stage 3 input row (sample row 193). Blank in Stage 1.</t>
        </r>
      </text>
    </comment>
    <comment ref="B2" authorId="0">
      <text>
        <r>
          <rPr>
            <sz val="10"/>
            <rFont val="Arial"/>
            <family val="2"/>
          </rPr>
          <t xml:space="preserve">FY05-FY08 (orange columns) are STANDALONE ACE data: the consolidated ACE series starts FY09. Not comparable with FY09 onward (subsidiaries held most of the operations). FY08 is a 15-month period.</t>
        </r>
      </text>
    </comment>
    <comment ref="X1" authorId="0">
      <text>
        <r>
          <rPr>
            <sz val="10"/>
            <rFont val="Arial"/>
            <family val="2"/>
          </rPr>
          <t xml:space="preserve">Stage 3 input: cost-line growth rate (sample uses 7%). Left blank in Stage 1.</t>
        </r>
      </text>
    </comment>
    <comment ref="Y1" authorId="0">
      <text>
        <r>
          <rPr>
            <sz val="10"/>
            <rFont val="Arial"/>
            <family val="2"/>
          </rPr>
          <t xml:space="preserve">Stage 3 input: yield on cash + current investments for other income. Left blank in Stage 1.</t>
        </r>
      </text>
    </comment>
  </commentList>
</comments>
</file>

<file path=xl/sharedStrings.xml><?xml version="1.0" encoding="utf-8"?>
<sst xmlns="http://schemas.openxmlformats.org/spreadsheetml/2006/main" count="366" uniqueCount="305">
  <si>
    <t xml:space="preserve">&lt;&lt;Do not Delete this&gt;&gt;</t>
  </si>
  <si>
    <t xml:space="preserve">P&amp;L Statement (Rs. crore)</t>
  </si>
  <si>
    <t xml:space="preserve">FY05</t>
  </si>
  <si>
    <t xml:space="preserve">FY06</t>
  </si>
  <si>
    <t xml:space="preserve">FY07</t>
  </si>
  <si>
    <t xml:space="preserve">FY08</t>
  </si>
  <si>
    <t xml:space="preserve">FY09</t>
  </si>
  <si>
    <t xml:space="preserve">FY10</t>
  </si>
  <si>
    <t xml:space="preserve">FY11</t>
  </si>
  <si>
    <t xml:space="preserve">FY12</t>
  </si>
  <si>
    <t xml:space="preserve">FY13</t>
  </si>
  <si>
    <t xml:space="preserve">FY14</t>
  </si>
  <si>
    <t xml:space="preserve">FY15</t>
  </si>
  <si>
    <t xml:space="preserve">FY16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</si>
  <si>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</si>
  <si>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</si>
  <si>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</si>
  <si>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</si>
  <si>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</si>
  <si>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</si>
  <si>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</si>
  <si>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</si>
  <si>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</si>
  <si>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</si>
  <si>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</si>
  <si>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</si>
  <si>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</si>
  <si>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FY30E</t>
  </si>
  <si>
    <t xml:space="preserve">Net Sales</t>
  </si>
  <si>
    <t xml:space="preserve">Growth, %</t>
  </si>
  <si>
    <t xml:space="preserve">EXPENDITURE</t>
  </si>
  <si>
    <t xml:space="preserve">(Increase)/Decrease in Stock</t>
  </si>
  <si>
    <t xml:space="preserve">Raw Material Consumed</t>
  </si>
  <si>
    <t xml:space="preserve">Variable Cost</t>
  </si>
  <si>
    <t xml:space="preserve">Gross Profit </t>
  </si>
  <si>
    <t xml:space="preserve">Gross Margin</t>
  </si>
  <si>
    <t xml:space="preserve">Power &amp; Fuel Cost</t>
  </si>
  <si>
    <t xml:space="preserve">Employee Cost</t>
  </si>
  <si>
    <t xml:space="preserve">Other Manufacturing Expenses</t>
  </si>
  <si>
    <t xml:space="preserve">General &amp; Administration Expenses</t>
  </si>
  <si>
    <t xml:space="preserve">Selling &amp; Distribution Expenses</t>
  </si>
  <si>
    <t xml:space="preserve">Miscellaneous Expenses</t>
  </si>
  <si>
    <t xml:space="preserve">Total Expenditure</t>
  </si>
  <si>
    <t xml:space="preserve">EBITDA</t>
  </si>
  <si>
    <t xml:space="preserve">Margin, %</t>
  </si>
  <si>
    <t xml:space="preserve">Other Income</t>
  </si>
  <si>
    <t xml:space="preserve">Depreciation</t>
  </si>
  <si>
    <t xml:space="preserve">EBIT</t>
  </si>
  <si>
    <t xml:space="preserve">Interest</t>
  </si>
  <si>
    <t xml:space="preserve">Share of Profit/(Loss) of JVs &amp; Associates</t>
  </si>
  <si>
    <t xml:space="preserve">Exceptional Income / (Expenses)</t>
  </si>
  <si>
    <t xml:space="preserve">PBT</t>
  </si>
  <si>
    <t xml:space="preserve">Provision for Tax</t>
  </si>
  <si>
    <t xml:space="preserve">Tax Rate %</t>
  </si>
  <si>
    <t xml:space="preserve">PAT</t>
  </si>
  <si>
    <t xml:space="preserve">Less: Minority Interest</t>
  </si>
  <si>
    <t xml:space="preserve">PAT attributable to owners</t>
  </si>
  <si>
    <t xml:space="preserve">No. of Shares (crore)</t>
  </si>
  <si>
    <t xml:space="preserve">EPS (Rs.)</t>
  </si>
  <si>
    <t xml:space="preserve">Dividend (Rs. crore)</t>
  </si>
  <si>
    <t xml:space="preserve">DPS</t>
  </si>
  <si>
    <t xml:space="preserve">Balance Sheet (Rs. crore)</t>
  </si>
  <si>
    <t xml:space="preserve">EQUITY AND LIABILITIES</t>
  </si>
  <si>
    <t xml:space="preserve">Share Capital</t>
  </si>
  <si>
    <t xml:space="preserve">Share Warrants &amp; Outstandings</t>
  </si>
  <si>
    <t xml:space="preserve">Total Reserves</t>
  </si>
  <si>
    <t xml:space="preserve">Shareholder's Funds</t>
  </si>
  <si>
    <t xml:space="preserve">Minority Interest</t>
  </si>
  <si>
    <t xml:space="preserve">Non-Current Liabilities</t>
  </si>
  <si>
    <t xml:space="preserve">     Secured Loans</t>
  </si>
  <si>
    <t xml:space="preserve">     Unsecured Loans</t>
  </si>
  <si>
    <t xml:space="preserve">     Deferred Tax Liabilities / (Assets)</t>
  </si>
  <si>
    <t xml:space="preserve">     Other Long Term Liabilities</t>
  </si>
  <si>
    <t xml:space="preserve">     Long Term Provisions</t>
  </si>
  <si>
    <t xml:space="preserve">Total Non-Current Liabilities</t>
  </si>
  <si>
    <t xml:space="preserve">Current Liabilities</t>
  </si>
  <si>
    <t xml:space="preserve">     Trade Payables</t>
  </si>
  <si>
    <t xml:space="preserve">     Other Current Liabilities</t>
  </si>
  <si>
    <t xml:space="preserve">     Short Term Borrowings</t>
  </si>
  <si>
    <t xml:space="preserve">     Short Term Provisions</t>
  </si>
  <si>
    <t xml:space="preserve">Total Current Liabilities</t>
  </si>
  <si>
    <t xml:space="preserve">TOTAL EQUITY AND LIABILITIES</t>
  </si>
  <si>
    <t xml:space="preserve">ASSETS</t>
  </si>
  <si>
    <t xml:space="preserve">Non-Current Assets</t>
  </si>
  <si>
    <t xml:space="preserve">     Gross Block</t>
  </si>
  <si>
    <t xml:space="preserve">     Less: Accumulated Depreciation</t>
  </si>
  <si>
    <t xml:space="preserve">     Net Block</t>
  </si>
  <si>
    <t xml:space="preserve">     Capital Work in Progress</t>
  </si>
  <si>
    <t xml:space="preserve">     Intangible Assets under Development</t>
  </si>
  <si>
    <t xml:space="preserve">     Assets in Transit</t>
  </si>
  <si>
    <t xml:space="preserve">     Non-Current Investments</t>
  </si>
  <si>
    <t xml:space="preserve">     Long Term Loans &amp; Advances</t>
  </si>
  <si>
    <t xml:space="preserve">     Other Non-Current Assets</t>
  </si>
  <si>
    <t xml:space="preserve">Total Non-Current Assets</t>
  </si>
  <si>
    <t xml:space="preserve">Current Assets</t>
  </si>
  <si>
    <t xml:space="preserve">     Current Investments</t>
  </si>
  <si>
    <t xml:space="preserve">     Inventories</t>
  </si>
  <si>
    <t xml:space="preserve">     Sundry Debtors</t>
  </si>
  <si>
    <t xml:space="preserve">     Cash and Bank</t>
  </si>
  <si>
    <t xml:space="preserve">     Other Current Assets</t>
  </si>
  <si>
    <t xml:space="preserve">     Short Term Loans and Advances</t>
  </si>
  <si>
    <t xml:space="preserve">Total Current Assets</t>
  </si>
  <si>
    <t xml:space="preserve">Miscellaneous Expenses not Written Off</t>
  </si>
  <si>
    <t xml:space="preserve">TOTAL ASSETS</t>
  </si>
  <si>
    <t xml:space="preserve">Cash + current investments as % of current assets</t>
  </si>
  <si>
    <t xml:space="preserve">CHECK:</t>
  </si>
  <si>
    <t xml:space="preserve">Cash Flow Statement (Rs. crore)</t>
  </si>
  <si>
    <t xml:space="preserve">Profit Before Tax (per CF as reported)</t>
  </si>
  <si>
    <t xml:space="preserve">Adjustments (non-cash / non-operating)</t>
  </si>
  <si>
    <t xml:space="preserve">     Depreciation &amp; Impairment</t>
  </si>
  <si>
    <t xml:space="preserve">     Interest Expenses</t>
  </si>
  <si>
    <t xml:space="preserve">     Profit/Loss on Sale of Fixed Assets</t>
  </si>
  <si>
    <t xml:space="preserve">     Profit/Loss on Sale of Investments</t>
  </si>
  <si>
    <t xml:space="preserve">     Dividend Received</t>
  </si>
  <si>
    <t xml:space="preserve">     Interest Income</t>
  </si>
  <si>
    <t xml:space="preserve">     Diminution / Write-off of Investments</t>
  </si>
  <si>
    <t xml:space="preserve">     Effect of Exchange Rate Change</t>
  </si>
  <si>
    <t xml:space="preserve">     Net Prior Year Adjustments</t>
  </si>
  <si>
    <t xml:space="preserve">     Provisions &amp; Write-offs</t>
  </si>
  <si>
    <t xml:space="preserve">     Excess of Cost over Fair Value of Investments</t>
  </si>
  <si>
    <t xml:space="preserve">     Bad Debts Written Off</t>
  </si>
  <si>
    <t xml:space="preserve">     Provision for Doubtful Debts &amp; Advances</t>
  </si>
  <si>
    <t xml:space="preserve">     Misc. Expenses Written Off</t>
  </si>
  <si>
    <t xml:space="preserve">     Other Adjustments</t>
  </si>
  <si>
    <t xml:space="preserve">Total Adjustments</t>
  </si>
  <si>
    <t xml:space="preserve">Changes in Working Capital</t>
  </si>
  <si>
    <t xml:space="preserve">     Trade &amp; Other Receivables</t>
  </si>
  <si>
    <t xml:space="preserve">     Loans &amp; Advances (incl. contract assets)</t>
  </si>
  <si>
    <t xml:space="preserve">     Trade &amp; Other Payables</t>
  </si>
  <si>
    <t xml:space="preserve">     Other Non-Current Assets / Liabilities</t>
  </si>
  <si>
    <t xml:space="preserve">Total Changes in Working Capital</t>
  </si>
  <si>
    <t xml:space="preserve">Cash Flow after Working Capital Changes</t>
  </si>
  <si>
    <t xml:space="preserve">     Direct Taxes Paid (and other direct items)</t>
  </si>
  <si>
    <t xml:space="preserve">Cash from Operating Activities (A)</t>
  </si>
  <si>
    <t xml:space="preserve">Investing Activities</t>
  </si>
  <si>
    <t xml:space="preserve">     Purchase of Fixed Assets</t>
  </si>
  <si>
    <t xml:space="preserve">     Sale of Fixed Assets</t>
  </si>
  <si>
    <t xml:space="preserve">     Purchase of Investments</t>
  </si>
  <si>
    <t xml:space="preserve">     Sale of Investments</t>
  </si>
  <si>
    <t xml:space="preserve">     Acquisition of Subsidiaries (net of cash)</t>
  </si>
  <si>
    <t xml:space="preserve">     Dividend Income</t>
  </si>
  <si>
    <t xml:space="preserve">     Interest Received</t>
  </si>
  <si>
    <t xml:space="preserve">     Increase/Decrease in Loans &amp; ICDs</t>
  </si>
  <si>
    <t xml:space="preserve">     Other Investing Activities</t>
  </si>
  <si>
    <t xml:space="preserve">Cash from Investing Activities (B)</t>
  </si>
  <si>
    <t xml:space="preserve">Financing Activities</t>
  </si>
  <si>
    <t xml:space="preserve">     Increase/(Decrease) in Loan Funds</t>
  </si>
  <si>
    <t xml:space="preserve">     Proceeds from Long Term Borrowings</t>
  </si>
  <si>
    <t xml:space="preserve">     Repayment of Long Term Borrowings</t>
  </si>
  <si>
    <t xml:space="preserve">     Short Term Loans</t>
  </si>
  <si>
    <t xml:space="preserve">     Proceeds from Issue of Equity (incl. warrants)</t>
  </si>
  <si>
    <t xml:space="preserve">     Equity Dividend Paid</t>
  </si>
  <si>
    <t xml:space="preserve">     Interest Paid</t>
  </si>
  <si>
    <t xml:space="preserve">     Dividend Distribution Tax</t>
  </si>
  <si>
    <t xml:space="preserve">     Share Issue Expenses</t>
  </si>
  <si>
    <t xml:space="preserve">     Other Financing Activities</t>
  </si>
  <si>
    <t xml:space="preserve">Cash from Financing Activities (C)</t>
  </si>
  <si>
    <t xml:space="preserve">Net Increase / (Decrease) in Cash (A+B+C)</t>
  </si>
  <si>
    <t xml:space="preserve">Opening Cash &amp; Cash Equivalents</t>
  </si>
  <si>
    <t xml:space="preserve">Cash acquired on acquisition / FX / other</t>
  </si>
  <si>
    <t xml:space="preserve">Closing Cash &amp; Cash Equivalents</t>
  </si>
  <si>
    <t xml:space="preserve">Closing cash as reported (check)</t>
  </si>
  <si>
    <t xml:space="preserve">Abridged Cash Flow (Rs. crore)</t>
  </si>
  <si>
    <t xml:space="preserve">Sources of Funds</t>
  </si>
  <si>
    <t xml:space="preserve">     Operating Cashflows before WC</t>
  </si>
  <si>
    <t xml:space="preserve">     Interest &amp; Dividend Income</t>
  </si>
  <si>
    <t xml:space="preserve">     Equity</t>
  </si>
  <si>
    <t xml:space="preserve">     Net Debt</t>
  </si>
  <si>
    <t xml:space="preserve">Total Sources of Funds</t>
  </si>
  <si>
    <t xml:space="preserve">Application of Funds (positive figure = cash outflow)</t>
  </si>
  <si>
    <t xml:space="preserve">     Working Capital</t>
  </si>
  <si>
    <t xml:space="preserve">     Tax</t>
  </si>
  <si>
    <t xml:space="preserve">     Capex</t>
  </si>
  <si>
    <t xml:space="preserve">     Investments (net)</t>
  </si>
  <si>
    <t xml:space="preserve">     Acquisitions</t>
  </si>
  <si>
    <t xml:space="preserve">     Loans</t>
  </si>
  <si>
    <t xml:space="preserve">     Dividends Paid</t>
  </si>
  <si>
    <t xml:space="preserve">     Others</t>
  </si>
  <si>
    <t xml:space="preserve">Total Application of Funds</t>
  </si>
  <si>
    <t xml:space="preserve">FCFF</t>
  </si>
  <si>
    <t xml:space="preserve">FCFE</t>
  </si>
  <si>
    <t xml:space="preserve">OCF / PAT (cash conversion)</t>
  </si>
  <si>
    <t xml:space="preserve">Working Capital Analysis</t>
  </si>
  <si>
    <t xml:space="preserve">     Inventory Days</t>
  </si>
  <si>
    <t xml:space="preserve">     Debtor Days (incl. contract assets)</t>
  </si>
  <si>
    <t xml:space="preserve">     Debtor + Unbilled Days</t>
  </si>
  <si>
    <t xml:space="preserve">     Creditor Days</t>
  </si>
  <si>
    <t xml:space="preserve">Net Working Capital (Days)</t>
  </si>
  <si>
    <t xml:space="preserve">Key Ratios</t>
  </si>
  <si>
    <t xml:space="preserve">Net Worth</t>
  </si>
  <si>
    <t xml:space="preserve">Avg Net Worth</t>
  </si>
  <si>
    <t xml:space="preserve">ROE</t>
  </si>
  <si>
    <t xml:space="preserve">Avg Capital Employed</t>
  </si>
  <si>
    <t xml:space="preserve">RoCE (post-tax EBIT / avg capital employed ex-CWIP)</t>
  </si>
  <si>
    <t xml:space="preserve">Current maturities of LT debt (memo, in Other Current Liabilities)</t>
  </si>
  <si>
    <t xml:space="preserve">Total Debt</t>
  </si>
  <si>
    <t xml:space="preserve">Net Debt</t>
  </si>
  <si>
    <t xml:space="preserve">Net Debt / EBITDA</t>
  </si>
  <si>
    <t xml:space="preserve">Net Debt / Equity</t>
  </si>
  <si>
    <t xml:space="preserve">ROCE ex-cash (EBITDA-Dep) / (avg net worth + avg debt - avg cash)</t>
  </si>
  <si>
    <t xml:space="preserve">Asset Turnover (Sales / avg total assets)</t>
  </si>
  <si>
    <t xml:space="preserve">Gross Block Turnover (Sales / avg gross block)</t>
  </si>
  <si>
    <t xml:space="preserve">Capex / Depreciation</t>
  </si>
  <si>
    <t xml:space="preserve">Capex Assumptions</t>
  </si>
  <si>
    <t xml:space="preserve">Basis &amp; period (C = consolidated ACE, S = standalone ACE; months)</t>
  </si>
  <si>
    <t xml:space="preserve">S, 12m</t>
  </si>
  <si>
    <t xml:space="preserve">S, 15m</t>
  </si>
  <si>
    <t xml:space="preserve">C, 12m</t>
  </si>
  <si>
    <t xml:space="preserve">C, 9m</t>
  </si>
  <si>
    <t xml:space="preserve">Discontinuities: FY05-FY08 standalone only (orange). FY08 = 15 months to Jun-2008 (year-end change). FY09 = 12 months to Jun-2009. FY10 = 9 months to Mar-2010. FY16 IGAAP -&gt; FY17 Ind AS. FY26 consolidates Kuiper from acquisition date. See Notes sheet.</t>
  </si>
  <si>
    <t xml:space="preserve">Segment Data (Rs. cr) - Ind AS 108, consolidated</t>
  </si>
  <si>
    <t xml:space="preserve">Revenue</t>
  </si>
  <si>
    <t xml:space="preserve">Oil &amp; Gas services revenue</t>
  </si>
  <si>
    <t xml:space="preserve">Mineral &amp; other energy (coal CHP, power) revenue</t>
  </si>
  <si>
    <t xml:space="preserve">Total Segment Revenue</t>
  </si>
  <si>
    <t xml:space="preserve">Oil &amp; Gas share of revenue</t>
  </si>
  <si>
    <t xml:space="preserve">Check vs P&amp;L Net Sales</t>
  </si>
  <si>
    <t xml:space="preserve">SEGMENT RESULT (EBITDA level: before D&amp;A, finance cost, other income, unallocable)</t>
  </si>
  <si>
    <t xml:space="preserve">Oil &amp; Gas result</t>
  </si>
  <si>
    <t xml:space="preserve">Mineral &amp; other energy result</t>
  </si>
  <si>
    <t xml:space="preserve">Total segment result</t>
  </si>
  <si>
    <t xml:space="preserve">Less: Depreciation &amp; amortisation</t>
  </si>
  <si>
    <t xml:space="preserve">Add: Other income</t>
  </si>
  <si>
    <t xml:space="preserve">Less: Finance costs</t>
  </si>
  <si>
    <t xml:space="preserve">Less: Other unallocable expenses (corporate staff, admin)</t>
  </si>
  <si>
    <t xml:space="preserve">Profit before JV share, exceptional items and tax</t>
  </si>
  <si>
    <t xml:space="preserve">SEGMENT MARGINS (Result/Revenue)</t>
  </si>
  <si>
    <t xml:space="preserve">Oil &amp; Gas margin %</t>
  </si>
  <si>
    <t xml:space="preserve">Mineral &amp; other energy margin %</t>
  </si>
  <si>
    <t xml:space="preserve">Blended segment margin %</t>
  </si>
  <si>
    <t xml:space="preserve">Segment capital employed</t>
  </si>
  <si>
    <t xml:space="preserve">Not disclosed: the CODM does not review assets and liabilities by segment (AR FY26 Note 45 VII; same wording FY22-FY25).</t>
  </si>
  <si>
    <t xml:space="preserve">Geography and concentration (Rs. cr)</t>
  </si>
  <si>
    <t xml:space="preserve">Revenue outside India</t>
  </si>
  <si>
    <t xml:space="preserve">Revenue from top customer</t>
  </si>
  <si>
    <t xml:space="preserve">Revenue from top three customers</t>
  </si>
  <si>
    <t xml:space="preserve">Customers &gt;10% of revenue (number)</t>
  </si>
  <si>
    <t xml:space="preserve">Sources: AR FY22 Note (segment), AR FY24 Note (segment, FY23 comparatives), AR FY26 Note 45 (FY25 &amp; FY26). FY21 from AR FY22 comparatives. All converted from Rs. lakh. Segment definitions: (i) Oil &amp; Gas = services to oil &amp; gas customers (seismic, O&amp;M, drilling services, E&amp;P-related, Kuiper international O&amp;M from FY26); (ii) Mineral &amp; other energy = coal handling plants and other energy EPC/O&amp;M (CIL subsidiaries, SCCL, power).</t>
  </si>
  <si>
    <t xml:space="preserve">FY27E-FY30E columns are for Stage 3 (forecast by order book x execution), not filled in Stage 1.</t>
  </si>
  <si>
    <t xml:space="preserve">CMP</t>
  </si>
  <si>
    <t xml:space="preserve">BSE close 16-Oct-2026 (ACE price sheet). Replace with Bloomberg CMP and date at Stage 3.</t>
  </si>
  <si>
    <t xml:space="preserve">No of Shares (crore)</t>
  </si>
  <si>
    <t xml:space="preserve">FY26 year-end; +0.37cr shares issued on warrant conversion in May-2026 not yet included.</t>
  </si>
  <si>
    <t xml:space="preserve">Market Cap (Rs. crore)</t>
  </si>
  <si>
    <t xml:space="preserve">Asian Energy Services - Valuation Matrix</t>
  </si>
  <si>
    <t xml:space="preserve">EV/EBITDA methodology</t>
  </si>
  <si>
    <t xml:space="preserve">Consolidated EBITDA</t>
  </si>
  <si>
    <t xml:space="preserve">Rs. crore</t>
  </si>
  <si>
    <t xml:space="preserve">Net Debt: -ve implies Net Cash</t>
  </si>
  <si>
    <t xml:space="preserve">implied EV/EBITDA</t>
  </si>
  <si>
    <t xml:space="preserve">Rs./ share</t>
  </si>
  <si>
    <t xml:space="preserve">Upside / (downside) at 12x</t>
  </si>
  <si>
    <t xml:space="preserve">Trailing context (FY26A, at CMP)</t>
  </si>
  <si>
    <t xml:space="preserve">P/E on FY26 EPS</t>
  </si>
  <si>
    <t xml:space="preserve">P/B on FY26 book value</t>
  </si>
  <si>
    <t xml:space="preserve">EV/Sales on FY26</t>
  </si>
  <si>
    <t xml:space="preserve">Stage 3 will add: peer table, EV-to-equity bridge (net debt at FY26 year-end, minorities, probable contingent liabilities), bull/base/bear with different operating assumptions, reverse check of CMP. Multiples in column A are placeholders, not a view.</t>
  </si>
  <si>
    <t xml:space="preserve">BASIS</t>
  </si>
  <si>
    <t xml:space="preserve">Entity / basis</t>
  </si>
  <si>
    <t xml:space="preserve">Asian Energy Services Ltd (NSE: ASIANENE, BSE: 530355). Consolidated basis for FY09-FY26 from the ACE Equity consolidated dump (received 18-Oct-2026). FY05-FY08 are STANDALONE ACE data (consolidated series not available) and are shaded orange; they are not comparable with FY09+.</t>
  </si>
  <si>
    <t xml:space="preserve">Why consolidated</t>
  </si>
  <si>
    <t xml:space="preserve">Standalone is misleading for this company: FY26 consolidated revenue Rs.791cr vs standalone Rs.492cr (Kuiper, DMCC and other subsidiaries); FY15 consolidated Rs.141cr vs standalone Rs.1.4cr (Kurdistan contracts sat in the DMCC subsidiary). See reconciliation below.</t>
  </si>
  <si>
    <t xml:space="preserve">Units / style</t>
  </si>
  <si>
    <t xml:space="preserve">Rs. crore. Blue = hardcoded from source; black = formula; orange fill = standalone-basis column. Cell comments on row labels explain mapping choices.</t>
  </si>
  <si>
    <t xml:space="preserve">DISCONTINUITIES (never spliced over)</t>
  </si>
  <si>
    <t xml:space="preserve">FY08 / FY09 / FY10 periods</t>
  </si>
  <si>
    <t xml:space="preserve">Financial-year change: FY08 is a 15-month period to 30-Jun-2008 (standalone); FY09 is 12 months to 30-Jun-2009; FY10 is 9 months to 31-Mar-2010 (ACE "No of months" row). Growth rates across FY07-FY11 are therefore not like-for-like.</t>
  </si>
  <si>
    <t xml:space="preserve">FY16 -&gt; FY17 GAAP change</t>
  </si>
  <si>
    <t xml:space="preserve">Indian GAAP up to FY16; Ind AS from FY17 (FY17 AR presents FY16 restated under Ind AS). ACE carries the originally reported basis for each year.</t>
  </si>
  <si>
    <t xml:space="preserve">FY17 promoter change</t>
  </si>
  <si>
    <t xml:space="preserve">Oilmax Energy Pvt Ltd (Kapil Garg) acquired control in FY17 via preferential issue (Rs.88.6cr equity raised in FY17, Rs.48cr in FY18). Business re-based from this point; large ESOP charges in FY17-FY18 and FY21 (Rs.43cr, Rs.29cr, Rs.30cr per AR cash-flow notes) depress reported PAT in those years.</t>
  </si>
  <si>
    <t xml:space="preserve">FY23 reclassification</t>
  </si>
  <si>
    <t xml:space="preserve">FY24 AR restated FY23 expense lines: employee benefits Rs.28.68cr (own-year AR Rs.28.59cr) and other expenses Rs.18.82cr (Rs.18.91cr). Totals unchanged. ACE carries the FY23 AR version.</t>
  </si>
  <si>
    <t xml:space="preserve">FY19 cash-flow restatement</t>
  </si>
  <si>
    <t xml:space="preserve">FY19 AR: operating cash flow Rs.34.8cr, closing cash Rs.2.97cr. FY20 AR comparatives: Rs.26.9cr and Rs.0.97cr (bank overdraft netted / reclassification). ACE uses the FY19 AR figures.</t>
  </si>
  <si>
    <t xml:space="preserve">FY21 cash-flow restatement</t>
  </si>
  <si>
    <t xml:space="preserve">FY21 AR: operating cash flow Rs.-17.5cr, closing cash Rs.12.1cr. FY22 AR comparatives: Rs.-6.8cr and Rs.22.7cr. Check which version ACE carries before relying on FY21 cash conversion.</t>
  </si>
  <si>
    <t xml:space="preserve">FY26 Kuiper consolidation</t>
  </si>
  <si>
    <t xml:space="preserve">Kuiper Holdings / Kuiper Group (international O&amp;M, acquired Apr-2025 for Rs.122.8cr net cash paid; Rs.72.1cr cash acquired) consolidated from acquisition date. Adds Rs.299cr of revenue outside India in FY26 (AR FY26 Note 45 III). FY26 vs FY25 growth is therefore mostly inorganic.</t>
  </si>
  <si>
    <t xml:space="preserve">Post-FY26 share count</t>
  </si>
  <si>
    <t xml:space="preserve">May-2026: 36.6 lakh shares issued on warrant conversion (Rs.92cr). Diluted count for valuation = 4.49cr + 0.37cr = 4.86cr. Not yet in the model.</t>
  </si>
  <si>
    <t xml:space="preserve">Oilmax merger (pending)</t>
  </si>
  <si>
    <t xml:space="preserve">Scheme of merger by absorption of Oilmax Energy Pvt Ltd (promoter entity, E&amp;P assets) into AESL: NCLT final order 29-Sep-2026, certified copy received 15-Oct-2026. Will change share count, segment mix (adds E&amp;P) and related-party profile from FY27. Not in historicals.</t>
  </si>
  <si>
    <t xml:space="preserve">STANDALONE vs CONSOLIDATED (Rs. crore)</t>
  </si>
  <si>
    <t xml:space="preserve">Year</t>
  </si>
  <si>
    <t xml:space="preserve">Standalone revenue</t>
  </si>
  <si>
    <t xml:space="preserve">Consolidated revenue</t>
  </si>
  <si>
    <t xml:space="preserve">Standalone PAT</t>
  </si>
  <si>
    <t xml:space="preserve">Consolidated PAT</t>
  </si>
  <si>
    <t xml:space="preserve">Standalone net worth</t>
  </si>
  <si>
    <t xml:space="preserve">Consolidated net worth</t>
  </si>
  <si>
    <t xml:space="preserve">SOURCES</t>
  </si>
  <si>
    <t xml:space="preserve">ACE consolidated dump</t>
  </si>
  <si>
    <t xml:space="preserve">Sheets: P&amp;L (schedules), Balance Sheet (schedules), Cash Flow, Ratios, Valuation ratios. FY09-FY26. Tag [S] secondary, verified against [A] audited ARs for FY16-FY26 on revenue, PBT, PAT, total assets, OCF, closing cash (all tie).</t>
  </si>
  <si>
    <t xml:space="preserve">ACE standalone dump</t>
  </si>
  <si>
    <t xml:space="preserve">Used only for FY05-FY08 columns and the reconciliation table above. Also source of DPS and the share-price row (BSE daily closes to 16-Oct-2026).</t>
  </si>
  <si>
    <t xml:space="preserve">Annual reports</t>
  </si>
  <si>
    <t xml:space="preserve">AR FY16-FY26 (company website) for segment note (Ind AS 108), restatement checks, acquisition and ESOP details. AR FY15 text is font-garbled in the PDF and was not used.</t>
  </si>
  <si>
    <t xml:space="preserve">Document repository</t>
  </si>
  <si>
    <t xml:space="preserve">Full filing set (annual reports, results, decks, transcripts, orders, merger documents) in the two zips delivered 18-Oct-2026; see their README for coverage.</t>
  </si>
  <si>
    <t xml:space="preserve">LAYOUT CHANGES vs SAMPLE</t>
  </si>
  <si>
    <t xml:space="preserve">Rows added</t>
  </si>
  <si>
    <t xml:space="preserve">P&amp;L: Share of Profit/(Loss) of JVs; Less: Minority Interest; PAT attributable to owners. Cash flow: Acquisition of Subsidiaries; Cash acquired on acquisition / FX. Working capital: Debtor + Unbilled Days. Key ratios: current-maturities memo, ROCE ex-cash, asset and gross-block turns, capex/depreciation. All other rows, formulas and formats follow the sample.</t>
  </si>
  <si>
    <t xml:space="preserve">Raw material row</t>
  </si>
  <si>
    <t xml:space="preserve">ACE reports no raw-material cost for a services company, so Variable Cost = stock change only and Gross Margin is near 100%. The economically meaningful variable cost is Other Manufacturing Expenses (project-related costs). Read EBITDA margin, not gross margin.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</si>
</sst>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.0"/>
    <numFmt numFmtId="167" formatCode="#,##0.00"/>
    <numFmt numFmtId="168" formatCode="#,##0.00;\(#,##0.00\);\-"/>
    <numFmt numFmtId="169" formatCode="0.0\x"/>
    <numFmt numFmtId="170" formatCode="#,##0"/>
    <numFmt numFmtId="171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4472C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FFC000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2"/>
    </font>
    <font>
      <b val="true"/>
      <sz val="10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  <fill>
      <patternFill patternType="solid">
        <fgColor rgb="FFFBE5D6"/>
        <bgColor rgb="FFE2ECF5"/>
      </patternFill>
    </fill>
    <fill>
      <patternFill patternType="solid">
        <fgColor rgb="FFDDEBF7"/>
        <bgColor rgb="FFE2ECF5"/>
      </patternFill>
    </fill>
    <fill>
      <patternFill patternType="solid">
        <fgColor rgb="FFE2ECF5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BE5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CF5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J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7" min="2" style="0" width="10"/>
  </cols>
  <sheetData>
    <row r="1" customFormat="false" ht="15" hidden="false" customHeight="false" outlineLevel="0" collapsed="false">
      <c r="X1" s="1"/>
      <c r="Y1" s="1"/>
      <c r="Z1" s="2" t="s">
        <v>0</v>
      </c>
    </row>
    <row r="2" customFormat="false" ht="15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</row>
    <row r="3" customFormat="false" ht="15" hidden="false" customHeight="false" outlineLevel="0" collapsed="false">
      <c r="A3" s="6" t="s">
        <v>28</v>
      </c>
      <c r="B3" s="7" t="n">
        <v>7.792</v>
      </c>
      <c r="C3" s="7" t="n">
        <v>10.3419</v>
      </c>
      <c r="D3" s="7" t="n">
        <v>27.3333</v>
      </c>
      <c r="E3" s="7" t="n">
        <v>46.099</v>
      </c>
      <c r="F3" s="8" t="n">
        <v>68.8106</v>
      </c>
      <c r="G3" s="8" t="n">
        <v>20.1678</v>
      </c>
      <c r="H3" s="8" t="n">
        <v>64.1328</v>
      </c>
      <c r="I3" s="8" t="n">
        <v>45.3417</v>
      </c>
      <c r="J3" s="8" t="n">
        <v>55.3772</v>
      </c>
      <c r="K3" s="8" t="n">
        <v>121.8294</v>
      </c>
      <c r="L3" s="8" t="n">
        <v>140.833</v>
      </c>
      <c r="M3" s="8" t="n">
        <v>77.6676</v>
      </c>
      <c r="N3" s="8" t="n">
        <v>124.3162</v>
      </c>
      <c r="O3" s="8" t="n">
        <v>222.2229</v>
      </c>
      <c r="P3" s="8" t="n">
        <v>193.8552</v>
      </c>
      <c r="Q3" s="8" t="n">
        <v>273.1538</v>
      </c>
      <c r="R3" s="8" t="n">
        <v>228.7898</v>
      </c>
      <c r="S3" s="8" t="n">
        <v>260.4711</v>
      </c>
      <c r="T3" s="8" t="n">
        <v>109.9514</v>
      </c>
      <c r="U3" s="8" t="n">
        <v>305.0648</v>
      </c>
      <c r="V3" s="8" t="n">
        <v>465.0381</v>
      </c>
      <c r="W3" s="8" t="n">
        <v>791.0474</v>
      </c>
    </row>
    <row r="4" customFormat="false" ht="15" hidden="false" customHeight="false" outlineLevel="0" collapsed="false">
      <c r="A4" s="9" t="s">
        <v>29</v>
      </c>
      <c r="C4" s="10" t="n">
        <f aca="false">+C$3/B$3-1</f>
        <v>0.327245893223819</v>
      </c>
      <c r="D4" s="10" t="n">
        <f aca="false">+D$3/C$3-1</f>
        <v>1.64296695964958</v>
      </c>
      <c r="E4" s="10" t="n">
        <f aca="false">+E$3/D$3-1</f>
        <v>0.686550837257118</v>
      </c>
      <c r="F4" s="10" t="n">
        <f aca="false">+F$3/E$3-1</f>
        <v>0.49267012299616</v>
      </c>
      <c r="G4" s="10" t="n">
        <f aca="false">+G$3/F$3-1</f>
        <v>-0.706908528627857</v>
      </c>
      <c r="H4" s="10" t="n">
        <f aca="false">+H$3/G$3-1</f>
        <v>2.17996013447178</v>
      </c>
      <c r="I4" s="10" t="n">
        <f aca="false">+I$3/H$3-1</f>
        <v>-0.293002956365542</v>
      </c>
      <c r="J4" s="10" t="n">
        <f aca="false">+J$3/I$3-1</f>
        <v>0.221330475037328</v>
      </c>
      <c r="K4" s="10" t="n">
        <f aca="false">+K$3/J$3-1</f>
        <v>1.19999205449174</v>
      </c>
      <c r="L4" s="10" t="n">
        <f aca="false">+L$3/K$3-1</f>
        <v>0.155985336872709</v>
      </c>
      <c r="M4" s="10" t="n">
        <f aca="false">+M$3/L$3-1</f>
        <v>-0.448512777545036</v>
      </c>
      <c r="N4" s="10" t="n">
        <f aca="false">+N$3/M$3-1</f>
        <v>0.600618533339514</v>
      </c>
      <c r="O4" s="10" t="n">
        <f aca="false">+O$3/N$3-1</f>
        <v>0.787561878500147</v>
      </c>
      <c r="P4" s="10" t="n">
        <f aca="false">+P$3/O$3-1</f>
        <v>-0.127654260654505</v>
      </c>
      <c r="Q4" s="10" t="n">
        <f aca="false">+Q$3/P$3-1</f>
        <v>0.40906098985222</v>
      </c>
      <c r="R4" s="10" t="n">
        <f aca="false">+R$3/Q$3-1</f>
        <v>-0.16241399533889</v>
      </c>
      <c r="S4" s="10" t="n">
        <f aca="false">+S$3/R$3-1</f>
        <v>0.138473393481702</v>
      </c>
      <c r="T4" s="10" t="n">
        <f aca="false">+T$3/S$3-1</f>
        <v>-0.577874858285622</v>
      </c>
      <c r="U4" s="10" t="n">
        <f aca="false">+U$3/T$3-1</f>
        <v>1.77454220682956</v>
      </c>
      <c r="V4" s="10" t="n">
        <f aca="false">+V$3/U$3-1</f>
        <v>0.524391211309859</v>
      </c>
      <c r="W4" s="10" t="n">
        <f aca="false">+W$3/V$3-1</f>
        <v>0.701037828943478</v>
      </c>
    </row>
    <row r="5" customFormat="false" ht="15" hidden="false" customHeight="false" outlineLevel="0" collapsed="false">
      <c r="A5" s="6" t="s">
        <v>30</v>
      </c>
    </row>
    <row r="6" customFormat="false" ht="15" hidden="false" customHeight="false" outlineLevel="0" collapsed="false">
      <c r="A6" s="11" t="s">
        <v>31</v>
      </c>
      <c r="B6" s="12" t="n">
        <v>-0.052</v>
      </c>
      <c r="C6" s="12" t="n">
        <v>0.145</v>
      </c>
      <c r="D6" s="12" t="n">
        <v>-0.0882</v>
      </c>
      <c r="E6" s="12" t="n">
        <v>-0.0097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-0.2901</v>
      </c>
      <c r="V6" s="13" t="n">
        <v>0.1123</v>
      </c>
      <c r="W6" s="13" t="n">
        <v>-0.1147</v>
      </c>
    </row>
    <row r="7" customFormat="false" ht="15" hidden="false" customHeight="false" outlineLevel="0" collapsed="false">
      <c r="A7" s="11" t="s">
        <v>32</v>
      </c>
      <c r="B7" s="12" t="n">
        <v>0.0087</v>
      </c>
      <c r="C7" s="12" t="n">
        <v>0</v>
      </c>
      <c r="D7" s="12" t="n">
        <v>0</v>
      </c>
      <c r="E7" s="12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</row>
    <row r="8" customFormat="false" ht="15" hidden="false" customHeight="false" outlineLevel="0" collapsed="false">
      <c r="A8" s="6" t="s">
        <v>33</v>
      </c>
      <c r="B8" s="14" t="n">
        <f aca="false">+B6+B7</f>
        <v>-0.0433</v>
      </c>
      <c r="C8" s="14" t="n">
        <f aca="false">+C6+C7</f>
        <v>0.145</v>
      </c>
      <c r="D8" s="14" t="n">
        <f aca="false">+D6+D7</f>
        <v>-0.0882</v>
      </c>
      <c r="E8" s="14" t="n">
        <f aca="false">+E6+E7</f>
        <v>-0.0097</v>
      </c>
      <c r="F8" s="14" t="n">
        <f aca="false">+F6+F7</f>
        <v>0</v>
      </c>
      <c r="G8" s="14" t="n">
        <f aca="false">+G6+G7</f>
        <v>0</v>
      </c>
      <c r="H8" s="14" t="n">
        <f aca="false">+H6+H7</f>
        <v>0</v>
      </c>
      <c r="I8" s="14" t="n">
        <f aca="false">+I6+I7</f>
        <v>0</v>
      </c>
      <c r="J8" s="14" t="n">
        <f aca="false">+J6+J7</f>
        <v>0</v>
      </c>
      <c r="K8" s="14" t="n">
        <f aca="false">+K6+K7</f>
        <v>0</v>
      </c>
      <c r="L8" s="14" t="n">
        <f aca="false">+L6+L7</f>
        <v>0</v>
      </c>
      <c r="M8" s="14" t="n">
        <f aca="false">+M6+M7</f>
        <v>0</v>
      </c>
      <c r="N8" s="14" t="n">
        <f aca="false">+N6+N7</f>
        <v>0</v>
      </c>
      <c r="O8" s="14" t="n">
        <f aca="false">+O6+O7</f>
        <v>0</v>
      </c>
      <c r="P8" s="14" t="n">
        <f aca="false">+P6+P7</f>
        <v>0</v>
      </c>
      <c r="Q8" s="14" t="n">
        <f aca="false">+Q6+Q7</f>
        <v>0</v>
      </c>
      <c r="R8" s="14" t="n">
        <f aca="false">+R6+R7</f>
        <v>0</v>
      </c>
      <c r="S8" s="14" t="n">
        <f aca="false">+S6+S7</f>
        <v>0</v>
      </c>
      <c r="T8" s="14" t="n">
        <f aca="false">+T6+T7</f>
        <v>0</v>
      </c>
      <c r="U8" s="14" t="n">
        <f aca="false">+U6+U7</f>
        <v>-0.2901</v>
      </c>
      <c r="V8" s="14" t="n">
        <f aca="false">+V6+V7</f>
        <v>0.1123</v>
      </c>
      <c r="W8" s="14" t="n">
        <f aca="false">+W6+W7</f>
        <v>-0.1147</v>
      </c>
    </row>
    <row r="9" customFormat="false" ht="15" hidden="false" customHeight="false" outlineLevel="0" collapsed="false">
      <c r="A9" s="15" t="s">
        <v>34</v>
      </c>
      <c r="B9" s="16" t="n">
        <f aca="false">+B3-B8</f>
        <v>7.8353</v>
      </c>
      <c r="C9" s="16" t="n">
        <f aca="false">+C3-C8</f>
        <v>10.1969</v>
      </c>
      <c r="D9" s="16" t="n">
        <f aca="false">+D3-D8</f>
        <v>27.4215</v>
      </c>
      <c r="E9" s="16" t="n">
        <f aca="false">+E3-E8</f>
        <v>46.1087</v>
      </c>
      <c r="F9" s="16" t="n">
        <f aca="false">+F3-F8</f>
        <v>68.8106</v>
      </c>
      <c r="G9" s="16" t="n">
        <f aca="false">+G3-G8</f>
        <v>20.1678</v>
      </c>
      <c r="H9" s="16" t="n">
        <f aca="false">+H3-H8</f>
        <v>64.1328</v>
      </c>
      <c r="I9" s="16" t="n">
        <f aca="false">+I3-I8</f>
        <v>45.3417</v>
      </c>
      <c r="J9" s="16" t="n">
        <f aca="false">+J3-J8</f>
        <v>55.3772</v>
      </c>
      <c r="K9" s="16" t="n">
        <f aca="false">+K3-K8</f>
        <v>121.8294</v>
      </c>
      <c r="L9" s="16" t="n">
        <f aca="false">+L3-L8</f>
        <v>140.833</v>
      </c>
      <c r="M9" s="16" t="n">
        <f aca="false">+M3-M8</f>
        <v>77.6676</v>
      </c>
      <c r="N9" s="16" t="n">
        <f aca="false">+N3-N8</f>
        <v>124.3162</v>
      </c>
      <c r="O9" s="16" t="n">
        <f aca="false">+O3-O8</f>
        <v>222.2229</v>
      </c>
      <c r="P9" s="16" t="n">
        <f aca="false">+P3-P8</f>
        <v>193.8552</v>
      </c>
      <c r="Q9" s="16" t="n">
        <f aca="false">+Q3-Q8</f>
        <v>273.1538</v>
      </c>
      <c r="R9" s="16" t="n">
        <f aca="false">+R3-R8</f>
        <v>228.7898</v>
      </c>
      <c r="S9" s="16" t="n">
        <f aca="false">+S3-S8</f>
        <v>260.4711</v>
      </c>
      <c r="T9" s="16" t="n">
        <f aca="false">+T3-T8</f>
        <v>109.9514</v>
      </c>
      <c r="U9" s="16" t="n">
        <f aca="false">+U3-U8</f>
        <v>305.3549</v>
      </c>
      <c r="V9" s="16" t="n">
        <f aca="false">+V3-V8</f>
        <v>464.9258</v>
      </c>
      <c r="W9" s="16" t="n">
        <f aca="false">+W3-W8</f>
        <v>791.1621</v>
      </c>
    </row>
    <row r="10" customFormat="false" ht="15" hidden="false" customHeight="false" outlineLevel="0" collapsed="false">
      <c r="A10" s="9" t="s">
        <v>35</v>
      </c>
      <c r="B10" s="17" t="n">
        <f aca="false">+B9/B3</f>
        <v>1.00555698151951</v>
      </c>
      <c r="C10" s="17" t="n">
        <f aca="false">+C9/C3</f>
        <v>0.985979365493768</v>
      </c>
      <c r="D10" s="17" t="n">
        <f aca="false">+D9/D3</f>
        <v>1.00322683320346</v>
      </c>
      <c r="E10" s="17" t="n">
        <f aca="false">+E9/E3</f>
        <v>1.00021041671186</v>
      </c>
      <c r="F10" s="17" t="n">
        <f aca="false">+F9/F3</f>
        <v>1</v>
      </c>
      <c r="G10" s="17" t="n">
        <f aca="false">+G9/G3</f>
        <v>1</v>
      </c>
      <c r="H10" s="17" t="n">
        <f aca="false">+H9/H3</f>
        <v>1</v>
      </c>
      <c r="I10" s="17" t="n">
        <f aca="false">+I9/I3</f>
        <v>1</v>
      </c>
      <c r="J10" s="17" t="n">
        <f aca="false">+J9/J3</f>
        <v>1</v>
      </c>
      <c r="K10" s="17" t="n">
        <f aca="false">+K9/K3</f>
        <v>1</v>
      </c>
      <c r="L10" s="17" t="n">
        <f aca="false">+L9/L3</f>
        <v>1</v>
      </c>
      <c r="M10" s="17" t="n">
        <f aca="false">+M9/M3</f>
        <v>1</v>
      </c>
      <c r="N10" s="17" t="n">
        <f aca="false">+N9/N3</f>
        <v>1</v>
      </c>
      <c r="O10" s="17" t="n">
        <f aca="false">+O9/O3</f>
        <v>1</v>
      </c>
      <c r="P10" s="17" t="n">
        <f aca="false">+P9/P3</f>
        <v>1</v>
      </c>
      <c r="Q10" s="17" t="n">
        <f aca="false">+Q9/Q3</f>
        <v>1</v>
      </c>
      <c r="R10" s="17" t="n">
        <f aca="false">+R9/R3</f>
        <v>1</v>
      </c>
      <c r="S10" s="17" t="n">
        <f aca="false">+S9/S3</f>
        <v>1</v>
      </c>
      <c r="T10" s="17" t="n">
        <f aca="false">+T9/T3</f>
        <v>1</v>
      </c>
      <c r="U10" s="17" t="n">
        <f aca="false">+U9/U3</f>
        <v>1.00095094550404</v>
      </c>
      <c r="V10" s="17" t="n">
        <f aca="false">+V9/V3</f>
        <v>0.999758514409895</v>
      </c>
      <c r="W10" s="17" t="n">
        <f aca="false">+W9/W3</f>
        <v>1.00014499763225</v>
      </c>
    </row>
    <row r="11" customFormat="false" ht="15" hidden="false" customHeight="false" outlineLevel="0" collapsed="false">
      <c r="A11" s="11" t="s">
        <v>36</v>
      </c>
      <c r="B11" s="12" t="n">
        <v>0.0113</v>
      </c>
      <c r="C11" s="12" t="n">
        <v>0.0094</v>
      </c>
      <c r="D11" s="12" t="n">
        <v>0.0116</v>
      </c>
      <c r="E11" s="12" t="n">
        <v>0.0255</v>
      </c>
      <c r="F11" s="13" t="n">
        <v>0.0309</v>
      </c>
      <c r="G11" s="13" t="n">
        <v>0.3433</v>
      </c>
      <c r="H11" s="13" t="n">
        <v>1.646</v>
      </c>
      <c r="I11" s="13" t="n">
        <v>1.7599</v>
      </c>
      <c r="J11" s="13" t="n">
        <v>2.6158</v>
      </c>
      <c r="K11" s="13" t="n">
        <v>2.1969</v>
      </c>
      <c r="L11" s="13" t="n">
        <v>4.7593</v>
      </c>
      <c r="M11" s="13" t="n">
        <v>2.2245</v>
      </c>
      <c r="N11" s="13" t="n">
        <v>0.6942</v>
      </c>
      <c r="O11" s="13" t="n">
        <v>0.8584</v>
      </c>
      <c r="P11" s="13" t="n">
        <v>0.312</v>
      </c>
      <c r="Q11" s="13" t="n">
        <v>0.1863</v>
      </c>
      <c r="R11" s="13" t="n">
        <v>1.7866</v>
      </c>
      <c r="S11" s="13" t="n">
        <v>5.4573</v>
      </c>
      <c r="T11" s="13" t="n">
        <v>1.3327</v>
      </c>
      <c r="U11" s="13" t="n">
        <v>1.4511</v>
      </c>
      <c r="V11" s="13" t="n">
        <v>1.2851</v>
      </c>
      <c r="W11" s="13" t="n">
        <v>1.1548</v>
      </c>
    </row>
    <row r="12" customFormat="false" ht="15" hidden="false" customHeight="false" outlineLevel="0" collapsed="false">
      <c r="A12" s="11" t="s">
        <v>37</v>
      </c>
      <c r="B12" s="12" t="n">
        <v>0.2009</v>
      </c>
      <c r="C12" s="12" t="n">
        <v>0.2546</v>
      </c>
      <c r="D12" s="12" t="n">
        <v>0.3882</v>
      </c>
      <c r="E12" s="12" t="n">
        <v>1.7489</v>
      </c>
      <c r="F12" s="13" t="n">
        <v>2.8866</v>
      </c>
      <c r="G12" s="13" t="n">
        <v>3.6939</v>
      </c>
      <c r="H12" s="13" t="n">
        <v>10.2307</v>
      </c>
      <c r="I12" s="13" t="n">
        <v>10.6574</v>
      </c>
      <c r="J12" s="13" t="n">
        <v>12.5705</v>
      </c>
      <c r="K12" s="13" t="n">
        <v>15.6098</v>
      </c>
      <c r="L12" s="13" t="n">
        <v>22.9595</v>
      </c>
      <c r="M12" s="13" t="n">
        <v>17.461</v>
      </c>
      <c r="N12" s="13" t="n">
        <v>22.5332</v>
      </c>
      <c r="O12" s="13" t="n">
        <v>36.9253</v>
      </c>
      <c r="P12" s="13" t="n">
        <v>20.67</v>
      </c>
      <c r="Q12" s="13" t="n">
        <v>10.0333</v>
      </c>
      <c r="R12" s="13" t="n">
        <v>14.2757</v>
      </c>
      <c r="S12" s="13" t="n">
        <v>21.8715</v>
      </c>
      <c r="T12" s="13" t="n">
        <v>28.5933</v>
      </c>
      <c r="U12" s="13" t="n">
        <v>26.4386</v>
      </c>
      <c r="V12" s="13" t="n">
        <v>12.0414</v>
      </c>
      <c r="W12" s="13" t="n">
        <v>42.1453</v>
      </c>
    </row>
    <row r="13" customFormat="false" ht="15" hidden="false" customHeight="false" outlineLevel="0" collapsed="false">
      <c r="A13" s="11" t="s">
        <v>38</v>
      </c>
      <c r="B13" s="12" t="n">
        <v>6.1584</v>
      </c>
      <c r="C13" s="12" t="n">
        <v>7.8543</v>
      </c>
      <c r="D13" s="12" t="n">
        <v>17.3593</v>
      </c>
      <c r="E13" s="12" t="n">
        <v>25.665</v>
      </c>
      <c r="F13" s="13" t="n">
        <v>41.3242</v>
      </c>
      <c r="G13" s="13" t="n">
        <v>7.8215</v>
      </c>
      <c r="H13" s="13" t="n">
        <v>33.6653</v>
      </c>
      <c r="I13" s="13" t="n">
        <v>24.7249</v>
      </c>
      <c r="J13" s="13" t="n">
        <v>26.798</v>
      </c>
      <c r="K13" s="13" t="n">
        <v>82.259</v>
      </c>
      <c r="L13" s="13" t="n">
        <v>82.6211</v>
      </c>
      <c r="M13" s="13" t="n">
        <v>65.832</v>
      </c>
      <c r="N13" s="13" t="n">
        <v>16.0951</v>
      </c>
      <c r="O13" s="13" t="n">
        <v>75.6539</v>
      </c>
      <c r="P13" s="13" t="n">
        <v>110.2722</v>
      </c>
      <c r="Q13" s="13" t="n">
        <v>114.4034</v>
      </c>
      <c r="R13" s="13" t="n">
        <v>100.9672</v>
      </c>
      <c r="S13" s="13" t="n">
        <v>139.0727</v>
      </c>
      <c r="T13" s="13" t="n">
        <v>69.9947</v>
      </c>
      <c r="U13" s="13" t="n">
        <v>213.5349</v>
      </c>
      <c r="V13" s="13" t="n">
        <v>357.764</v>
      </c>
      <c r="W13" s="13" t="n">
        <v>607.6703</v>
      </c>
    </row>
    <row r="14" customFormat="false" ht="15" hidden="false" customHeight="false" outlineLevel="0" collapsed="false">
      <c r="A14" s="11" t="s">
        <v>39</v>
      </c>
      <c r="B14" s="12" t="n">
        <v>0.4848</v>
      </c>
      <c r="C14" s="12" t="n">
        <v>0.6543</v>
      </c>
      <c r="D14" s="12" t="n">
        <v>1.1644</v>
      </c>
      <c r="E14" s="12" t="n">
        <v>3.2133</v>
      </c>
      <c r="F14" s="13" t="n">
        <v>11.5349</v>
      </c>
      <c r="G14" s="13" t="n">
        <v>5.5573</v>
      </c>
      <c r="H14" s="13" t="n">
        <v>12.4569</v>
      </c>
      <c r="I14" s="13" t="n">
        <v>12.7854</v>
      </c>
      <c r="J14" s="13" t="n">
        <v>15.4689</v>
      </c>
      <c r="K14" s="13" t="n">
        <v>13.868</v>
      </c>
      <c r="L14" s="13" t="n">
        <v>34.7563</v>
      </c>
      <c r="M14" s="13" t="n">
        <v>11.611</v>
      </c>
      <c r="N14" s="13" t="n">
        <v>58.8604</v>
      </c>
      <c r="O14" s="13" t="n">
        <v>66.5208</v>
      </c>
      <c r="P14" s="13" t="n">
        <v>27.9345</v>
      </c>
      <c r="Q14" s="13" t="n">
        <v>78.3647</v>
      </c>
      <c r="R14" s="13" t="n">
        <v>54.8935</v>
      </c>
      <c r="S14" s="13" t="n">
        <v>23.7932</v>
      </c>
      <c r="T14" s="13" t="n">
        <v>24.1306</v>
      </c>
      <c r="U14" s="13" t="n">
        <v>19.6858</v>
      </c>
      <c r="V14" s="13" t="n">
        <v>24.8796</v>
      </c>
      <c r="W14" s="13" t="n">
        <v>40.1986</v>
      </c>
    </row>
    <row r="15" customFormat="false" ht="15" hidden="false" customHeight="false" outlineLevel="0" collapsed="false">
      <c r="A15" s="11" t="s">
        <v>40</v>
      </c>
      <c r="B15" s="12" t="n">
        <v>0.0055</v>
      </c>
      <c r="C15" s="12" t="n">
        <v>0.0067</v>
      </c>
      <c r="D15" s="12" t="n">
        <v>0.0082</v>
      </c>
      <c r="E15" s="12" t="n">
        <v>0.0665</v>
      </c>
      <c r="F15" s="13" t="n">
        <v>0.0805</v>
      </c>
      <c r="G15" s="13" t="n">
        <v>0.0385</v>
      </c>
      <c r="H15" s="13" t="n">
        <v>0.0844</v>
      </c>
      <c r="I15" s="13" t="n">
        <v>0.1426</v>
      </c>
      <c r="J15" s="13" t="n">
        <v>0.6493</v>
      </c>
      <c r="K15" s="13" t="n">
        <v>8.9887</v>
      </c>
      <c r="L15" s="13" t="n">
        <v>0.6303</v>
      </c>
      <c r="M15" s="13" t="n">
        <v>0.079</v>
      </c>
      <c r="N15" s="13" t="n">
        <v>0.0363</v>
      </c>
      <c r="O15" s="13" t="n">
        <v>0.5893</v>
      </c>
      <c r="P15" s="13" t="n">
        <v>0.1322</v>
      </c>
      <c r="Q15" s="13" t="n">
        <v>0.043</v>
      </c>
      <c r="R15" s="13" t="n">
        <v>0.3676</v>
      </c>
      <c r="S15" s="13" t="n">
        <v>0.9364</v>
      </c>
      <c r="T15" s="13" t="n">
        <v>0.5568</v>
      </c>
      <c r="U15" s="13" t="n">
        <v>0.0502</v>
      </c>
      <c r="V15" s="13" t="n">
        <v>0.0706</v>
      </c>
      <c r="W15" s="13" t="n">
        <v>0</v>
      </c>
    </row>
    <row r="16" customFormat="false" ht="15" hidden="false" customHeight="false" outlineLevel="0" collapsed="false">
      <c r="A16" s="11" t="s">
        <v>41</v>
      </c>
      <c r="B16" s="12" t="n">
        <v>0.0715</v>
      </c>
      <c r="C16" s="12" t="n">
        <v>0.05</v>
      </c>
      <c r="D16" s="12" t="n">
        <v>0.0245</v>
      </c>
      <c r="E16" s="12" t="n">
        <v>0.1717</v>
      </c>
      <c r="F16" s="13" t="n">
        <v>2.8141</v>
      </c>
      <c r="G16" s="13" t="n">
        <v>0.2217</v>
      </c>
      <c r="H16" s="13" t="n">
        <v>0.434</v>
      </c>
      <c r="I16" s="13" t="n">
        <v>1.3735</v>
      </c>
      <c r="J16" s="13" t="n">
        <v>0.6088</v>
      </c>
      <c r="K16" s="13" t="n">
        <v>1.3881</v>
      </c>
      <c r="L16" s="13" t="n">
        <v>0.6164</v>
      </c>
      <c r="M16" s="13" t="n">
        <v>5.5169</v>
      </c>
      <c r="N16" s="13" t="n">
        <v>44.3675</v>
      </c>
      <c r="O16" s="13" t="n">
        <v>0.985</v>
      </c>
      <c r="P16" s="13" t="n">
        <v>1.659</v>
      </c>
      <c r="Q16" s="13" t="n">
        <v>3.5754</v>
      </c>
      <c r="R16" s="13" t="n">
        <v>1.017</v>
      </c>
      <c r="S16" s="13" t="n">
        <v>3.0004</v>
      </c>
      <c r="T16" s="13" t="n">
        <v>4.1132</v>
      </c>
      <c r="U16" s="13" t="n">
        <v>2.3774</v>
      </c>
      <c r="V16" s="13" t="n">
        <v>2.7771</v>
      </c>
      <c r="W16" s="13" t="n">
        <v>4.6372</v>
      </c>
    </row>
    <row r="17" customFormat="false" ht="15" hidden="false" customHeight="false" outlineLevel="0" collapsed="false">
      <c r="A17" s="6" t="s">
        <v>42</v>
      </c>
      <c r="B17" s="14" t="n">
        <f aca="false">SUM(B11:B16)+B8</f>
        <v>6.8891</v>
      </c>
      <c r="C17" s="14" t="n">
        <f aca="false">SUM(C11:C16)+C8</f>
        <v>8.9743</v>
      </c>
      <c r="D17" s="14" t="n">
        <f aca="false">SUM(D11:D16)+D8</f>
        <v>18.868</v>
      </c>
      <c r="E17" s="14" t="n">
        <f aca="false">SUM(E11:E16)+E8</f>
        <v>30.8812</v>
      </c>
      <c r="F17" s="14" t="n">
        <f aca="false">SUM(F11:F16)+F8</f>
        <v>58.6712</v>
      </c>
      <c r="G17" s="14" t="n">
        <f aca="false">SUM(G11:G16)+G8</f>
        <v>17.6762</v>
      </c>
      <c r="H17" s="14" t="n">
        <f aca="false">SUM(H11:H16)+H8</f>
        <v>58.5173</v>
      </c>
      <c r="I17" s="14" t="n">
        <f aca="false">SUM(I11:I16)+I8</f>
        <v>51.4437</v>
      </c>
      <c r="J17" s="14" t="n">
        <f aca="false">SUM(J11:J16)+J8</f>
        <v>58.7113</v>
      </c>
      <c r="K17" s="14" t="n">
        <f aca="false">SUM(K11:K16)+K8</f>
        <v>124.3105</v>
      </c>
      <c r="L17" s="14" t="n">
        <f aca="false">SUM(L11:L16)+L8</f>
        <v>146.3429</v>
      </c>
      <c r="M17" s="14" t="n">
        <f aca="false">SUM(M11:M16)+M8</f>
        <v>102.7244</v>
      </c>
      <c r="N17" s="14" t="n">
        <f aca="false">SUM(N11:N16)+N8</f>
        <v>142.5867</v>
      </c>
      <c r="O17" s="14" t="n">
        <f aca="false">SUM(O11:O16)+O8</f>
        <v>181.5327</v>
      </c>
      <c r="P17" s="14" t="n">
        <f aca="false">SUM(P11:P16)+P8</f>
        <v>160.9799</v>
      </c>
      <c r="Q17" s="14" t="n">
        <f aca="false">SUM(Q11:Q16)+Q8</f>
        <v>206.6061</v>
      </c>
      <c r="R17" s="14" t="n">
        <f aca="false">SUM(R11:R16)+R8</f>
        <v>173.3076</v>
      </c>
      <c r="S17" s="14" t="n">
        <f aca="false">SUM(S11:S16)+S8</f>
        <v>194.1315</v>
      </c>
      <c r="T17" s="14" t="n">
        <f aca="false">SUM(T11:T16)+T8</f>
        <v>128.7213</v>
      </c>
      <c r="U17" s="14" t="n">
        <f aca="false">SUM(U11:U16)+U8</f>
        <v>263.2479</v>
      </c>
      <c r="V17" s="14" t="n">
        <f aca="false">SUM(V11:V16)+V8</f>
        <v>398.9301</v>
      </c>
      <c r="W17" s="14" t="n">
        <f aca="false">SUM(W11:W16)+W8</f>
        <v>695.6915</v>
      </c>
    </row>
    <row r="19" customFormat="false" ht="15" hidden="false" customHeight="false" outlineLevel="0" collapsed="false">
      <c r="A19" s="15" t="s">
        <v>43</v>
      </c>
      <c r="B19" s="16" t="n">
        <f aca="false">B3-B17</f>
        <v>0.9029</v>
      </c>
      <c r="C19" s="16" t="n">
        <f aca="false">C3-C17</f>
        <v>1.3676</v>
      </c>
      <c r="D19" s="16" t="n">
        <f aca="false">D3-D17</f>
        <v>8.4653</v>
      </c>
      <c r="E19" s="16" t="n">
        <f aca="false">E3-E17</f>
        <v>15.2178</v>
      </c>
      <c r="F19" s="16" t="n">
        <f aca="false">F3-F17</f>
        <v>10.1394</v>
      </c>
      <c r="G19" s="16" t="n">
        <f aca="false">G3-G17</f>
        <v>2.4916</v>
      </c>
      <c r="H19" s="16" t="n">
        <f aca="false">H3-H17</f>
        <v>5.6155</v>
      </c>
      <c r="I19" s="16" t="n">
        <f aca="false">I3-I17</f>
        <v>-6.102</v>
      </c>
      <c r="J19" s="16" t="n">
        <f aca="false">J3-J17</f>
        <v>-3.33409999999999</v>
      </c>
      <c r="K19" s="16" t="n">
        <f aca="false">K3-K17</f>
        <v>-2.4811</v>
      </c>
      <c r="L19" s="16" t="n">
        <f aca="false">L3-L17</f>
        <v>-5.50989999999999</v>
      </c>
      <c r="M19" s="16" t="n">
        <f aca="false">M3-M17</f>
        <v>-25.0568</v>
      </c>
      <c r="N19" s="16" t="n">
        <f aca="false">N3-N17</f>
        <v>-18.2705</v>
      </c>
      <c r="O19" s="16" t="n">
        <f aca="false">O3-O17</f>
        <v>40.6902</v>
      </c>
      <c r="P19" s="16" t="n">
        <f aca="false">P3-P17</f>
        <v>32.8753</v>
      </c>
      <c r="Q19" s="16" t="n">
        <f aca="false">Q3-Q17</f>
        <v>66.5477</v>
      </c>
      <c r="R19" s="16" t="n">
        <f aca="false">R3-R17</f>
        <v>55.4822</v>
      </c>
      <c r="S19" s="16" t="n">
        <f aca="false">S3-S17</f>
        <v>66.3396</v>
      </c>
      <c r="T19" s="16" t="n">
        <f aca="false">T3-T17</f>
        <v>-18.7699</v>
      </c>
      <c r="U19" s="16" t="n">
        <f aca="false">U3-U17</f>
        <v>41.8169</v>
      </c>
      <c r="V19" s="16" t="n">
        <f aca="false">V3-V17</f>
        <v>66.108</v>
      </c>
      <c r="W19" s="16" t="n">
        <f aca="false">W3-W17</f>
        <v>95.3559</v>
      </c>
    </row>
    <row r="20" customFormat="false" ht="15" hidden="false" customHeight="false" outlineLevel="0" collapsed="false">
      <c r="A20" s="9" t="s">
        <v>29</v>
      </c>
      <c r="C20" s="17" t="n">
        <f aca="false">IF(B19&lt;=0,"n.m.",C19/B19-1)</f>
        <v>0.514674936316316</v>
      </c>
      <c r="D20" s="17" t="n">
        <f aca="false">IF(C19&lt;=0,"n.m.",D19/C19-1)</f>
        <v>5.1898947060544</v>
      </c>
      <c r="E20" s="17" t="n">
        <f aca="false">IF(D19&lt;=0,"n.m.",E19/D19-1)</f>
        <v>0.797668127532397</v>
      </c>
      <c r="F20" s="17" t="n">
        <f aca="false">IF(E19&lt;=0,"n.m.",F19/E19-1)</f>
        <v>-0.333714465954343</v>
      </c>
      <c r="G20" s="17" t="n">
        <f aca="false">IF(F19&lt;=0,"n.m.",G19/F19-1)</f>
        <v>-0.754265538394777</v>
      </c>
      <c r="H20" s="17" t="n">
        <f aca="false">IF(G19&lt;=0,"n.m.",H19/G19-1)</f>
        <v>1.25377267619201</v>
      </c>
      <c r="I20" s="17" t="n">
        <f aca="false">IF(H19&lt;=0,"n.m.",I19/H19-1)</f>
        <v>-2.0866352061259</v>
      </c>
      <c r="J20" s="17" t="str">
        <f aca="false">IF(I19&lt;=0,"n.m.",J19/I19-1)</f>
        <v>n.m.</v>
      </c>
      <c r="K20" s="17" t="str">
        <f aca="false">IF(J19&lt;=0,"n.m.",K19/J19-1)</f>
        <v>n.m.</v>
      </c>
      <c r="L20" s="17" t="str">
        <f aca="false">IF(K19&lt;=0,"n.m.",L19/K19-1)</f>
        <v>n.m.</v>
      </c>
      <c r="M20" s="17" t="str">
        <f aca="false">IF(L19&lt;=0,"n.m.",M19/L19-1)</f>
        <v>n.m.</v>
      </c>
      <c r="N20" s="17" t="str">
        <f aca="false">IF(M19&lt;=0,"n.m.",N19/M19-1)</f>
        <v>n.m.</v>
      </c>
      <c r="O20" s="17" t="str">
        <f aca="false">IF(N19&lt;=0,"n.m.",O19/N19-1)</f>
        <v>n.m.</v>
      </c>
      <c r="P20" s="17" t="n">
        <f aca="false">IF(O19&lt;=0,"n.m.",P19/O19-1)</f>
        <v>-0.19205853006375</v>
      </c>
      <c r="Q20" s="17" t="n">
        <f aca="false">IF(P19&lt;=0,"n.m.",Q19/P19-1)</f>
        <v>1.0242461665749</v>
      </c>
      <c r="R20" s="17" t="n">
        <f aca="false">IF(Q19&lt;=0,"n.m.",R19/Q19-1)</f>
        <v>-0.166279225277508</v>
      </c>
      <c r="S20" s="17" t="n">
        <f aca="false">IF(R19&lt;=0,"n.m.",S19/R19-1)</f>
        <v>0.19569159117699</v>
      </c>
      <c r="T20" s="17" t="n">
        <f aca="false">IF(S19&lt;=0,"n.m.",T19/S19-1)</f>
        <v>-1.28293658689531</v>
      </c>
      <c r="U20" s="17" t="str">
        <f aca="false">IF(T19&lt;=0,"n.m.",U19/T19-1)</f>
        <v>n.m.</v>
      </c>
      <c r="V20" s="17" t="n">
        <f aca="false">IF(U19&lt;=0,"n.m.",V19/U19-1)</f>
        <v>0.58089193603543</v>
      </c>
      <c r="W20" s="17" t="n">
        <f aca="false">IF(V19&lt;=0,"n.m.",W19/V19-1)</f>
        <v>0.442426030132512</v>
      </c>
    </row>
    <row r="21" customFormat="false" ht="15" hidden="false" customHeight="false" outlineLevel="0" collapsed="false">
      <c r="A21" s="9" t="s">
        <v>44</v>
      </c>
      <c r="B21" s="17" t="n">
        <f aca="false">+B19/B3</f>
        <v>0.115875256673511</v>
      </c>
      <c r="C21" s="17" t="n">
        <f aca="false">+C19/C3</f>
        <v>0.132238756901537</v>
      </c>
      <c r="D21" s="17" t="n">
        <f aca="false">+D19/D3</f>
        <v>0.309706475251799</v>
      </c>
      <c r="E21" s="17" t="n">
        <f aca="false">+E19/E3</f>
        <v>0.330111282240396</v>
      </c>
      <c r="F21" s="17" t="n">
        <f aca="false">+F19/F3</f>
        <v>0.147352297465797</v>
      </c>
      <c r="G21" s="17" t="n">
        <f aca="false">+G19/G3</f>
        <v>0.123543470284315</v>
      </c>
      <c r="H21" s="17" t="n">
        <f aca="false">+H19/H3</f>
        <v>0.0875604994636131</v>
      </c>
      <c r="I21" s="17" t="n">
        <f aca="false">+I19/I3</f>
        <v>-0.134578103599997</v>
      </c>
      <c r="J21" s="17" t="n">
        <f aca="false">+J19/J3</f>
        <v>-0.0602070888380054</v>
      </c>
      <c r="K21" s="17" t="n">
        <f aca="false">+K19/K3</f>
        <v>-0.0203653633687763</v>
      </c>
      <c r="L21" s="17" t="n">
        <f aca="false">+L19/L3</f>
        <v>-0.0391236428961961</v>
      </c>
      <c r="M21" s="17" t="n">
        <f aca="false">+M19/M3</f>
        <v>-0.322615865560414</v>
      </c>
      <c r="N21" s="17" t="n">
        <f aca="false">+N19/N3</f>
        <v>-0.146967973602797</v>
      </c>
      <c r="O21" s="17" t="n">
        <f aca="false">+O19/O3</f>
        <v>0.183105341528708</v>
      </c>
      <c r="P21" s="17" t="n">
        <f aca="false">+P19/P3</f>
        <v>0.16958688753255</v>
      </c>
      <c r="Q21" s="17" t="n">
        <f aca="false">+Q19/Q3</f>
        <v>0.243627216608372</v>
      </c>
      <c r="R21" s="17" t="n">
        <f aca="false">+R19/R3</f>
        <v>0.242502943750115</v>
      </c>
      <c r="S21" s="17" t="n">
        <f aca="false">+S19/S3</f>
        <v>0.254690827504472</v>
      </c>
      <c r="T21" s="17" t="n">
        <f aca="false">+T19/T3</f>
        <v>-0.170710877715063</v>
      </c>
      <c r="U21" s="17" t="n">
        <f aca="false">+U19/U3</f>
        <v>0.137075467244992</v>
      </c>
      <c r="V21" s="17" t="n">
        <f aca="false">+V19/V3</f>
        <v>0.142156094307112</v>
      </c>
      <c r="W21" s="17" t="n">
        <f aca="false">+W19/W3</f>
        <v>0.120543851101717</v>
      </c>
    </row>
    <row r="22" customFormat="false" ht="15" hidden="false" customHeight="false" outlineLevel="0" collapsed="false">
      <c r="A22" s="11" t="s">
        <v>45</v>
      </c>
      <c r="B22" s="12" t="n">
        <v>0.1154</v>
      </c>
      <c r="C22" s="12" t="n">
        <v>0.2014</v>
      </c>
      <c r="D22" s="12" t="n">
        <v>0.2641</v>
      </c>
      <c r="E22" s="12" t="n">
        <v>1.8369</v>
      </c>
      <c r="F22" s="13" t="n">
        <v>2.4831</v>
      </c>
      <c r="G22" s="13" t="n">
        <v>0.8703</v>
      </c>
      <c r="H22" s="13" t="n">
        <v>3.6072</v>
      </c>
      <c r="I22" s="13" t="n">
        <v>4.4322</v>
      </c>
      <c r="J22" s="13" t="n">
        <v>6.3341</v>
      </c>
      <c r="K22" s="13" t="n">
        <v>3.4691</v>
      </c>
      <c r="L22" s="13" t="n">
        <v>6.5486</v>
      </c>
      <c r="M22" s="13" t="n">
        <v>28.5242</v>
      </c>
      <c r="N22" s="13" t="n">
        <v>3.8944</v>
      </c>
      <c r="O22" s="13" t="n">
        <v>3.524</v>
      </c>
      <c r="P22" s="13" t="n">
        <v>3.9772</v>
      </c>
      <c r="Q22" s="13" t="n">
        <v>3.4683</v>
      </c>
      <c r="R22" s="13" t="n">
        <v>5.4203</v>
      </c>
      <c r="S22" s="13" t="n">
        <v>2.8284</v>
      </c>
      <c r="T22" s="13" t="n">
        <v>4.0969</v>
      </c>
      <c r="U22" s="13" t="n">
        <v>6.22</v>
      </c>
      <c r="V22" s="13" t="n">
        <v>5.4144</v>
      </c>
      <c r="W22" s="13" t="n">
        <v>8.8908</v>
      </c>
    </row>
    <row r="23" customFormat="false" ht="15" hidden="false" customHeight="false" outlineLevel="0" collapsed="false">
      <c r="A23" s="11" t="s">
        <v>46</v>
      </c>
      <c r="B23" s="12" t="n">
        <v>0.3666</v>
      </c>
      <c r="C23" s="12" t="n">
        <v>0.3404</v>
      </c>
      <c r="D23" s="12" t="n">
        <v>0.6558</v>
      </c>
      <c r="E23" s="12" t="n">
        <v>2.0428</v>
      </c>
      <c r="F23" s="13" t="n">
        <v>3.9044</v>
      </c>
      <c r="G23" s="13" t="n">
        <v>3.5659</v>
      </c>
      <c r="H23" s="13" t="n">
        <v>8.6267</v>
      </c>
      <c r="I23" s="13" t="n">
        <v>8.5149</v>
      </c>
      <c r="J23" s="13" t="n">
        <v>8.8169</v>
      </c>
      <c r="K23" s="13" t="n">
        <v>14.1454</v>
      </c>
      <c r="L23" s="13" t="n">
        <v>18.1089</v>
      </c>
      <c r="M23" s="13" t="n">
        <v>17.7781</v>
      </c>
      <c r="N23" s="13" t="n">
        <v>15.13</v>
      </c>
      <c r="O23" s="13" t="n">
        <v>17.0268</v>
      </c>
      <c r="P23" s="13" t="n">
        <v>19.4427</v>
      </c>
      <c r="Q23" s="13" t="n">
        <v>19.6594</v>
      </c>
      <c r="R23" s="13" t="n">
        <v>23.3298</v>
      </c>
      <c r="S23" s="13" t="n">
        <v>27.6881</v>
      </c>
      <c r="T23" s="13" t="n">
        <v>21.9704</v>
      </c>
      <c r="U23" s="13" t="n">
        <v>17.0187</v>
      </c>
      <c r="V23" s="13" t="n">
        <v>17.7066</v>
      </c>
      <c r="W23" s="13" t="n">
        <v>18.8635</v>
      </c>
    </row>
    <row r="24" customFormat="false" ht="15" hidden="false" customHeight="false" outlineLevel="0" collapsed="false">
      <c r="A24" s="15" t="s">
        <v>47</v>
      </c>
      <c r="B24" s="16" t="n">
        <f aca="false">B19+B22-B23</f>
        <v>0.6517</v>
      </c>
      <c r="C24" s="16" t="n">
        <f aca="false">C19+C22-C23</f>
        <v>1.2286</v>
      </c>
      <c r="D24" s="16" t="n">
        <f aca="false">D19+D22-D23</f>
        <v>8.0736</v>
      </c>
      <c r="E24" s="16" t="n">
        <f aca="false">E19+E22-E23</f>
        <v>15.0119</v>
      </c>
      <c r="F24" s="16" t="n">
        <f aca="false">F19+F22-F23</f>
        <v>8.7181</v>
      </c>
      <c r="G24" s="16" t="n">
        <f aca="false">G19+G22-G23</f>
        <v>-0.204000000000002</v>
      </c>
      <c r="H24" s="16" t="n">
        <f aca="false">H19+H22-H23</f>
        <v>0.596000000000005</v>
      </c>
      <c r="I24" s="16" t="n">
        <f aca="false">I19+I22-I23</f>
        <v>-10.1847</v>
      </c>
      <c r="J24" s="16" t="n">
        <f aca="false">J19+J22-J23</f>
        <v>-5.81689999999999</v>
      </c>
      <c r="K24" s="16" t="n">
        <f aca="false">K19+K22-K23</f>
        <v>-13.1574</v>
      </c>
      <c r="L24" s="16" t="n">
        <f aca="false">L19+L22-L23</f>
        <v>-17.0702</v>
      </c>
      <c r="M24" s="16" t="n">
        <f aca="false">M19+M22-M23</f>
        <v>-14.3107</v>
      </c>
      <c r="N24" s="16" t="n">
        <f aca="false">N19+N22-N23</f>
        <v>-29.5061</v>
      </c>
      <c r="O24" s="16" t="n">
        <f aca="false">O19+O22-O23</f>
        <v>27.1874</v>
      </c>
      <c r="P24" s="16" t="n">
        <f aca="false">P19+P22-P23</f>
        <v>17.4098</v>
      </c>
      <c r="Q24" s="16" t="n">
        <f aca="false">Q19+Q22-Q23</f>
        <v>50.3566</v>
      </c>
      <c r="R24" s="16" t="n">
        <f aca="false">R19+R22-R23</f>
        <v>37.5727</v>
      </c>
      <c r="S24" s="16" t="n">
        <f aca="false">S19+S22-S23</f>
        <v>41.4799</v>
      </c>
      <c r="T24" s="16" t="n">
        <f aca="false">T19+T22-T23</f>
        <v>-36.6434</v>
      </c>
      <c r="U24" s="16" t="n">
        <f aca="false">U19+U22-U23</f>
        <v>31.0182</v>
      </c>
      <c r="V24" s="16" t="n">
        <f aca="false">V19+V22-V23</f>
        <v>53.8157999999999</v>
      </c>
      <c r="W24" s="16" t="n">
        <f aca="false">W19+W22-W23</f>
        <v>85.3832</v>
      </c>
    </row>
    <row r="25" customFormat="false" ht="15" hidden="false" customHeight="false" outlineLevel="0" collapsed="false">
      <c r="A25" s="11" t="s">
        <v>48</v>
      </c>
      <c r="B25" s="12" t="n">
        <v>0.1478</v>
      </c>
      <c r="C25" s="12" t="n">
        <v>0.227</v>
      </c>
      <c r="D25" s="12" t="n">
        <v>0.5023</v>
      </c>
      <c r="E25" s="12" t="n">
        <v>1.0213</v>
      </c>
      <c r="F25" s="13" t="n">
        <v>0.6507</v>
      </c>
      <c r="G25" s="13" t="n">
        <v>0.3162</v>
      </c>
      <c r="H25" s="13" t="n">
        <v>1.0053</v>
      </c>
      <c r="I25" s="13" t="n">
        <v>2.3447</v>
      </c>
      <c r="J25" s="13" t="n">
        <v>3.1862</v>
      </c>
      <c r="K25" s="13" t="n">
        <v>9.4699</v>
      </c>
      <c r="L25" s="13" t="n">
        <v>9.4525</v>
      </c>
      <c r="M25" s="13" t="n">
        <v>10.8918</v>
      </c>
      <c r="N25" s="13" t="n">
        <v>7.6827</v>
      </c>
      <c r="O25" s="13" t="n">
        <v>6.3407</v>
      </c>
      <c r="P25" s="13" t="n">
        <v>5.7206</v>
      </c>
      <c r="Q25" s="13" t="n">
        <v>2.852</v>
      </c>
      <c r="R25" s="13" t="n">
        <v>0.7134</v>
      </c>
      <c r="S25" s="13" t="n">
        <v>0.8092</v>
      </c>
      <c r="T25" s="13" t="n">
        <v>2.4636</v>
      </c>
      <c r="U25" s="13" t="n">
        <v>2.0613</v>
      </c>
      <c r="V25" s="13" t="n">
        <v>3.8255</v>
      </c>
      <c r="W25" s="13" t="n">
        <v>10.6512</v>
      </c>
    </row>
    <row r="26" customFormat="false" ht="15" hidden="false" customHeight="false" outlineLevel="0" collapsed="false">
      <c r="A26" s="11" t="s">
        <v>49</v>
      </c>
      <c r="B26" s="12" t="n">
        <v>0</v>
      </c>
      <c r="C26" s="12" t="n">
        <v>0</v>
      </c>
      <c r="D26" s="12" t="n">
        <v>0</v>
      </c>
      <c r="E26" s="12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0.611</v>
      </c>
      <c r="U26" s="13" t="n">
        <v>1.5713</v>
      </c>
      <c r="V26" s="13" t="n">
        <v>6.1866</v>
      </c>
      <c r="W26" s="13" t="n">
        <v>3.5077</v>
      </c>
    </row>
    <row r="27" customFormat="false" ht="15" hidden="false" customHeight="false" outlineLevel="0" collapsed="false">
      <c r="A27" s="11" t="s">
        <v>50</v>
      </c>
      <c r="B27" s="12" t="n">
        <v>0</v>
      </c>
      <c r="C27" s="12" t="n">
        <v>0</v>
      </c>
      <c r="D27" s="12" t="n">
        <v>-0.7947</v>
      </c>
      <c r="E27" s="12" t="n">
        <v>-0.3402</v>
      </c>
      <c r="F27" s="13" t="n">
        <v>0</v>
      </c>
      <c r="G27" s="13" t="n">
        <v>0</v>
      </c>
      <c r="H27" s="13" t="n">
        <v>-6.9808</v>
      </c>
      <c r="I27" s="13" t="n">
        <v>-0.7394</v>
      </c>
      <c r="J27" s="13" t="n">
        <v>-1.3842</v>
      </c>
      <c r="K27" s="13" t="n">
        <v>-0.7823</v>
      </c>
      <c r="L27" s="13" t="n">
        <v>-0.4492</v>
      </c>
      <c r="M27" s="13" t="n">
        <v>0</v>
      </c>
      <c r="N27" s="13" t="n">
        <v>19.1894</v>
      </c>
      <c r="O27" s="13" t="n">
        <v>-10.3411</v>
      </c>
      <c r="P27" s="13" t="n">
        <v>-2.5077</v>
      </c>
      <c r="Q27" s="13" t="n">
        <v>-6.8655</v>
      </c>
      <c r="R27" s="13" t="n">
        <v>-12.3446</v>
      </c>
      <c r="S27" s="13" t="n">
        <v>0</v>
      </c>
      <c r="T27" s="13" t="n">
        <v>-6.0685</v>
      </c>
      <c r="U27" s="13" t="n">
        <v>-1.851</v>
      </c>
      <c r="V27" s="13" t="n">
        <v>0</v>
      </c>
      <c r="W27" s="13" t="n">
        <v>-9.4031</v>
      </c>
    </row>
    <row r="28" customFormat="false" ht="15" hidden="false" customHeight="false" outlineLevel="0" collapsed="false">
      <c r="A28" s="15" t="s">
        <v>51</v>
      </c>
      <c r="B28" s="16" t="n">
        <f aca="false">+B24-B25+B26+B27</f>
        <v>0.5039</v>
      </c>
      <c r="C28" s="16" t="n">
        <f aca="false">+C24-C25+C26+C27</f>
        <v>1.0016</v>
      </c>
      <c r="D28" s="16" t="n">
        <f aca="false">+D24-D25+D26+D27</f>
        <v>6.7766</v>
      </c>
      <c r="E28" s="16" t="n">
        <f aca="false">+E24-E25+E26+E27</f>
        <v>13.6504</v>
      </c>
      <c r="F28" s="16" t="n">
        <f aca="false">+F24-F25+F26+F27</f>
        <v>8.0674</v>
      </c>
      <c r="G28" s="16" t="n">
        <f aca="false">+G24-G25+G26+G27</f>
        <v>-0.520200000000002</v>
      </c>
      <c r="H28" s="16" t="n">
        <f aca="false">+H24-H25+H26+H27</f>
        <v>-7.3901</v>
      </c>
      <c r="I28" s="16" t="n">
        <f aca="false">+I24-I25+I26+I27</f>
        <v>-13.2688</v>
      </c>
      <c r="J28" s="16" t="n">
        <f aca="false">+J24-J25+J26+J27</f>
        <v>-10.3873</v>
      </c>
      <c r="K28" s="16" t="n">
        <f aca="false">+K24-K25+K26+K27</f>
        <v>-23.4096</v>
      </c>
      <c r="L28" s="16" t="n">
        <f aca="false">+L24-L25+L26+L27</f>
        <v>-26.9719</v>
      </c>
      <c r="M28" s="16" t="n">
        <f aca="false">+M24-M25+M26+M27</f>
        <v>-25.2025</v>
      </c>
      <c r="N28" s="16" t="n">
        <f aca="false">+N24-N25+N26+N27</f>
        <v>-17.9994</v>
      </c>
      <c r="O28" s="16" t="n">
        <f aca="false">+O24-O25+O26+O27</f>
        <v>10.5056</v>
      </c>
      <c r="P28" s="16" t="n">
        <f aca="false">+P24-P25+P26+P27</f>
        <v>9.18150000000001</v>
      </c>
      <c r="Q28" s="16" t="n">
        <f aca="false">+Q24-Q25+Q26+Q27</f>
        <v>40.6391</v>
      </c>
      <c r="R28" s="16" t="n">
        <f aca="false">+R24-R25+R26+R27</f>
        <v>24.5147</v>
      </c>
      <c r="S28" s="16" t="n">
        <f aca="false">+S24-S25+S26+S27</f>
        <v>40.6707</v>
      </c>
      <c r="T28" s="16" t="n">
        <f aca="false">+T24-T25+T26+T27</f>
        <v>-44.5645</v>
      </c>
      <c r="U28" s="16" t="n">
        <f aca="false">+U24-U25+U26+U27</f>
        <v>28.6772</v>
      </c>
      <c r="V28" s="16" t="n">
        <f aca="false">+V24-V25+V26+V27</f>
        <v>56.1769</v>
      </c>
      <c r="W28" s="16" t="n">
        <f aca="false">+W24-W25+W26+W27</f>
        <v>68.8366</v>
      </c>
    </row>
    <row r="29" customFormat="false" ht="15" hidden="false" customHeight="false" outlineLevel="0" collapsed="false">
      <c r="A29" s="11" t="s">
        <v>52</v>
      </c>
      <c r="B29" s="12" t="n">
        <v>0.1848</v>
      </c>
      <c r="C29" s="12" t="n">
        <v>0.3805</v>
      </c>
      <c r="D29" s="12" t="n">
        <v>2.4813</v>
      </c>
      <c r="E29" s="12" t="n">
        <v>4.0278</v>
      </c>
      <c r="F29" s="13" t="n">
        <v>2.8156</v>
      </c>
      <c r="G29" s="13" t="n">
        <v>0.3766</v>
      </c>
      <c r="H29" s="13" t="n">
        <v>0.1551</v>
      </c>
      <c r="I29" s="13" t="n">
        <v>-4.2264</v>
      </c>
      <c r="J29" s="13" t="n">
        <v>-0.0926</v>
      </c>
      <c r="K29" s="13" t="n">
        <v>0.0181</v>
      </c>
      <c r="L29" s="13" t="n">
        <v>0.039</v>
      </c>
      <c r="M29" s="13" t="n">
        <v>1.8531</v>
      </c>
      <c r="N29" s="13" t="n">
        <v>0.2052</v>
      </c>
      <c r="O29" s="13" t="n">
        <v>0.2017</v>
      </c>
      <c r="P29" s="13" t="n">
        <v>0.0808</v>
      </c>
      <c r="Q29" s="13" t="n">
        <v>11.4037</v>
      </c>
      <c r="R29" s="13" t="n">
        <v>1.9432</v>
      </c>
      <c r="S29" s="13" t="n">
        <v>1.8596</v>
      </c>
      <c r="T29" s="13" t="n">
        <v>-0.1223</v>
      </c>
      <c r="U29" s="13" t="n">
        <v>3.1297</v>
      </c>
      <c r="V29" s="13" t="n">
        <v>14.0133</v>
      </c>
      <c r="W29" s="13" t="n">
        <v>16.9979</v>
      </c>
    </row>
    <row r="30" customFormat="false" ht="15" hidden="false" customHeight="false" outlineLevel="0" collapsed="false">
      <c r="A30" s="18" t="s">
        <v>53</v>
      </c>
      <c r="B30" s="19" t="n">
        <f aca="false">IF(B28&lt;=0,"n.m.",B29/B28)</f>
        <v>0.366739432427069</v>
      </c>
      <c r="C30" s="19" t="n">
        <f aca="false">IF(C28&lt;=0,"n.m.",C29/C28)</f>
        <v>0.379892172523961</v>
      </c>
      <c r="D30" s="19" t="n">
        <f aca="false">IF(D28&lt;=0,"n.m.",D29/D28)</f>
        <v>0.366157069917068</v>
      </c>
      <c r="E30" s="19" t="n">
        <f aca="false">IF(E28&lt;=0,"n.m.",E29/E28)</f>
        <v>0.295068276387505</v>
      </c>
      <c r="F30" s="19" t="n">
        <f aca="false">IF(F28&lt;=0,"n.m.",F29/F28)</f>
        <v>0.349009594169125</v>
      </c>
      <c r="G30" s="19" t="str">
        <f aca="false">IF(G28&lt;=0,"n.m.",G29/G28)</f>
        <v>n.m.</v>
      </c>
      <c r="H30" s="19" t="str">
        <f aca="false">IF(H28&lt;=0,"n.m.",H29/H28)</f>
        <v>n.m.</v>
      </c>
      <c r="I30" s="19" t="str">
        <f aca="false">IF(I28&lt;=0,"n.m.",I29/I28)</f>
        <v>n.m.</v>
      </c>
      <c r="J30" s="19" t="str">
        <f aca="false">IF(J28&lt;=0,"n.m.",J29/J28)</f>
        <v>n.m.</v>
      </c>
      <c r="K30" s="19" t="str">
        <f aca="false">IF(K28&lt;=0,"n.m.",K29/K28)</f>
        <v>n.m.</v>
      </c>
      <c r="L30" s="19" t="str">
        <f aca="false">IF(L28&lt;=0,"n.m.",L29/L28)</f>
        <v>n.m.</v>
      </c>
      <c r="M30" s="19" t="str">
        <f aca="false">IF(M28&lt;=0,"n.m.",M29/M28)</f>
        <v>n.m.</v>
      </c>
      <c r="N30" s="19" t="str">
        <f aca="false">IF(N28&lt;=0,"n.m.",N29/N28)</f>
        <v>n.m.</v>
      </c>
      <c r="O30" s="19" t="n">
        <f aca="false">IF(O28&lt;=0,"n.m.",O29/O28)</f>
        <v>0.0191992841912884</v>
      </c>
      <c r="P30" s="19" t="n">
        <f aca="false">IF(P28&lt;=0,"n.m.",P29/P28)</f>
        <v>0.008800304961063</v>
      </c>
      <c r="Q30" s="19" t="n">
        <f aca="false">IF(Q28&lt;=0,"n.m.",Q29/Q28)</f>
        <v>0.280609068606342</v>
      </c>
      <c r="R30" s="19" t="n">
        <f aca="false">IF(R28&lt;=0,"n.m.",R29/R28)</f>
        <v>0.0792667256788784</v>
      </c>
      <c r="S30" s="19" t="n">
        <f aca="false">IF(S28&lt;=0,"n.m.",S29/S28)</f>
        <v>0.0457233339972019</v>
      </c>
      <c r="T30" s="19" t="str">
        <f aca="false">IF(T28&lt;=0,"n.m.",T29/T28)</f>
        <v>n.m.</v>
      </c>
      <c r="U30" s="19" t="n">
        <f aca="false">IF(U28&lt;=0,"n.m.",U29/U28)</f>
        <v>0.109135480451369</v>
      </c>
      <c r="V30" s="19" t="n">
        <f aca="false">IF(V28&lt;=0,"n.m.",V29/V28)</f>
        <v>0.24944950682576</v>
      </c>
      <c r="W30" s="19" t="n">
        <f aca="false">IF(W28&lt;=0,"n.m.",W29/W28)</f>
        <v>0.246931138376968</v>
      </c>
    </row>
    <row r="31" customFormat="false" ht="15" hidden="false" customHeight="false" outlineLevel="0" collapsed="false">
      <c r="A31" s="15" t="s">
        <v>54</v>
      </c>
      <c r="B31" s="16" t="n">
        <f aca="false">+B28-B29</f>
        <v>0.3191</v>
      </c>
      <c r="C31" s="16" t="n">
        <f aca="false">+C28-C29</f>
        <v>0.621100000000001</v>
      </c>
      <c r="D31" s="16" t="n">
        <f aca="false">+D28-D29</f>
        <v>4.2953</v>
      </c>
      <c r="E31" s="16" t="n">
        <f aca="false">+E28-E29</f>
        <v>9.6226</v>
      </c>
      <c r="F31" s="16" t="n">
        <f aca="false">+F28-F29</f>
        <v>5.2518</v>
      </c>
      <c r="G31" s="16" t="n">
        <f aca="false">+G28-G29</f>
        <v>-0.896800000000002</v>
      </c>
      <c r="H31" s="16" t="n">
        <f aca="false">+H28-H29</f>
        <v>-7.5452</v>
      </c>
      <c r="I31" s="16" t="n">
        <f aca="false">+I28-I29</f>
        <v>-9.0424</v>
      </c>
      <c r="J31" s="16" t="n">
        <f aca="false">+J28-J29</f>
        <v>-10.2947</v>
      </c>
      <c r="K31" s="16" t="n">
        <f aca="false">+K28-K29</f>
        <v>-23.4277</v>
      </c>
      <c r="L31" s="16" t="n">
        <f aca="false">+L28-L29</f>
        <v>-27.0109</v>
      </c>
      <c r="M31" s="16" t="n">
        <f aca="false">+M28-M29</f>
        <v>-27.0556</v>
      </c>
      <c r="N31" s="16" t="n">
        <f aca="false">+N28-N29</f>
        <v>-18.2046</v>
      </c>
      <c r="O31" s="16" t="n">
        <f aca="false">+O28-O29</f>
        <v>10.3039</v>
      </c>
      <c r="P31" s="16" t="n">
        <f aca="false">+P28-P29</f>
        <v>9.10070000000001</v>
      </c>
      <c r="Q31" s="16" t="n">
        <f aca="false">+Q28-Q29</f>
        <v>29.2354</v>
      </c>
      <c r="R31" s="16" t="n">
        <f aca="false">+R28-R29</f>
        <v>22.5715</v>
      </c>
      <c r="S31" s="16" t="n">
        <f aca="false">+S28-S29</f>
        <v>38.8111</v>
      </c>
      <c r="T31" s="16" t="n">
        <f aca="false">+T28-T29</f>
        <v>-44.4422</v>
      </c>
      <c r="U31" s="16" t="n">
        <f aca="false">+U28-U29</f>
        <v>25.5475</v>
      </c>
      <c r="V31" s="16" t="n">
        <f aca="false">+V28-V29</f>
        <v>42.1635999999999</v>
      </c>
      <c r="W31" s="16" t="n">
        <f aca="false">+W28-W29</f>
        <v>51.8387</v>
      </c>
    </row>
    <row r="32" customFormat="false" ht="15" hidden="false" customHeight="false" outlineLevel="0" collapsed="false">
      <c r="A32" s="11" t="s">
        <v>55</v>
      </c>
      <c r="B32" s="12" t="n">
        <v>0</v>
      </c>
      <c r="C32" s="12" t="n">
        <v>0</v>
      </c>
      <c r="D32" s="12" t="n">
        <v>0</v>
      </c>
      <c r="E32" s="12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-0.0852</v>
      </c>
      <c r="U32" s="13" t="n">
        <v>0.0802</v>
      </c>
      <c r="V32" s="13" t="n">
        <v>0.0405</v>
      </c>
      <c r="W32" s="13" t="n">
        <v>0.6816</v>
      </c>
    </row>
    <row r="33" customFormat="false" ht="15" hidden="false" customHeight="false" outlineLevel="0" collapsed="false">
      <c r="A33" s="6" t="s">
        <v>56</v>
      </c>
      <c r="B33" s="14" t="n">
        <f aca="false">+B31-B32</f>
        <v>0.3191</v>
      </c>
      <c r="C33" s="14" t="n">
        <f aca="false">+C31-C32</f>
        <v>0.621100000000001</v>
      </c>
      <c r="D33" s="14" t="n">
        <f aca="false">+D31-D32</f>
        <v>4.2953</v>
      </c>
      <c r="E33" s="14" t="n">
        <f aca="false">+E31-E32</f>
        <v>9.6226</v>
      </c>
      <c r="F33" s="14" t="n">
        <f aca="false">+F31-F32</f>
        <v>5.2518</v>
      </c>
      <c r="G33" s="14" t="n">
        <f aca="false">+G31-G32</f>
        <v>-0.896800000000002</v>
      </c>
      <c r="H33" s="14" t="n">
        <f aca="false">+H31-H32</f>
        <v>-7.5452</v>
      </c>
      <c r="I33" s="14" t="n">
        <f aca="false">+I31-I32</f>
        <v>-9.0424</v>
      </c>
      <c r="J33" s="14" t="n">
        <f aca="false">+J31-J32</f>
        <v>-10.2947</v>
      </c>
      <c r="K33" s="14" t="n">
        <f aca="false">+K31-K32</f>
        <v>-23.4277</v>
      </c>
      <c r="L33" s="14" t="n">
        <f aca="false">+L31-L32</f>
        <v>-27.0109</v>
      </c>
      <c r="M33" s="14" t="n">
        <f aca="false">+M31-M32</f>
        <v>-27.0556</v>
      </c>
      <c r="N33" s="14" t="n">
        <f aca="false">+N31-N32</f>
        <v>-18.2046</v>
      </c>
      <c r="O33" s="14" t="n">
        <f aca="false">+O31-O32</f>
        <v>10.3039</v>
      </c>
      <c r="P33" s="14" t="n">
        <f aca="false">+P31-P32</f>
        <v>9.10070000000001</v>
      </c>
      <c r="Q33" s="14" t="n">
        <f aca="false">+Q31-Q32</f>
        <v>29.2354</v>
      </c>
      <c r="R33" s="14" t="n">
        <f aca="false">+R31-R32</f>
        <v>22.5715</v>
      </c>
      <c r="S33" s="14" t="n">
        <f aca="false">+S31-S32</f>
        <v>38.8111</v>
      </c>
      <c r="T33" s="14" t="n">
        <f aca="false">+T31-T32</f>
        <v>-44.357</v>
      </c>
      <c r="U33" s="14" t="n">
        <f aca="false">+U31-U32</f>
        <v>25.4673</v>
      </c>
      <c r="V33" s="14" t="n">
        <f aca="false">+V31-V32</f>
        <v>42.1230999999999</v>
      </c>
      <c r="W33" s="14" t="n">
        <f aca="false">+W31-W32</f>
        <v>51.1571</v>
      </c>
    </row>
    <row r="34" customFormat="false" ht="15" hidden="false" customHeight="false" outlineLevel="0" collapsed="false">
      <c r="A34" s="9" t="s">
        <v>29</v>
      </c>
      <c r="C34" s="17" t="n">
        <f aca="false">IF(B33&lt;=0,"n.m.",C33/B33-1)</f>
        <v>0.946411783140086</v>
      </c>
      <c r="D34" s="17" t="n">
        <f aca="false">IF(C33&lt;=0,"n.m.",D33/C33-1)</f>
        <v>5.91563355337303</v>
      </c>
      <c r="E34" s="17" t="n">
        <f aca="false">IF(D33&lt;=0,"n.m.",E33/D33-1)</f>
        <v>1.2402626126231</v>
      </c>
      <c r="F34" s="17" t="n">
        <f aca="false">IF(E33&lt;=0,"n.m.",F33/E33-1)</f>
        <v>-0.454222351547399</v>
      </c>
      <c r="G34" s="17" t="n">
        <f aca="false">IF(F33&lt;=0,"n.m.",G33/F33-1)</f>
        <v>-1.17076050116151</v>
      </c>
      <c r="H34" s="17" t="str">
        <f aca="false">IF(G33&lt;=0,"n.m.",H33/G33-1)</f>
        <v>n.m.</v>
      </c>
      <c r="I34" s="17" t="str">
        <f aca="false">IF(H33&lt;=0,"n.m.",I33/H33-1)</f>
        <v>n.m.</v>
      </c>
      <c r="J34" s="17" t="str">
        <f aca="false">IF(I33&lt;=0,"n.m.",J33/I33-1)</f>
        <v>n.m.</v>
      </c>
      <c r="K34" s="17" t="str">
        <f aca="false">IF(J33&lt;=0,"n.m.",K33/J33-1)</f>
        <v>n.m.</v>
      </c>
      <c r="L34" s="17" t="str">
        <f aca="false">IF(K33&lt;=0,"n.m.",L33/K33-1)</f>
        <v>n.m.</v>
      </c>
      <c r="M34" s="17" t="str">
        <f aca="false">IF(L33&lt;=0,"n.m.",M33/L33-1)</f>
        <v>n.m.</v>
      </c>
      <c r="N34" s="17" t="str">
        <f aca="false">IF(M33&lt;=0,"n.m.",N33/M33-1)</f>
        <v>n.m.</v>
      </c>
      <c r="O34" s="17" t="str">
        <f aca="false">IF(N33&lt;=0,"n.m.",O33/N33-1)</f>
        <v>n.m.</v>
      </c>
      <c r="P34" s="17" t="n">
        <f aca="false">IF(O33&lt;=0,"n.m.",P33/O33-1)</f>
        <v>-0.116771319597436</v>
      </c>
      <c r="Q34" s="17" t="n">
        <f aca="false">IF(P33&lt;=0,"n.m.",Q33/P33-1)</f>
        <v>2.2124342083576</v>
      </c>
      <c r="R34" s="17" t="n">
        <f aca="false">IF(Q33&lt;=0,"n.m.",R33/Q33-1)</f>
        <v>-0.227939415913584</v>
      </c>
      <c r="S34" s="17" t="n">
        <f aca="false">IF(R33&lt;=0,"n.m.",S33/R33-1)</f>
        <v>0.719473672551669</v>
      </c>
      <c r="T34" s="17" t="n">
        <f aca="false">IF(S33&lt;=0,"n.m.",T33/S33-1)</f>
        <v>-2.1428946873446</v>
      </c>
      <c r="U34" s="17" t="str">
        <f aca="false">IF(T33&lt;=0,"n.m.",U33/T33-1)</f>
        <v>n.m.</v>
      </c>
      <c r="V34" s="17" t="n">
        <f aca="false">IF(U33&lt;=0,"n.m.",V33/U33-1)</f>
        <v>0.654007295630082</v>
      </c>
      <c r="W34" s="17" t="n">
        <f aca="false">IF(V33&lt;=0,"n.m.",W33/V33-1)</f>
        <v>0.21446664656685</v>
      </c>
    </row>
    <row r="35" customFormat="false" ht="15" hidden="false" customHeight="false" outlineLevel="0" collapsed="false">
      <c r="A35" s="9" t="s">
        <v>44</v>
      </c>
      <c r="B35" s="17" t="n">
        <f aca="false">+B33/B3</f>
        <v>0.0409522587268994</v>
      </c>
      <c r="C35" s="17" t="n">
        <f aca="false">+C33/C3</f>
        <v>0.0600566627022115</v>
      </c>
      <c r="D35" s="17" t="n">
        <f aca="false">+D33/D3</f>
        <v>0.157145313591846</v>
      </c>
      <c r="E35" s="17" t="n">
        <f aca="false">+E33/E3</f>
        <v>0.20873771665329</v>
      </c>
      <c r="F35" s="17" t="n">
        <f aca="false">+F33/F3</f>
        <v>0.0763225433290801</v>
      </c>
      <c r="G35" s="17" t="n">
        <f aca="false">+G33/G3</f>
        <v>-0.0444669225200568</v>
      </c>
      <c r="H35" s="17" t="n">
        <f aca="false">+H33/H3</f>
        <v>-0.117649627023925</v>
      </c>
      <c r="I35" s="17" t="n">
        <f aca="false">+I33/I3</f>
        <v>-0.199427899703805</v>
      </c>
      <c r="J35" s="17" t="n">
        <f aca="false">+J33/J3</f>
        <v>-0.185901417912065</v>
      </c>
      <c r="K35" s="17" t="n">
        <f aca="false">+K33/K3</f>
        <v>-0.192299231548378</v>
      </c>
      <c r="L35" s="17" t="n">
        <f aca="false">+L33/L3</f>
        <v>-0.191793826730951</v>
      </c>
      <c r="M35" s="17" t="n">
        <f aca="false">+M33/M3</f>
        <v>-0.348351178612446</v>
      </c>
      <c r="N35" s="17" t="n">
        <f aca="false">+N33/N3</f>
        <v>-0.146437873744532</v>
      </c>
      <c r="O35" s="17" t="n">
        <f aca="false">+O33/O3</f>
        <v>0.046367408579404</v>
      </c>
      <c r="P35" s="17" t="n">
        <f aca="false">+P33/P3</f>
        <v>0.046945864748534</v>
      </c>
      <c r="Q35" s="17" t="n">
        <f aca="false">+Q33/Q3</f>
        <v>0.107029080320318</v>
      </c>
      <c r="R35" s="17" t="n">
        <f aca="false">+R33/R3</f>
        <v>0.0986560589676638</v>
      </c>
      <c r="S35" s="17" t="n">
        <f aca="false">+S33/S3</f>
        <v>0.149003478696869</v>
      </c>
      <c r="T35" s="17" t="n">
        <f aca="false">+T33/T3</f>
        <v>-0.403423694468647</v>
      </c>
      <c r="U35" s="17" t="n">
        <f aca="false">+U33/U3</f>
        <v>0.083481607842006</v>
      </c>
      <c r="V35" s="17" t="n">
        <f aca="false">+V33/V3</f>
        <v>0.0905798901208308</v>
      </c>
      <c r="W35" s="17" t="n">
        <f aca="false">+W33/W3</f>
        <v>0.0646700817169743</v>
      </c>
    </row>
    <row r="36" customFormat="false" ht="15" hidden="false" customHeight="false" outlineLevel="0" collapsed="false">
      <c r="A36" s="11" t="s">
        <v>57</v>
      </c>
      <c r="B36" s="20" t="n">
        <f aca="false">B43/10</f>
        <v>0.53571</v>
      </c>
      <c r="C36" s="20" t="n">
        <f aca="false">C43/10</f>
        <v>0.53571</v>
      </c>
      <c r="D36" s="20" t="n">
        <f aca="false">D43/10</f>
        <v>0.70071</v>
      </c>
      <c r="E36" s="20" t="n">
        <f aca="false">E43/10</f>
        <v>1.046</v>
      </c>
      <c r="F36" s="20" t="n">
        <f aca="false">F43/10</f>
        <v>1.12744</v>
      </c>
      <c r="G36" s="20" t="n">
        <f aca="false">G43/10</f>
        <v>1.53244</v>
      </c>
      <c r="H36" s="20" t="n">
        <f aca="false">H43/10</f>
        <v>1.53244</v>
      </c>
      <c r="I36" s="20" t="n">
        <f aca="false">I43/10</f>
        <v>1.53244</v>
      </c>
      <c r="J36" s="20" t="n">
        <f aca="false">J43/10</f>
        <v>1.53244</v>
      </c>
      <c r="K36" s="20" t="n">
        <f aca="false">K43/10</f>
        <v>2.23244</v>
      </c>
      <c r="L36" s="20" t="n">
        <f aca="false">L43/10</f>
        <v>2.23244</v>
      </c>
      <c r="M36" s="20" t="n">
        <f aca="false">M43/10</f>
        <v>2.23244</v>
      </c>
      <c r="N36" s="20" t="n">
        <f aca="false">N43/10</f>
        <v>2.60744</v>
      </c>
      <c r="O36" s="20" t="n">
        <f aca="false">O43/10</f>
        <v>3.80744</v>
      </c>
      <c r="P36" s="20" t="n">
        <f aca="false">P43/10</f>
        <v>3.80744</v>
      </c>
      <c r="Q36" s="20" t="n">
        <f aca="false">Q43/10</f>
        <v>3.76937</v>
      </c>
      <c r="R36" s="20" t="n">
        <f aca="false">R43/10</f>
        <v>3.76937</v>
      </c>
      <c r="S36" s="20" t="n">
        <f aca="false">S43/10</f>
        <v>3.76937</v>
      </c>
      <c r="T36" s="20" t="n">
        <f aca="false">T43/10</f>
        <v>3.76937</v>
      </c>
      <c r="U36" s="20" t="n">
        <f aca="false">U43/10</f>
        <v>4.06529</v>
      </c>
      <c r="V36" s="20" t="n">
        <f aca="false">V43/10</f>
        <v>4.47035</v>
      </c>
      <c r="W36" s="20" t="n">
        <f aca="false">W43/10</f>
        <v>4.49175</v>
      </c>
    </row>
    <row r="37" customFormat="false" ht="15" hidden="false" customHeight="false" outlineLevel="0" collapsed="false">
      <c r="A37" s="11" t="s">
        <v>58</v>
      </c>
      <c r="B37" s="21" t="n">
        <f aca="false">+B33/B36</f>
        <v>0.595658098598122</v>
      </c>
      <c r="C37" s="21" t="n">
        <f aca="false">+C33/C36</f>
        <v>1.1593959418342</v>
      </c>
      <c r="D37" s="21" t="n">
        <f aca="false">+D33/D36</f>
        <v>6.12992536141913</v>
      </c>
      <c r="E37" s="21" t="n">
        <f aca="false">+E33/E36</f>
        <v>9.19942638623327</v>
      </c>
      <c r="F37" s="21" t="n">
        <f aca="false">+F33/F36</f>
        <v>4.65816362733272</v>
      </c>
      <c r="G37" s="21" t="n">
        <f aca="false">+G33/G36</f>
        <v>-0.585210513951608</v>
      </c>
      <c r="H37" s="21" t="n">
        <f aca="false">+H33/H36</f>
        <v>-4.92365117068205</v>
      </c>
      <c r="I37" s="21" t="n">
        <f aca="false">+I33/I36</f>
        <v>-5.90065516431312</v>
      </c>
      <c r="J37" s="21" t="n">
        <f aca="false">+J33/J36</f>
        <v>-6.71784865965388</v>
      </c>
      <c r="K37" s="21" t="n">
        <f aca="false">+K33/K36</f>
        <v>-10.4942126104173</v>
      </c>
      <c r="L37" s="21" t="n">
        <f aca="false">+L33/L36</f>
        <v>-12.0992725448388</v>
      </c>
      <c r="M37" s="21" t="n">
        <f aca="false">+M33/M36</f>
        <v>-12.1192954793858</v>
      </c>
      <c r="N37" s="21" t="n">
        <f aca="false">+N33/N36</f>
        <v>-6.98179056852699</v>
      </c>
      <c r="O37" s="21" t="n">
        <f aca="false">+O33/O36</f>
        <v>2.70625407097683</v>
      </c>
      <c r="P37" s="21" t="n">
        <f aca="false">+P33/P36</f>
        <v>2.39024121194294</v>
      </c>
      <c r="Q37" s="21" t="n">
        <f aca="false">+Q33/Q36</f>
        <v>7.75604411347254</v>
      </c>
      <c r="R37" s="21" t="n">
        <f aca="false">+R33/R36</f>
        <v>5.98813594844762</v>
      </c>
      <c r="S37" s="21" t="n">
        <f aca="false">+S33/S36</f>
        <v>10.2964421110159</v>
      </c>
      <c r="T37" s="21" t="n">
        <f aca="false">+T33/T36</f>
        <v>-11.7677489872313</v>
      </c>
      <c r="U37" s="21" t="n">
        <f aca="false">+U33/U36</f>
        <v>6.26457153118227</v>
      </c>
      <c r="V37" s="21" t="n">
        <f aca="false">+V33/V36</f>
        <v>9.42277450311496</v>
      </c>
      <c r="W37" s="21" t="n">
        <f aca="false">+W33/W36</f>
        <v>11.3891245060389</v>
      </c>
    </row>
    <row r="38" customFormat="false" ht="15" hidden="false" customHeight="false" outlineLevel="0" collapsed="false">
      <c r="A38" s="11" t="s">
        <v>59</v>
      </c>
      <c r="B38" s="21" t="n">
        <f aca="false">+B36*B39</f>
        <v>0</v>
      </c>
      <c r="C38" s="21" t="n">
        <f aca="false">+C36*C39</f>
        <v>0</v>
      </c>
      <c r="D38" s="21" t="n">
        <f aca="false">+D36*D39</f>
        <v>0</v>
      </c>
      <c r="E38" s="21" t="n">
        <f aca="false">+E36*E39</f>
        <v>0</v>
      </c>
      <c r="F38" s="21" t="n">
        <f aca="false">+F36*F39</f>
        <v>0</v>
      </c>
      <c r="G38" s="21" t="n">
        <f aca="false">+G36*G39</f>
        <v>0</v>
      </c>
      <c r="H38" s="21" t="n">
        <f aca="false">+H36*H39</f>
        <v>0</v>
      </c>
      <c r="I38" s="21" t="n">
        <f aca="false">+I36*I39</f>
        <v>0</v>
      </c>
      <c r="J38" s="21" t="n">
        <f aca="false">+J36*J39</f>
        <v>0</v>
      </c>
      <c r="K38" s="21" t="n">
        <f aca="false">+K36*K39</f>
        <v>0</v>
      </c>
      <c r="L38" s="21" t="n">
        <f aca="false">+L36*L39</f>
        <v>0</v>
      </c>
      <c r="M38" s="21" t="n">
        <f aca="false">+M36*M39</f>
        <v>0</v>
      </c>
      <c r="N38" s="21" t="n">
        <f aca="false">+N36*N39</f>
        <v>0</v>
      </c>
      <c r="O38" s="21" t="n">
        <f aca="false">+O36*O39</f>
        <v>0</v>
      </c>
      <c r="P38" s="21" t="n">
        <f aca="false">+P36*P39</f>
        <v>0</v>
      </c>
      <c r="Q38" s="21" t="n">
        <f aca="false">+Q36*Q39</f>
        <v>0</v>
      </c>
      <c r="R38" s="21" t="n">
        <f aca="false">+R36*R39</f>
        <v>0</v>
      </c>
      <c r="S38" s="21" t="n">
        <f aca="false">+S36*S39</f>
        <v>0</v>
      </c>
      <c r="T38" s="21" t="n">
        <f aca="false">+T36*T39</f>
        <v>0</v>
      </c>
      <c r="U38" s="21" t="n">
        <f aca="false">+U36*U39</f>
        <v>0</v>
      </c>
      <c r="V38" s="21" t="n">
        <f aca="false">+V36*V39</f>
        <v>4.47035</v>
      </c>
      <c r="W38" s="21" t="n">
        <f aca="false">+W36*W39</f>
        <v>5.6146875</v>
      </c>
    </row>
    <row r="39" customFormat="false" ht="15" hidden="false" customHeight="false" outlineLevel="0" collapsed="false">
      <c r="A39" s="11" t="s">
        <v>60</v>
      </c>
      <c r="B39" s="22" t="n">
        <v>0</v>
      </c>
      <c r="C39" s="22" t="n">
        <v>0</v>
      </c>
      <c r="D39" s="22" t="n">
        <v>0</v>
      </c>
      <c r="E39" s="22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1</v>
      </c>
      <c r="W39" s="23" t="n">
        <v>1.25</v>
      </c>
    </row>
    <row r="41" customFormat="false" ht="15" hidden="false" customHeight="false" outlineLevel="0" collapsed="false">
      <c r="A41" s="3" t="s">
        <v>61</v>
      </c>
      <c r="B41" s="5" t="str">
        <f aca="false">B$2</f>
        <v>FY05</v>
      </c>
      <c r="C41" s="5" t="str">
        <f aca="false">C$2</f>
        <v>FY06</v>
      </c>
      <c r="D41" s="5" t="str">
        <f aca="false">D$2</f>
        <v>FY07</v>
      </c>
      <c r="E41" s="5" t="str">
        <f aca="false">E$2</f>
        <v>FY08</v>
      </c>
      <c r="F41" s="5" t="str">
        <f aca="false">F$2</f>
        <v>FY09</v>
      </c>
      <c r="G41" s="5" t="str">
        <f aca="false">G$2</f>
        <v>FY10</v>
      </c>
      <c r="H41" s="5" t="str">
        <f aca="false">H$2</f>
        <v>FY11</v>
      </c>
      <c r="I41" s="5" t="str">
        <f aca="false">I$2</f>
        <v>FY12</v>
      </c>
      <c r="J41" s="5" t="str">
        <f aca="false">J$2</f>
        <v>FY13</v>
      </c>
      <c r="K41" s="5" t="str">
        <f aca="false">K$2</f>
        <v>FY14</v>
      </c>
      <c r="L41" s="5" t="str">
        <f aca="false">L$2</f>
        <v>FY15</v>
      </c>
      <c r="M41" s="5" t="str">
        <f aca="false">M$2</f>
        <v>FY16</v>
      </c>
      <c r="N41" s="5" t="str">
        <f aca="false">N$2</f>
        <v>FY17</v>
      </c>
      <c r="O41" s="5" t="str">
        <f aca="false">O$2</f>
        <v>FY18</v>
      </c>
      <c r="P41" s="5" t="str">
        <f aca="false">P$2</f>
        <v>FY19</v>
      </c>
      <c r="Q41" s="5" t="str">
        <f aca="false">Q$2</f>
        <v>FY20</v>
      </c>
      <c r="R41" s="5" t="str">
        <f aca="false">R$2</f>
        <v>FY21</v>
      </c>
      <c r="S41" s="5" t="str">
        <f aca="false">S$2</f>
        <v>FY22</v>
      </c>
      <c r="T41" s="5" t="str">
        <f aca="false">T$2</f>
        <v>FY23</v>
      </c>
      <c r="U41" s="5" t="str">
        <f aca="false">U$2</f>
        <v>FY24</v>
      </c>
      <c r="V41" s="5" t="str">
        <f aca="false">V$2</f>
        <v>FY25</v>
      </c>
      <c r="W41" s="5" t="str">
        <f aca="false">W$2</f>
        <v>FY26</v>
      </c>
      <c r="X41" s="5" t="str">
        <f aca="false">X$2</f>
        <v>FY27E</v>
      </c>
      <c r="Y41" s="5" t="str">
        <f aca="false">Y$2</f>
        <v>FY28E</v>
      </c>
      <c r="Z41" s="5" t="str">
        <f aca="false">Z$2</f>
        <v>FY29E</v>
      </c>
      <c r="AA41" s="5" t="str">
        <f aca="false">AA$2</f>
        <v>FY30E</v>
      </c>
    </row>
    <row r="42" customFormat="false" ht="15" hidden="false" customHeight="false" outlineLevel="0" collapsed="false">
      <c r="A42" s="6" t="s">
        <v>62</v>
      </c>
    </row>
    <row r="43" customFormat="false" ht="15" hidden="false" customHeight="false" outlineLevel="0" collapsed="false">
      <c r="A43" s="11" t="s">
        <v>63</v>
      </c>
      <c r="B43" s="24" t="n">
        <v>5.3571</v>
      </c>
      <c r="C43" s="24" t="n">
        <v>5.3571</v>
      </c>
      <c r="D43" s="24" t="n">
        <v>7.0071</v>
      </c>
      <c r="E43" s="24" t="n">
        <v>10.46</v>
      </c>
      <c r="F43" s="25" t="n">
        <v>11.2744</v>
      </c>
      <c r="G43" s="25" t="n">
        <v>15.3244</v>
      </c>
      <c r="H43" s="25" t="n">
        <v>15.3244</v>
      </c>
      <c r="I43" s="25" t="n">
        <v>15.3244</v>
      </c>
      <c r="J43" s="25" t="n">
        <v>15.3244</v>
      </c>
      <c r="K43" s="25" t="n">
        <v>22.3244</v>
      </c>
      <c r="L43" s="25" t="n">
        <v>22.3244</v>
      </c>
      <c r="M43" s="25" t="n">
        <v>22.3244</v>
      </c>
      <c r="N43" s="25" t="n">
        <v>26.0744</v>
      </c>
      <c r="O43" s="25" t="n">
        <v>38.0744</v>
      </c>
      <c r="P43" s="25" t="n">
        <v>38.0744</v>
      </c>
      <c r="Q43" s="25" t="n">
        <v>37.6937</v>
      </c>
      <c r="R43" s="25" t="n">
        <v>37.6937</v>
      </c>
      <c r="S43" s="25" t="n">
        <v>37.6937</v>
      </c>
      <c r="T43" s="25" t="n">
        <v>37.6937</v>
      </c>
      <c r="U43" s="25" t="n">
        <v>40.6529</v>
      </c>
      <c r="V43" s="25" t="n">
        <v>44.7035</v>
      </c>
      <c r="W43" s="25" t="n">
        <v>44.9175</v>
      </c>
    </row>
    <row r="44" customFormat="false" ht="15" hidden="false" customHeight="false" outlineLevel="0" collapsed="false">
      <c r="A44" s="11" t="s">
        <v>64</v>
      </c>
      <c r="B44" s="24" t="n">
        <v>0</v>
      </c>
      <c r="C44" s="24" t="n">
        <v>0</v>
      </c>
      <c r="D44" s="24" t="n">
        <v>0.3219</v>
      </c>
      <c r="E44" s="24" t="n">
        <v>5.5541</v>
      </c>
      <c r="F44" s="25" t="n">
        <v>2.28</v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5" t="n">
        <v>0</v>
      </c>
      <c r="M44" s="25" t="n">
        <v>0</v>
      </c>
      <c r="N44" s="25" t="n">
        <v>48</v>
      </c>
      <c r="O44" s="25" t="n">
        <v>0.3798</v>
      </c>
      <c r="P44" s="25" t="n">
        <v>1.0127</v>
      </c>
      <c r="Q44" s="25" t="n">
        <v>0.51</v>
      </c>
      <c r="R44" s="25" t="n">
        <v>0.7923</v>
      </c>
      <c r="S44" s="25" t="n">
        <v>0</v>
      </c>
      <c r="T44" s="25" t="n">
        <v>0.0661</v>
      </c>
      <c r="U44" s="25" t="n">
        <v>12.5272</v>
      </c>
      <c r="V44" s="25" t="n">
        <v>40.966</v>
      </c>
      <c r="W44" s="25" t="n">
        <v>53.9924</v>
      </c>
    </row>
    <row r="45" customFormat="false" ht="15" hidden="false" customHeight="false" outlineLevel="0" collapsed="false">
      <c r="A45" s="11" t="s">
        <v>65</v>
      </c>
      <c r="B45" s="24" t="n">
        <v>1.4844</v>
      </c>
      <c r="C45" s="24" t="n">
        <v>2.1054</v>
      </c>
      <c r="D45" s="24" t="n">
        <v>7.9957</v>
      </c>
      <c r="E45" s="24" t="n">
        <v>50.7866</v>
      </c>
      <c r="F45" s="25" t="n">
        <v>64.3412</v>
      </c>
      <c r="G45" s="25" t="n">
        <v>85.0969</v>
      </c>
      <c r="H45" s="25" t="n">
        <v>76.1751</v>
      </c>
      <c r="I45" s="25" t="n">
        <v>66.9785</v>
      </c>
      <c r="J45" s="25" t="n">
        <v>56.918</v>
      </c>
      <c r="K45" s="25" t="n">
        <v>42.6831</v>
      </c>
      <c r="L45" s="25" t="n">
        <v>14.8677</v>
      </c>
      <c r="M45" s="25" t="n">
        <v>-12.2576</v>
      </c>
      <c r="N45" s="25" t="n">
        <v>7.7175</v>
      </c>
      <c r="O45" s="25" t="n">
        <v>102.077</v>
      </c>
      <c r="P45" s="25" t="n">
        <v>112.9143</v>
      </c>
      <c r="Q45" s="25" t="n">
        <v>143.2492</v>
      </c>
      <c r="R45" s="25" t="n">
        <v>164.951</v>
      </c>
      <c r="S45" s="25" t="n">
        <v>204.069</v>
      </c>
      <c r="T45" s="25" t="n">
        <v>161.6927</v>
      </c>
      <c r="U45" s="25" t="n">
        <v>224.7</v>
      </c>
      <c r="V45" s="25" t="n">
        <v>313.0025</v>
      </c>
      <c r="W45" s="25" t="n">
        <v>395.2431</v>
      </c>
    </row>
    <row r="46" customFormat="false" ht="15" hidden="false" customHeight="false" outlineLevel="0" collapsed="false">
      <c r="A46" s="6" t="s">
        <v>66</v>
      </c>
      <c r="B46" s="26" t="n">
        <f aca="false">SUM(B43:B45)</f>
        <v>6.8415</v>
      </c>
      <c r="C46" s="26" t="n">
        <f aca="false">SUM(C43:C45)</f>
        <v>7.4625</v>
      </c>
      <c r="D46" s="26" t="n">
        <f aca="false">SUM(D43:D45)</f>
        <v>15.3247</v>
      </c>
      <c r="E46" s="26" t="n">
        <f aca="false">SUM(E43:E45)</f>
        <v>66.8007</v>
      </c>
      <c r="F46" s="26" t="n">
        <f aca="false">SUM(F43:F45)</f>
        <v>77.8956</v>
      </c>
      <c r="G46" s="26" t="n">
        <f aca="false">SUM(G43:G45)</f>
        <v>100.4213</v>
      </c>
      <c r="H46" s="26" t="n">
        <f aca="false">SUM(H43:H45)</f>
        <v>91.4995</v>
      </c>
      <c r="I46" s="26" t="n">
        <f aca="false">SUM(I43:I45)</f>
        <v>82.3029</v>
      </c>
      <c r="J46" s="26" t="n">
        <f aca="false">SUM(J43:J45)</f>
        <v>72.2424</v>
      </c>
      <c r="K46" s="26" t="n">
        <f aca="false">SUM(K43:K45)</f>
        <v>65.0075</v>
      </c>
      <c r="L46" s="26" t="n">
        <f aca="false">SUM(L43:L45)</f>
        <v>37.1921</v>
      </c>
      <c r="M46" s="26" t="n">
        <f aca="false">SUM(M43:M45)</f>
        <v>10.0668</v>
      </c>
      <c r="N46" s="26" t="n">
        <f aca="false">SUM(N43:N45)</f>
        <v>81.7919</v>
      </c>
      <c r="O46" s="26" t="n">
        <f aca="false">SUM(O43:O45)</f>
        <v>140.5312</v>
      </c>
      <c r="P46" s="26" t="n">
        <f aca="false">SUM(P43:P45)</f>
        <v>152.0014</v>
      </c>
      <c r="Q46" s="26" t="n">
        <f aca="false">SUM(Q43:Q45)</f>
        <v>181.4529</v>
      </c>
      <c r="R46" s="26" t="n">
        <f aca="false">SUM(R43:R45)</f>
        <v>203.437</v>
      </c>
      <c r="S46" s="26" t="n">
        <f aca="false">SUM(S43:S45)</f>
        <v>241.7627</v>
      </c>
      <c r="T46" s="26" t="n">
        <f aca="false">SUM(T43:T45)</f>
        <v>199.4525</v>
      </c>
      <c r="U46" s="26" t="n">
        <f aca="false">SUM(U43:U45)</f>
        <v>277.8801</v>
      </c>
      <c r="V46" s="26" t="n">
        <f aca="false">SUM(V43:V45)</f>
        <v>398.672</v>
      </c>
      <c r="W46" s="26" t="n">
        <f aca="false">SUM(W43:W45)</f>
        <v>494.153</v>
      </c>
    </row>
    <row r="47" customFormat="false" ht="15" hidden="false" customHeight="false" outlineLevel="0" collapsed="false">
      <c r="A47" s="11" t="s">
        <v>67</v>
      </c>
      <c r="B47" s="24" t="n">
        <v>0</v>
      </c>
      <c r="C47" s="24" t="n">
        <v>0</v>
      </c>
      <c r="D47" s="24" t="n">
        <v>0</v>
      </c>
      <c r="E47" s="24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  <c r="N47" s="25" t="n">
        <v>0</v>
      </c>
      <c r="O47" s="25" t="n">
        <v>0</v>
      </c>
      <c r="P47" s="25" t="n">
        <v>0</v>
      </c>
      <c r="Q47" s="25" t="n">
        <v>0</v>
      </c>
      <c r="R47" s="25" t="n">
        <v>0</v>
      </c>
      <c r="S47" s="25" t="n">
        <v>0</v>
      </c>
      <c r="T47" s="25" t="n">
        <v>0.0209</v>
      </c>
      <c r="U47" s="25" t="n">
        <v>0.1011</v>
      </c>
      <c r="V47" s="25" t="n">
        <v>0.1416</v>
      </c>
      <c r="W47" s="25" t="n">
        <v>0.8232</v>
      </c>
    </row>
    <row r="49" customFormat="false" ht="15" hidden="false" customHeight="false" outlineLevel="0" collapsed="false">
      <c r="A49" s="6" t="s">
        <v>68</v>
      </c>
    </row>
    <row r="50" customFormat="false" ht="15" hidden="false" customHeight="false" outlineLevel="0" collapsed="false">
      <c r="A50" s="11" t="s">
        <v>69</v>
      </c>
      <c r="B50" s="24" t="n">
        <v>0.9048</v>
      </c>
      <c r="C50" s="24" t="n">
        <v>1.5553</v>
      </c>
      <c r="D50" s="24" t="n">
        <v>3.7518</v>
      </c>
      <c r="E50" s="24" t="n">
        <v>3.0908</v>
      </c>
      <c r="F50" s="25" t="n">
        <v>0.0146</v>
      </c>
      <c r="G50" s="25" t="n">
        <v>0.0066</v>
      </c>
      <c r="H50" s="25" t="n">
        <v>6.8</v>
      </c>
      <c r="I50" s="25" t="n">
        <v>2.6</v>
      </c>
      <c r="J50" s="25" t="n">
        <v>0.1883</v>
      </c>
      <c r="K50" s="25" t="n">
        <v>0.0779</v>
      </c>
      <c r="L50" s="25" t="n">
        <v>17.0546</v>
      </c>
      <c r="M50" s="25" t="n">
        <v>17.8738</v>
      </c>
      <c r="N50" s="25" t="n">
        <v>0</v>
      </c>
      <c r="O50" s="25" t="n">
        <v>5.3722</v>
      </c>
      <c r="P50" s="25" t="n">
        <v>0</v>
      </c>
      <c r="Q50" s="25" t="n">
        <v>0</v>
      </c>
      <c r="R50" s="25" t="n">
        <v>2.1795</v>
      </c>
      <c r="S50" s="25" t="n">
        <v>2.522</v>
      </c>
      <c r="T50" s="25" t="n">
        <v>2.5947</v>
      </c>
      <c r="U50" s="25" t="n">
        <v>0.9419</v>
      </c>
      <c r="V50" s="25" t="n">
        <v>6.336</v>
      </c>
      <c r="W50" s="25" t="n">
        <v>72.2426</v>
      </c>
    </row>
    <row r="51" customFormat="false" ht="15" hidden="false" customHeight="false" outlineLevel="0" collapsed="false">
      <c r="A51" s="11" t="s">
        <v>70</v>
      </c>
      <c r="B51" s="24" t="n">
        <v>0.172</v>
      </c>
      <c r="C51" s="24" t="n">
        <v>0.154</v>
      </c>
      <c r="D51" s="24" t="n">
        <v>0</v>
      </c>
      <c r="E51" s="24" t="n">
        <v>0</v>
      </c>
      <c r="F51" s="25" t="n">
        <v>0</v>
      </c>
      <c r="G51" s="25" t="n">
        <v>0</v>
      </c>
      <c r="H51" s="25" t="n">
        <v>0</v>
      </c>
      <c r="I51" s="25" t="n">
        <v>0</v>
      </c>
      <c r="J51" s="25" t="n">
        <v>0</v>
      </c>
      <c r="K51" s="25" t="n">
        <v>0</v>
      </c>
      <c r="L51" s="25" t="n">
        <v>12.5182</v>
      </c>
      <c r="M51" s="25" t="n">
        <v>0</v>
      </c>
      <c r="N51" s="25" t="n">
        <v>8.9154</v>
      </c>
      <c r="O51" s="25" t="n">
        <v>8.9436</v>
      </c>
      <c r="P51" s="25" t="n">
        <v>0</v>
      </c>
      <c r="Q51" s="25" t="n">
        <v>0</v>
      </c>
      <c r="R51" s="25" t="n">
        <v>0</v>
      </c>
      <c r="S51" s="25" t="n">
        <v>0</v>
      </c>
      <c r="T51" s="25" t="n">
        <v>0</v>
      </c>
      <c r="U51" s="25" t="n">
        <v>0</v>
      </c>
      <c r="V51" s="25" t="n">
        <v>0</v>
      </c>
      <c r="W51" s="25" t="n">
        <v>0</v>
      </c>
    </row>
    <row r="52" customFormat="false" ht="15" hidden="false" customHeight="false" outlineLevel="0" collapsed="false">
      <c r="A52" s="11" t="s">
        <v>71</v>
      </c>
      <c r="B52" s="24" t="n">
        <v>0.1905</v>
      </c>
      <c r="C52" s="24" t="n">
        <v>0.1905</v>
      </c>
      <c r="D52" s="24" t="n">
        <v>0.1298</v>
      </c>
      <c r="E52" s="24" t="n">
        <v>1.251</v>
      </c>
      <c r="F52" s="25" t="n">
        <v>3.3503</v>
      </c>
      <c r="G52" s="25" t="n">
        <v>4.1813</v>
      </c>
      <c r="H52" s="25" t="n">
        <v>4.3379</v>
      </c>
      <c r="I52" s="25" t="n">
        <v>0.102</v>
      </c>
      <c r="J52" s="25" t="n">
        <v>0.001</v>
      </c>
      <c r="K52" s="25" t="n">
        <v>0</v>
      </c>
      <c r="L52" s="25" t="n">
        <v>0</v>
      </c>
      <c r="M52" s="25" t="n">
        <v>0</v>
      </c>
      <c r="N52" s="25" t="n">
        <v>0</v>
      </c>
      <c r="O52" s="25" t="n">
        <v>0</v>
      </c>
      <c r="P52" s="25" t="n">
        <v>0</v>
      </c>
      <c r="Q52" s="25" t="n">
        <v>0</v>
      </c>
      <c r="R52" s="25" t="n">
        <v>0</v>
      </c>
      <c r="S52" s="25" t="n">
        <v>0.1692</v>
      </c>
      <c r="T52" s="25" t="n">
        <v>0</v>
      </c>
      <c r="U52" s="25" t="n">
        <v>2.415</v>
      </c>
      <c r="V52" s="25" t="n">
        <v>2.6427</v>
      </c>
      <c r="W52" s="25" t="n">
        <v>-5.0725</v>
      </c>
    </row>
    <row r="53" customFormat="false" ht="15" hidden="false" customHeight="false" outlineLevel="0" collapsed="false">
      <c r="A53" s="11" t="s">
        <v>72</v>
      </c>
      <c r="B53" s="24" t="n">
        <v>0</v>
      </c>
      <c r="C53" s="24" t="n">
        <v>0</v>
      </c>
      <c r="D53" s="24" t="n">
        <v>0</v>
      </c>
      <c r="E53" s="24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2.284</v>
      </c>
      <c r="K53" s="25" t="n">
        <v>35.9799</v>
      </c>
      <c r="L53" s="25" t="n">
        <v>19.8624</v>
      </c>
      <c r="M53" s="25" t="n">
        <v>0</v>
      </c>
      <c r="N53" s="25" t="n">
        <v>0</v>
      </c>
      <c r="O53" s="25" t="n">
        <v>0</v>
      </c>
      <c r="P53" s="25" t="n">
        <v>0.0398</v>
      </c>
      <c r="Q53" s="25" t="n">
        <v>2.8099</v>
      </c>
      <c r="R53" s="25" t="n">
        <v>0.5256</v>
      </c>
      <c r="S53" s="25" t="n">
        <v>1.167</v>
      </c>
      <c r="T53" s="25" t="n">
        <v>1.0429</v>
      </c>
      <c r="U53" s="25" t="n">
        <v>0.325</v>
      </c>
      <c r="V53" s="25" t="n">
        <v>0</v>
      </c>
      <c r="W53" s="25" t="n">
        <v>0</v>
      </c>
    </row>
    <row r="54" customFormat="false" ht="15" hidden="false" customHeight="false" outlineLevel="0" collapsed="false">
      <c r="A54" s="11" t="s">
        <v>73</v>
      </c>
      <c r="B54" s="24" t="n">
        <v>0</v>
      </c>
      <c r="C54" s="24" t="n">
        <v>0</v>
      </c>
      <c r="D54" s="24" t="n">
        <v>0</v>
      </c>
      <c r="E54" s="24" t="n">
        <v>0</v>
      </c>
      <c r="F54" s="25" t="n">
        <v>0</v>
      </c>
      <c r="G54" s="25" t="n">
        <v>0</v>
      </c>
      <c r="H54" s="25" t="n">
        <v>0.2793</v>
      </c>
      <c r="I54" s="25" t="n">
        <v>0.033</v>
      </c>
      <c r="J54" s="25" t="n">
        <v>0.0574</v>
      </c>
      <c r="K54" s="25" t="n">
        <v>0.1108</v>
      </c>
      <c r="L54" s="25" t="n">
        <v>0.0703</v>
      </c>
      <c r="M54" s="25" t="n">
        <v>0.077</v>
      </c>
      <c r="N54" s="25" t="n">
        <v>0</v>
      </c>
      <c r="O54" s="25" t="n">
        <v>0.0298</v>
      </c>
      <c r="P54" s="25" t="n">
        <v>0.0383</v>
      </c>
      <c r="Q54" s="25" t="n">
        <v>0.1062</v>
      </c>
      <c r="R54" s="25" t="n">
        <v>0.2105</v>
      </c>
      <c r="S54" s="25" t="n">
        <v>0.602</v>
      </c>
      <c r="T54" s="25" t="n">
        <v>0.3577</v>
      </c>
      <c r="U54" s="25" t="n">
        <v>0.9956</v>
      </c>
      <c r="V54" s="25" t="n">
        <v>5.7102</v>
      </c>
      <c r="W54" s="25" t="n">
        <v>12.3796</v>
      </c>
    </row>
    <row r="55" customFormat="false" ht="15" hidden="false" customHeight="false" outlineLevel="0" collapsed="false">
      <c r="A55" s="6" t="s">
        <v>74</v>
      </c>
      <c r="B55" s="26" t="n">
        <f aca="false">SUM(B50:B54)</f>
        <v>1.2673</v>
      </c>
      <c r="C55" s="26" t="n">
        <f aca="false">SUM(C50:C54)</f>
        <v>1.8998</v>
      </c>
      <c r="D55" s="26" t="n">
        <f aca="false">SUM(D50:D54)</f>
        <v>3.8816</v>
      </c>
      <c r="E55" s="26" t="n">
        <f aca="false">SUM(E50:E54)</f>
        <v>4.3418</v>
      </c>
      <c r="F55" s="26" t="n">
        <f aca="false">SUM(F50:F54)</f>
        <v>3.3649</v>
      </c>
      <c r="G55" s="26" t="n">
        <f aca="false">SUM(G50:G54)</f>
        <v>4.1879</v>
      </c>
      <c r="H55" s="26" t="n">
        <f aca="false">SUM(H50:H54)</f>
        <v>11.4172</v>
      </c>
      <c r="I55" s="26" t="n">
        <f aca="false">SUM(I50:I54)</f>
        <v>2.735</v>
      </c>
      <c r="J55" s="26" t="n">
        <f aca="false">SUM(J50:J54)</f>
        <v>2.5307</v>
      </c>
      <c r="K55" s="26" t="n">
        <f aca="false">SUM(K50:K54)</f>
        <v>36.1686</v>
      </c>
      <c r="L55" s="26" t="n">
        <f aca="false">SUM(L50:L54)</f>
        <v>49.5055</v>
      </c>
      <c r="M55" s="26" t="n">
        <f aca="false">SUM(M50:M54)</f>
        <v>17.9508</v>
      </c>
      <c r="N55" s="26" t="n">
        <f aca="false">SUM(N50:N54)</f>
        <v>8.9154</v>
      </c>
      <c r="O55" s="26" t="n">
        <f aca="false">SUM(O50:O54)</f>
        <v>14.3456</v>
      </c>
      <c r="P55" s="26" t="n">
        <f aca="false">SUM(P50:P54)</f>
        <v>0.0781</v>
      </c>
      <c r="Q55" s="26" t="n">
        <f aca="false">SUM(Q50:Q54)</f>
        <v>2.9161</v>
      </c>
      <c r="R55" s="26" t="n">
        <f aca="false">SUM(R50:R54)</f>
        <v>2.9156</v>
      </c>
      <c r="S55" s="26" t="n">
        <f aca="false">SUM(S50:S54)</f>
        <v>4.4602</v>
      </c>
      <c r="T55" s="26" t="n">
        <f aca="false">SUM(T50:T54)</f>
        <v>3.9953</v>
      </c>
      <c r="U55" s="26" t="n">
        <f aca="false">SUM(U50:U54)</f>
        <v>4.6775</v>
      </c>
      <c r="V55" s="26" t="n">
        <f aca="false">SUM(V50:V54)</f>
        <v>14.6889</v>
      </c>
      <c r="W55" s="26" t="n">
        <f aca="false">SUM(W50:W54)</f>
        <v>79.5497</v>
      </c>
    </row>
    <row r="57" customFormat="false" ht="15" hidden="false" customHeight="false" outlineLevel="0" collapsed="false">
      <c r="A57" s="6" t="s">
        <v>75</v>
      </c>
    </row>
    <row r="58" customFormat="false" ht="15" hidden="false" customHeight="false" outlineLevel="0" collapsed="false">
      <c r="A58" s="11" t="s">
        <v>76</v>
      </c>
      <c r="B58" s="24" t="n">
        <v>0.7951</v>
      </c>
      <c r="C58" s="24" t="n">
        <v>0.5676</v>
      </c>
      <c r="D58" s="24" t="n">
        <v>4.3099</v>
      </c>
      <c r="E58" s="24" t="n">
        <v>4.5082</v>
      </c>
      <c r="F58" s="25" t="n">
        <v>9.8333</v>
      </c>
      <c r="G58" s="25" t="n">
        <v>5.6369</v>
      </c>
      <c r="H58" s="25" t="n">
        <v>9.2015</v>
      </c>
      <c r="I58" s="25" t="n">
        <v>8.4769</v>
      </c>
      <c r="J58" s="25" t="n">
        <v>15.8215</v>
      </c>
      <c r="K58" s="25" t="n">
        <v>18.4727</v>
      </c>
      <c r="L58" s="25" t="n">
        <v>11.4495</v>
      </c>
      <c r="M58" s="25" t="n">
        <v>27.3305</v>
      </c>
      <c r="N58" s="25" t="n">
        <v>35.4283</v>
      </c>
      <c r="O58" s="25" t="n">
        <v>54.6194</v>
      </c>
      <c r="P58" s="25" t="n">
        <v>44.6631</v>
      </c>
      <c r="Q58" s="25" t="n">
        <v>63.2306</v>
      </c>
      <c r="R58" s="25" t="n">
        <v>92.2391</v>
      </c>
      <c r="S58" s="25" t="n">
        <v>71.388</v>
      </c>
      <c r="T58" s="25" t="n">
        <v>44.0688</v>
      </c>
      <c r="U58" s="25" t="n">
        <v>72.7812</v>
      </c>
      <c r="V58" s="25" t="n">
        <v>142.4448</v>
      </c>
      <c r="W58" s="25" t="n">
        <v>229.5765</v>
      </c>
    </row>
    <row r="59" customFormat="false" ht="15" hidden="false" customHeight="false" outlineLevel="0" collapsed="false">
      <c r="A59" s="11" t="s">
        <v>77</v>
      </c>
      <c r="B59" s="24" t="n">
        <v>0.2441</v>
      </c>
      <c r="C59" s="24" t="n">
        <v>0.4713</v>
      </c>
      <c r="D59" s="24" t="n">
        <v>2.1644</v>
      </c>
      <c r="E59" s="24" t="n">
        <v>2.4794</v>
      </c>
      <c r="F59" s="25" t="n">
        <v>7.6436</v>
      </c>
      <c r="G59" s="25" t="n">
        <v>5.3659</v>
      </c>
      <c r="H59" s="25" t="n">
        <v>9.4448</v>
      </c>
      <c r="I59" s="25" t="n">
        <v>6.8282</v>
      </c>
      <c r="J59" s="25" t="n">
        <v>4.9884</v>
      </c>
      <c r="K59" s="25" t="n">
        <v>6.266</v>
      </c>
      <c r="L59" s="25" t="n">
        <v>29.2111</v>
      </c>
      <c r="M59" s="25" t="n">
        <v>71.6963</v>
      </c>
      <c r="N59" s="25" t="n">
        <v>16.608</v>
      </c>
      <c r="O59" s="25" t="n">
        <v>33.0182</v>
      </c>
      <c r="P59" s="25" t="n">
        <v>12.0741</v>
      </c>
      <c r="Q59" s="25" t="n">
        <v>48.6705</v>
      </c>
      <c r="R59" s="25" t="n">
        <v>36.566</v>
      </c>
      <c r="S59" s="25" t="n">
        <v>3.1467</v>
      </c>
      <c r="T59" s="25" t="n">
        <v>19.0039</v>
      </c>
      <c r="U59" s="25" t="n">
        <v>10.8998</v>
      </c>
      <c r="V59" s="25" t="n">
        <v>19.21</v>
      </c>
      <c r="W59" s="25" t="n">
        <v>35.5735</v>
      </c>
    </row>
    <row r="60" customFormat="false" ht="15" hidden="false" customHeight="false" outlineLevel="0" collapsed="false">
      <c r="A60" s="11" t="s">
        <v>78</v>
      </c>
      <c r="B60" s="24" t="n">
        <v>0</v>
      </c>
      <c r="C60" s="24" t="n">
        <v>0</v>
      </c>
      <c r="D60" s="24" t="n">
        <v>0</v>
      </c>
      <c r="E60" s="24" t="n">
        <v>0</v>
      </c>
      <c r="F60" s="25" t="n">
        <v>0</v>
      </c>
      <c r="G60" s="25" t="n">
        <v>0</v>
      </c>
      <c r="H60" s="25" t="n">
        <v>0</v>
      </c>
      <c r="I60" s="25" t="n">
        <v>13.2349</v>
      </c>
      <c r="J60" s="25" t="n">
        <v>24.592</v>
      </c>
      <c r="K60" s="25" t="n">
        <v>46.4577</v>
      </c>
      <c r="L60" s="25" t="n">
        <v>22.5</v>
      </c>
      <c r="M60" s="25" t="n">
        <v>43.5447</v>
      </c>
      <c r="N60" s="25" t="n">
        <v>66.4389</v>
      </c>
      <c r="O60" s="25" t="n">
        <v>4.4934</v>
      </c>
      <c r="P60" s="25" t="n">
        <v>4.4</v>
      </c>
      <c r="Q60" s="25" t="n">
        <v>0</v>
      </c>
      <c r="R60" s="25" t="n">
        <v>0</v>
      </c>
      <c r="S60" s="25" t="n">
        <v>4.0117</v>
      </c>
      <c r="T60" s="25" t="n">
        <v>15.5824</v>
      </c>
      <c r="U60" s="25" t="n">
        <v>18.0192</v>
      </c>
      <c r="V60" s="25" t="n">
        <v>15.8095</v>
      </c>
      <c r="W60" s="25" t="n">
        <v>60.7017</v>
      </c>
    </row>
    <row r="61" customFormat="false" ht="15" hidden="false" customHeight="false" outlineLevel="0" collapsed="false">
      <c r="A61" s="11" t="s">
        <v>79</v>
      </c>
      <c r="B61" s="24" t="n">
        <v>0.4164</v>
      </c>
      <c r="C61" s="24" t="n">
        <v>1.1419</v>
      </c>
      <c r="D61" s="24" t="n">
        <v>3.0989</v>
      </c>
      <c r="E61" s="24" t="n">
        <v>3.1875</v>
      </c>
      <c r="F61" s="25" t="n">
        <v>0.108</v>
      </c>
      <c r="G61" s="25" t="n">
        <v>0.1608</v>
      </c>
      <c r="H61" s="25" t="n">
        <v>0.2539</v>
      </c>
      <c r="I61" s="25" t="n">
        <v>0.2797</v>
      </c>
      <c r="J61" s="25" t="n">
        <v>0.2496</v>
      </c>
      <c r="K61" s="25" t="n">
        <v>0.2423</v>
      </c>
      <c r="L61" s="25" t="n">
        <v>0.0021</v>
      </c>
      <c r="M61" s="25" t="n">
        <v>0.0152</v>
      </c>
      <c r="N61" s="25" t="n">
        <v>0.1292</v>
      </c>
      <c r="O61" s="25" t="n">
        <v>5.4876</v>
      </c>
      <c r="P61" s="25" t="n">
        <v>5.2365</v>
      </c>
      <c r="Q61" s="25" t="n">
        <v>11.4748</v>
      </c>
      <c r="R61" s="25" t="n">
        <v>12.8934</v>
      </c>
      <c r="S61" s="25" t="n">
        <v>13.4383</v>
      </c>
      <c r="T61" s="25" t="n">
        <v>14.595</v>
      </c>
      <c r="U61" s="25" t="n">
        <v>0.0913</v>
      </c>
      <c r="V61" s="25" t="n">
        <v>1.4899</v>
      </c>
      <c r="W61" s="25" t="n">
        <v>12.9618</v>
      </c>
    </row>
    <row r="62" customFormat="false" ht="15" hidden="false" customHeight="false" outlineLevel="0" collapsed="false">
      <c r="A62" s="6" t="s">
        <v>80</v>
      </c>
      <c r="B62" s="26" t="n">
        <f aca="false">SUM(B58:B61)</f>
        <v>1.4556</v>
      </c>
      <c r="C62" s="26" t="n">
        <f aca="false">SUM(C58:C61)</f>
        <v>2.1808</v>
      </c>
      <c r="D62" s="26" t="n">
        <f aca="false">SUM(D58:D61)</f>
        <v>9.5732</v>
      </c>
      <c r="E62" s="26" t="n">
        <f aca="false">SUM(E58:E61)</f>
        <v>10.1751</v>
      </c>
      <c r="F62" s="26" t="n">
        <f aca="false">SUM(F58:F61)</f>
        <v>17.5849</v>
      </c>
      <c r="G62" s="26" t="n">
        <f aca="false">SUM(G58:G61)</f>
        <v>11.1636</v>
      </c>
      <c r="H62" s="26" t="n">
        <f aca="false">SUM(H58:H61)</f>
        <v>18.9002</v>
      </c>
      <c r="I62" s="26" t="n">
        <f aca="false">SUM(I58:I61)</f>
        <v>28.8197</v>
      </c>
      <c r="J62" s="26" t="n">
        <f aca="false">SUM(J58:J61)</f>
        <v>45.6515</v>
      </c>
      <c r="K62" s="26" t="n">
        <f aca="false">SUM(K58:K61)</f>
        <v>71.4387</v>
      </c>
      <c r="L62" s="26" t="n">
        <f aca="false">SUM(L58:L61)</f>
        <v>63.1627</v>
      </c>
      <c r="M62" s="26" t="n">
        <f aca="false">SUM(M58:M61)</f>
        <v>142.5867</v>
      </c>
      <c r="N62" s="26" t="n">
        <f aca="false">SUM(N58:N61)</f>
        <v>118.6044</v>
      </c>
      <c r="O62" s="26" t="n">
        <f aca="false">SUM(O58:O61)</f>
        <v>97.6186</v>
      </c>
      <c r="P62" s="26" t="n">
        <f aca="false">SUM(P58:P61)</f>
        <v>66.3737</v>
      </c>
      <c r="Q62" s="26" t="n">
        <f aca="false">SUM(Q58:Q61)</f>
        <v>123.3759</v>
      </c>
      <c r="R62" s="26" t="n">
        <f aca="false">SUM(R58:R61)</f>
        <v>141.6985</v>
      </c>
      <c r="S62" s="26" t="n">
        <f aca="false">SUM(S58:S61)</f>
        <v>91.9847</v>
      </c>
      <c r="T62" s="26" t="n">
        <f aca="false">SUM(T58:T61)</f>
        <v>93.2501</v>
      </c>
      <c r="U62" s="26" t="n">
        <f aca="false">SUM(U58:U61)</f>
        <v>101.7915</v>
      </c>
      <c r="V62" s="26" t="n">
        <f aca="false">SUM(V58:V61)</f>
        <v>178.9542</v>
      </c>
      <c r="W62" s="26" t="n">
        <f aca="false">SUM(W58:W61)</f>
        <v>338.8135</v>
      </c>
    </row>
    <row r="64" customFormat="false" ht="15" hidden="false" customHeight="false" outlineLevel="0" collapsed="false">
      <c r="A64" s="6" t="s">
        <v>81</v>
      </c>
      <c r="B64" s="26" t="n">
        <f aca="false">B46+B47+B55+B62</f>
        <v>9.5644</v>
      </c>
      <c r="C64" s="26" t="n">
        <f aca="false">C46+C47+C55+C62</f>
        <v>11.5431</v>
      </c>
      <c r="D64" s="26" t="n">
        <f aca="false">D46+D47+D55+D62</f>
        <v>28.7795</v>
      </c>
      <c r="E64" s="26" t="n">
        <f aca="false">E46+E47+E55+E62</f>
        <v>81.3176</v>
      </c>
      <c r="F64" s="26" t="n">
        <f aca="false">F46+F47+F55+F62</f>
        <v>98.8454</v>
      </c>
      <c r="G64" s="26" t="n">
        <f aca="false">G46+G47+G55+G62</f>
        <v>115.7728</v>
      </c>
      <c r="H64" s="26" t="n">
        <f aca="false">H46+H47+H55+H62</f>
        <v>121.8169</v>
      </c>
      <c r="I64" s="26" t="n">
        <f aca="false">I46+I47+I55+I62</f>
        <v>113.8576</v>
      </c>
      <c r="J64" s="26" t="n">
        <f aca="false">J46+J47+J55+J62</f>
        <v>120.4246</v>
      </c>
      <c r="K64" s="26" t="n">
        <f aca="false">K46+K47+K55+K62</f>
        <v>172.6148</v>
      </c>
      <c r="L64" s="26" t="n">
        <f aca="false">L46+L47+L55+L62</f>
        <v>149.8603</v>
      </c>
      <c r="M64" s="26" t="n">
        <f aca="false">M46+M47+M55+M62</f>
        <v>170.6043</v>
      </c>
      <c r="N64" s="26" t="n">
        <f aca="false">N46+N47+N55+N62</f>
        <v>209.3117</v>
      </c>
      <c r="O64" s="26" t="n">
        <f aca="false">O46+O47+O55+O62</f>
        <v>252.4954</v>
      </c>
      <c r="P64" s="26" t="n">
        <f aca="false">P46+P47+P55+P62</f>
        <v>218.4532</v>
      </c>
      <c r="Q64" s="26" t="n">
        <f aca="false">Q46+Q47+Q55+Q62</f>
        <v>307.7449</v>
      </c>
      <c r="R64" s="26" t="n">
        <f aca="false">R46+R47+R55+R62</f>
        <v>348.0511</v>
      </c>
      <c r="S64" s="26" t="n">
        <f aca="false">S46+S47+S55+S62</f>
        <v>338.2076</v>
      </c>
      <c r="T64" s="26" t="n">
        <f aca="false">T46+T47+T55+T62</f>
        <v>296.7188</v>
      </c>
      <c r="U64" s="26" t="n">
        <f aca="false">U46+U47+U55+U62</f>
        <v>384.4502</v>
      </c>
      <c r="V64" s="26" t="n">
        <f aca="false">V46+V47+V55+V62</f>
        <v>592.4567</v>
      </c>
      <c r="W64" s="26" t="n">
        <f aca="false">W46+W47+W55+W62</f>
        <v>913.3394</v>
      </c>
    </row>
    <row r="66" customFormat="false" ht="15" hidden="false" customHeight="false" outlineLevel="0" collapsed="false">
      <c r="A66" s="6" t="s">
        <v>82</v>
      </c>
    </row>
    <row r="67" customFormat="false" ht="15" hidden="false" customHeight="false" outlineLevel="0" collapsed="false">
      <c r="A67" s="6" t="s">
        <v>83</v>
      </c>
    </row>
    <row r="68" customFormat="false" ht="15" hidden="false" customHeight="false" outlineLevel="0" collapsed="false">
      <c r="A68" s="11" t="s">
        <v>84</v>
      </c>
      <c r="B68" s="24" t="n">
        <v>6.7822</v>
      </c>
      <c r="C68" s="24" t="n">
        <v>6.9676</v>
      </c>
      <c r="D68" s="24" t="n">
        <v>8.5453</v>
      </c>
      <c r="E68" s="24" t="n">
        <v>24.8479</v>
      </c>
      <c r="F68" s="25" t="n">
        <v>31.5667</v>
      </c>
      <c r="G68" s="25" t="n">
        <v>49.9865</v>
      </c>
      <c r="H68" s="25" t="n">
        <v>60.398</v>
      </c>
      <c r="I68" s="25" t="n">
        <v>66.3341</v>
      </c>
      <c r="J68" s="25" t="n">
        <v>72.3399</v>
      </c>
      <c r="K68" s="25" t="n">
        <v>163.22</v>
      </c>
      <c r="L68" s="25" t="n">
        <v>164.7579</v>
      </c>
      <c r="M68" s="25" t="n">
        <v>173.0359</v>
      </c>
      <c r="N68" s="25" t="n">
        <v>94.8109</v>
      </c>
      <c r="O68" s="25" t="n">
        <v>127.9044</v>
      </c>
      <c r="P68" s="25" t="n">
        <v>133.5975</v>
      </c>
      <c r="Q68" s="25" t="n">
        <v>156.7121</v>
      </c>
      <c r="R68" s="25" t="n">
        <v>221.2483</v>
      </c>
      <c r="S68" s="25" t="n">
        <v>275.0995</v>
      </c>
      <c r="T68" s="25" t="n">
        <v>280.9525</v>
      </c>
      <c r="U68" s="25" t="n">
        <v>313.9248</v>
      </c>
      <c r="V68" s="25" t="n">
        <v>334.3936</v>
      </c>
      <c r="W68" s="25" t="n">
        <v>362.7596</v>
      </c>
    </row>
    <row r="69" customFormat="false" ht="15" hidden="false" customHeight="false" outlineLevel="0" collapsed="false">
      <c r="A69" s="11" t="s">
        <v>85</v>
      </c>
      <c r="B69" s="24" t="n">
        <v>3.2318</v>
      </c>
      <c r="C69" s="24" t="n">
        <v>3.5722</v>
      </c>
      <c r="D69" s="24" t="n">
        <v>1.8056</v>
      </c>
      <c r="E69" s="24" t="n">
        <v>3.738</v>
      </c>
      <c r="F69" s="25" t="n">
        <v>7.5995</v>
      </c>
      <c r="G69" s="25" t="n">
        <v>10.2046</v>
      </c>
      <c r="H69" s="25" t="n">
        <v>18.7866</v>
      </c>
      <c r="I69" s="25" t="n">
        <v>27.2287</v>
      </c>
      <c r="J69" s="25" t="n">
        <v>33.949</v>
      </c>
      <c r="K69" s="25" t="n">
        <v>46.4561</v>
      </c>
      <c r="L69" s="25" t="n">
        <v>58.7459</v>
      </c>
      <c r="M69" s="25" t="n">
        <v>77.6295</v>
      </c>
      <c r="N69" s="25" t="n">
        <v>11.4099</v>
      </c>
      <c r="O69" s="25" t="n">
        <v>27.8073</v>
      </c>
      <c r="P69" s="25" t="n">
        <v>47.0855</v>
      </c>
      <c r="Q69" s="25" t="n">
        <v>66.5506</v>
      </c>
      <c r="R69" s="25" t="n">
        <v>89.3859</v>
      </c>
      <c r="S69" s="25" t="n">
        <v>163.1179</v>
      </c>
      <c r="T69" s="25" t="n">
        <v>185.2119</v>
      </c>
      <c r="U69" s="25" t="n">
        <v>202.1607</v>
      </c>
      <c r="V69" s="25" t="n">
        <v>219.0356</v>
      </c>
      <c r="W69" s="25" t="n">
        <v>248.2026</v>
      </c>
    </row>
    <row r="70" customFormat="false" ht="15" hidden="false" customHeight="false" outlineLevel="0" collapsed="false">
      <c r="A70" s="6" t="s">
        <v>86</v>
      </c>
      <c r="B70" s="26" t="n">
        <f aca="false">B68-B69</f>
        <v>3.5504</v>
      </c>
      <c r="C70" s="26" t="n">
        <f aca="false">C68-C69</f>
        <v>3.3954</v>
      </c>
      <c r="D70" s="26" t="n">
        <f aca="false">D68-D69</f>
        <v>6.7397</v>
      </c>
      <c r="E70" s="26" t="n">
        <f aca="false">E68-E69</f>
        <v>21.1099</v>
      </c>
      <c r="F70" s="26" t="n">
        <f aca="false">F68-F69</f>
        <v>23.9672</v>
      </c>
      <c r="G70" s="26" t="n">
        <f aca="false">G68-G69</f>
        <v>39.7819</v>
      </c>
      <c r="H70" s="26" t="n">
        <f aca="false">H68-H69</f>
        <v>41.6114</v>
      </c>
      <c r="I70" s="26" t="n">
        <f aca="false">I68-I69</f>
        <v>39.1054</v>
      </c>
      <c r="J70" s="26" t="n">
        <f aca="false">J68-J69</f>
        <v>38.3909</v>
      </c>
      <c r="K70" s="26" t="n">
        <f aca="false">K68-K69</f>
        <v>116.7639</v>
      </c>
      <c r="L70" s="26" t="n">
        <f aca="false">L68-L69</f>
        <v>106.012</v>
      </c>
      <c r="M70" s="26" t="n">
        <f aca="false">M68-M69</f>
        <v>95.4064</v>
      </c>
      <c r="N70" s="26" t="n">
        <f aca="false">N68-N69</f>
        <v>83.401</v>
      </c>
      <c r="O70" s="26" t="n">
        <f aca="false">O68-O69</f>
        <v>100.0971</v>
      </c>
      <c r="P70" s="26" t="n">
        <f aca="false">P68-P69</f>
        <v>86.512</v>
      </c>
      <c r="Q70" s="26" t="n">
        <f aca="false">Q68-Q69</f>
        <v>90.1615</v>
      </c>
      <c r="R70" s="26" t="n">
        <f aca="false">R68-R69</f>
        <v>131.8624</v>
      </c>
      <c r="S70" s="26" t="n">
        <f aca="false">S68-S69</f>
        <v>111.9816</v>
      </c>
      <c r="T70" s="26" t="n">
        <f aca="false">T68-T69</f>
        <v>95.7406</v>
      </c>
      <c r="U70" s="26" t="n">
        <f aca="false">U68-U69</f>
        <v>111.7641</v>
      </c>
      <c r="V70" s="26" t="n">
        <f aca="false">V68-V69</f>
        <v>115.358</v>
      </c>
      <c r="W70" s="26" t="n">
        <f aca="false">W68-W69</f>
        <v>114.557</v>
      </c>
    </row>
    <row r="71" customFormat="false" ht="15" hidden="false" customHeight="false" outlineLevel="0" collapsed="false">
      <c r="A71" s="11" t="s">
        <v>87</v>
      </c>
      <c r="B71" s="24" t="n">
        <v>0</v>
      </c>
      <c r="C71" s="24" t="n">
        <v>0</v>
      </c>
      <c r="D71" s="24" t="n">
        <v>0</v>
      </c>
      <c r="E71" s="24" t="n">
        <v>0</v>
      </c>
      <c r="F71" s="25" t="n">
        <v>0</v>
      </c>
      <c r="G71" s="25" t="n">
        <v>0.8519</v>
      </c>
      <c r="H71" s="25" t="n">
        <v>4.1842</v>
      </c>
      <c r="I71" s="25" t="n">
        <v>0</v>
      </c>
      <c r="J71" s="25" t="n">
        <v>3.4685</v>
      </c>
      <c r="K71" s="25" t="n">
        <v>8.0464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0</v>
      </c>
      <c r="Q71" s="25" t="n">
        <v>0</v>
      </c>
      <c r="R71" s="25" t="n">
        <v>0</v>
      </c>
      <c r="S71" s="25" t="n">
        <v>0</v>
      </c>
      <c r="T71" s="25" t="n">
        <v>0</v>
      </c>
      <c r="U71" s="25" t="n">
        <v>1.1572</v>
      </c>
      <c r="V71" s="25" t="n">
        <v>2.6268</v>
      </c>
      <c r="W71" s="25" t="n">
        <v>46.1305</v>
      </c>
    </row>
    <row r="72" customFormat="false" ht="15" hidden="false" customHeight="false" outlineLevel="0" collapsed="false">
      <c r="A72" s="11" t="s">
        <v>88</v>
      </c>
      <c r="B72" s="24" t="n">
        <v>0</v>
      </c>
      <c r="C72" s="24" t="n">
        <v>0</v>
      </c>
      <c r="D72" s="24" t="n">
        <v>0</v>
      </c>
      <c r="E72" s="24" t="n">
        <v>0</v>
      </c>
      <c r="F72" s="25" t="n">
        <v>0</v>
      </c>
      <c r="G72" s="25" t="n">
        <v>0</v>
      </c>
      <c r="H72" s="25" t="n">
        <v>0</v>
      </c>
      <c r="I72" s="25" t="n">
        <v>0.065</v>
      </c>
      <c r="J72" s="25" t="n">
        <v>0.1232</v>
      </c>
      <c r="K72" s="25" t="n">
        <v>0.1232</v>
      </c>
      <c r="L72" s="25" t="n">
        <v>0</v>
      </c>
      <c r="M72" s="25" t="n">
        <v>0</v>
      </c>
      <c r="N72" s="25" t="n">
        <v>0</v>
      </c>
      <c r="O72" s="25" t="n">
        <v>0</v>
      </c>
      <c r="P72" s="25" t="n">
        <v>0</v>
      </c>
      <c r="Q72" s="25" t="n">
        <v>0</v>
      </c>
      <c r="R72" s="25" t="n">
        <v>0</v>
      </c>
      <c r="S72" s="25" t="n">
        <v>0</v>
      </c>
      <c r="T72" s="25" t="n">
        <v>0</v>
      </c>
      <c r="U72" s="25" t="n">
        <v>0.2375</v>
      </c>
      <c r="V72" s="25" t="n">
        <v>0.2375</v>
      </c>
      <c r="W72" s="25" t="n">
        <v>0</v>
      </c>
    </row>
    <row r="73" customFormat="false" ht="15" hidden="false" customHeight="false" outlineLevel="0" collapsed="false">
      <c r="A73" s="11" t="s">
        <v>89</v>
      </c>
      <c r="B73" s="24" t="n">
        <v>0</v>
      </c>
      <c r="C73" s="24" t="n">
        <v>0</v>
      </c>
      <c r="D73" s="24" t="n">
        <v>0</v>
      </c>
      <c r="E73" s="24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  <c r="P73" s="25" t="n">
        <v>0</v>
      </c>
      <c r="Q73" s="25" t="n">
        <v>0</v>
      </c>
      <c r="R73" s="25" t="n">
        <v>0</v>
      </c>
      <c r="S73" s="25" t="n">
        <v>0</v>
      </c>
      <c r="T73" s="25" t="n">
        <v>0</v>
      </c>
      <c r="U73" s="25" t="n">
        <v>0</v>
      </c>
      <c r="V73" s="25" t="n">
        <v>0</v>
      </c>
      <c r="W73" s="25" t="n">
        <v>0</v>
      </c>
    </row>
    <row r="74" customFormat="false" ht="15" hidden="false" customHeight="false" outlineLevel="0" collapsed="false">
      <c r="A74" s="11" t="s">
        <v>90</v>
      </c>
      <c r="B74" s="24" t="n">
        <v>0.26</v>
      </c>
      <c r="C74" s="24" t="n">
        <v>0.1165</v>
      </c>
      <c r="D74" s="24" t="n">
        <v>0.0065</v>
      </c>
      <c r="E74" s="24" t="n">
        <v>34.3406</v>
      </c>
      <c r="F74" s="25" t="n">
        <v>23.8871</v>
      </c>
      <c r="G74" s="25" t="n">
        <v>22.5249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6.1</v>
      </c>
      <c r="T74" s="25" t="n">
        <v>6.8452</v>
      </c>
      <c r="U74" s="25" t="n">
        <v>8.4165</v>
      </c>
      <c r="V74" s="25" t="n">
        <v>14.6031</v>
      </c>
      <c r="W74" s="25" t="n">
        <v>11.9357</v>
      </c>
    </row>
    <row r="75" customFormat="false" ht="15" hidden="false" customHeight="false" outlineLevel="0" collapsed="false">
      <c r="A75" s="11" t="s">
        <v>91</v>
      </c>
      <c r="B75" s="24" t="n">
        <v>0</v>
      </c>
      <c r="C75" s="24" t="n">
        <v>0</v>
      </c>
      <c r="D75" s="24" t="n">
        <v>0</v>
      </c>
      <c r="E75" s="24" t="n">
        <v>0</v>
      </c>
      <c r="F75" s="25" t="n">
        <v>0</v>
      </c>
      <c r="G75" s="25" t="n">
        <v>0</v>
      </c>
      <c r="H75" s="25" t="n">
        <v>0.4999</v>
      </c>
      <c r="I75" s="25" t="n">
        <v>0.6472</v>
      </c>
      <c r="J75" s="25" t="n">
        <v>3.3602</v>
      </c>
      <c r="K75" s="25" t="n">
        <v>2.2867</v>
      </c>
      <c r="L75" s="25" t="n">
        <v>7.4361</v>
      </c>
      <c r="M75" s="25" t="n">
        <v>5.1436</v>
      </c>
      <c r="N75" s="25" t="n">
        <v>4.0465</v>
      </c>
      <c r="O75" s="25" t="n">
        <v>5.4903</v>
      </c>
      <c r="P75" s="25" t="n">
        <v>12.6825</v>
      </c>
      <c r="Q75" s="25" t="n">
        <v>16.009</v>
      </c>
      <c r="R75" s="25" t="n">
        <v>6.6329</v>
      </c>
      <c r="S75" s="25" t="n">
        <v>4.9575</v>
      </c>
      <c r="T75" s="25" t="n">
        <v>9.8925</v>
      </c>
      <c r="U75" s="25" t="n">
        <v>12.9697</v>
      </c>
      <c r="V75" s="25" t="n">
        <v>3.3769</v>
      </c>
      <c r="W75" s="25" t="n">
        <v>13.5488</v>
      </c>
    </row>
    <row r="76" customFormat="false" ht="15" hidden="false" customHeight="false" outlineLevel="0" collapsed="false">
      <c r="A76" s="11" t="s">
        <v>92</v>
      </c>
      <c r="B76" s="24" t="n">
        <v>0</v>
      </c>
      <c r="C76" s="24" t="n">
        <v>0</v>
      </c>
      <c r="D76" s="24" t="n">
        <v>0</v>
      </c>
      <c r="E76" s="24" t="n">
        <v>0</v>
      </c>
      <c r="F76" s="25" t="n">
        <v>0</v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5" t="n">
        <v>4.8745</v>
      </c>
      <c r="M76" s="25" t="n">
        <v>5.559</v>
      </c>
      <c r="N76" s="25" t="n">
        <v>33.6853</v>
      </c>
      <c r="O76" s="25" t="n">
        <v>8.7592</v>
      </c>
      <c r="P76" s="25" t="n">
        <v>1.2244</v>
      </c>
      <c r="Q76" s="25" t="n">
        <v>11.6693</v>
      </c>
      <c r="R76" s="25" t="n">
        <v>5.2084</v>
      </c>
      <c r="S76" s="25" t="n">
        <v>4.9343</v>
      </c>
      <c r="T76" s="25" t="n">
        <v>6.9412</v>
      </c>
      <c r="U76" s="25" t="n">
        <v>27.3698</v>
      </c>
      <c r="V76" s="25" t="n">
        <v>6.7671</v>
      </c>
      <c r="W76" s="25" t="n">
        <v>12.0668</v>
      </c>
    </row>
    <row r="77" customFormat="false" ht="15" hidden="false" customHeight="false" outlineLevel="0" collapsed="false">
      <c r="A77" s="6" t="s">
        <v>93</v>
      </c>
      <c r="B77" s="26" t="n">
        <f aca="false">B70+SUM(B71:B76)</f>
        <v>3.8104</v>
      </c>
      <c r="C77" s="26" t="n">
        <f aca="false">C70+SUM(C71:C76)</f>
        <v>3.5119</v>
      </c>
      <c r="D77" s="26" t="n">
        <f aca="false">D70+SUM(D71:D76)</f>
        <v>6.7462</v>
      </c>
      <c r="E77" s="26" t="n">
        <f aca="false">E70+SUM(E71:E76)</f>
        <v>55.4505</v>
      </c>
      <c r="F77" s="26" t="n">
        <f aca="false">F70+SUM(F71:F76)</f>
        <v>47.8543</v>
      </c>
      <c r="G77" s="26" t="n">
        <f aca="false">G70+SUM(G71:G76)</f>
        <v>63.1587</v>
      </c>
      <c r="H77" s="26" t="n">
        <f aca="false">H70+SUM(H71:H76)</f>
        <v>46.2955</v>
      </c>
      <c r="I77" s="26" t="n">
        <f aca="false">I70+SUM(I71:I76)</f>
        <v>39.8176</v>
      </c>
      <c r="J77" s="26" t="n">
        <f aca="false">J70+SUM(J71:J76)</f>
        <v>45.3428</v>
      </c>
      <c r="K77" s="26" t="n">
        <f aca="false">K70+SUM(K71:K76)</f>
        <v>127.2202</v>
      </c>
      <c r="L77" s="26" t="n">
        <f aca="false">L70+SUM(L71:L76)</f>
        <v>118.3226</v>
      </c>
      <c r="M77" s="26" t="n">
        <f aca="false">M70+SUM(M71:M76)</f>
        <v>106.109</v>
      </c>
      <c r="N77" s="26" t="n">
        <f aca="false">N70+SUM(N71:N76)</f>
        <v>121.1328</v>
      </c>
      <c r="O77" s="26" t="n">
        <f aca="false">O70+SUM(O71:O76)</f>
        <v>114.3466</v>
      </c>
      <c r="P77" s="26" t="n">
        <f aca="false">P70+SUM(P71:P76)</f>
        <v>100.4189</v>
      </c>
      <c r="Q77" s="26" t="n">
        <f aca="false">Q70+SUM(Q71:Q76)</f>
        <v>117.8398</v>
      </c>
      <c r="R77" s="26" t="n">
        <f aca="false">R70+SUM(R71:R76)</f>
        <v>143.7037</v>
      </c>
      <c r="S77" s="26" t="n">
        <f aca="false">S70+SUM(S71:S76)</f>
        <v>127.9734</v>
      </c>
      <c r="T77" s="26" t="n">
        <f aca="false">T70+SUM(T71:T76)</f>
        <v>119.4195</v>
      </c>
      <c r="U77" s="26" t="n">
        <f aca="false">U70+SUM(U71:U76)</f>
        <v>161.9148</v>
      </c>
      <c r="V77" s="26" t="n">
        <f aca="false">V70+SUM(V71:V76)</f>
        <v>142.9694</v>
      </c>
      <c r="W77" s="26" t="n">
        <f aca="false">W70+SUM(W71:W76)</f>
        <v>198.2388</v>
      </c>
    </row>
    <row r="79" customFormat="false" ht="15" hidden="false" customHeight="false" outlineLevel="0" collapsed="false">
      <c r="A79" s="6" t="s">
        <v>94</v>
      </c>
    </row>
    <row r="80" customFormat="false" ht="15" hidden="false" customHeight="false" outlineLevel="0" collapsed="false">
      <c r="A80" s="11" t="s">
        <v>95</v>
      </c>
      <c r="B80" s="24" t="n">
        <v>0</v>
      </c>
      <c r="C80" s="24" t="n">
        <v>0</v>
      </c>
      <c r="D80" s="24" t="n">
        <v>0</v>
      </c>
      <c r="E80" s="24" t="n">
        <v>0</v>
      </c>
      <c r="F80" s="25" t="n">
        <v>11.2022</v>
      </c>
      <c r="G80" s="25" t="n">
        <v>17.1964</v>
      </c>
      <c r="H80" s="25" t="n">
        <v>4.0017</v>
      </c>
      <c r="I80" s="25" t="n">
        <v>10.7866</v>
      </c>
      <c r="J80" s="25" t="n">
        <v>5.9479</v>
      </c>
      <c r="K80" s="25" t="n">
        <v>0</v>
      </c>
      <c r="L80" s="25" t="n">
        <v>0</v>
      </c>
      <c r="M80" s="25" t="n">
        <v>0</v>
      </c>
      <c r="N80" s="25" t="n">
        <v>0</v>
      </c>
      <c r="O80" s="25" t="n">
        <v>0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13.1493</v>
      </c>
      <c r="U80" s="25" t="n">
        <v>3.4093</v>
      </c>
      <c r="V80" s="25" t="n">
        <v>18.3792</v>
      </c>
      <c r="W80" s="25" t="n">
        <v>0</v>
      </c>
    </row>
    <row r="81" customFormat="false" ht="15" hidden="false" customHeight="false" outlineLevel="0" collapsed="false">
      <c r="A81" s="11" t="s">
        <v>96</v>
      </c>
      <c r="B81" s="24" t="n">
        <v>0.15</v>
      </c>
      <c r="C81" s="24" t="n">
        <v>0.005</v>
      </c>
      <c r="D81" s="24" t="n">
        <v>0.0932</v>
      </c>
      <c r="E81" s="24" t="n">
        <v>0.1029</v>
      </c>
      <c r="F81" s="25" t="n">
        <v>0</v>
      </c>
      <c r="G81" s="25" t="n">
        <v>0</v>
      </c>
      <c r="H81" s="25" t="n">
        <v>2.3199</v>
      </c>
      <c r="I81" s="25" t="n">
        <v>3.4865</v>
      </c>
      <c r="J81" s="25" t="n">
        <v>5.9103</v>
      </c>
      <c r="K81" s="25" t="n">
        <v>4.2221</v>
      </c>
      <c r="L81" s="25" t="n">
        <v>3.8077</v>
      </c>
      <c r="M81" s="25" t="n">
        <v>5.6705</v>
      </c>
      <c r="N81" s="25" t="n">
        <v>1.5739</v>
      </c>
      <c r="O81" s="25" t="n">
        <v>1.8768</v>
      </c>
      <c r="P81" s="25" t="n">
        <v>0.6939</v>
      </c>
      <c r="Q81" s="25" t="n">
        <v>0.0161</v>
      </c>
      <c r="R81" s="25" t="n">
        <v>0</v>
      </c>
      <c r="S81" s="25" t="n">
        <v>0</v>
      </c>
      <c r="T81" s="25" t="n">
        <v>0</v>
      </c>
      <c r="U81" s="25" t="n">
        <v>0.2901</v>
      </c>
      <c r="V81" s="25" t="n">
        <v>0.1778</v>
      </c>
      <c r="W81" s="25" t="n">
        <v>0.2925</v>
      </c>
    </row>
    <row r="82" customFormat="false" ht="15" hidden="false" customHeight="false" outlineLevel="0" collapsed="false">
      <c r="A82" s="11" t="s">
        <v>97</v>
      </c>
      <c r="B82" s="24" t="n">
        <v>4.2893</v>
      </c>
      <c r="C82" s="24" t="n">
        <v>6.3066</v>
      </c>
      <c r="D82" s="24" t="n">
        <v>18.3543</v>
      </c>
      <c r="E82" s="24" t="n">
        <v>15.2262</v>
      </c>
      <c r="F82" s="25" t="n">
        <v>19.896</v>
      </c>
      <c r="G82" s="25" t="n">
        <v>9.8389</v>
      </c>
      <c r="H82" s="25" t="n">
        <v>25.3249</v>
      </c>
      <c r="I82" s="25" t="n">
        <v>18.5853</v>
      </c>
      <c r="J82" s="25" t="n">
        <v>15.2866</v>
      </c>
      <c r="K82" s="25" t="n">
        <v>10.9796</v>
      </c>
      <c r="L82" s="25" t="n">
        <v>18.8625</v>
      </c>
      <c r="M82" s="25" t="n">
        <v>42.91</v>
      </c>
      <c r="N82" s="25" t="n">
        <v>27.5121</v>
      </c>
      <c r="O82" s="25" t="n">
        <v>61.6137</v>
      </c>
      <c r="P82" s="25" t="n">
        <v>59.398</v>
      </c>
      <c r="Q82" s="25" t="n">
        <v>88.0607</v>
      </c>
      <c r="R82" s="25" t="n">
        <v>124.7184</v>
      </c>
      <c r="S82" s="25" t="n">
        <v>111.3331</v>
      </c>
      <c r="T82" s="25" t="n">
        <v>106.7256</v>
      </c>
      <c r="U82" s="25" t="n">
        <v>135.8781</v>
      </c>
      <c r="V82" s="25" t="n">
        <v>224.4159</v>
      </c>
      <c r="W82" s="25" t="n">
        <v>347.7344</v>
      </c>
    </row>
    <row r="83" customFormat="false" ht="15" hidden="false" customHeight="false" outlineLevel="0" collapsed="false">
      <c r="A83" s="11" t="s">
        <v>98</v>
      </c>
      <c r="B83" s="24" t="n">
        <v>0.3988</v>
      </c>
      <c r="C83" s="24" t="n">
        <v>0.8861</v>
      </c>
      <c r="D83" s="24" t="n">
        <v>2.2083</v>
      </c>
      <c r="E83" s="24" t="n">
        <v>4.2125</v>
      </c>
      <c r="F83" s="25" t="n">
        <v>7.4471</v>
      </c>
      <c r="G83" s="25" t="n">
        <v>7.9855</v>
      </c>
      <c r="H83" s="25" t="n">
        <v>32.0268</v>
      </c>
      <c r="I83" s="25" t="n">
        <v>26.986</v>
      </c>
      <c r="J83" s="25" t="n">
        <v>18.2411</v>
      </c>
      <c r="K83" s="25" t="n">
        <v>9.3548</v>
      </c>
      <c r="L83" s="25" t="n">
        <v>2.997</v>
      </c>
      <c r="M83" s="25" t="n">
        <v>9.6584</v>
      </c>
      <c r="N83" s="25" t="n">
        <v>29.1432</v>
      </c>
      <c r="O83" s="25" t="n">
        <v>24.5741</v>
      </c>
      <c r="P83" s="25" t="n">
        <v>25.1937</v>
      </c>
      <c r="Q83" s="25" t="n">
        <v>81.9762</v>
      </c>
      <c r="R83" s="25" t="n">
        <v>23.8905</v>
      </c>
      <c r="S83" s="25" t="n">
        <v>50.2203</v>
      </c>
      <c r="T83" s="25" t="n">
        <v>26.9163</v>
      </c>
      <c r="U83" s="25" t="n">
        <v>38.9075</v>
      </c>
      <c r="V83" s="25" t="n">
        <v>77.6951</v>
      </c>
      <c r="W83" s="25" t="n">
        <v>146.8454</v>
      </c>
    </row>
    <row r="84" customFormat="false" ht="15" hidden="false" customHeight="false" outlineLevel="0" collapsed="false">
      <c r="A84" s="11" t="s">
        <v>99</v>
      </c>
      <c r="B84" s="24" t="n">
        <v>0</v>
      </c>
      <c r="C84" s="24" t="n">
        <v>0</v>
      </c>
      <c r="D84" s="24" t="n">
        <v>0</v>
      </c>
      <c r="E84" s="24" t="n">
        <v>0</v>
      </c>
      <c r="F84" s="25" t="n">
        <v>0.8937</v>
      </c>
      <c r="G84" s="25" t="n">
        <v>3.0668</v>
      </c>
      <c r="H84" s="25" t="n">
        <v>4.7522</v>
      </c>
      <c r="I84" s="25" t="n">
        <v>7.9696</v>
      </c>
      <c r="J84" s="25" t="n">
        <v>20.2776</v>
      </c>
      <c r="K84" s="25" t="n">
        <v>5.1508</v>
      </c>
      <c r="L84" s="25" t="n">
        <v>1.9169</v>
      </c>
      <c r="M84" s="25" t="n">
        <v>4.891</v>
      </c>
      <c r="N84" s="25" t="n">
        <v>27.3634</v>
      </c>
      <c r="O84" s="25" t="n">
        <v>23.0986</v>
      </c>
      <c r="P84" s="25" t="n">
        <v>10.6905</v>
      </c>
      <c r="Q84" s="25" t="n">
        <v>5.1668</v>
      </c>
      <c r="R84" s="25" t="n">
        <v>3.7618</v>
      </c>
      <c r="S84" s="25" t="n">
        <v>7.768</v>
      </c>
      <c r="T84" s="25" t="n">
        <v>4.7873</v>
      </c>
      <c r="U84" s="25" t="n">
        <v>4.913</v>
      </c>
      <c r="V84" s="25" t="n">
        <v>4.7873</v>
      </c>
      <c r="W84" s="25" t="n">
        <v>9.7443</v>
      </c>
    </row>
    <row r="85" customFormat="false" ht="15" hidden="false" customHeight="false" outlineLevel="0" collapsed="false">
      <c r="A85" s="11" t="s">
        <v>100</v>
      </c>
      <c r="B85" s="24" t="n">
        <v>0.8424</v>
      </c>
      <c r="C85" s="24" t="n">
        <v>0.809</v>
      </c>
      <c r="D85" s="24" t="n">
        <v>1.3774</v>
      </c>
      <c r="E85" s="24" t="n">
        <v>5.823</v>
      </c>
      <c r="F85" s="25" t="n">
        <v>11.5522</v>
      </c>
      <c r="G85" s="25" t="n">
        <v>14.5266</v>
      </c>
      <c r="H85" s="25" t="n">
        <v>7.0959</v>
      </c>
      <c r="I85" s="25" t="n">
        <v>6.2259</v>
      </c>
      <c r="J85" s="25" t="n">
        <v>9.4183</v>
      </c>
      <c r="K85" s="25" t="n">
        <v>15.6871</v>
      </c>
      <c r="L85" s="25" t="n">
        <v>3.9535</v>
      </c>
      <c r="M85" s="25" t="n">
        <v>1.3655</v>
      </c>
      <c r="N85" s="25" t="n">
        <v>2.5863</v>
      </c>
      <c r="O85" s="25" t="n">
        <v>26.9856</v>
      </c>
      <c r="P85" s="25" t="n">
        <v>22.0582</v>
      </c>
      <c r="Q85" s="25" t="n">
        <v>14.6853</v>
      </c>
      <c r="R85" s="25" t="n">
        <v>51.9767</v>
      </c>
      <c r="S85" s="25" t="n">
        <v>40.9128</v>
      </c>
      <c r="T85" s="25" t="n">
        <v>25.7208</v>
      </c>
      <c r="U85" s="25" t="n">
        <v>39.1374</v>
      </c>
      <c r="V85" s="25" t="n">
        <v>124.032</v>
      </c>
      <c r="W85" s="25" t="n">
        <v>210.484</v>
      </c>
    </row>
    <row r="86" customFormat="false" ht="15" hidden="false" customHeight="false" outlineLevel="0" collapsed="false">
      <c r="A86" s="6" t="s">
        <v>101</v>
      </c>
      <c r="B86" s="26" t="n">
        <f aca="false">SUM(B80:B85)</f>
        <v>5.6805</v>
      </c>
      <c r="C86" s="26" t="n">
        <f aca="false">SUM(C80:C85)</f>
        <v>8.0067</v>
      </c>
      <c r="D86" s="26" t="n">
        <f aca="false">SUM(D80:D85)</f>
        <v>22.0332</v>
      </c>
      <c r="E86" s="26" t="n">
        <f aca="false">SUM(E80:E85)</f>
        <v>25.3646</v>
      </c>
      <c r="F86" s="26" t="n">
        <f aca="false">SUM(F80:F85)</f>
        <v>50.9912</v>
      </c>
      <c r="G86" s="26" t="n">
        <f aca="false">SUM(G80:G85)</f>
        <v>52.6142</v>
      </c>
      <c r="H86" s="26" t="n">
        <f aca="false">SUM(H80:H85)</f>
        <v>75.5214</v>
      </c>
      <c r="I86" s="26" t="n">
        <f aca="false">SUM(I80:I85)</f>
        <v>74.0399</v>
      </c>
      <c r="J86" s="26" t="n">
        <f aca="false">SUM(J80:J85)</f>
        <v>75.0818</v>
      </c>
      <c r="K86" s="26" t="n">
        <f aca="false">SUM(K80:K85)</f>
        <v>45.3944</v>
      </c>
      <c r="L86" s="26" t="n">
        <f aca="false">SUM(L80:L85)</f>
        <v>31.5376</v>
      </c>
      <c r="M86" s="26" t="n">
        <f aca="false">SUM(M80:M85)</f>
        <v>64.4954</v>
      </c>
      <c r="N86" s="26" t="n">
        <f aca="false">SUM(N80:N85)</f>
        <v>88.1789</v>
      </c>
      <c r="O86" s="26" t="n">
        <f aca="false">SUM(O80:O85)</f>
        <v>138.1488</v>
      </c>
      <c r="P86" s="26" t="n">
        <f aca="false">SUM(P80:P85)</f>
        <v>118.0343</v>
      </c>
      <c r="Q86" s="26" t="n">
        <f aca="false">SUM(Q80:Q85)</f>
        <v>189.9051</v>
      </c>
      <c r="R86" s="26" t="n">
        <f aca="false">SUM(R80:R85)</f>
        <v>204.3474</v>
      </c>
      <c r="S86" s="26" t="n">
        <f aca="false">SUM(S80:S85)</f>
        <v>210.2342</v>
      </c>
      <c r="T86" s="26" t="n">
        <f aca="false">SUM(T80:T85)</f>
        <v>177.2993</v>
      </c>
      <c r="U86" s="26" t="n">
        <f aca="false">SUM(U80:U85)</f>
        <v>222.5354</v>
      </c>
      <c r="V86" s="26" t="n">
        <f aca="false">SUM(V80:V85)</f>
        <v>449.4873</v>
      </c>
      <c r="W86" s="26" t="n">
        <f aca="false">SUM(W80:W85)</f>
        <v>715.1006</v>
      </c>
    </row>
    <row r="87" customFormat="false" ht="15" hidden="false" customHeight="false" outlineLevel="0" collapsed="false">
      <c r="A87" s="11" t="s">
        <v>102</v>
      </c>
      <c r="B87" s="24" t="n">
        <v>0.0735</v>
      </c>
      <c r="C87" s="24" t="n">
        <v>0.0245</v>
      </c>
      <c r="D87" s="24" t="n">
        <v>0</v>
      </c>
      <c r="E87" s="24" t="n">
        <v>0.5025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  <c r="N87" s="25" t="n">
        <v>0</v>
      </c>
      <c r="O87" s="25" t="n">
        <v>0</v>
      </c>
      <c r="P87" s="25" t="n">
        <v>0</v>
      </c>
      <c r="Q87" s="25" t="n">
        <v>0</v>
      </c>
      <c r="R87" s="25" t="n">
        <v>0</v>
      </c>
      <c r="S87" s="25" t="n">
        <v>0</v>
      </c>
      <c r="T87" s="25" t="n">
        <v>0</v>
      </c>
      <c r="U87" s="25" t="n">
        <v>0</v>
      </c>
      <c r="V87" s="25" t="n">
        <v>0</v>
      </c>
      <c r="W87" s="25" t="n">
        <v>0</v>
      </c>
    </row>
    <row r="89" customFormat="false" ht="15" hidden="false" customHeight="false" outlineLevel="0" collapsed="false">
      <c r="A89" s="6" t="s">
        <v>103</v>
      </c>
      <c r="B89" s="26" t="n">
        <f aca="false">B77+B86+B87</f>
        <v>9.5644</v>
      </c>
      <c r="C89" s="26" t="n">
        <f aca="false">C77+C86+C87</f>
        <v>11.5431</v>
      </c>
      <c r="D89" s="26" t="n">
        <f aca="false">D77+D86+D87</f>
        <v>28.7794</v>
      </c>
      <c r="E89" s="26" t="n">
        <f aca="false">E77+E86+E87</f>
        <v>81.3176</v>
      </c>
      <c r="F89" s="26" t="n">
        <f aca="false">F77+F86+F87</f>
        <v>98.8455</v>
      </c>
      <c r="G89" s="26" t="n">
        <f aca="false">G77+G86+G87</f>
        <v>115.7729</v>
      </c>
      <c r="H89" s="26" t="n">
        <f aca="false">H77+H86+H87</f>
        <v>121.8169</v>
      </c>
      <c r="I89" s="26" t="n">
        <f aca="false">I77+I86+I87</f>
        <v>113.8575</v>
      </c>
      <c r="J89" s="26" t="n">
        <f aca="false">J77+J86+J87</f>
        <v>120.4246</v>
      </c>
      <c r="K89" s="26" t="n">
        <f aca="false">K77+K86+K87</f>
        <v>172.6146</v>
      </c>
      <c r="L89" s="26" t="n">
        <f aca="false">L77+L86+L87</f>
        <v>149.8602</v>
      </c>
      <c r="M89" s="26" t="n">
        <f aca="false">M77+M86+M87</f>
        <v>170.6044</v>
      </c>
      <c r="N89" s="26" t="n">
        <f aca="false">N77+N86+N87</f>
        <v>209.3117</v>
      </c>
      <c r="O89" s="26" t="n">
        <f aca="false">O77+O86+O87</f>
        <v>252.4954</v>
      </c>
      <c r="P89" s="26" t="n">
        <f aca="false">P77+P86+P87</f>
        <v>218.4532</v>
      </c>
      <c r="Q89" s="26" t="n">
        <f aca="false">Q77+Q86+Q87</f>
        <v>307.7449</v>
      </c>
      <c r="R89" s="26" t="n">
        <f aca="false">R77+R86+R87</f>
        <v>348.0511</v>
      </c>
      <c r="S89" s="26" t="n">
        <f aca="false">S77+S86+S87</f>
        <v>338.2076</v>
      </c>
      <c r="T89" s="26" t="n">
        <f aca="false">T77+T86+T87</f>
        <v>296.7188</v>
      </c>
      <c r="U89" s="26" t="n">
        <f aca="false">U77+U86+U87</f>
        <v>384.4502</v>
      </c>
      <c r="V89" s="26" t="n">
        <f aca="false">V77+V86+V87</f>
        <v>592.4567</v>
      </c>
      <c r="W89" s="26" t="n">
        <f aca="false">W77+W86+W87</f>
        <v>913.3394</v>
      </c>
    </row>
    <row r="90" customFormat="false" ht="15" hidden="false" customHeight="false" outlineLevel="0" collapsed="false">
      <c r="A90" s="27" t="s">
        <v>104</v>
      </c>
      <c r="B90" s="28" t="n">
        <f aca="false">(B80+B83)/B86</f>
        <v>0.0702050875803186</v>
      </c>
      <c r="C90" s="28" t="n">
        <f aca="false">(C80+C83)/C86</f>
        <v>0.110669814030749</v>
      </c>
      <c r="D90" s="28" t="n">
        <f aca="false">(D80+D83)/D86</f>
        <v>0.100226022547792</v>
      </c>
      <c r="E90" s="28" t="n">
        <f aca="false">(E80+E83)/E86</f>
        <v>0.166077919620258</v>
      </c>
      <c r="F90" s="28" t="n">
        <f aca="false">(F80+F83)/F86</f>
        <v>0.365735656348546</v>
      </c>
      <c r="G90" s="28" t="n">
        <f aca="false">(G80+G83)/G86</f>
        <v>0.478614138388496</v>
      </c>
      <c r="H90" s="28" t="n">
        <f aca="false">(H80+H83)/H86</f>
        <v>0.477063454861801</v>
      </c>
      <c r="I90" s="28" t="n">
        <f aca="false">(I80+I83)/I86</f>
        <v>0.510165464837203</v>
      </c>
      <c r="J90" s="28" t="n">
        <f aca="false">(J80+J83)/J86</f>
        <v>0.322168621423567</v>
      </c>
      <c r="K90" s="28" t="n">
        <f aca="false">(K80+K83)/K86</f>
        <v>0.20607828278378</v>
      </c>
      <c r="L90" s="28" t="n">
        <f aca="false">(L80+L83)/L86</f>
        <v>0.0950294251940541</v>
      </c>
      <c r="M90" s="28" t="n">
        <f aca="false">(M80+M83)/M86</f>
        <v>0.149753315740347</v>
      </c>
      <c r="N90" s="28" t="n">
        <f aca="false">(N80+N83)/N86</f>
        <v>0.330500834099768</v>
      </c>
      <c r="O90" s="28" t="n">
        <f aca="false">(O80+O83)/O86</f>
        <v>0.177881385867992</v>
      </c>
      <c r="P90" s="28" t="n">
        <f aca="false">(P80+P83)/P86</f>
        <v>0.213443888767926</v>
      </c>
      <c r="Q90" s="28" t="n">
        <f aca="false">(Q80+Q83)/Q86</f>
        <v>0.431669291661993</v>
      </c>
      <c r="R90" s="28" t="n">
        <f aca="false">(R80+R83)/R86</f>
        <v>0.1169112012191</v>
      </c>
      <c r="S90" s="28" t="n">
        <f aca="false">(S80+S83)/S86</f>
        <v>0.238877880002397</v>
      </c>
      <c r="T90" s="28" t="n">
        <f aca="false">(T80+T83)/T86</f>
        <v>0.225977203519698</v>
      </c>
      <c r="U90" s="28" t="n">
        <f aca="false">(U80+U83)/U86</f>
        <v>0.190157610878988</v>
      </c>
      <c r="V90" s="28" t="n">
        <f aca="false">(V80+V83)/V86</f>
        <v>0.213741967793083</v>
      </c>
      <c r="W90" s="28" t="n">
        <f aca="false">(W80+W83)/W86</f>
        <v>0.205349289316776</v>
      </c>
    </row>
    <row r="91" customFormat="false" ht="15" hidden="false" customHeight="false" outlineLevel="0" collapsed="false">
      <c r="A91" s="29" t="s">
        <v>105</v>
      </c>
      <c r="B91" s="30" t="n">
        <f aca="false">ROUND(B89-B64,1)</f>
        <v>0</v>
      </c>
      <c r="C91" s="30" t="n">
        <f aca="false">ROUND(C89-C64,1)</f>
        <v>0</v>
      </c>
      <c r="D91" s="30" t="n">
        <f aca="false">ROUND(D89-D64,1)</f>
        <v>-0</v>
      </c>
      <c r="E91" s="30" t="n">
        <f aca="false">ROUND(E89-E64,1)</f>
        <v>0</v>
      </c>
      <c r="F91" s="30" t="n">
        <f aca="false">ROUND(F89-F64,1)</f>
        <v>0</v>
      </c>
      <c r="G91" s="30" t="n">
        <f aca="false">ROUND(G89-G64,1)</f>
        <v>0</v>
      </c>
      <c r="H91" s="30" t="n">
        <f aca="false">ROUND(H89-H64,1)</f>
        <v>0</v>
      </c>
      <c r="I91" s="30" t="n">
        <f aca="false">ROUND(I89-I64,1)</f>
        <v>-0</v>
      </c>
      <c r="J91" s="30" t="n">
        <f aca="false">ROUND(J89-J64,1)</f>
        <v>0</v>
      </c>
      <c r="K91" s="30" t="n">
        <f aca="false">ROUND(K89-K64,1)</f>
        <v>-0</v>
      </c>
      <c r="L91" s="30" t="n">
        <f aca="false">ROUND(L89-L64,1)</f>
        <v>-0</v>
      </c>
      <c r="M91" s="30" t="n">
        <f aca="false">ROUND(M89-M64,1)</f>
        <v>0</v>
      </c>
      <c r="N91" s="30" t="n">
        <f aca="false">ROUND(N89-N64,1)</f>
        <v>0</v>
      </c>
      <c r="O91" s="30" t="n">
        <f aca="false">ROUND(O89-O64,1)</f>
        <v>0</v>
      </c>
      <c r="P91" s="30" t="n">
        <f aca="false">ROUND(P89-P64,1)</f>
        <v>0</v>
      </c>
      <c r="Q91" s="30" t="n">
        <f aca="false">ROUND(Q89-Q64,1)</f>
        <v>0</v>
      </c>
      <c r="R91" s="30" t="n">
        <f aca="false">ROUND(R89-R64,1)</f>
        <v>0</v>
      </c>
      <c r="S91" s="30" t="n">
        <f aca="false">ROUND(S89-S64,1)</f>
        <v>0</v>
      </c>
      <c r="T91" s="30" t="n">
        <f aca="false">ROUND(T89-T64,1)</f>
        <v>0</v>
      </c>
      <c r="U91" s="30" t="n">
        <f aca="false">ROUND(U89-U64,1)</f>
        <v>0</v>
      </c>
      <c r="V91" s="30" t="n">
        <f aca="false">ROUND(V89-V64,1)</f>
        <v>0</v>
      </c>
      <c r="W91" s="30" t="n">
        <f aca="false">ROUND(W89-W64,1)</f>
        <v>0</v>
      </c>
    </row>
    <row r="93" customFormat="false" ht="15" hidden="false" customHeight="false" outlineLevel="0" collapsed="false">
      <c r="A93" s="3" t="s">
        <v>106</v>
      </c>
      <c r="B93" s="5" t="str">
        <f aca="false">B$2</f>
        <v>FY05</v>
      </c>
      <c r="C93" s="5" t="str">
        <f aca="false">C$2</f>
        <v>FY06</v>
      </c>
      <c r="D93" s="5" t="str">
        <f aca="false">D$2</f>
        <v>FY07</v>
      </c>
      <c r="E93" s="5" t="str">
        <f aca="false">E$2</f>
        <v>FY08</v>
      </c>
      <c r="F93" s="5" t="str">
        <f aca="false">F$2</f>
        <v>FY09</v>
      </c>
      <c r="G93" s="5" t="str">
        <f aca="false">G$2</f>
        <v>FY10</v>
      </c>
      <c r="H93" s="5" t="str">
        <f aca="false">H$2</f>
        <v>FY11</v>
      </c>
      <c r="I93" s="5" t="str">
        <f aca="false">I$2</f>
        <v>FY12</v>
      </c>
      <c r="J93" s="5" t="str">
        <f aca="false">J$2</f>
        <v>FY13</v>
      </c>
      <c r="K93" s="5" t="str">
        <f aca="false">K$2</f>
        <v>FY14</v>
      </c>
      <c r="L93" s="5" t="str">
        <f aca="false">L$2</f>
        <v>FY15</v>
      </c>
      <c r="M93" s="5" t="str">
        <f aca="false">M$2</f>
        <v>FY16</v>
      </c>
      <c r="N93" s="5" t="str">
        <f aca="false">N$2</f>
        <v>FY17</v>
      </c>
      <c r="O93" s="5" t="str">
        <f aca="false">O$2</f>
        <v>FY18</v>
      </c>
      <c r="P93" s="5" t="str">
        <f aca="false">P$2</f>
        <v>FY19</v>
      </c>
      <c r="Q93" s="5" t="str">
        <f aca="false">Q$2</f>
        <v>FY20</v>
      </c>
      <c r="R93" s="5" t="str">
        <f aca="false">R$2</f>
        <v>FY21</v>
      </c>
      <c r="S93" s="5" t="str">
        <f aca="false">S$2</f>
        <v>FY22</v>
      </c>
      <c r="T93" s="5" t="str">
        <f aca="false">T$2</f>
        <v>FY23</v>
      </c>
      <c r="U93" s="5" t="str">
        <f aca="false">U$2</f>
        <v>FY24</v>
      </c>
      <c r="V93" s="5" t="str">
        <f aca="false">V$2</f>
        <v>FY25</v>
      </c>
      <c r="W93" s="5" t="str">
        <f aca="false">W$2</f>
        <v>FY26</v>
      </c>
      <c r="X93" s="5" t="str">
        <f aca="false">X$2</f>
        <v>FY27E</v>
      </c>
      <c r="Y93" s="5" t="str">
        <f aca="false">Y$2</f>
        <v>FY28E</v>
      </c>
      <c r="Z93" s="5" t="str">
        <f aca="false">Z$2</f>
        <v>FY29E</v>
      </c>
      <c r="AA93" s="5" t="str">
        <f aca="false">AA$2</f>
        <v>FY30E</v>
      </c>
    </row>
    <row r="94" customFormat="false" ht="15" hidden="false" customHeight="false" outlineLevel="0" collapsed="false">
      <c r="A94" s="6" t="s">
        <v>107</v>
      </c>
      <c r="B94" s="31" t="n">
        <v>0.5037</v>
      </c>
      <c r="C94" s="31" t="n">
        <v>1.0015</v>
      </c>
      <c r="D94" s="31" t="n">
        <v>7.5713</v>
      </c>
      <c r="E94" s="31" t="n">
        <v>13.9905</v>
      </c>
      <c r="F94" s="32" t="n">
        <v>8.0675</v>
      </c>
      <c r="G94" s="32" t="n">
        <v>-0.5201</v>
      </c>
      <c r="H94" s="32" t="n">
        <v>-7.3899</v>
      </c>
      <c r="I94" s="32" t="n">
        <v>-13.2688</v>
      </c>
      <c r="J94" s="32" t="n">
        <v>-10.3874</v>
      </c>
      <c r="K94" s="32" t="n">
        <v>-23.4028</v>
      </c>
      <c r="L94" s="32" t="n">
        <v>-26.9718</v>
      </c>
      <c r="M94" s="32" t="n">
        <v>-25.2025</v>
      </c>
      <c r="N94" s="32" t="n">
        <v>-17.9994</v>
      </c>
      <c r="O94" s="32" t="n">
        <v>10.5056</v>
      </c>
      <c r="P94" s="32" t="n">
        <v>9.1815</v>
      </c>
      <c r="Q94" s="32" t="n">
        <v>40.6391</v>
      </c>
      <c r="R94" s="32" t="n">
        <v>24.5147</v>
      </c>
      <c r="S94" s="32" t="n">
        <v>40.6707</v>
      </c>
      <c r="T94" s="32" t="n">
        <v>-44.5645</v>
      </c>
      <c r="U94" s="32" t="n">
        <v>28.6772</v>
      </c>
      <c r="V94" s="32" t="n">
        <v>56.1769</v>
      </c>
      <c r="W94" s="32" t="n">
        <v>68.8366</v>
      </c>
    </row>
    <row r="96" customFormat="false" ht="15" hidden="false" customHeight="false" outlineLevel="0" collapsed="false">
      <c r="A96" s="6" t="s">
        <v>108</v>
      </c>
    </row>
    <row r="97" customFormat="false" ht="15" hidden="false" customHeight="false" outlineLevel="0" collapsed="false">
      <c r="A97" s="11" t="s">
        <v>109</v>
      </c>
      <c r="B97" s="24" t="n">
        <v>0</v>
      </c>
      <c r="C97" s="24" t="n">
        <v>0</v>
      </c>
      <c r="D97" s="24" t="n">
        <v>0</v>
      </c>
      <c r="E97" s="24" t="n">
        <v>0</v>
      </c>
      <c r="F97" s="25" t="n">
        <v>3.9044</v>
      </c>
      <c r="G97" s="25" t="n">
        <v>3.5659</v>
      </c>
      <c r="H97" s="25" t="n">
        <v>8.6267</v>
      </c>
      <c r="I97" s="25" t="n">
        <v>8.5149</v>
      </c>
      <c r="J97" s="25" t="n">
        <v>8.8169</v>
      </c>
      <c r="K97" s="25" t="n">
        <v>14.1454</v>
      </c>
      <c r="L97" s="25" t="n">
        <v>18.1089</v>
      </c>
      <c r="M97" s="25" t="n">
        <v>17.8995</v>
      </c>
      <c r="N97" s="25" t="n">
        <v>17.8399</v>
      </c>
      <c r="O97" s="25" t="n">
        <v>27.008</v>
      </c>
      <c r="P97" s="25" t="n">
        <v>19.4427</v>
      </c>
      <c r="Q97" s="25" t="n">
        <v>19.6594</v>
      </c>
      <c r="R97" s="25" t="n">
        <v>23.3298</v>
      </c>
      <c r="S97" s="25" t="n">
        <v>27.6881</v>
      </c>
      <c r="T97" s="25" t="n">
        <v>21.9704</v>
      </c>
      <c r="U97" s="25" t="n">
        <v>17.0187</v>
      </c>
      <c r="V97" s="25" t="n">
        <v>17.7066</v>
      </c>
      <c r="W97" s="25" t="n">
        <v>18.8635</v>
      </c>
    </row>
    <row r="98" customFormat="false" ht="15" hidden="false" customHeight="false" outlineLevel="0" collapsed="false">
      <c r="A98" s="11" t="s">
        <v>110</v>
      </c>
      <c r="B98" s="24" t="n">
        <v>0</v>
      </c>
      <c r="C98" s="24" t="n">
        <v>0</v>
      </c>
      <c r="D98" s="24" t="n">
        <v>0</v>
      </c>
      <c r="E98" s="24" t="n">
        <v>0</v>
      </c>
      <c r="F98" s="25" t="n">
        <v>0.6507</v>
      </c>
      <c r="G98" s="25" t="n">
        <v>0.3162</v>
      </c>
      <c r="H98" s="25" t="n">
        <v>1.0053</v>
      </c>
      <c r="I98" s="25" t="n">
        <v>2.3447</v>
      </c>
      <c r="J98" s="25" t="n">
        <v>3.0848</v>
      </c>
      <c r="K98" s="25" t="n">
        <v>9.4699</v>
      </c>
      <c r="L98" s="25" t="n">
        <v>9.4525</v>
      </c>
      <c r="M98" s="25" t="n">
        <v>9.1352</v>
      </c>
      <c r="N98" s="25" t="n">
        <v>6.3519</v>
      </c>
      <c r="O98" s="25" t="n">
        <v>4.9078</v>
      </c>
      <c r="P98" s="25" t="n">
        <v>2.7173</v>
      </c>
      <c r="Q98" s="25" t="n">
        <v>2.4272</v>
      </c>
      <c r="R98" s="25" t="n">
        <v>0.3645</v>
      </c>
      <c r="S98" s="25" t="n">
        <v>0.438</v>
      </c>
      <c r="T98" s="25" t="n">
        <v>0.9362</v>
      </c>
      <c r="U98" s="25" t="n">
        <v>2.0473</v>
      </c>
      <c r="V98" s="25" t="n">
        <v>3.7687</v>
      </c>
      <c r="W98" s="25" t="n">
        <v>7.4251</v>
      </c>
    </row>
    <row r="99" customFormat="false" ht="15" hidden="false" customHeight="false" outlineLevel="0" collapsed="false">
      <c r="A99" s="11" t="s">
        <v>111</v>
      </c>
      <c r="B99" s="24" t="n">
        <v>0</v>
      </c>
      <c r="C99" s="24" t="n">
        <v>0</v>
      </c>
      <c r="D99" s="24" t="n">
        <v>0</v>
      </c>
      <c r="E99" s="24" t="n">
        <v>0</v>
      </c>
      <c r="F99" s="25" t="n">
        <v>-0.31</v>
      </c>
      <c r="G99" s="25" t="n">
        <v>-0.0071</v>
      </c>
      <c r="H99" s="25" t="n">
        <v>-0.0385</v>
      </c>
      <c r="I99" s="25" t="n">
        <v>0.0106</v>
      </c>
      <c r="J99" s="25" t="n">
        <v>0.2675</v>
      </c>
      <c r="K99" s="25" t="n">
        <v>0.5351</v>
      </c>
      <c r="L99" s="25" t="n">
        <v>0</v>
      </c>
      <c r="M99" s="25" t="n">
        <v>0</v>
      </c>
      <c r="N99" s="25" t="n">
        <v>2.0961</v>
      </c>
      <c r="O99" s="25" t="n">
        <v>0</v>
      </c>
      <c r="P99" s="25" t="n">
        <v>-0.1362</v>
      </c>
      <c r="Q99" s="25" t="n">
        <v>-0.2195</v>
      </c>
      <c r="R99" s="25" t="n">
        <v>0</v>
      </c>
      <c r="S99" s="25" t="n">
        <v>-0.0106</v>
      </c>
      <c r="T99" s="25" t="n">
        <v>0</v>
      </c>
      <c r="U99" s="25" t="n">
        <v>0</v>
      </c>
      <c r="V99" s="25" t="n">
        <v>0</v>
      </c>
      <c r="W99" s="25" t="n">
        <v>0.0732</v>
      </c>
    </row>
    <row r="100" customFormat="false" ht="15" hidden="false" customHeight="false" outlineLevel="0" collapsed="false">
      <c r="A100" s="11" t="s">
        <v>112</v>
      </c>
      <c r="B100" s="24" t="n">
        <v>0</v>
      </c>
      <c r="C100" s="24" t="n">
        <v>0</v>
      </c>
      <c r="D100" s="24" t="n">
        <v>0</v>
      </c>
      <c r="E100" s="24" t="n">
        <v>0</v>
      </c>
      <c r="F100" s="25" t="n">
        <v>0.022</v>
      </c>
      <c r="G100" s="25" t="n">
        <v>-0.0034</v>
      </c>
      <c r="H100" s="25" t="n">
        <v>0</v>
      </c>
      <c r="I100" s="25" t="n">
        <v>0</v>
      </c>
      <c r="J100" s="25" t="n">
        <v>0</v>
      </c>
      <c r="K100" s="25" t="n">
        <v>0</v>
      </c>
      <c r="L100" s="25" t="n">
        <v>0</v>
      </c>
      <c r="M100" s="25" t="n">
        <v>0</v>
      </c>
      <c r="N100" s="25" t="n">
        <v>0</v>
      </c>
      <c r="O100" s="25" t="n">
        <v>0</v>
      </c>
      <c r="P100" s="25" t="n">
        <v>0</v>
      </c>
      <c r="Q100" s="25" t="n">
        <v>0</v>
      </c>
      <c r="R100" s="25" t="n">
        <v>0</v>
      </c>
      <c r="S100" s="25" t="n">
        <v>0</v>
      </c>
      <c r="T100" s="25" t="n">
        <v>-0.1493</v>
      </c>
      <c r="U100" s="25" t="n">
        <v>-0.4995</v>
      </c>
      <c r="V100" s="25" t="n">
        <v>-1.2648</v>
      </c>
      <c r="W100" s="25" t="n">
        <v>-1.0745</v>
      </c>
    </row>
    <row r="101" customFormat="false" ht="15" hidden="false" customHeight="false" outlineLevel="0" collapsed="false">
      <c r="A101" s="11" t="s">
        <v>113</v>
      </c>
      <c r="B101" s="24" t="n">
        <v>0</v>
      </c>
      <c r="C101" s="24" t="n">
        <v>0</v>
      </c>
      <c r="D101" s="24" t="n">
        <v>0</v>
      </c>
      <c r="E101" s="24" t="n">
        <v>0</v>
      </c>
      <c r="F101" s="25" t="n">
        <v>-1.1783</v>
      </c>
      <c r="G101" s="25" t="n">
        <v>-0.5043</v>
      </c>
      <c r="H101" s="25" t="n">
        <v>-0.3623</v>
      </c>
      <c r="I101" s="25" t="n">
        <v>-0.9173</v>
      </c>
      <c r="J101" s="25" t="n">
        <v>-0.6751</v>
      </c>
      <c r="K101" s="25" t="n">
        <v>-0.0871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0</v>
      </c>
      <c r="Q101" s="25" t="n">
        <v>0</v>
      </c>
      <c r="R101" s="25" t="n">
        <v>0</v>
      </c>
      <c r="S101" s="25" t="n">
        <v>0</v>
      </c>
      <c r="T101" s="25" t="n">
        <v>0</v>
      </c>
      <c r="U101" s="25" t="n">
        <v>0</v>
      </c>
      <c r="V101" s="25" t="n">
        <v>0</v>
      </c>
      <c r="W101" s="25" t="n">
        <v>0</v>
      </c>
    </row>
    <row r="102" customFormat="false" ht="15" hidden="false" customHeight="false" outlineLevel="0" collapsed="false">
      <c r="A102" s="11" t="s">
        <v>114</v>
      </c>
      <c r="B102" s="24" t="n">
        <v>0</v>
      </c>
      <c r="C102" s="24" t="n">
        <v>0</v>
      </c>
      <c r="D102" s="24" t="n">
        <v>0</v>
      </c>
      <c r="E102" s="24" t="n">
        <v>0</v>
      </c>
      <c r="F102" s="25" t="n">
        <v>-0.8842</v>
      </c>
      <c r="G102" s="25" t="n">
        <v>-0.2924</v>
      </c>
      <c r="H102" s="25" t="n">
        <v>-1.1201</v>
      </c>
      <c r="I102" s="25" t="n">
        <v>-2.8041</v>
      </c>
      <c r="J102" s="25" t="n">
        <v>-2.1286</v>
      </c>
      <c r="K102" s="25" t="n">
        <v>-0.8618</v>
      </c>
      <c r="L102" s="25" t="n">
        <v>-0.4928</v>
      </c>
      <c r="M102" s="25" t="n">
        <v>-0.5404</v>
      </c>
      <c r="N102" s="25" t="n">
        <v>-1.2952</v>
      </c>
      <c r="O102" s="25" t="n">
        <v>-2.834</v>
      </c>
      <c r="P102" s="25" t="n">
        <v>-1.9516</v>
      </c>
      <c r="Q102" s="25" t="n">
        <v>-2.1164</v>
      </c>
      <c r="R102" s="25" t="n">
        <v>-4.761</v>
      </c>
      <c r="S102" s="25" t="n">
        <v>-2.6339</v>
      </c>
      <c r="T102" s="25" t="n">
        <v>-3.4891</v>
      </c>
      <c r="U102" s="25" t="n">
        <v>-2.2279</v>
      </c>
      <c r="V102" s="25" t="n">
        <v>-4.1496</v>
      </c>
      <c r="W102" s="25" t="n">
        <v>-4.4949</v>
      </c>
    </row>
    <row r="103" customFormat="false" ht="15" hidden="false" customHeight="false" outlineLevel="0" collapsed="false">
      <c r="A103" s="11" t="s">
        <v>115</v>
      </c>
      <c r="B103" s="24" t="n">
        <v>0</v>
      </c>
      <c r="C103" s="24" t="n">
        <v>0</v>
      </c>
      <c r="D103" s="24" t="n">
        <v>0</v>
      </c>
      <c r="E103" s="24" t="n">
        <v>0</v>
      </c>
      <c r="F103" s="25" t="n">
        <v>0</v>
      </c>
      <c r="G103" s="25" t="n">
        <v>0</v>
      </c>
      <c r="H103" s="25" t="n">
        <v>0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0.01</v>
      </c>
      <c r="N103" s="25" t="n">
        <v>0</v>
      </c>
      <c r="O103" s="25" t="n">
        <v>0</v>
      </c>
      <c r="P103" s="25" t="n">
        <v>0</v>
      </c>
      <c r="Q103" s="25" t="n">
        <v>0</v>
      </c>
      <c r="R103" s="25" t="n">
        <v>0</v>
      </c>
      <c r="S103" s="25" t="n">
        <v>0</v>
      </c>
      <c r="T103" s="25" t="n">
        <v>0</v>
      </c>
      <c r="U103" s="25" t="n">
        <v>0</v>
      </c>
      <c r="V103" s="25" t="n">
        <v>0</v>
      </c>
      <c r="W103" s="25" t="n">
        <v>0</v>
      </c>
    </row>
    <row r="104" customFormat="false" ht="15" hidden="false" customHeight="false" outlineLevel="0" collapsed="false">
      <c r="A104" s="11" t="s">
        <v>116</v>
      </c>
      <c r="B104" s="24" t="n">
        <v>0</v>
      </c>
      <c r="C104" s="24" t="n">
        <v>0</v>
      </c>
      <c r="D104" s="24" t="n">
        <v>0</v>
      </c>
      <c r="E104" s="24" t="n">
        <v>0</v>
      </c>
      <c r="F104" s="25" t="n">
        <v>0</v>
      </c>
      <c r="G104" s="25" t="n">
        <v>-0.0353</v>
      </c>
      <c r="H104" s="25" t="n">
        <v>0.0107</v>
      </c>
      <c r="I104" s="25" t="n">
        <v>-0.0153</v>
      </c>
      <c r="J104" s="25" t="n">
        <v>0.2344</v>
      </c>
      <c r="K104" s="25" t="n">
        <v>-0.0507</v>
      </c>
      <c r="L104" s="25" t="n">
        <v>0.2353</v>
      </c>
      <c r="M104" s="25" t="n">
        <v>-0.8269</v>
      </c>
      <c r="N104" s="25" t="n">
        <v>3.1961</v>
      </c>
      <c r="O104" s="25" t="n">
        <v>-0.3937</v>
      </c>
      <c r="P104" s="25" t="n">
        <v>-0.5418</v>
      </c>
      <c r="Q104" s="25" t="n">
        <v>-0.5087</v>
      </c>
      <c r="R104" s="25" t="n">
        <v>-0.2006</v>
      </c>
      <c r="S104" s="25" t="n">
        <v>0.0778</v>
      </c>
      <c r="T104" s="25" t="n">
        <v>0.022</v>
      </c>
      <c r="U104" s="25" t="n">
        <v>-0.5743</v>
      </c>
      <c r="V104" s="25" t="n">
        <v>0.0043</v>
      </c>
      <c r="W104" s="25" t="n">
        <v>0</v>
      </c>
    </row>
    <row r="105" customFormat="false" ht="15" hidden="false" customHeight="false" outlineLevel="0" collapsed="false">
      <c r="A105" s="11" t="s">
        <v>117</v>
      </c>
      <c r="B105" s="24" t="n">
        <v>0</v>
      </c>
      <c r="C105" s="24" t="n">
        <v>0</v>
      </c>
      <c r="D105" s="24" t="n">
        <v>0</v>
      </c>
      <c r="E105" s="24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n">
        <v>0</v>
      </c>
      <c r="S105" s="25" t="n">
        <v>0</v>
      </c>
      <c r="T105" s="25" t="n">
        <v>0</v>
      </c>
      <c r="U105" s="25" t="n">
        <v>0</v>
      </c>
      <c r="V105" s="25" t="n">
        <v>0</v>
      </c>
      <c r="W105" s="25" t="n">
        <v>0</v>
      </c>
    </row>
    <row r="106" customFormat="false" ht="15" hidden="false" customHeight="false" outlineLevel="0" collapsed="false">
      <c r="A106" s="11" t="s">
        <v>118</v>
      </c>
      <c r="B106" s="24" t="n">
        <v>0</v>
      </c>
      <c r="C106" s="24" t="n">
        <v>0</v>
      </c>
      <c r="D106" s="24" t="n">
        <v>0</v>
      </c>
      <c r="E106" s="24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-0.7394</v>
      </c>
      <c r="K106" s="25" t="n">
        <v>0</v>
      </c>
      <c r="L106" s="25" t="n">
        <v>-2.364</v>
      </c>
      <c r="M106" s="25" t="n">
        <v>0.9341</v>
      </c>
      <c r="N106" s="25" t="n">
        <v>9.1694</v>
      </c>
      <c r="O106" s="25" t="n">
        <v>-3.5472</v>
      </c>
      <c r="P106" s="25" t="n">
        <v>1.5835</v>
      </c>
      <c r="Q106" s="25" t="n">
        <v>11.1484</v>
      </c>
      <c r="R106" s="25" t="n">
        <v>11.0795</v>
      </c>
      <c r="S106" s="25" t="n">
        <v>-0.7085</v>
      </c>
      <c r="T106" s="25" t="n">
        <v>0.5155</v>
      </c>
      <c r="U106" s="25" t="n">
        <v>-1.2204</v>
      </c>
      <c r="V106" s="25" t="n">
        <v>0.0606</v>
      </c>
      <c r="W106" s="25" t="n">
        <v>0.8695</v>
      </c>
    </row>
    <row r="107" customFormat="false" ht="15" hidden="false" customHeight="false" outlineLevel="0" collapsed="false">
      <c r="A107" s="11" t="s">
        <v>119</v>
      </c>
      <c r="B107" s="24" t="n">
        <v>0</v>
      </c>
      <c r="C107" s="24" t="n">
        <v>0</v>
      </c>
      <c r="D107" s="24" t="n">
        <v>0</v>
      </c>
      <c r="E107" s="24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n">
        <v>0</v>
      </c>
      <c r="S107" s="25" t="n">
        <v>0</v>
      </c>
      <c r="T107" s="25" t="n">
        <v>0</v>
      </c>
      <c r="U107" s="25" t="n">
        <v>0</v>
      </c>
      <c r="V107" s="25" t="n">
        <v>0</v>
      </c>
      <c r="W107" s="25" t="n">
        <v>0</v>
      </c>
    </row>
    <row r="108" customFormat="false" ht="15" hidden="false" customHeight="false" outlineLevel="0" collapsed="false">
      <c r="A108" s="11" t="s">
        <v>120</v>
      </c>
      <c r="B108" s="24" t="n">
        <v>0</v>
      </c>
      <c r="C108" s="24" t="n">
        <v>0</v>
      </c>
      <c r="D108" s="24" t="n">
        <v>0</v>
      </c>
      <c r="E108" s="24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5" t="n">
        <v>0.2788</v>
      </c>
      <c r="M108" s="25" t="n">
        <v>2.7424</v>
      </c>
      <c r="N108" s="25" t="n">
        <v>0</v>
      </c>
      <c r="O108" s="25" t="n">
        <v>2.09</v>
      </c>
      <c r="P108" s="25" t="n">
        <v>0</v>
      </c>
      <c r="Q108" s="25" t="n">
        <v>0</v>
      </c>
      <c r="R108" s="25" t="n">
        <v>0</v>
      </c>
      <c r="S108" s="25" t="n">
        <v>0</v>
      </c>
      <c r="T108" s="25" t="n">
        <v>0</v>
      </c>
      <c r="U108" s="25" t="n">
        <v>0</v>
      </c>
      <c r="V108" s="25" t="n">
        <v>0</v>
      </c>
      <c r="W108" s="25" t="n">
        <v>0</v>
      </c>
    </row>
    <row r="109" customFormat="false" ht="15" hidden="false" customHeight="false" outlineLevel="0" collapsed="false">
      <c r="A109" s="11" t="s">
        <v>121</v>
      </c>
      <c r="B109" s="24" t="n">
        <v>0</v>
      </c>
      <c r="C109" s="24" t="n">
        <v>0</v>
      </c>
      <c r="D109" s="24" t="n">
        <v>0</v>
      </c>
      <c r="E109" s="24" t="n">
        <v>0</v>
      </c>
      <c r="F109" s="25" t="n">
        <v>0</v>
      </c>
      <c r="G109" s="25" t="n">
        <v>0.0058</v>
      </c>
      <c r="H109" s="25" t="n">
        <v>6.9842</v>
      </c>
      <c r="I109" s="25" t="n">
        <v>1.6838</v>
      </c>
      <c r="J109" s="25" t="n">
        <v>1.5999</v>
      </c>
      <c r="K109" s="25" t="n">
        <v>0.7948</v>
      </c>
      <c r="L109" s="25" t="n">
        <v>0.419</v>
      </c>
      <c r="M109" s="25" t="n">
        <v>0</v>
      </c>
      <c r="N109" s="25" t="n">
        <v>5.7978</v>
      </c>
      <c r="O109" s="25" t="n">
        <v>1.8601</v>
      </c>
      <c r="P109" s="25" t="n">
        <v>2.3452</v>
      </c>
      <c r="Q109" s="25" t="n">
        <v>0</v>
      </c>
      <c r="R109" s="25" t="n">
        <v>0</v>
      </c>
      <c r="S109" s="25" t="n">
        <v>0.8042</v>
      </c>
      <c r="T109" s="25" t="n">
        <v>0.6192</v>
      </c>
      <c r="U109" s="25" t="n">
        <v>0.4898</v>
      </c>
      <c r="V109" s="25" t="n">
        <v>0.5561</v>
      </c>
      <c r="W109" s="25" t="n">
        <v>1.5</v>
      </c>
    </row>
    <row r="110" customFormat="false" ht="15" hidden="false" customHeight="false" outlineLevel="0" collapsed="false">
      <c r="A110" s="11" t="s">
        <v>122</v>
      </c>
      <c r="B110" s="24" t="n">
        <v>0</v>
      </c>
      <c r="C110" s="24" t="n">
        <v>0</v>
      </c>
      <c r="D110" s="24" t="n">
        <v>0</v>
      </c>
      <c r="E110" s="24" t="n">
        <v>0</v>
      </c>
      <c r="F110" s="25" t="n">
        <v>0.5025</v>
      </c>
      <c r="G110" s="25" t="n">
        <v>0</v>
      </c>
      <c r="H110" s="25" t="n">
        <v>0</v>
      </c>
      <c r="I110" s="25" t="n">
        <v>0</v>
      </c>
      <c r="J110" s="25" t="n">
        <v>0</v>
      </c>
      <c r="K110" s="25" t="n">
        <v>0</v>
      </c>
      <c r="L110" s="25" t="n">
        <v>0</v>
      </c>
      <c r="M110" s="25" t="n">
        <v>0</v>
      </c>
      <c r="N110" s="25" t="n">
        <v>0</v>
      </c>
      <c r="O110" s="25" t="n">
        <v>0</v>
      </c>
      <c r="P110" s="25" t="n">
        <v>0</v>
      </c>
      <c r="Q110" s="25" t="n">
        <v>0</v>
      </c>
      <c r="R110" s="25" t="n">
        <v>0</v>
      </c>
      <c r="S110" s="25" t="n">
        <v>0</v>
      </c>
      <c r="T110" s="25" t="n">
        <v>0</v>
      </c>
      <c r="U110" s="25" t="n">
        <v>0</v>
      </c>
      <c r="V110" s="25" t="n">
        <v>0</v>
      </c>
      <c r="W110" s="25" t="n">
        <v>0</v>
      </c>
    </row>
    <row r="111" customFormat="false" ht="15" hidden="false" customHeight="false" outlineLevel="0" collapsed="false">
      <c r="A111" s="11" t="s">
        <v>123</v>
      </c>
      <c r="B111" s="24" t="n">
        <v>0.5185336</v>
      </c>
      <c r="C111" s="24" t="n">
        <v>0.5634646</v>
      </c>
      <c r="D111" s="24" t="n">
        <v>1.0368551</v>
      </c>
      <c r="E111" s="24" t="n">
        <v>2.3765786</v>
      </c>
      <c r="F111" s="25" t="n">
        <v>0</v>
      </c>
      <c r="G111" s="25" t="n">
        <v>0</v>
      </c>
      <c r="H111" s="25" t="n">
        <v>0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0.3774</v>
      </c>
      <c r="P111" s="25" t="n">
        <v>0</v>
      </c>
      <c r="Q111" s="25" t="n">
        <v>0</v>
      </c>
      <c r="R111" s="25" t="n">
        <v>0.2823</v>
      </c>
      <c r="S111" s="25" t="n">
        <v>0.0739</v>
      </c>
      <c r="T111" s="25" t="n">
        <v>5.4898</v>
      </c>
      <c r="U111" s="25" t="n">
        <v>0.4182</v>
      </c>
      <c r="V111" s="25" t="n">
        <v>-5.3365</v>
      </c>
      <c r="W111" s="25" t="n">
        <v>5.6717</v>
      </c>
    </row>
    <row r="112" customFormat="false" ht="15" hidden="false" customHeight="false" outlineLevel="0" collapsed="false">
      <c r="A112" s="6" t="s">
        <v>124</v>
      </c>
      <c r="B112" s="26" t="n">
        <f aca="false">SUM(B97:B111)</f>
        <v>0.5185336</v>
      </c>
      <c r="C112" s="26" t="n">
        <f aca="false">SUM(C97:C111)</f>
        <v>0.5634646</v>
      </c>
      <c r="D112" s="26" t="n">
        <f aca="false">SUM(D97:D111)</f>
        <v>1.0368551</v>
      </c>
      <c r="E112" s="26" t="n">
        <f aca="false">SUM(E97:E111)</f>
        <v>2.3765786</v>
      </c>
      <c r="F112" s="26" t="n">
        <f aca="false">SUM(F97:F111)</f>
        <v>2.7071</v>
      </c>
      <c r="G112" s="26" t="n">
        <f aca="false">SUM(G97:G111)</f>
        <v>3.0454</v>
      </c>
      <c r="H112" s="26" t="n">
        <f aca="false">SUM(H97:H111)</f>
        <v>15.106</v>
      </c>
      <c r="I112" s="26" t="n">
        <f aca="false">SUM(I97:I111)</f>
        <v>8.8173</v>
      </c>
      <c r="J112" s="26" t="n">
        <f aca="false">SUM(J97:J111)</f>
        <v>10.4604</v>
      </c>
      <c r="K112" s="26" t="n">
        <f aca="false">SUM(K97:K111)</f>
        <v>23.9456</v>
      </c>
      <c r="L112" s="26" t="n">
        <f aca="false">SUM(L97:L111)</f>
        <v>25.6377</v>
      </c>
      <c r="M112" s="26" t="n">
        <f aca="false">SUM(M97:M111)</f>
        <v>29.3539</v>
      </c>
      <c r="N112" s="26" t="n">
        <f aca="false">SUM(N97:N111)</f>
        <v>43.156</v>
      </c>
      <c r="O112" s="26" t="n">
        <f aca="false">SUM(O97:O111)</f>
        <v>29.4684</v>
      </c>
      <c r="P112" s="26" t="n">
        <f aca="false">SUM(P97:P111)</f>
        <v>23.4591</v>
      </c>
      <c r="Q112" s="26" t="n">
        <f aca="false">SUM(Q97:Q111)</f>
        <v>30.3904</v>
      </c>
      <c r="R112" s="26" t="n">
        <f aca="false">SUM(R97:R111)</f>
        <v>30.0945</v>
      </c>
      <c r="S112" s="26" t="n">
        <f aca="false">SUM(S97:S111)</f>
        <v>25.729</v>
      </c>
      <c r="T112" s="26" t="n">
        <f aca="false">SUM(T97:T111)</f>
        <v>25.9147</v>
      </c>
      <c r="U112" s="26" t="n">
        <f aca="false">SUM(U97:U111)</f>
        <v>15.4519</v>
      </c>
      <c r="V112" s="26" t="n">
        <f aca="false">SUM(V97:V111)</f>
        <v>11.3454</v>
      </c>
      <c r="W112" s="26" t="n">
        <f aca="false">SUM(W97:W111)</f>
        <v>28.8336</v>
      </c>
    </row>
    <row r="114" customFormat="false" ht="15" hidden="false" customHeight="false" outlineLevel="0" collapsed="false">
      <c r="A114" s="6" t="s">
        <v>125</v>
      </c>
    </row>
    <row r="115" customFormat="false" ht="15" hidden="false" customHeight="false" outlineLevel="0" collapsed="false">
      <c r="A115" s="11" t="s">
        <v>126</v>
      </c>
      <c r="B115" s="24" t="n">
        <v>0</v>
      </c>
      <c r="C115" s="24" t="n">
        <v>0</v>
      </c>
      <c r="D115" s="24" t="n">
        <v>0</v>
      </c>
      <c r="E115" s="24" t="n">
        <v>0</v>
      </c>
      <c r="F115" s="25" t="n">
        <v>-3.4509</v>
      </c>
      <c r="G115" s="25" t="n">
        <v>6.603</v>
      </c>
      <c r="H115" s="25" t="n">
        <v>-16.8873</v>
      </c>
      <c r="I115" s="25" t="n">
        <v>5.6933</v>
      </c>
      <c r="J115" s="25" t="n">
        <v>1.6988</v>
      </c>
      <c r="K115" s="25" t="n">
        <v>3.6719</v>
      </c>
      <c r="L115" s="25" t="n">
        <v>-11.9543</v>
      </c>
      <c r="M115" s="25" t="n">
        <v>-29.9593</v>
      </c>
      <c r="N115" s="25" t="n">
        <v>-21.195</v>
      </c>
      <c r="O115" s="25" t="n">
        <v>-36.5136</v>
      </c>
      <c r="P115" s="25" t="n">
        <v>0.457</v>
      </c>
      <c r="Q115" s="25" t="n">
        <v>-29.8442</v>
      </c>
      <c r="R115" s="25" t="n">
        <v>-49.0561</v>
      </c>
      <c r="S115" s="25" t="n">
        <v>12.5811</v>
      </c>
      <c r="T115" s="25" t="n">
        <v>0.0603</v>
      </c>
      <c r="U115" s="25" t="n">
        <v>-44.5623</v>
      </c>
      <c r="V115" s="25" t="n">
        <v>-88.834</v>
      </c>
      <c r="W115" s="25" t="n">
        <v>19.4056</v>
      </c>
    </row>
    <row r="116" customFormat="false" ht="15" hidden="false" customHeight="false" outlineLevel="0" collapsed="false">
      <c r="A116" s="11" t="s">
        <v>96</v>
      </c>
      <c r="B116" s="24" t="n">
        <v>0</v>
      </c>
      <c r="C116" s="24" t="n">
        <v>0</v>
      </c>
      <c r="D116" s="24" t="n">
        <v>0</v>
      </c>
      <c r="E116" s="24" t="n">
        <v>0</v>
      </c>
      <c r="F116" s="25" t="n">
        <v>0.1029</v>
      </c>
      <c r="G116" s="25" t="n">
        <v>0</v>
      </c>
      <c r="H116" s="25" t="n">
        <v>-2.3199</v>
      </c>
      <c r="I116" s="25" t="n">
        <v>-1.1666</v>
      </c>
      <c r="J116" s="25" t="n">
        <v>-2.4238</v>
      </c>
      <c r="K116" s="25" t="n">
        <v>1.6882</v>
      </c>
      <c r="L116" s="25" t="n">
        <v>0.4144</v>
      </c>
      <c r="M116" s="25" t="n">
        <v>-1.8628</v>
      </c>
      <c r="N116" s="25" t="n">
        <v>3.9357</v>
      </c>
      <c r="O116" s="25" t="n">
        <v>-0.3181</v>
      </c>
      <c r="P116" s="25" t="n">
        <v>0.9888</v>
      </c>
      <c r="Q116" s="25" t="n">
        <v>0.5278</v>
      </c>
      <c r="R116" s="25" t="n">
        <v>0</v>
      </c>
      <c r="S116" s="25" t="n">
        <v>0</v>
      </c>
      <c r="T116" s="25" t="n">
        <v>0</v>
      </c>
      <c r="U116" s="25" t="n">
        <v>-0.2901</v>
      </c>
      <c r="V116" s="25" t="n">
        <v>0.1123</v>
      </c>
      <c r="W116" s="25" t="n">
        <v>-0.1147</v>
      </c>
    </row>
    <row r="117" customFormat="false" ht="15" hidden="false" customHeight="false" outlineLevel="0" collapsed="false">
      <c r="A117" s="11" t="s">
        <v>127</v>
      </c>
      <c r="B117" s="24" t="n">
        <v>0</v>
      </c>
      <c r="C117" s="24" t="n">
        <v>0</v>
      </c>
      <c r="D117" s="24" t="n">
        <v>0</v>
      </c>
      <c r="E117" s="24" t="n">
        <v>0</v>
      </c>
      <c r="F117" s="25" t="n">
        <v>0</v>
      </c>
      <c r="G117" s="25" t="n">
        <v>0</v>
      </c>
      <c r="H117" s="25" t="n">
        <v>0</v>
      </c>
      <c r="I117" s="25" t="n">
        <v>-2.2586</v>
      </c>
      <c r="J117" s="25" t="n">
        <v>-15.4236</v>
      </c>
      <c r="K117" s="25" t="n">
        <v>8.3826</v>
      </c>
      <c r="L117" s="25" t="n">
        <v>0.9972</v>
      </c>
      <c r="M117" s="25" t="n">
        <v>5.5903</v>
      </c>
      <c r="N117" s="25" t="n">
        <v>-49.8861</v>
      </c>
      <c r="O117" s="25" t="n">
        <v>-4.1169</v>
      </c>
      <c r="P117" s="25" t="n">
        <v>14.0567</v>
      </c>
      <c r="Q117" s="25" t="n">
        <v>-3.143</v>
      </c>
      <c r="R117" s="25" t="n">
        <v>-21.0345</v>
      </c>
      <c r="S117" s="25" t="n">
        <v>-10.8475</v>
      </c>
      <c r="T117" s="25" t="n">
        <v>27.1002</v>
      </c>
      <c r="U117" s="25" t="n">
        <v>-60.3671</v>
      </c>
      <c r="V117" s="25" t="n">
        <v>-82.2092</v>
      </c>
      <c r="W117" s="25" t="n">
        <v>-67.2842</v>
      </c>
    </row>
    <row r="118" customFormat="false" ht="15" hidden="false" customHeight="false" outlineLevel="0" collapsed="false">
      <c r="A118" s="11" t="s">
        <v>128</v>
      </c>
      <c r="B118" s="24" t="n">
        <v>0</v>
      </c>
      <c r="C118" s="24" t="n">
        <v>0</v>
      </c>
      <c r="D118" s="24" t="n">
        <v>0</v>
      </c>
      <c r="E118" s="24" t="n">
        <v>0</v>
      </c>
      <c r="F118" s="25" t="n">
        <v>9.2399</v>
      </c>
      <c r="G118" s="25" t="n">
        <v>-6.386</v>
      </c>
      <c r="H118" s="25" t="n">
        <v>3.7915</v>
      </c>
      <c r="I118" s="25" t="n">
        <v>-4.4465</v>
      </c>
      <c r="J118" s="25" t="n">
        <v>6.711</v>
      </c>
      <c r="K118" s="25" t="n">
        <v>1.8054</v>
      </c>
      <c r="L118" s="25" t="n">
        <v>4.4726</v>
      </c>
      <c r="M118" s="25" t="n">
        <v>21.2365</v>
      </c>
      <c r="N118" s="25" t="n">
        <v>23.9467</v>
      </c>
      <c r="O118" s="25" t="n">
        <v>30.1245</v>
      </c>
      <c r="P118" s="25" t="n">
        <v>-13.6238</v>
      </c>
      <c r="Q118" s="25" t="n">
        <v>55.1273</v>
      </c>
      <c r="R118" s="25" t="n">
        <v>-4.2197</v>
      </c>
      <c r="S118" s="25" t="n">
        <v>-20.8979</v>
      </c>
      <c r="T118" s="25" t="n">
        <v>-11.6854</v>
      </c>
      <c r="U118" s="25" t="n">
        <v>19.2067</v>
      </c>
      <c r="V118" s="25" t="n">
        <v>78.9494</v>
      </c>
      <c r="W118" s="25" t="n">
        <v>18.8738</v>
      </c>
    </row>
    <row r="119" customFormat="false" ht="15" hidden="false" customHeight="false" outlineLevel="0" collapsed="false">
      <c r="A119" s="11" t="s">
        <v>129</v>
      </c>
      <c r="B119" s="24" t="n">
        <v>-1.1963966</v>
      </c>
      <c r="C119" s="24" t="n">
        <v>-1.113691</v>
      </c>
      <c r="D119" s="24" t="n">
        <v>-8.8193423</v>
      </c>
      <c r="E119" s="24" t="n">
        <v>-0.848699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</row>
    <row r="120" customFormat="false" ht="15" hidden="false" customHeight="false" outlineLevel="0" collapsed="false">
      <c r="A120" s="6" t="s">
        <v>130</v>
      </c>
      <c r="B120" s="26" t="n">
        <f aca="false">SUM(B115:B119)</f>
        <v>-1.1963966</v>
      </c>
      <c r="C120" s="26" t="n">
        <f aca="false">SUM(C115:C119)</f>
        <v>-1.113691</v>
      </c>
      <c r="D120" s="26" t="n">
        <f aca="false">SUM(D115:D119)</f>
        <v>-8.8193423</v>
      </c>
      <c r="E120" s="26" t="n">
        <f aca="false">SUM(E115:E119)</f>
        <v>-0.848699</v>
      </c>
      <c r="F120" s="26" t="n">
        <f aca="false">SUM(F115:F119)</f>
        <v>5.8919</v>
      </c>
      <c r="G120" s="26" t="n">
        <f aca="false">SUM(G115:G119)</f>
        <v>0.217</v>
      </c>
      <c r="H120" s="26" t="n">
        <f aca="false">SUM(H115:H119)</f>
        <v>-15.4157</v>
      </c>
      <c r="I120" s="26" t="n">
        <f aca="false">SUM(I115:I119)</f>
        <v>-2.1784</v>
      </c>
      <c r="J120" s="26" t="n">
        <f aca="false">SUM(J115:J119)</f>
        <v>-9.4376</v>
      </c>
      <c r="K120" s="26" t="n">
        <f aca="false">SUM(K115:K119)</f>
        <v>15.5481</v>
      </c>
      <c r="L120" s="26" t="n">
        <f aca="false">SUM(L115:L119)</f>
        <v>-6.0701</v>
      </c>
      <c r="M120" s="26" t="n">
        <f aca="false">SUM(M115:M119)</f>
        <v>-4.9953</v>
      </c>
      <c r="N120" s="26" t="n">
        <f aca="false">SUM(N115:N119)</f>
        <v>-43.1987</v>
      </c>
      <c r="O120" s="26" t="n">
        <f aca="false">SUM(O115:O119)</f>
        <v>-10.8241</v>
      </c>
      <c r="P120" s="26" t="n">
        <f aca="false">SUM(P115:P119)</f>
        <v>1.8787</v>
      </c>
      <c r="Q120" s="26" t="n">
        <f aca="false">SUM(Q115:Q119)</f>
        <v>22.6679</v>
      </c>
      <c r="R120" s="26" t="n">
        <f aca="false">SUM(R115:R119)</f>
        <v>-74.3103</v>
      </c>
      <c r="S120" s="26" t="n">
        <f aca="false">SUM(S115:S119)</f>
        <v>-19.1643</v>
      </c>
      <c r="T120" s="26" t="n">
        <f aca="false">SUM(T115:T119)</f>
        <v>15.4751</v>
      </c>
      <c r="U120" s="26" t="n">
        <f aca="false">SUM(U115:U119)</f>
        <v>-86.0128</v>
      </c>
      <c r="V120" s="26" t="n">
        <f aca="false">SUM(V115:V119)</f>
        <v>-91.9815</v>
      </c>
      <c r="W120" s="26" t="n">
        <f aca="false">SUM(W115:W119)</f>
        <v>-29.1195</v>
      </c>
    </row>
    <row r="122" customFormat="false" ht="15" hidden="false" customHeight="false" outlineLevel="0" collapsed="false">
      <c r="A122" s="6" t="s">
        <v>131</v>
      </c>
      <c r="B122" s="26" t="n">
        <f aca="false">B94+B112+B120</f>
        <v>-0.174163</v>
      </c>
      <c r="C122" s="26" t="n">
        <f aca="false">C94+C112+C120</f>
        <v>0.4512736</v>
      </c>
      <c r="D122" s="26" t="n">
        <f aca="false">D94+D112+D120</f>
        <v>-0.211187200000001</v>
      </c>
      <c r="E122" s="26" t="n">
        <f aca="false">E94+E112+E120</f>
        <v>15.5183796</v>
      </c>
      <c r="F122" s="26" t="n">
        <f aca="false">F94+F112+F120</f>
        <v>16.6665</v>
      </c>
      <c r="G122" s="26" t="n">
        <f aca="false">G94+G112+G120</f>
        <v>2.7423</v>
      </c>
      <c r="H122" s="26" t="n">
        <f aca="false">H94+H112+H120</f>
        <v>-7.6996</v>
      </c>
      <c r="I122" s="26" t="n">
        <f aca="false">I94+I112+I120</f>
        <v>-6.6299</v>
      </c>
      <c r="J122" s="26" t="n">
        <f aca="false">J94+J112+J120</f>
        <v>-9.3646</v>
      </c>
      <c r="K122" s="26" t="n">
        <f aca="false">K94+K112+K120</f>
        <v>16.0909</v>
      </c>
      <c r="L122" s="26" t="n">
        <f aca="false">L94+L112+L120</f>
        <v>-7.4042</v>
      </c>
      <c r="M122" s="26" t="n">
        <f aca="false">M94+M112+M120</f>
        <v>-0.843900000000001</v>
      </c>
      <c r="N122" s="26" t="n">
        <f aca="false">N94+N112+N120</f>
        <v>-18.0421</v>
      </c>
      <c r="O122" s="26" t="n">
        <f aca="false">O94+O112+O120</f>
        <v>29.1499</v>
      </c>
      <c r="P122" s="26" t="n">
        <f aca="false">P94+P112+P120</f>
        <v>34.5193</v>
      </c>
      <c r="Q122" s="26" t="n">
        <f aca="false">Q94+Q112+Q120</f>
        <v>93.6974</v>
      </c>
      <c r="R122" s="26" t="n">
        <f aca="false">R94+R112+R120</f>
        <v>-19.7011</v>
      </c>
      <c r="S122" s="26" t="n">
        <f aca="false">S94+S112+S120</f>
        <v>47.2354</v>
      </c>
      <c r="T122" s="26" t="n">
        <f aca="false">T94+T112+T120</f>
        <v>-3.1747</v>
      </c>
      <c r="U122" s="26" t="n">
        <f aca="false">U94+U112+U120</f>
        <v>-41.8837</v>
      </c>
      <c r="V122" s="26" t="n">
        <f aca="false">V94+V112+V120</f>
        <v>-24.4592</v>
      </c>
      <c r="W122" s="26" t="n">
        <f aca="false">W94+W112+W120</f>
        <v>68.5507</v>
      </c>
    </row>
    <row r="123" customFormat="false" ht="15" hidden="false" customHeight="false" outlineLevel="0" collapsed="false">
      <c r="A123" s="11" t="s">
        <v>132</v>
      </c>
      <c r="B123" s="24" t="n">
        <v>-0.1399</v>
      </c>
      <c r="C123" s="24" t="n">
        <v>-0.3805</v>
      </c>
      <c r="D123" s="24" t="n">
        <v>-3.276</v>
      </c>
      <c r="E123" s="24" t="n">
        <v>-3.2468</v>
      </c>
      <c r="F123" s="25" t="n">
        <v>-3.0516</v>
      </c>
      <c r="G123" s="25" t="n">
        <v>-1.4572</v>
      </c>
      <c r="H123" s="25" t="n">
        <v>-0.1388</v>
      </c>
      <c r="I123" s="25" t="n">
        <v>0.157</v>
      </c>
      <c r="J123" s="25" t="n">
        <v>-0.0667</v>
      </c>
      <c r="K123" s="25" t="n">
        <v>-0.7762</v>
      </c>
      <c r="L123" s="25" t="n">
        <v>-0.1613</v>
      </c>
      <c r="M123" s="25" t="n">
        <v>-0.2687</v>
      </c>
      <c r="N123" s="25" t="n">
        <v>-0.1772</v>
      </c>
      <c r="O123" s="25" t="n">
        <v>-1.8152</v>
      </c>
      <c r="P123" s="25" t="n">
        <v>-7.5853</v>
      </c>
      <c r="Q123" s="25" t="n">
        <v>-4.6346</v>
      </c>
      <c r="R123" s="25" t="n">
        <v>12.8951</v>
      </c>
      <c r="S123" s="25" t="n">
        <v>0.8789</v>
      </c>
      <c r="T123" s="25" t="n">
        <v>0.5333</v>
      </c>
      <c r="U123" s="25" t="n">
        <v>-2.2208</v>
      </c>
      <c r="V123" s="25" t="n">
        <v>-8.6173</v>
      </c>
      <c r="W123" s="25" t="n">
        <v>-15.5655</v>
      </c>
    </row>
    <row r="124" customFormat="false" ht="15" hidden="false" customHeight="false" outlineLevel="0" collapsed="false">
      <c r="A124" s="6" t="s">
        <v>133</v>
      </c>
      <c r="B124" s="26" t="n">
        <f aca="false">B122+SUM(B123:B123)</f>
        <v>-0.314063</v>
      </c>
      <c r="C124" s="26" t="n">
        <f aca="false">C122+SUM(C123:C123)</f>
        <v>0.0707736000000002</v>
      </c>
      <c r="D124" s="26" t="n">
        <f aca="false">D122+SUM(D123:D123)</f>
        <v>-3.4871872</v>
      </c>
      <c r="E124" s="26" t="n">
        <f aca="false">E122+SUM(E123:E123)</f>
        <v>12.2715796</v>
      </c>
      <c r="F124" s="26" t="n">
        <f aca="false">F122+SUM(F123:F123)</f>
        <v>13.6149</v>
      </c>
      <c r="G124" s="26" t="n">
        <f aca="false">G122+SUM(G123:G123)</f>
        <v>1.2851</v>
      </c>
      <c r="H124" s="26" t="n">
        <f aca="false">H122+SUM(H123:H123)</f>
        <v>-7.8384</v>
      </c>
      <c r="I124" s="26" t="n">
        <f aca="false">I122+SUM(I123:I123)</f>
        <v>-6.4729</v>
      </c>
      <c r="J124" s="26" t="n">
        <f aca="false">J122+SUM(J123:J123)</f>
        <v>-9.4313</v>
      </c>
      <c r="K124" s="26" t="n">
        <f aca="false">K122+SUM(K123:K123)</f>
        <v>15.3147</v>
      </c>
      <c r="L124" s="26" t="n">
        <f aca="false">L122+SUM(L123:L123)</f>
        <v>-7.5655</v>
      </c>
      <c r="M124" s="26" t="n">
        <f aca="false">M122+SUM(M123:M123)</f>
        <v>-1.1126</v>
      </c>
      <c r="N124" s="26" t="n">
        <f aca="false">N122+SUM(N123:N123)</f>
        <v>-18.2193</v>
      </c>
      <c r="O124" s="26" t="n">
        <f aca="false">O122+SUM(O123:O123)</f>
        <v>27.3347</v>
      </c>
      <c r="P124" s="26" t="n">
        <f aca="false">P122+SUM(P123:P123)</f>
        <v>26.934</v>
      </c>
      <c r="Q124" s="26" t="n">
        <f aca="false">Q122+SUM(Q123:Q123)</f>
        <v>89.0628</v>
      </c>
      <c r="R124" s="26" t="n">
        <f aca="false">R122+SUM(R123:R123)</f>
        <v>-6.806</v>
      </c>
      <c r="S124" s="26" t="n">
        <f aca="false">S122+SUM(S123:S123)</f>
        <v>48.1143</v>
      </c>
      <c r="T124" s="26" t="n">
        <f aca="false">T122+SUM(T123:T123)</f>
        <v>-2.6414</v>
      </c>
      <c r="U124" s="26" t="n">
        <f aca="false">U122+SUM(U123:U123)</f>
        <v>-44.1045</v>
      </c>
      <c r="V124" s="26" t="n">
        <f aca="false">V122+SUM(V123:V123)</f>
        <v>-33.0765</v>
      </c>
      <c r="W124" s="26" t="n">
        <f aca="false">W122+SUM(W123:W123)</f>
        <v>52.9852</v>
      </c>
    </row>
    <row r="126" customFormat="false" ht="15" hidden="false" customHeight="false" outlineLevel="0" collapsed="false">
      <c r="A126" s="6" t="s">
        <v>134</v>
      </c>
    </row>
    <row r="127" customFormat="false" ht="15" hidden="false" customHeight="false" outlineLevel="0" collapsed="false">
      <c r="A127" s="11" t="s">
        <v>135</v>
      </c>
      <c r="B127" s="24" t="n">
        <v>0</v>
      </c>
      <c r="C127" s="24" t="n">
        <v>0</v>
      </c>
      <c r="D127" s="24" t="n">
        <v>0</v>
      </c>
      <c r="E127" s="24" t="n">
        <v>0</v>
      </c>
      <c r="F127" s="25" t="n">
        <v>-8.7294</v>
      </c>
      <c r="G127" s="25" t="n">
        <v>-20.8266</v>
      </c>
      <c r="H127" s="25" t="n">
        <v>-13.8597</v>
      </c>
      <c r="I127" s="25" t="n">
        <v>-1.9338</v>
      </c>
      <c r="J127" s="25" t="n">
        <v>-17.15</v>
      </c>
      <c r="K127" s="25" t="n">
        <v>-108.3247</v>
      </c>
      <c r="L127" s="25" t="n">
        <v>-2.7617</v>
      </c>
      <c r="M127" s="25" t="n">
        <v>-2.2174</v>
      </c>
      <c r="N127" s="25" t="n">
        <v>-16.5967</v>
      </c>
      <c r="O127" s="25" t="n">
        <v>-16.3967</v>
      </c>
      <c r="P127" s="25" t="n">
        <v>-23.5447</v>
      </c>
      <c r="Q127" s="25" t="n">
        <v>-14.2068</v>
      </c>
      <c r="R127" s="25" t="n">
        <v>-36.6477</v>
      </c>
      <c r="S127" s="25" t="n">
        <v>-42.371</v>
      </c>
      <c r="T127" s="25" t="n">
        <v>-1.2949</v>
      </c>
      <c r="U127" s="25" t="n">
        <v>-28.5672</v>
      </c>
      <c r="V127" s="25" t="n">
        <v>-19.0152</v>
      </c>
      <c r="W127" s="25" t="n">
        <v>-60.6415</v>
      </c>
    </row>
    <row r="128" customFormat="false" ht="15" hidden="false" customHeight="false" outlineLevel="0" collapsed="false">
      <c r="A128" s="11" t="s">
        <v>136</v>
      </c>
      <c r="B128" s="24" t="n">
        <v>0</v>
      </c>
      <c r="C128" s="24" t="n">
        <v>0</v>
      </c>
      <c r="D128" s="24" t="n">
        <v>0</v>
      </c>
      <c r="E128" s="24" t="n">
        <v>0</v>
      </c>
      <c r="F128" s="25" t="n">
        <v>2.2777</v>
      </c>
      <c r="G128" s="25" t="n">
        <v>0.6012</v>
      </c>
      <c r="H128" s="25" t="n">
        <v>0.1097</v>
      </c>
      <c r="I128" s="25" t="n">
        <v>0.0335</v>
      </c>
      <c r="J128" s="25" t="n">
        <v>4.1307</v>
      </c>
      <c r="K128" s="25" t="n">
        <v>12.426</v>
      </c>
      <c r="L128" s="25" t="n">
        <v>7.1428</v>
      </c>
      <c r="M128" s="25" t="n">
        <v>0</v>
      </c>
      <c r="N128" s="25" t="n">
        <v>9.619</v>
      </c>
      <c r="O128" s="25" t="n">
        <v>0</v>
      </c>
      <c r="P128" s="25" t="n">
        <v>0.1518</v>
      </c>
      <c r="Q128" s="25" t="n">
        <v>0.2831</v>
      </c>
      <c r="R128" s="25" t="n">
        <v>0</v>
      </c>
      <c r="S128" s="25" t="n">
        <v>0.0106</v>
      </c>
      <c r="T128" s="25" t="n">
        <v>0</v>
      </c>
      <c r="U128" s="25" t="n">
        <v>0</v>
      </c>
      <c r="V128" s="25" t="n">
        <v>0</v>
      </c>
      <c r="W128" s="25" t="n">
        <v>0</v>
      </c>
    </row>
    <row r="129" customFormat="false" ht="15" hidden="false" customHeight="false" outlineLevel="0" collapsed="false">
      <c r="A129" s="11" t="s">
        <v>112</v>
      </c>
      <c r="B129" s="24" t="n">
        <v>0</v>
      </c>
      <c r="C129" s="24" t="n">
        <v>0</v>
      </c>
      <c r="D129" s="24" t="n">
        <v>0</v>
      </c>
      <c r="E129" s="24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25" t="n">
        <v>0</v>
      </c>
      <c r="V129" s="25" t="n">
        <v>0</v>
      </c>
      <c r="W129" s="25" t="n">
        <v>0</v>
      </c>
    </row>
    <row r="130" customFormat="false" ht="15" hidden="false" customHeight="false" outlineLevel="0" collapsed="false">
      <c r="A130" s="11" t="s">
        <v>137</v>
      </c>
      <c r="B130" s="24" t="n">
        <v>0</v>
      </c>
      <c r="C130" s="24" t="n">
        <v>0</v>
      </c>
      <c r="D130" s="24" t="n">
        <v>0</v>
      </c>
      <c r="E130" s="24" t="n">
        <v>0</v>
      </c>
      <c r="F130" s="25" t="n">
        <v>-149.2555</v>
      </c>
      <c r="G130" s="25" t="n">
        <v>-78.229</v>
      </c>
      <c r="H130" s="25" t="n">
        <v>-4.0048</v>
      </c>
      <c r="I130" s="25" t="n">
        <v>-44.5871</v>
      </c>
      <c r="J130" s="25" t="n">
        <v>0</v>
      </c>
      <c r="K130" s="25" t="n">
        <v>0</v>
      </c>
      <c r="L130" s="25" t="n">
        <v>0</v>
      </c>
      <c r="M130" s="25" t="n">
        <v>0</v>
      </c>
      <c r="N130" s="25" t="n">
        <v>0</v>
      </c>
      <c r="O130" s="25" t="n">
        <v>-14.2971</v>
      </c>
      <c r="P130" s="25" t="n">
        <v>0</v>
      </c>
      <c r="Q130" s="25" t="n">
        <v>0</v>
      </c>
      <c r="R130" s="25" t="n">
        <v>0</v>
      </c>
      <c r="S130" s="25" t="n">
        <v>-6.1</v>
      </c>
      <c r="T130" s="25" t="n">
        <v>-14</v>
      </c>
      <c r="U130" s="25" t="n">
        <v>-52.0053</v>
      </c>
      <c r="V130" s="25" t="n">
        <v>-102.5</v>
      </c>
      <c r="W130" s="25" t="n">
        <v>-58.29</v>
      </c>
    </row>
    <row r="131" customFormat="false" ht="15" hidden="false" customHeight="false" outlineLevel="0" collapsed="false">
      <c r="A131" s="11" t="s">
        <v>138</v>
      </c>
      <c r="B131" s="24" t="n">
        <v>0</v>
      </c>
      <c r="C131" s="24" t="n">
        <v>0</v>
      </c>
      <c r="D131" s="24" t="n">
        <v>0</v>
      </c>
      <c r="E131" s="24" t="n">
        <v>0</v>
      </c>
      <c r="F131" s="25" t="n">
        <v>151.2879</v>
      </c>
      <c r="G131" s="25" t="n">
        <v>72.2368</v>
      </c>
      <c r="H131" s="25" t="n">
        <v>38.3477</v>
      </c>
      <c r="I131" s="25" t="n">
        <v>37.6912</v>
      </c>
      <c r="J131" s="25" t="n">
        <v>4.8387</v>
      </c>
      <c r="K131" s="25" t="n">
        <v>5.9479</v>
      </c>
      <c r="L131" s="25" t="n">
        <v>0</v>
      </c>
      <c r="M131" s="25" t="n">
        <v>0</v>
      </c>
      <c r="N131" s="25" t="n">
        <v>0.3827</v>
      </c>
      <c r="O131" s="25" t="n">
        <v>0</v>
      </c>
      <c r="P131" s="25" t="n">
        <v>0</v>
      </c>
      <c r="Q131" s="25" t="n">
        <v>0</v>
      </c>
      <c r="R131" s="25" t="n">
        <v>0</v>
      </c>
      <c r="S131" s="25" t="n">
        <v>0</v>
      </c>
      <c r="T131" s="25" t="n">
        <v>1</v>
      </c>
      <c r="U131" s="25" t="n">
        <v>56.7527</v>
      </c>
      <c r="V131" s="25" t="n">
        <v>86.2968</v>
      </c>
      <c r="W131" s="25" t="n">
        <v>77.7437</v>
      </c>
    </row>
    <row r="132" customFormat="false" ht="15" hidden="false" customHeight="false" outlineLevel="0" collapsed="false">
      <c r="A132" s="11" t="s">
        <v>139</v>
      </c>
      <c r="B132" s="24" t="n">
        <v>0</v>
      </c>
      <c r="C132" s="24" t="n">
        <v>0</v>
      </c>
      <c r="D132" s="24" t="n">
        <v>0</v>
      </c>
      <c r="E132" s="24" t="n">
        <v>0</v>
      </c>
      <c r="F132" s="25" t="n">
        <v>0</v>
      </c>
      <c r="G132" s="25" t="n">
        <v>0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</v>
      </c>
      <c r="M132" s="25" t="n">
        <v>0</v>
      </c>
      <c r="N132" s="25" t="n">
        <v>1.9675</v>
      </c>
      <c r="O132" s="25" t="n">
        <v>0</v>
      </c>
      <c r="P132" s="25" t="n">
        <v>0</v>
      </c>
      <c r="Q132" s="25" t="n">
        <v>0</v>
      </c>
      <c r="R132" s="25" t="n">
        <v>0</v>
      </c>
      <c r="S132" s="25" t="n">
        <v>0</v>
      </c>
      <c r="T132" s="25" t="n">
        <v>0</v>
      </c>
      <c r="U132" s="25" t="n">
        <v>0</v>
      </c>
      <c r="V132" s="25" t="n">
        <v>0</v>
      </c>
      <c r="W132" s="25" t="n">
        <v>-122.8003</v>
      </c>
    </row>
    <row r="133" customFormat="false" ht="15" hidden="false" customHeight="false" outlineLevel="0" collapsed="false">
      <c r="A133" s="11" t="s">
        <v>140</v>
      </c>
      <c r="B133" s="24" t="n">
        <v>0</v>
      </c>
      <c r="C133" s="24" t="n">
        <v>0</v>
      </c>
      <c r="D133" s="24" t="n">
        <v>0</v>
      </c>
      <c r="E133" s="24" t="n">
        <v>0</v>
      </c>
      <c r="F133" s="25" t="n">
        <v>1.1783</v>
      </c>
      <c r="G133" s="25" t="n">
        <v>0.5043</v>
      </c>
      <c r="H133" s="25" t="n">
        <v>0.3623</v>
      </c>
      <c r="I133" s="25" t="n">
        <v>0.9173</v>
      </c>
      <c r="J133" s="25" t="n">
        <v>0.6751</v>
      </c>
      <c r="K133" s="25" t="n">
        <v>0.0871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</row>
    <row r="134" customFormat="false" ht="15" hidden="false" customHeight="false" outlineLevel="0" collapsed="false">
      <c r="A134" s="11" t="s">
        <v>141</v>
      </c>
      <c r="B134" s="24" t="n">
        <v>0</v>
      </c>
      <c r="C134" s="24" t="n">
        <v>0</v>
      </c>
      <c r="D134" s="24" t="n">
        <v>0</v>
      </c>
      <c r="E134" s="24" t="n">
        <v>0</v>
      </c>
      <c r="F134" s="25" t="n">
        <v>0.0477</v>
      </c>
      <c r="G134" s="25" t="n">
        <v>0.5047</v>
      </c>
      <c r="H134" s="25" t="n">
        <v>0.9204</v>
      </c>
      <c r="I134" s="25" t="n">
        <v>2.4025</v>
      </c>
      <c r="J134" s="25" t="n">
        <v>1.259</v>
      </c>
      <c r="K134" s="25" t="n">
        <v>2.0889</v>
      </c>
      <c r="L134" s="25" t="n">
        <v>0.1623</v>
      </c>
      <c r="M134" s="25" t="n">
        <v>0.69</v>
      </c>
      <c r="N134" s="25" t="n">
        <v>0.5601</v>
      </c>
      <c r="O134" s="25" t="n">
        <v>1.3909</v>
      </c>
      <c r="P134" s="25" t="n">
        <v>2.9928</v>
      </c>
      <c r="Q134" s="25" t="n">
        <v>2.4591</v>
      </c>
      <c r="R134" s="25" t="n">
        <v>4.5188</v>
      </c>
      <c r="S134" s="25" t="n">
        <v>0.6941</v>
      </c>
      <c r="T134" s="25" t="n">
        <v>1.7912</v>
      </c>
      <c r="U134" s="25" t="n">
        <v>1.8191</v>
      </c>
      <c r="V134" s="25" t="n">
        <v>1.9652</v>
      </c>
      <c r="W134" s="25" t="n">
        <v>4.4949</v>
      </c>
    </row>
    <row r="135" customFormat="false" ht="15" hidden="false" customHeight="false" outlineLevel="0" collapsed="false">
      <c r="A135" s="11" t="s">
        <v>142</v>
      </c>
      <c r="B135" s="24" t="n">
        <v>0</v>
      </c>
      <c r="C135" s="24" t="n">
        <v>0</v>
      </c>
      <c r="D135" s="24" t="n">
        <v>0</v>
      </c>
      <c r="E135" s="24" t="n">
        <v>0</v>
      </c>
      <c r="F135" s="25" t="n">
        <v>-6.5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0</v>
      </c>
      <c r="Q135" s="25" t="n">
        <v>0</v>
      </c>
      <c r="R135" s="25" t="n">
        <v>0</v>
      </c>
      <c r="S135" s="25" t="n">
        <v>-2</v>
      </c>
      <c r="T135" s="25" t="n">
        <v>-6.6717</v>
      </c>
      <c r="U135" s="25" t="n">
        <v>9.6109</v>
      </c>
      <c r="V135" s="25" t="n">
        <v>0</v>
      </c>
      <c r="W135" s="25" t="n">
        <v>0</v>
      </c>
    </row>
    <row r="136" customFormat="false" ht="15" hidden="false" customHeight="false" outlineLevel="0" collapsed="false">
      <c r="A136" s="11" t="s">
        <v>143</v>
      </c>
      <c r="B136" s="24" t="n">
        <v>-0.6571086</v>
      </c>
      <c r="C136" s="24" t="n">
        <v>0.0109209</v>
      </c>
      <c r="D136" s="24" t="n">
        <v>-0.4387417</v>
      </c>
      <c r="E136" s="24" t="n">
        <v>-50.5006091</v>
      </c>
      <c r="F136" s="25" t="n">
        <v>0</v>
      </c>
      <c r="G136" s="25" t="n">
        <v>0</v>
      </c>
      <c r="H136" s="25" t="n">
        <v>0</v>
      </c>
      <c r="I136" s="25" t="n">
        <v>-7.4355</v>
      </c>
      <c r="J136" s="25" t="n">
        <v>2.0232</v>
      </c>
      <c r="K136" s="25" t="n">
        <v>42.3669</v>
      </c>
      <c r="L136" s="25" t="n">
        <v>-16.9724</v>
      </c>
      <c r="M136" s="25" t="n">
        <v>-1.1667</v>
      </c>
      <c r="N136" s="25" t="n">
        <v>0</v>
      </c>
      <c r="O136" s="25" t="n">
        <v>0</v>
      </c>
      <c r="P136" s="25" t="n">
        <v>0</v>
      </c>
      <c r="Q136" s="25" t="n">
        <v>0</v>
      </c>
      <c r="R136" s="25" t="n">
        <v>0</v>
      </c>
      <c r="S136" s="25" t="n">
        <v>0</v>
      </c>
      <c r="T136" s="25" t="n">
        <v>0</v>
      </c>
      <c r="U136" s="25" t="n">
        <v>0</v>
      </c>
      <c r="V136" s="25" t="n">
        <v>0</v>
      </c>
      <c r="W136" s="25" t="n">
        <v>0</v>
      </c>
    </row>
    <row r="137" customFormat="false" ht="15" hidden="false" customHeight="false" outlineLevel="0" collapsed="false">
      <c r="A137" s="6" t="s">
        <v>144</v>
      </c>
      <c r="B137" s="26" t="n">
        <f aca="false">SUM(B127:B136)</f>
        <v>-0.6571086</v>
      </c>
      <c r="C137" s="26" t="n">
        <f aca="false">SUM(C127:C136)</f>
        <v>0.0109209</v>
      </c>
      <c r="D137" s="26" t="n">
        <f aca="false">SUM(D127:D136)</f>
        <v>-0.4387417</v>
      </c>
      <c r="E137" s="26" t="n">
        <f aca="false">SUM(E127:E136)</f>
        <v>-50.5006091</v>
      </c>
      <c r="F137" s="26" t="n">
        <f aca="false">SUM(F127:F136)</f>
        <v>-9.6933</v>
      </c>
      <c r="G137" s="26" t="n">
        <f aca="false">SUM(G127:G136)</f>
        <v>-25.2086</v>
      </c>
      <c r="H137" s="26" t="n">
        <f aca="false">SUM(H127:H136)</f>
        <v>21.8756</v>
      </c>
      <c r="I137" s="26" t="n">
        <f aca="false">SUM(I127:I136)</f>
        <v>-12.9119</v>
      </c>
      <c r="J137" s="26" t="n">
        <f aca="false">SUM(J127:J136)</f>
        <v>-4.2233</v>
      </c>
      <c r="K137" s="26" t="n">
        <f aca="false">SUM(K127:K136)</f>
        <v>-45.4079</v>
      </c>
      <c r="L137" s="26" t="n">
        <f aca="false">SUM(L127:L136)</f>
        <v>-12.429</v>
      </c>
      <c r="M137" s="26" t="n">
        <f aca="false">SUM(M127:M136)</f>
        <v>-2.6941</v>
      </c>
      <c r="N137" s="26" t="n">
        <f aca="false">SUM(N127:N136)</f>
        <v>-4.0674</v>
      </c>
      <c r="O137" s="26" t="n">
        <f aca="false">SUM(O127:O136)</f>
        <v>-29.3029</v>
      </c>
      <c r="P137" s="26" t="n">
        <f aca="false">SUM(P127:P136)</f>
        <v>-20.4001</v>
      </c>
      <c r="Q137" s="26" t="n">
        <f aca="false">SUM(Q127:Q136)</f>
        <v>-11.4646</v>
      </c>
      <c r="R137" s="26" t="n">
        <f aca="false">SUM(R127:R136)</f>
        <v>-32.1289</v>
      </c>
      <c r="S137" s="26" t="n">
        <f aca="false">SUM(S127:S136)</f>
        <v>-49.7663</v>
      </c>
      <c r="T137" s="26" t="n">
        <f aca="false">SUM(T127:T136)</f>
        <v>-19.1754</v>
      </c>
      <c r="U137" s="26" t="n">
        <f aca="false">SUM(U127:U136)</f>
        <v>-12.3898</v>
      </c>
      <c r="V137" s="26" t="n">
        <f aca="false">SUM(V127:V136)</f>
        <v>-33.2532</v>
      </c>
      <c r="W137" s="26" t="n">
        <f aca="false">SUM(W127:W136)</f>
        <v>-159.4932</v>
      </c>
    </row>
    <row r="139" customFormat="false" ht="15" hidden="false" customHeight="false" outlineLevel="0" collapsed="false">
      <c r="A139" s="6" t="s">
        <v>145</v>
      </c>
    </row>
    <row r="140" customFormat="false" ht="15" hidden="false" customHeight="false" outlineLevel="0" collapsed="false">
      <c r="A140" s="11" t="s">
        <v>146</v>
      </c>
      <c r="B140" s="24" t="n">
        <v>0</v>
      </c>
      <c r="C140" s="24" t="n">
        <v>0</v>
      </c>
      <c r="D140" s="24" t="n">
        <v>0</v>
      </c>
      <c r="E140" s="24" t="n">
        <v>0</v>
      </c>
      <c r="F140" s="25" t="n">
        <v>0</v>
      </c>
      <c r="G140" s="25" t="n">
        <v>-0.008</v>
      </c>
      <c r="H140" s="25" t="n">
        <v>11.0094</v>
      </c>
      <c r="I140" s="25" t="n">
        <v>12.6719</v>
      </c>
      <c r="J140" s="25" t="n">
        <v>7.4312</v>
      </c>
      <c r="K140" s="25" t="n">
        <v>0</v>
      </c>
      <c r="L140" s="25" t="n">
        <v>23.1043</v>
      </c>
      <c r="M140" s="25" t="n">
        <v>14.1936</v>
      </c>
      <c r="N140" s="25" t="n">
        <v>0</v>
      </c>
      <c r="O140" s="25" t="n">
        <v>0</v>
      </c>
      <c r="P140" s="25" t="n">
        <v>0</v>
      </c>
      <c r="Q140" s="25" t="n">
        <v>0</v>
      </c>
      <c r="R140" s="25" t="n">
        <v>0</v>
      </c>
      <c r="S140" s="25" t="n">
        <v>0</v>
      </c>
      <c r="T140" s="25" t="n">
        <v>0</v>
      </c>
      <c r="U140" s="25" t="n">
        <v>0</v>
      </c>
      <c r="V140" s="25" t="n">
        <v>0</v>
      </c>
      <c r="W140" s="25" t="n">
        <v>0</v>
      </c>
    </row>
    <row r="141" customFormat="false" ht="15" hidden="false" customHeight="false" outlineLevel="0" collapsed="false">
      <c r="A141" s="11" t="s">
        <v>147</v>
      </c>
      <c r="B141" s="24" t="n">
        <v>0</v>
      </c>
      <c r="C141" s="24" t="n">
        <v>0</v>
      </c>
      <c r="D141" s="24" t="n">
        <v>0</v>
      </c>
      <c r="E141" s="24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51.5299</v>
      </c>
      <c r="L141" s="25" t="n">
        <v>0</v>
      </c>
      <c r="M141" s="25" t="n">
        <v>0</v>
      </c>
      <c r="N141" s="25" t="n">
        <v>0</v>
      </c>
      <c r="O141" s="25" t="n">
        <v>5.2003</v>
      </c>
      <c r="P141" s="25" t="n">
        <v>0</v>
      </c>
      <c r="Q141" s="25" t="n">
        <v>0</v>
      </c>
      <c r="R141" s="25" t="n">
        <v>2.5836</v>
      </c>
      <c r="S141" s="25" t="n">
        <v>1.25</v>
      </c>
      <c r="T141" s="25" t="n">
        <v>0.8</v>
      </c>
      <c r="U141" s="25" t="n">
        <v>0.37</v>
      </c>
      <c r="V141" s="25" t="n">
        <v>6.8406</v>
      </c>
      <c r="W141" s="25" t="n">
        <v>96.718</v>
      </c>
    </row>
    <row r="142" customFormat="false" ht="15" hidden="false" customHeight="false" outlineLevel="0" collapsed="false">
      <c r="A142" s="11" t="s">
        <v>148</v>
      </c>
      <c r="B142" s="24" t="n">
        <v>0</v>
      </c>
      <c r="C142" s="24" t="n">
        <v>0</v>
      </c>
      <c r="D142" s="24" t="n">
        <v>0</v>
      </c>
      <c r="E142" s="24" t="n">
        <v>0</v>
      </c>
      <c r="F142" s="25" t="n">
        <v>-2.9453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-32.359</v>
      </c>
      <c r="L142" s="25" t="n">
        <v>0</v>
      </c>
      <c r="M142" s="25" t="n">
        <v>0</v>
      </c>
      <c r="N142" s="25" t="n">
        <v>-50.4068</v>
      </c>
      <c r="O142" s="25" t="n">
        <v>0</v>
      </c>
      <c r="P142" s="25" t="n">
        <v>-14.3158</v>
      </c>
      <c r="Q142" s="25" t="n">
        <v>-5.5644</v>
      </c>
      <c r="R142" s="25" t="n">
        <v>-0.1049</v>
      </c>
      <c r="S142" s="25" t="n">
        <v>-0.4047</v>
      </c>
      <c r="T142" s="25" t="n">
        <v>-0.5526</v>
      </c>
      <c r="U142" s="25" t="n">
        <v>-0.6908</v>
      </c>
      <c r="V142" s="25" t="n">
        <v>-1.5082</v>
      </c>
      <c r="W142" s="25" t="n">
        <v>-7.2092</v>
      </c>
    </row>
    <row r="143" customFormat="false" ht="15" hidden="false" customHeight="false" outlineLevel="0" collapsed="false">
      <c r="A143" s="11" t="s">
        <v>149</v>
      </c>
      <c r="B143" s="24" t="n">
        <v>0</v>
      </c>
      <c r="C143" s="24" t="n">
        <v>0</v>
      </c>
      <c r="D143" s="24" t="n">
        <v>0</v>
      </c>
      <c r="E143" s="24" t="n">
        <v>0</v>
      </c>
      <c r="F143" s="25" t="n">
        <v>-0.131</v>
      </c>
      <c r="G143" s="25" t="n">
        <v>0</v>
      </c>
      <c r="H143" s="25" t="n">
        <v>0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  <c r="N143" s="25" t="n">
        <v>22.8942</v>
      </c>
      <c r="O143" s="25" t="n">
        <v>-61.9455</v>
      </c>
      <c r="P143" s="25" t="n">
        <v>-0.0934</v>
      </c>
      <c r="Q143" s="25" t="n">
        <v>-4.4</v>
      </c>
      <c r="R143" s="25" t="n">
        <v>0</v>
      </c>
      <c r="S143" s="25" t="n">
        <v>4</v>
      </c>
      <c r="T143" s="25" t="n">
        <v>11.5597</v>
      </c>
      <c r="U143" s="25" t="n">
        <v>2.4286</v>
      </c>
      <c r="V143" s="25" t="n">
        <v>-2.2097</v>
      </c>
      <c r="W143" s="25" t="n">
        <v>44.8918</v>
      </c>
    </row>
    <row r="144" customFormat="false" ht="15" hidden="false" customHeight="false" outlineLevel="0" collapsed="false">
      <c r="A144" s="11" t="s">
        <v>150</v>
      </c>
      <c r="B144" s="24" t="n">
        <v>0</v>
      </c>
      <c r="C144" s="24" t="n">
        <v>0</v>
      </c>
      <c r="D144" s="24" t="n">
        <v>0</v>
      </c>
      <c r="E144" s="24" t="n">
        <v>0</v>
      </c>
      <c r="F144" s="25" t="n">
        <v>3.04</v>
      </c>
      <c r="G144" s="25" t="n">
        <v>24.786</v>
      </c>
      <c r="H144" s="25" t="n">
        <v>0</v>
      </c>
      <c r="I144" s="25" t="n">
        <v>0</v>
      </c>
      <c r="J144" s="25" t="n">
        <v>0</v>
      </c>
      <c r="K144" s="25" t="n">
        <v>15.05</v>
      </c>
      <c r="L144" s="25" t="n">
        <v>0</v>
      </c>
      <c r="M144" s="25" t="n">
        <v>0</v>
      </c>
      <c r="N144" s="25" t="n">
        <v>88.625</v>
      </c>
      <c r="O144" s="25" t="n">
        <v>48</v>
      </c>
      <c r="P144" s="25" t="n">
        <v>0</v>
      </c>
      <c r="Q144" s="25" t="n">
        <v>0</v>
      </c>
      <c r="R144" s="25" t="n">
        <v>0</v>
      </c>
      <c r="S144" s="25" t="n">
        <v>2.4728</v>
      </c>
      <c r="T144" s="25" t="n">
        <v>0</v>
      </c>
      <c r="U144" s="25" t="n">
        <v>49.8541</v>
      </c>
      <c r="V144" s="25" t="n">
        <v>78.4655</v>
      </c>
      <c r="W144" s="25" t="n">
        <v>2.1835</v>
      </c>
    </row>
    <row r="145" customFormat="false" ht="15" hidden="false" customHeight="false" outlineLevel="0" collapsed="false">
      <c r="A145" s="11" t="s">
        <v>151</v>
      </c>
      <c r="B145" s="24" t="n">
        <v>0</v>
      </c>
      <c r="C145" s="24" t="n">
        <v>0</v>
      </c>
      <c r="D145" s="24" t="n">
        <v>0</v>
      </c>
      <c r="E145" s="24" t="n">
        <v>0</v>
      </c>
      <c r="F145" s="25" t="n">
        <v>0</v>
      </c>
      <c r="G145" s="25" t="n">
        <v>0</v>
      </c>
      <c r="H145" s="25" t="n">
        <v>0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0</v>
      </c>
      <c r="Q145" s="25" t="n">
        <v>0</v>
      </c>
      <c r="R145" s="25" t="n">
        <v>0</v>
      </c>
      <c r="S145" s="25" t="n">
        <v>0</v>
      </c>
      <c r="T145" s="25" t="n">
        <v>0</v>
      </c>
      <c r="U145" s="25" t="n">
        <v>0</v>
      </c>
      <c r="V145" s="25" t="n">
        <v>0</v>
      </c>
      <c r="W145" s="25" t="n">
        <v>-4.424</v>
      </c>
    </row>
    <row r="146" customFormat="false" ht="15" hidden="false" customHeight="false" outlineLevel="0" collapsed="false">
      <c r="A146" s="11" t="s">
        <v>152</v>
      </c>
      <c r="B146" s="24" t="n">
        <v>0</v>
      </c>
      <c r="C146" s="24" t="n">
        <v>0</v>
      </c>
      <c r="D146" s="24" t="n">
        <v>0</v>
      </c>
      <c r="E146" s="24" t="n">
        <v>0</v>
      </c>
      <c r="F146" s="25" t="n">
        <v>-0.6507</v>
      </c>
      <c r="G146" s="25" t="n">
        <v>-0.3162</v>
      </c>
      <c r="H146" s="25" t="n">
        <v>-1.0053</v>
      </c>
      <c r="I146" s="25" t="n">
        <v>-2.3447</v>
      </c>
      <c r="J146" s="25" t="n">
        <v>-2.7824</v>
      </c>
      <c r="K146" s="25" t="n">
        <v>-4.462</v>
      </c>
      <c r="L146" s="25" t="n">
        <v>-5.4481</v>
      </c>
      <c r="M146" s="25" t="n">
        <v>-5.1905</v>
      </c>
      <c r="N146" s="25" t="n">
        <v>-19.4094</v>
      </c>
      <c r="O146" s="25" t="n">
        <v>-8.2422</v>
      </c>
      <c r="P146" s="25" t="n">
        <v>-1.0769</v>
      </c>
      <c r="Q146" s="25" t="n">
        <v>-3.0877</v>
      </c>
      <c r="R146" s="25" t="n">
        <v>-0.9159</v>
      </c>
      <c r="S146" s="25" t="n">
        <v>-0.4352</v>
      </c>
      <c r="T146" s="25" t="n">
        <v>-0.9361</v>
      </c>
      <c r="U146" s="25" t="n">
        <v>-1.9959</v>
      </c>
      <c r="V146" s="25" t="n">
        <v>-2.6368</v>
      </c>
      <c r="W146" s="25" t="n">
        <v>-7.4251</v>
      </c>
    </row>
    <row r="147" customFormat="false" ht="15" hidden="false" customHeight="false" outlineLevel="0" collapsed="false">
      <c r="A147" s="11" t="s">
        <v>153</v>
      </c>
      <c r="B147" s="24" t="n">
        <v>0</v>
      </c>
      <c r="C147" s="24" t="n">
        <v>0</v>
      </c>
      <c r="D147" s="24" t="n">
        <v>0</v>
      </c>
      <c r="E147" s="24" t="n">
        <v>0</v>
      </c>
      <c r="F147" s="25" t="n">
        <v>0</v>
      </c>
      <c r="G147" s="25" t="n">
        <v>0</v>
      </c>
      <c r="H147" s="25" t="n">
        <v>0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0</v>
      </c>
      <c r="Q147" s="25" t="n">
        <v>0</v>
      </c>
      <c r="R147" s="25" t="n">
        <v>0</v>
      </c>
      <c r="S147" s="25" t="n">
        <v>0</v>
      </c>
      <c r="T147" s="25" t="n">
        <v>0</v>
      </c>
      <c r="U147" s="25" t="n">
        <v>0</v>
      </c>
      <c r="V147" s="25" t="n">
        <v>0</v>
      </c>
      <c r="W147" s="25" t="n">
        <v>0</v>
      </c>
    </row>
    <row r="148" customFormat="false" ht="15" hidden="false" customHeight="false" outlineLevel="0" collapsed="false">
      <c r="A148" s="11" t="s">
        <v>154</v>
      </c>
      <c r="B148" s="24" t="n">
        <v>0</v>
      </c>
      <c r="C148" s="24" t="n">
        <v>0</v>
      </c>
      <c r="D148" s="24" t="n">
        <v>0</v>
      </c>
      <c r="E148" s="24" t="n">
        <v>0</v>
      </c>
      <c r="F148" s="25" t="n">
        <v>0</v>
      </c>
      <c r="G148" s="25" t="n">
        <v>0</v>
      </c>
      <c r="H148" s="25" t="n">
        <v>0</v>
      </c>
      <c r="I148" s="25" t="n">
        <v>0</v>
      </c>
      <c r="J148" s="25" t="n">
        <v>0</v>
      </c>
      <c r="K148" s="25" t="n">
        <v>0</v>
      </c>
      <c r="L148" s="25" t="n">
        <v>0</v>
      </c>
      <c r="M148" s="25" t="n">
        <v>0</v>
      </c>
      <c r="N148" s="25" t="n">
        <v>0</v>
      </c>
      <c r="O148" s="25" t="n">
        <v>0</v>
      </c>
      <c r="P148" s="25" t="n">
        <v>0</v>
      </c>
      <c r="Q148" s="25" t="n">
        <v>0</v>
      </c>
      <c r="R148" s="25" t="n">
        <v>0</v>
      </c>
      <c r="S148" s="25" t="n">
        <v>0</v>
      </c>
      <c r="T148" s="25" t="n">
        <v>0</v>
      </c>
      <c r="U148" s="25" t="n">
        <v>0</v>
      </c>
      <c r="V148" s="25" t="n">
        <v>0</v>
      </c>
      <c r="W148" s="25" t="n">
        <v>0</v>
      </c>
    </row>
    <row r="149" customFormat="false" ht="15" hidden="false" customHeight="false" outlineLevel="0" collapsed="false">
      <c r="A149" s="11" t="s">
        <v>155</v>
      </c>
      <c r="B149" s="24" t="n">
        <v>0.2718281</v>
      </c>
      <c r="C149" s="24" t="n">
        <v>0.4056179</v>
      </c>
      <c r="D149" s="24" t="n">
        <v>5.2480027</v>
      </c>
      <c r="E149" s="24" t="n">
        <v>40.233254</v>
      </c>
      <c r="F149" s="25" t="n">
        <v>0</v>
      </c>
      <c r="G149" s="25" t="n">
        <v>0</v>
      </c>
      <c r="H149" s="25" t="n">
        <v>0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0</v>
      </c>
      <c r="Q149" s="25" t="n">
        <v>-4.3763</v>
      </c>
      <c r="R149" s="25" t="n">
        <v>-0.9932</v>
      </c>
      <c r="S149" s="25" t="n">
        <v>-1.1021</v>
      </c>
      <c r="T149" s="25" t="n">
        <v>-0.9255</v>
      </c>
      <c r="U149" s="25" t="n">
        <v>-0.8766</v>
      </c>
      <c r="V149" s="25" t="n">
        <v>-0.767</v>
      </c>
      <c r="W149" s="25" t="n">
        <v>-1.1224</v>
      </c>
    </row>
    <row r="150" customFormat="false" ht="15" hidden="false" customHeight="false" outlineLevel="0" collapsed="false">
      <c r="A150" s="6" t="s">
        <v>156</v>
      </c>
      <c r="B150" s="26" t="n">
        <f aca="false">SUM(B140:B149)</f>
        <v>0.2718281</v>
      </c>
      <c r="C150" s="26" t="n">
        <f aca="false">SUM(C140:C149)</f>
        <v>0.4056179</v>
      </c>
      <c r="D150" s="26" t="n">
        <f aca="false">SUM(D140:D149)</f>
        <v>5.2480027</v>
      </c>
      <c r="E150" s="26" t="n">
        <f aca="false">SUM(E140:E149)</f>
        <v>40.233254</v>
      </c>
      <c r="F150" s="26" t="n">
        <f aca="false">SUM(F140:F149)</f>
        <v>-0.687</v>
      </c>
      <c r="G150" s="26" t="n">
        <f aca="false">SUM(G140:G149)</f>
        <v>24.4618</v>
      </c>
      <c r="H150" s="26" t="n">
        <f aca="false">SUM(H140:H149)</f>
        <v>10.0041</v>
      </c>
      <c r="I150" s="26" t="n">
        <f aca="false">SUM(I140:I149)</f>
        <v>10.3272</v>
      </c>
      <c r="J150" s="26" t="n">
        <f aca="false">SUM(J140:J149)</f>
        <v>4.6488</v>
      </c>
      <c r="K150" s="26" t="n">
        <f aca="false">SUM(K140:K149)</f>
        <v>29.7589</v>
      </c>
      <c r="L150" s="26" t="n">
        <f aca="false">SUM(L140:L149)</f>
        <v>17.6562</v>
      </c>
      <c r="M150" s="26" t="n">
        <f aca="false">SUM(M140:M149)</f>
        <v>9.0031</v>
      </c>
      <c r="N150" s="26" t="n">
        <f aca="false">SUM(N140:N149)</f>
        <v>41.703</v>
      </c>
      <c r="O150" s="26" t="n">
        <f aca="false">SUM(O140:O149)</f>
        <v>-16.9874</v>
      </c>
      <c r="P150" s="26" t="n">
        <f aca="false">SUM(P140:P149)</f>
        <v>-15.4861</v>
      </c>
      <c r="Q150" s="26" t="n">
        <f aca="false">SUM(Q140:Q149)</f>
        <v>-17.4284</v>
      </c>
      <c r="R150" s="26" t="n">
        <f aca="false">SUM(R140:R149)</f>
        <v>0.5696</v>
      </c>
      <c r="S150" s="26" t="n">
        <f aca="false">SUM(S140:S149)</f>
        <v>5.7808</v>
      </c>
      <c r="T150" s="26" t="n">
        <f aca="false">SUM(T140:T149)</f>
        <v>9.9455</v>
      </c>
      <c r="U150" s="26" t="n">
        <f aca="false">SUM(U140:U149)</f>
        <v>49.0894</v>
      </c>
      <c r="V150" s="26" t="n">
        <f aca="false">SUM(V140:V149)</f>
        <v>78.1844</v>
      </c>
      <c r="W150" s="26" t="n">
        <f aca="false">SUM(W140:W149)</f>
        <v>123.6126</v>
      </c>
    </row>
    <row r="152" customFormat="false" ht="15" hidden="false" customHeight="false" outlineLevel="0" collapsed="false">
      <c r="A152" s="6" t="s">
        <v>157</v>
      </c>
      <c r="B152" s="26" t="n">
        <f aca="false">B124+B137+B150</f>
        <v>-0.6993435</v>
      </c>
      <c r="C152" s="26" t="n">
        <f aca="false">C124+C137+C150</f>
        <v>0.4873124</v>
      </c>
      <c r="D152" s="26" t="n">
        <f aca="false">D124+D137+D150</f>
        <v>1.3220738</v>
      </c>
      <c r="E152" s="26" t="n">
        <f aca="false">E124+E137+E150</f>
        <v>2.00422450000001</v>
      </c>
      <c r="F152" s="26" t="n">
        <f aca="false">F124+F137+F150</f>
        <v>3.2346</v>
      </c>
      <c r="G152" s="26" t="n">
        <f aca="false">G124+G137+G150</f>
        <v>0.538300000000003</v>
      </c>
      <c r="H152" s="26" t="n">
        <f aca="false">H124+H137+H150</f>
        <v>24.0413</v>
      </c>
      <c r="I152" s="26" t="n">
        <f aca="false">I124+I137+I150</f>
        <v>-9.0576</v>
      </c>
      <c r="J152" s="26" t="n">
        <f aca="false">J124+J137+J150</f>
        <v>-9.0058</v>
      </c>
      <c r="K152" s="26" t="n">
        <f aca="false">K124+K137+K150</f>
        <v>-0.334300000000003</v>
      </c>
      <c r="L152" s="26" t="n">
        <f aca="false">L124+L137+L150</f>
        <v>-2.3383</v>
      </c>
      <c r="M152" s="26" t="n">
        <f aca="false">M124+M137+M150</f>
        <v>5.1964</v>
      </c>
      <c r="N152" s="26" t="n">
        <f aca="false">N124+N137+N150</f>
        <v>19.4163</v>
      </c>
      <c r="O152" s="26" t="n">
        <f aca="false">O124+O137+O150</f>
        <v>-18.9556</v>
      </c>
      <c r="P152" s="26" t="n">
        <f aca="false">P124+P137+P150</f>
        <v>-8.9522</v>
      </c>
      <c r="Q152" s="26" t="n">
        <f aca="false">Q124+Q137+Q150</f>
        <v>60.1698</v>
      </c>
      <c r="R152" s="26" t="n">
        <f aca="false">R124+R137+R150</f>
        <v>-38.3653</v>
      </c>
      <c r="S152" s="26" t="n">
        <f aca="false">S124+S137+S150</f>
        <v>4.1288</v>
      </c>
      <c r="T152" s="26" t="n">
        <f aca="false">T124+T137+T150</f>
        <v>-11.8713</v>
      </c>
      <c r="U152" s="26" t="n">
        <f aca="false">U124+U137+U150</f>
        <v>-7.4049</v>
      </c>
      <c r="V152" s="26" t="n">
        <f aca="false">V124+V137+V150</f>
        <v>11.8547</v>
      </c>
      <c r="W152" s="26" t="n">
        <f aca="false">W124+W137+W150</f>
        <v>17.1046</v>
      </c>
    </row>
    <row r="153" customFormat="false" ht="15" hidden="false" customHeight="false" outlineLevel="0" collapsed="false">
      <c r="A153" s="11" t="s">
        <v>158</v>
      </c>
      <c r="B153" s="24" t="n">
        <v>1.0981</v>
      </c>
      <c r="C153" s="24" t="n">
        <v>0.3988</v>
      </c>
      <c r="D153" s="24" t="n">
        <v>0.8861</v>
      </c>
      <c r="E153" s="24" t="n">
        <v>2.2083</v>
      </c>
      <c r="F153" s="25" t="n">
        <v>4.2125</v>
      </c>
      <c r="G153" s="25" t="n">
        <v>7.4471</v>
      </c>
      <c r="H153" s="25" t="n">
        <v>7.9855</v>
      </c>
      <c r="I153" s="25" t="n">
        <v>22.4779</v>
      </c>
      <c r="J153" s="25" t="n">
        <v>13.4204</v>
      </c>
      <c r="K153" s="25" t="n">
        <v>4.4147</v>
      </c>
      <c r="L153" s="25" t="n">
        <v>4.0803</v>
      </c>
      <c r="M153" s="25" t="n">
        <v>1.7421</v>
      </c>
      <c r="N153" s="25" t="n">
        <v>7.2254</v>
      </c>
      <c r="O153" s="25" t="n">
        <v>27.0928</v>
      </c>
      <c r="P153" s="25" t="n">
        <v>8.2266</v>
      </c>
      <c r="Q153" s="25" t="n">
        <v>0.97</v>
      </c>
      <c r="R153" s="25" t="n">
        <v>61.957</v>
      </c>
      <c r="S153" s="25" t="n">
        <v>22.7424</v>
      </c>
      <c r="T153" s="25" t="n">
        <v>27.9548</v>
      </c>
      <c r="U153" s="25" t="n">
        <v>17.2665</v>
      </c>
      <c r="V153" s="25" t="n">
        <v>8.5884</v>
      </c>
      <c r="W153" s="25" t="n">
        <v>19.9296</v>
      </c>
    </row>
    <row r="154" customFormat="false" ht="15" hidden="false" customHeight="false" outlineLevel="0" collapsed="false">
      <c r="A154" s="11" t="s">
        <v>159</v>
      </c>
      <c r="B154" s="24" t="n">
        <v>0</v>
      </c>
      <c r="C154" s="24" t="n">
        <v>0</v>
      </c>
      <c r="D154" s="24" t="n">
        <v>0</v>
      </c>
      <c r="E154" s="24" t="n">
        <v>0</v>
      </c>
      <c r="F154" s="25" t="n">
        <v>0</v>
      </c>
      <c r="G154" s="25" t="n">
        <v>0</v>
      </c>
      <c r="H154" s="25" t="n">
        <v>0</v>
      </c>
      <c r="I154" s="25" t="n">
        <v>0</v>
      </c>
      <c r="J154" s="25" t="n">
        <v>0</v>
      </c>
      <c r="K154" s="25" t="n">
        <v>0</v>
      </c>
      <c r="L154" s="25" t="n">
        <v>0.0002</v>
      </c>
      <c r="M154" s="25" t="n">
        <v>0.2868</v>
      </c>
      <c r="N154" s="25" t="n">
        <v>0.4511</v>
      </c>
      <c r="O154" s="25" t="n">
        <v>0.0894</v>
      </c>
      <c r="P154" s="25" t="n">
        <v>1.6956</v>
      </c>
      <c r="Q154" s="25" t="n">
        <v>0.8172</v>
      </c>
      <c r="R154" s="25" t="n">
        <v>-0.8493</v>
      </c>
      <c r="S154" s="25" t="n">
        <v>1.0836</v>
      </c>
      <c r="T154" s="25" t="n">
        <v>1.183</v>
      </c>
      <c r="U154" s="25" t="n">
        <v>-1.2732</v>
      </c>
      <c r="V154" s="25" t="n">
        <v>-0.5135</v>
      </c>
      <c r="W154" s="25" t="n">
        <v>71.7139</v>
      </c>
    </row>
    <row r="155" customFormat="false" ht="15" hidden="false" customHeight="false" outlineLevel="0" collapsed="false">
      <c r="A155" s="6" t="s">
        <v>160</v>
      </c>
      <c r="B155" s="26" t="n">
        <f aca="false">B153+B152+B154</f>
        <v>0.3987565</v>
      </c>
      <c r="C155" s="26" t="n">
        <f aca="false">C153+C152+C154</f>
        <v>0.8861124</v>
      </c>
      <c r="D155" s="26" t="n">
        <f aca="false">D153+D152+D154</f>
        <v>2.2081738</v>
      </c>
      <c r="E155" s="26" t="n">
        <f aca="false">E153+E152+E154</f>
        <v>4.21252450000001</v>
      </c>
      <c r="F155" s="26" t="n">
        <f aca="false">F153+F152+F154</f>
        <v>7.4471</v>
      </c>
      <c r="G155" s="26" t="n">
        <f aca="false">G153+G152+G154</f>
        <v>7.9854</v>
      </c>
      <c r="H155" s="26" t="n">
        <f aca="false">H153+H152+H154</f>
        <v>32.0268</v>
      </c>
      <c r="I155" s="26" t="n">
        <f aca="false">I153+I152+I154</f>
        <v>13.4203</v>
      </c>
      <c r="J155" s="26" t="n">
        <f aca="false">J153+J152+J154</f>
        <v>4.4146</v>
      </c>
      <c r="K155" s="26" t="n">
        <f aca="false">K153+K152+K154</f>
        <v>4.0804</v>
      </c>
      <c r="L155" s="26" t="n">
        <f aca="false">L153+L152+L154</f>
        <v>1.7422</v>
      </c>
      <c r="M155" s="26" t="n">
        <f aca="false">M153+M152+M154</f>
        <v>7.2253</v>
      </c>
      <c r="N155" s="26" t="n">
        <f aca="false">N153+N152+N154</f>
        <v>27.0928</v>
      </c>
      <c r="O155" s="26" t="n">
        <f aca="false">O153+O152+O154</f>
        <v>8.2266</v>
      </c>
      <c r="P155" s="26" t="n">
        <f aca="false">P153+P152+P154</f>
        <v>0.970000000000004</v>
      </c>
      <c r="Q155" s="26" t="n">
        <f aca="false">Q153+Q152+Q154</f>
        <v>61.957</v>
      </c>
      <c r="R155" s="26" t="n">
        <f aca="false">R153+R152+R154</f>
        <v>22.7424</v>
      </c>
      <c r="S155" s="26" t="n">
        <f aca="false">S153+S152+S154</f>
        <v>27.9548</v>
      </c>
      <c r="T155" s="26" t="n">
        <f aca="false">T153+T152+T154</f>
        <v>17.2665</v>
      </c>
      <c r="U155" s="26" t="n">
        <f aca="false">U153+U152+U154</f>
        <v>8.5884</v>
      </c>
      <c r="V155" s="26" t="n">
        <f aca="false">V153+V152+V154</f>
        <v>19.9296</v>
      </c>
      <c r="W155" s="26" t="n">
        <f aca="false">W153+W152+W154</f>
        <v>108.7481</v>
      </c>
    </row>
    <row r="156" customFormat="false" ht="15" hidden="false" customHeight="false" outlineLevel="0" collapsed="false">
      <c r="A156" s="27" t="s">
        <v>161</v>
      </c>
      <c r="B156" s="24" t="n">
        <v>0.3988</v>
      </c>
      <c r="C156" s="24" t="n">
        <v>0.8861</v>
      </c>
      <c r="D156" s="24" t="n">
        <v>2.2083</v>
      </c>
      <c r="E156" s="24" t="n">
        <v>4.2125</v>
      </c>
      <c r="F156" s="25" t="n">
        <v>7.4471</v>
      </c>
      <c r="G156" s="25" t="n">
        <v>7.9855</v>
      </c>
      <c r="H156" s="25" t="n">
        <v>32.0268</v>
      </c>
      <c r="I156" s="25" t="n">
        <v>13.4204</v>
      </c>
      <c r="J156" s="25" t="n">
        <v>4.4147</v>
      </c>
      <c r="K156" s="25" t="n">
        <v>4.0803</v>
      </c>
      <c r="L156" s="25" t="n">
        <v>1.7421</v>
      </c>
      <c r="M156" s="25" t="n">
        <v>7.2254</v>
      </c>
      <c r="N156" s="25" t="n">
        <v>27.0928</v>
      </c>
      <c r="O156" s="25" t="n">
        <v>8.2266</v>
      </c>
      <c r="P156" s="25" t="n">
        <v>0.97</v>
      </c>
      <c r="Q156" s="25" t="n">
        <v>61.957</v>
      </c>
      <c r="R156" s="25" t="n">
        <v>22.7424</v>
      </c>
      <c r="S156" s="25" t="n">
        <v>27.9548</v>
      </c>
      <c r="T156" s="25" t="n">
        <v>17.2665</v>
      </c>
      <c r="U156" s="25" t="n">
        <v>8.5884</v>
      </c>
      <c r="V156" s="25" t="n">
        <v>19.9296</v>
      </c>
      <c r="W156" s="25" t="n">
        <v>108.7481</v>
      </c>
    </row>
    <row r="157" customFormat="false" ht="15" hidden="false" customHeight="false" outlineLevel="0" collapsed="false">
      <c r="A157" s="29" t="s">
        <v>105</v>
      </c>
      <c r="B157" s="30" t="n">
        <f aca="false">ROUND(B155-B156,1)</f>
        <v>-0</v>
      </c>
      <c r="C157" s="30" t="n">
        <f aca="false">ROUND(C155-C156,1)</f>
        <v>0</v>
      </c>
      <c r="D157" s="30" t="n">
        <f aca="false">ROUND(D155-D156,1)</f>
        <v>-0</v>
      </c>
      <c r="E157" s="30" t="n">
        <f aca="false">ROUND(E155-E156,1)</f>
        <v>0</v>
      </c>
      <c r="F157" s="30" t="n">
        <f aca="false">ROUND(F155-F156,1)</f>
        <v>0</v>
      </c>
      <c r="G157" s="30" t="n">
        <f aca="false">ROUND(G155-G156,1)</f>
        <v>-0</v>
      </c>
      <c r="H157" s="30" t="n">
        <f aca="false">ROUND(H155-H156,1)</f>
        <v>0</v>
      </c>
      <c r="I157" s="30" t="n">
        <f aca="false">ROUND(I155-I156,1)</f>
        <v>-0</v>
      </c>
      <c r="J157" s="30" t="n">
        <f aca="false">ROUND(J155-J156,1)</f>
        <v>-0</v>
      </c>
      <c r="K157" s="30" t="n">
        <f aca="false">ROUND(K155-K156,1)</f>
        <v>0</v>
      </c>
      <c r="L157" s="30" t="n">
        <f aca="false">ROUND(L155-L156,1)</f>
        <v>0</v>
      </c>
      <c r="M157" s="30" t="n">
        <f aca="false">ROUND(M155-M156,1)</f>
        <v>-0</v>
      </c>
      <c r="N157" s="30" t="n">
        <f aca="false">ROUND(N155-N156,1)</f>
        <v>0</v>
      </c>
      <c r="O157" s="30" t="n">
        <f aca="false">ROUND(O155-O156,1)</f>
        <v>0</v>
      </c>
      <c r="P157" s="30" t="n">
        <f aca="false">ROUND(P155-P156,1)</f>
        <v>0</v>
      </c>
      <c r="Q157" s="30" t="n">
        <f aca="false">ROUND(Q155-Q156,1)</f>
        <v>0</v>
      </c>
      <c r="R157" s="30" t="n">
        <f aca="false">ROUND(R155-R156,1)</f>
        <v>0</v>
      </c>
      <c r="S157" s="30" t="n">
        <f aca="false">ROUND(S155-S156,1)</f>
        <v>0</v>
      </c>
      <c r="T157" s="30" t="n">
        <f aca="false">ROUND(T155-T156,1)</f>
        <v>0</v>
      </c>
      <c r="U157" s="30" t="n">
        <f aca="false">ROUND(U155-U156,1)</f>
        <v>0</v>
      </c>
      <c r="V157" s="30" t="n">
        <f aca="false">ROUND(V155-V156,1)</f>
        <v>0</v>
      </c>
      <c r="W157" s="30" t="n">
        <f aca="false">ROUND(W155-W156,1)</f>
        <v>0</v>
      </c>
    </row>
    <row r="160" customFormat="false" ht="15" hidden="false" customHeight="false" outlineLevel="0" collapsed="false">
      <c r="A160" s="3" t="s">
        <v>162</v>
      </c>
      <c r="B160" s="5" t="str">
        <f aca="false">B$2</f>
        <v>FY05</v>
      </c>
      <c r="C160" s="5" t="str">
        <f aca="false">C$2</f>
        <v>FY06</v>
      </c>
      <c r="D160" s="5" t="str">
        <f aca="false">D$2</f>
        <v>FY07</v>
      </c>
      <c r="E160" s="5" t="str">
        <f aca="false">E$2</f>
        <v>FY08</v>
      </c>
      <c r="F160" s="5" t="str">
        <f aca="false">F$2</f>
        <v>FY09</v>
      </c>
      <c r="G160" s="5" t="str">
        <f aca="false">G$2</f>
        <v>FY10</v>
      </c>
      <c r="H160" s="5" t="str">
        <f aca="false">H$2</f>
        <v>FY11</v>
      </c>
      <c r="I160" s="5" t="str">
        <f aca="false">I$2</f>
        <v>FY12</v>
      </c>
      <c r="J160" s="5" t="str">
        <f aca="false">J$2</f>
        <v>FY13</v>
      </c>
      <c r="K160" s="5" t="str">
        <f aca="false">K$2</f>
        <v>FY14</v>
      </c>
      <c r="L160" s="5" t="str">
        <f aca="false">L$2</f>
        <v>FY15</v>
      </c>
      <c r="M160" s="5" t="str">
        <f aca="false">M$2</f>
        <v>FY16</v>
      </c>
      <c r="N160" s="5" t="str">
        <f aca="false">N$2</f>
        <v>FY17</v>
      </c>
      <c r="O160" s="5" t="str">
        <f aca="false">O$2</f>
        <v>FY18</v>
      </c>
      <c r="P160" s="5" t="str">
        <f aca="false">P$2</f>
        <v>FY19</v>
      </c>
      <c r="Q160" s="5" t="str">
        <f aca="false">Q$2</f>
        <v>FY20</v>
      </c>
      <c r="R160" s="5" t="str">
        <f aca="false">R$2</f>
        <v>FY21</v>
      </c>
      <c r="S160" s="5" t="str">
        <f aca="false">S$2</f>
        <v>FY22</v>
      </c>
      <c r="T160" s="5" t="str">
        <f aca="false">T$2</f>
        <v>FY23</v>
      </c>
      <c r="U160" s="5" t="str">
        <f aca="false">U$2</f>
        <v>FY24</v>
      </c>
      <c r="V160" s="5" t="str">
        <f aca="false">V$2</f>
        <v>FY25</v>
      </c>
      <c r="W160" s="5" t="str">
        <f aca="false">W$2</f>
        <v>FY26</v>
      </c>
      <c r="X160" s="5" t="str">
        <f aca="false">X$2</f>
        <v>FY27E</v>
      </c>
      <c r="Y160" s="5" t="str">
        <f aca="false">Y$2</f>
        <v>FY28E</v>
      </c>
      <c r="Z160" s="5" t="str">
        <f aca="false">Z$2</f>
        <v>FY29E</v>
      </c>
      <c r="AA160" s="5" t="str">
        <f aca="false">AA$2</f>
        <v>FY30E</v>
      </c>
    </row>
    <row r="161" customFormat="false" ht="15" hidden="false" customHeight="false" outlineLevel="0" collapsed="false">
      <c r="A161" s="6" t="s">
        <v>163</v>
      </c>
    </row>
    <row r="162" customFormat="false" ht="15" hidden="false" customHeight="false" outlineLevel="0" collapsed="false">
      <c r="A162" s="11" t="s">
        <v>164</v>
      </c>
      <c r="B162" s="33" t="n">
        <f aca="false">+B94+B112</f>
        <v>1.0222336</v>
      </c>
      <c r="C162" s="33" t="n">
        <f aca="false">+C94+C112</f>
        <v>1.5649646</v>
      </c>
      <c r="D162" s="33" t="n">
        <f aca="false">+D94+D112</f>
        <v>8.6081551</v>
      </c>
      <c r="E162" s="33" t="n">
        <f aca="false">+E94+E112</f>
        <v>16.3670786</v>
      </c>
      <c r="F162" s="33" t="n">
        <f aca="false">+F94+F112</f>
        <v>10.7746</v>
      </c>
      <c r="G162" s="33" t="n">
        <f aca="false">+G94+G112</f>
        <v>2.5253</v>
      </c>
      <c r="H162" s="33" t="n">
        <f aca="false">+H94+H112</f>
        <v>7.7161</v>
      </c>
      <c r="I162" s="33" t="n">
        <f aca="false">+I94+I112</f>
        <v>-4.4515</v>
      </c>
      <c r="J162" s="33" t="n">
        <f aca="false">+J94+J112</f>
        <v>0.0730000000000004</v>
      </c>
      <c r="K162" s="33" t="n">
        <f aca="false">+K94+K112</f>
        <v>0.542800000000003</v>
      </c>
      <c r="L162" s="33" t="n">
        <f aca="false">+L94+L112</f>
        <v>-1.3341</v>
      </c>
      <c r="M162" s="33" t="n">
        <f aca="false">+M94+M112</f>
        <v>4.1514</v>
      </c>
      <c r="N162" s="33" t="n">
        <f aca="false">+N94+N112</f>
        <v>25.1566</v>
      </c>
      <c r="O162" s="33" t="n">
        <f aca="false">+O94+O112</f>
        <v>39.974</v>
      </c>
      <c r="P162" s="33" t="n">
        <f aca="false">+P94+P112</f>
        <v>32.6406</v>
      </c>
      <c r="Q162" s="33" t="n">
        <f aca="false">+Q94+Q112</f>
        <v>71.0295</v>
      </c>
      <c r="R162" s="33" t="n">
        <f aca="false">+R94+R112</f>
        <v>54.6092</v>
      </c>
      <c r="S162" s="33" t="n">
        <f aca="false">+S94+S112</f>
        <v>66.3997</v>
      </c>
      <c r="T162" s="33" t="n">
        <f aca="false">+T94+T112</f>
        <v>-18.6498</v>
      </c>
      <c r="U162" s="33" t="n">
        <f aca="false">+U94+U112</f>
        <v>44.1291</v>
      </c>
      <c r="V162" s="33" t="n">
        <f aca="false">+V94+V112</f>
        <v>67.5223</v>
      </c>
      <c r="W162" s="33" t="n">
        <f aca="false">+W94+W112</f>
        <v>97.6702</v>
      </c>
    </row>
    <row r="163" customFormat="false" ht="15" hidden="false" customHeight="false" outlineLevel="0" collapsed="false">
      <c r="A163" s="11" t="s">
        <v>165</v>
      </c>
      <c r="B163" s="33" t="n">
        <f aca="false">+B133+B134</f>
        <v>0</v>
      </c>
      <c r="C163" s="33" t="n">
        <f aca="false">+C133+C134</f>
        <v>0</v>
      </c>
      <c r="D163" s="33" t="n">
        <f aca="false">+D133+D134</f>
        <v>0</v>
      </c>
      <c r="E163" s="33" t="n">
        <f aca="false">+E133+E134</f>
        <v>0</v>
      </c>
      <c r="F163" s="33" t="n">
        <f aca="false">+F133+F134</f>
        <v>1.226</v>
      </c>
      <c r="G163" s="33" t="n">
        <f aca="false">+G133+G134</f>
        <v>1.009</v>
      </c>
      <c r="H163" s="33" t="n">
        <f aca="false">+H133+H134</f>
        <v>1.2827</v>
      </c>
      <c r="I163" s="33" t="n">
        <f aca="false">+I133+I134</f>
        <v>3.3198</v>
      </c>
      <c r="J163" s="33" t="n">
        <f aca="false">+J133+J134</f>
        <v>1.9341</v>
      </c>
      <c r="K163" s="33" t="n">
        <f aca="false">+K133+K134</f>
        <v>2.176</v>
      </c>
      <c r="L163" s="33" t="n">
        <f aca="false">+L133+L134</f>
        <v>0.1623</v>
      </c>
      <c r="M163" s="33" t="n">
        <f aca="false">+M133+M134</f>
        <v>0.69</v>
      </c>
      <c r="N163" s="33" t="n">
        <f aca="false">+N133+N134</f>
        <v>0.5601</v>
      </c>
      <c r="O163" s="33" t="n">
        <f aca="false">+O133+O134</f>
        <v>1.3909</v>
      </c>
      <c r="P163" s="33" t="n">
        <f aca="false">+P133+P134</f>
        <v>2.9928</v>
      </c>
      <c r="Q163" s="33" t="n">
        <f aca="false">+Q133+Q134</f>
        <v>2.4591</v>
      </c>
      <c r="R163" s="33" t="n">
        <f aca="false">+R133+R134</f>
        <v>4.5188</v>
      </c>
      <c r="S163" s="33" t="n">
        <f aca="false">+S133+S134</f>
        <v>0.6941</v>
      </c>
      <c r="T163" s="33" t="n">
        <f aca="false">+T133+T134</f>
        <v>1.7912</v>
      </c>
      <c r="U163" s="33" t="n">
        <f aca="false">+U133+U134</f>
        <v>1.8191</v>
      </c>
      <c r="V163" s="33" t="n">
        <f aca="false">+V133+V134</f>
        <v>1.9652</v>
      </c>
      <c r="W163" s="33" t="n">
        <f aca="false">+W133+W134</f>
        <v>4.4949</v>
      </c>
    </row>
    <row r="164" customFormat="false" ht="15" hidden="false" customHeight="false" outlineLevel="0" collapsed="false">
      <c r="A164" s="11" t="s">
        <v>166</v>
      </c>
      <c r="B164" s="33" t="n">
        <f aca="false">+B144+B148</f>
        <v>0</v>
      </c>
      <c r="C164" s="33" t="n">
        <f aca="false">+C144+C148</f>
        <v>0</v>
      </c>
      <c r="D164" s="33" t="n">
        <f aca="false">+D144+D148</f>
        <v>0</v>
      </c>
      <c r="E164" s="33" t="n">
        <f aca="false">+E144+E148</f>
        <v>0</v>
      </c>
      <c r="F164" s="33" t="n">
        <f aca="false">+F144+F148</f>
        <v>3.04</v>
      </c>
      <c r="G164" s="33" t="n">
        <f aca="false">+G144+G148</f>
        <v>24.786</v>
      </c>
      <c r="H164" s="33" t="n">
        <f aca="false">+H144+H148</f>
        <v>0</v>
      </c>
      <c r="I164" s="33" t="n">
        <f aca="false">+I144+I148</f>
        <v>0</v>
      </c>
      <c r="J164" s="33" t="n">
        <f aca="false">+J144+J148</f>
        <v>0</v>
      </c>
      <c r="K164" s="33" t="n">
        <f aca="false">+K144+K148</f>
        <v>15.05</v>
      </c>
      <c r="L164" s="33" t="n">
        <f aca="false">+L144+L148</f>
        <v>0</v>
      </c>
      <c r="M164" s="33" t="n">
        <f aca="false">+M144+M148</f>
        <v>0</v>
      </c>
      <c r="N164" s="33" t="n">
        <f aca="false">+N144+N148</f>
        <v>88.625</v>
      </c>
      <c r="O164" s="33" t="n">
        <f aca="false">+O144+O148</f>
        <v>48</v>
      </c>
      <c r="P164" s="33" t="n">
        <f aca="false">+P144+P148</f>
        <v>0</v>
      </c>
      <c r="Q164" s="33" t="n">
        <f aca="false">+Q144+Q148</f>
        <v>0</v>
      </c>
      <c r="R164" s="33" t="n">
        <f aca="false">+R144+R148</f>
        <v>0</v>
      </c>
      <c r="S164" s="33" t="n">
        <f aca="false">+S144+S148</f>
        <v>2.4728</v>
      </c>
      <c r="T164" s="33" t="n">
        <f aca="false">+T144+T148</f>
        <v>0</v>
      </c>
      <c r="U164" s="33" t="n">
        <f aca="false">+U144+U148</f>
        <v>49.8541</v>
      </c>
      <c r="V164" s="33" t="n">
        <f aca="false">+V144+V148</f>
        <v>78.4655</v>
      </c>
      <c r="W164" s="33" t="n">
        <f aca="false">+W144+W148</f>
        <v>2.1835</v>
      </c>
    </row>
    <row r="165" customFormat="false" ht="15" hidden="false" customHeight="false" outlineLevel="0" collapsed="false">
      <c r="A165" s="11" t="s">
        <v>167</v>
      </c>
      <c r="B165" s="33" t="n">
        <f aca="false">+B140+B141+B142+B143</f>
        <v>0</v>
      </c>
      <c r="C165" s="33" t="n">
        <f aca="false">+C140+C141+C142+C143</f>
        <v>0</v>
      </c>
      <c r="D165" s="33" t="n">
        <f aca="false">+D140+D141+D142+D143</f>
        <v>0</v>
      </c>
      <c r="E165" s="33" t="n">
        <f aca="false">+E140+E141+E142+E143</f>
        <v>0</v>
      </c>
      <c r="F165" s="33" t="n">
        <f aca="false">+F140+F141+F142+F143</f>
        <v>-3.0763</v>
      </c>
      <c r="G165" s="33" t="n">
        <f aca="false">+G140+G141+G142+G143</f>
        <v>-0.008</v>
      </c>
      <c r="H165" s="33" t="n">
        <f aca="false">+H140+H141+H142+H143</f>
        <v>11.0094</v>
      </c>
      <c r="I165" s="33" t="n">
        <f aca="false">+I140+I141+I142+I143</f>
        <v>12.6719</v>
      </c>
      <c r="J165" s="33" t="n">
        <f aca="false">+J140+J141+J142+J143</f>
        <v>7.4312</v>
      </c>
      <c r="K165" s="33" t="n">
        <f aca="false">+K140+K141+K142+K143</f>
        <v>19.1709</v>
      </c>
      <c r="L165" s="33" t="n">
        <f aca="false">+L140+L141+L142+L143</f>
        <v>23.1043</v>
      </c>
      <c r="M165" s="33" t="n">
        <f aca="false">+M140+M141+M142+M143</f>
        <v>14.1936</v>
      </c>
      <c r="N165" s="33" t="n">
        <f aca="false">+N140+N141+N142+N143</f>
        <v>-27.5126</v>
      </c>
      <c r="O165" s="33" t="n">
        <f aca="false">+O140+O141+O142+O143</f>
        <v>-56.7452</v>
      </c>
      <c r="P165" s="33" t="n">
        <f aca="false">+P140+P141+P142+P143</f>
        <v>-14.4092</v>
      </c>
      <c r="Q165" s="33" t="n">
        <f aca="false">+Q140+Q141+Q142+Q143</f>
        <v>-9.9644</v>
      </c>
      <c r="R165" s="33" t="n">
        <f aca="false">+R140+R141+R142+R143</f>
        <v>2.4787</v>
      </c>
      <c r="S165" s="33" t="n">
        <f aca="false">+S140+S141+S142+S143</f>
        <v>4.8453</v>
      </c>
      <c r="T165" s="33" t="n">
        <f aca="false">+T140+T141+T142+T143</f>
        <v>11.8071</v>
      </c>
      <c r="U165" s="33" t="n">
        <f aca="false">+U140+U141+U142+U143</f>
        <v>2.1078</v>
      </c>
      <c r="V165" s="33" t="n">
        <f aca="false">+V140+V141+V142+V143</f>
        <v>3.1227</v>
      </c>
      <c r="W165" s="33" t="n">
        <f aca="false">+W140+W141+W142+W143</f>
        <v>134.4006</v>
      </c>
    </row>
    <row r="166" customFormat="false" ht="15" hidden="false" customHeight="false" outlineLevel="0" collapsed="false">
      <c r="A166" s="6" t="s">
        <v>168</v>
      </c>
      <c r="B166" s="26" t="n">
        <f aca="false">SUM(B162:B165)</f>
        <v>1.0222336</v>
      </c>
      <c r="C166" s="26" t="n">
        <f aca="false">SUM(C162:C165)</f>
        <v>1.5649646</v>
      </c>
      <c r="D166" s="26" t="n">
        <f aca="false">SUM(D162:D165)</f>
        <v>8.6081551</v>
      </c>
      <c r="E166" s="26" t="n">
        <f aca="false">SUM(E162:E165)</f>
        <v>16.3670786</v>
      </c>
      <c r="F166" s="26" t="n">
        <f aca="false">SUM(F162:F165)</f>
        <v>11.9643</v>
      </c>
      <c r="G166" s="26" t="n">
        <f aca="false">SUM(G162:G165)</f>
        <v>28.3123</v>
      </c>
      <c r="H166" s="26" t="n">
        <f aca="false">SUM(H162:H165)</f>
        <v>20.0082</v>
      </c>
      <c r="I166" s="26" t="n">
        <f aca="false">SUM(I162:I165)</f>
        <v>11.5402</v>
      </c>
      <c r="J166" s="26" t="n">
        <f aca="false">SUM(J162:J165)</f>
        <v>9.4383</v>
      </c>
      <c r="K166" s="26" t="n">
        <f aca="false">SUM(K162:K165)</f>
        <v>36.9397</v>
      </c>
      <c r="L166" s="26" t="n">
        <f aca="false">SUM(L162:L165)</f>
        <v>21.9325</v>
      </c>
      <c r="M166" s="26" t="n">
        <f aca="false">SUM(M162:M165)</f>
        <v>19.035</v>
      </c>
      <c r="N166" s="26" t="n">
        <f aca="false">SUM(N162:N165)</f>
        <v>86.8291</v>
      </c>
      <c r="O166" s="26" t="n">
        <f aca="false">SUM(O162:O165)</f>
        <v>32.6197</v>
      </c>
      <c r="P166" s="26" t="n">
        <f aca="false">SUM(P162:P165)</f>
        <v>21.2242</v>
      </c>
      <c r="Q166" s="26" t="n">
        <f aca="false">SUM(Q162:Q165)</f>
        <v>63.5242</v>
      </c>
      <c r="R166" s="26" t="n">
        <f aca="false">SUM(R162:R165)</f>
        <v>61.6067</v>
      </c>
      <c r="S166" s="26" t="n">
        <f aca="false">SUM(S162:S165)</f>
        <v>74.4119</v>
      </c>
      <c r="T166" s="26" t="n">
        <f aca="false">SUM(T162:T165)</f>
        <v>-5.0515</v>
      </c>
      <c r="U166" s="26" t="n">
        <f aca="false">SUM(U162:U165)</f>
        <v>97.9101</v>
      </c>
      <c r="V166" s="26" t="n">
        <f aca="false">SUM(V162:V165)</f>
        <v>151.0757</v>
      </c>
      <c r="W166" s="26" t="n">
        <f aca="false">SUM(W162:W165)</f>
        <v>238.7492</v>
      </c>
    </row>
    <row r="168" customFormat="false" ht="15" hidden="false" customHeight="false" outlineLevel="0" collapsed="false">
      <c r="A168" s="6" t="s">
        <v>169</v>
      </c>
    </row>
    <row r="169" customFormat="false" ht="15" hidden="false" customHeight="false" outlineLevel="0" collapsed="false">
      <c r="A169" s="11" t="s">
        <v>170</v>
      </c>
      <c r="B169" s="33" t="n">
        <f aca="false">-B120</f>
        <v>1.1963966</v>
      </c>
      <c r="C169" s="33" t="n">
        <f aca="false">-C120</f>
        <v>1.113691</v>
      </c>
      <c r="D169" s="33" t="n">
        <f aca="false">-D120</f>
        <v>8.8193423</v>
      </c>
      <c r="E169" s="33" t="n">
        <f aca="false">-E120</f>
        <v>0.848699</v>
      </c>
      <c r="F169" s="33" t="n">
        <f aca="false">-F120</f>
        <v>-5.8919</v>
      </c>
      <c r="G169" s="33" t="n">
        <f aca="false">-G120</f>
        <v>-0.217</v>
      </c>
      <c r="H169" s="33" t="n">
        <f aca="false">-H120</f>
        <v>15.4157</v>
      </c>
      <c r="I169" s="33" t="n">
        <f aca="false">-I120</f>
        <v>2.1784</v>
      </c>
      <c r="J169" s="33" t="n">
        <f aca="false">-J120</f>
        <v>9.4376</v>
      </c>
      <c r="K169" s="33" t="n">
        <f aca="false">-K120</f>
        <v>-15.5481</v>
      </c>
      <c r="L169" s="33" t="n">
        <f aca="false">-L120</f>
        <v>6.0701</v>
      </c>
      <c r="M169" s="33" t="n">
        <f aca="false">-M120</f>
        <v>4.9953</v>
      </c>
      <c r="N169" s="33" t="n">
        <f aca="false">-N120</f>
        <v>43.1987</v>
      </c>
      <c r="O169" s="33" t="n">
        <f aca="false">-O120</f>
        <v>10.8241</v>
      </c>
      <c r="P169" s="33" t="n">
        <f aca="false">-P120</f>
        <v>-1.8787</v>
      </c>
      <c r="Q169" s="33" t="n">
        <f aca="false">-Q120</f>
        <v>-22.6679</v>
      </c>
      <c r="R169" s="33" t="n">
        <f aca="false">-R120</f>
        <v>74.3103</v>
      </c>
      <c r="S169" s="33" t="n">
        <f aca="false">-S120</f>
        <v>19.1643</v>
      </c>
      <c r="T169" s="33" t="n">
        <f aca="false">-T120</f>
        <v>-15.4751</v>
      </c>
      <c r="U169" s="33" t="n">
        <f aca="false">-U120</f>
        <v>86.0128</v>
      </c>
      <c r="V169" s="33" t="n">
        <f aca="false">-V120</f>
        <v>91.9815</v>
      </c>
      <c r="W169" s="33" t="n">
        <f aca="false">-W120</f>
        <v>29.1195</v>
      </c>
    </row>
    <row r="170" customFormat="false" ht="15" hidden="false" customHeight="false" outlineLevel="0" collapsed="false">
      <c r="A170" s="11" t="s">
        <v>171</v>
      </c>
      <c r="B170" s="33" t="n">
        <f aca="false">-B123</f>
        <v>0.1399</v>
      </c>
      <c r="C170" s="33" t="n">
        <f aca="false">-C123</f>
        <v>0.3805</v>
      </c>
      <c r="D170" s="33" t="n">
        <f aca="false">-D123</f>
        <v>3.276</v>
      </c>
      <c r="E170" s="33" t="n">
        <f aca="false">-E123</f>
        <v>3.2468</v>
      </c>
      <c r="F170" s="33" t="n">
        <f aca="false">-F123</f>
        <v>3.0516</v>
      </c>
      <c r="G170" s="33" t="n">
        <f aca="false">-G123</f>
        <v>1.4572</v>
      </c>
      <c r="H170" s="33" t="n">
        <f aca="false">-H123</f>
        <v>0.1388</v>
      </c>
      <c r="I170" s="33" t="n">
        <f aca="false">-I123</f>
        <v>-0.157</v>
      </c>
      <c r="J170" s="33" t="n">
        <f aca="false">-J123</f>
        <v>0.0667</v>
      </c>
      <c r="K170" s="33" t="n">
        <f aca="false">-K123</f>
        <v>0.7762</v>
      </c>
      <c r="L170" s="33" t="n">
        <f aca="false">-L123</f>
        <v>0.1613</v>
      </c>
      <c r="M170" s="33" t="n">
        <f aca="false">-M123</f>
        <v>0.2687</v>
      </c>
      <c r="N170" s="33" t="n">
        <f aca="false">-N123</f>
        <v>0.1772</v>
      </c>
      <c r="O170" s="33" t="n">
        <f aca="false">-O123</f>
        <v>1.8152</v>
      </c>
      <c r="P170" s="33" t="n">
        <f aca="false">-P123</f>
        <v>7.5853</v>
      </c>
      <c r="Q170" s="33" t="n">
        <f aca="false">-Q123</f>
        <v>4.6346</v>
      </c>
      <c r="R170" s="33" t="n">
        <f aca="false">-R123</f>
        <v>-12.8951</v>
      </c>
      <c r="S170" s="33" t="n">
        <f aca="false">-S123</f>
        <v>-0.8789</v>
      </c>
      <c r="T170" s="33" t="n">
        <f aca="false">-T123</f>
        <v>-0.5333</v>
      </c>
      <c r="U170" s="33" t="n">
        <f aca="false">-U123</f>
        <v>2.2208</v>
      </c>
      <c r="V170" s="33" t="n">
        <f aca="false">-V123</f>
        <v>8.6173</v>
      </c>
      <c r="W170" s="33" t="n">
        <f aca="false">-W123</f>
        <v>15.5655</v>
      </c>
    </row>
    <row r="171" customFormat="false" ht="15" hidden="false" customHeight="false" outlineLevel="0" collapsed="false">
      <c r="A171" s="11" t="s">
        <v>172</v>
      </c>
      <c r="B171" s="33" t="n">
        <f aca="false">-(B127+B128)</f>
        <v>-0</v>
      </c>
      <c r="C171" s="33" t="n">
        <f aca="false">-(C127+C128)</f>
        <v>-0</v>
      </c>
      <c r="D171" s="33" t="n">
        <f aca="false">-(D127+D128)</f>
        <v>-0</v>
      </c>
      <c r="E171" s="33" t="n">
        <f aca="false">-(E127+E128)</f>
        <v>-0</v>
      </c>
      <c r="F171" s="33" t="n">
        <f aca="false">-(F127+F128)</f>
        <v>6.4517</v>
      </c>
      <c r="G171" s="33" t="n">
        <f aca="false">-(G127+G128)</f>
        <v>20.2254</v>
      </c>
      <c r="H171" s="33" t="n">
        <f aca="false">-(H127+H128)</f>
        <v>13.75</v>
      </c>
      <c r="I171" s="33" t="n">
        <f aca="false">-(I127+I128)</f>
        <v>1.9003</v>
      </c>
      <c r="J171" s="33" t="n">
        <f aca="false">-(J127+J128)</f>
        <v>13.0193</v>
      </c>
      <c r="K171" s="33" t="n">
        <f aca="false">-(K127+K128)</f>
        <v>95.8987</v>
      </c>
      <c r="L171" s="33" t="n">
        <f aca="false">-(L127+L128)</f>
        <v>-4.3811</v>
      </c>
      <c r="M171" s="33" t="n">
        <f aca="false">-(M127+M128)</f>
        <v>2.2174</v>
      </c>
      <c r="N171" s="33" t="n">
        <f aca="false">-(N127+N128)</f>
        <v>6.9777</v>
      </c>
      <c r="O171" s="33" t="n">
        <f aca="false">-(O127+O128)</f>
        <v>16.3967</v>
      </c>
      <c r="P171" s="33" t="n">
        <f aca="false">-(P127+P128)</f>
        <v>23.3929</v>
      </c>
      <c r="Q171" s="33" t="n">
        <f aca="false">-(Q127+Q128)</f>
        <v>13.9237</v>
      </c>
      <c r="R171" s="33" t="n">
        <f aca="false">-(R127+R128)</f>
        <v>36.6477</v>
      </c>
      <c r="S171" s="33" t="n">
        <f aca="false">-(S127+S128)</f>
        <v>42.3604</v>
      </c>
      <c r="T171" s="33" t="n">
        <f aca="false">-(T127+T128)</f>
        <v>1.2949</v>
      </c>
      <c r="U171" s="33" t="n">
        <f aca="false">-(U127+U128)</f>
        <v>28.5672</v>
      </c>
      <c r="V171" s="33" t="n">
        <f aca="false">-(V127+V128)</f>
        <v>19.0152</v>
      </c>
      <c r="W171" s="33" t="n">
        <f aca="false">-(W127+W128)</f>
        <v>60.6415</v>
      </c>
    </row>
    <row r="172" customFormat="false" ht="15" hidden="false" customHeight="false" outlineLevel="0" collapsed="false">
      <c r="A172" s="11" t="s">
        <v>173</v>
      </c>
      <c r="B172" s="33" t="n">
        <f aca="false">-(B129+B130+B131)</f>
        <v>-0</v>
      </c>
      <c r="C172" s="33" t="n">
        <f aca="false">-(C129+C130+C131)</f>
        <v>-0</v>
      </c>
      <c r="D172" s="33" t="n">
        <f aca="false">-(D129+D130+D131)</f>
        <v>-0</v>
      </c>
      <c r="E172" s="33" t="n">
        <f aca="false">-(E129+E130+E131)</f>
        <v>-0</v>
      </c>
      <c r="F172" s="33" t="n">
        <f aca="false">-(F129+F130+F131)</f>
        <v>-2.0324</v>
      </c>
      <c r="G172" s="33" t="n">
        <f aca="false">-(G129+G130+G131)</f>
        <v>5.9922</v>
      </c>
      <c r="H172" s="33" t="n">
        <f aca="false">-(H129+H130+H131)</f>
        <v>-34.3429</v>
      </c>
      <c r="I172" s="33" t="n">
        <f aca="false">-(I129+I130+I131)</f>
        <v>6.8959</v>
      </c>
      <c r="J172" s="33" t="n">
        <f aca="false">-(J129+J130+J131)</f>
        <v>-4.8387</v>
      </c>
      <c r="K172" s="33" t="n">
        <f aca="false">-(K129+K130+K131)</f>
        <v>-5.9479</v>
      </c>
      <c r="L172" s="33" t="n">
        <f aca="false">-(L129+L130+L131)</f>
        <v>-0</v>
      </c>
      <c r="M172" s="33" t="n">
        <f aca="false">-(M129+M130+M131)</f>
        <v>-0</v>
      </c>
      <c r="N172" s="33" t="n">
        <f aca="false">-(N129+N130+N131)</f>
        <v>-0.3827</v>
      </c>
      <c r="O172" s="33" t="n">
        <f aca="false">-(O129+O130+O131)</f>
        <v>14.2971</v>
      </c>
      <c r="P172" s="33" t="n">
        <f aca="false">-(P129+P130+P131)</f>
        <v>-0</v>
      </c>
      <c r="Q172" s="33" t="n">
        <f aca="false">-(Q129+Q130+Q131)</f>
        <v>-0</v>
      </c>
      <c r="R172" s="33" t="n">
        <f aca="false">-(R129+R130+R131)</f>
        <v>-0</v>
      </c>
      <c r="S172" s="33" t="n">
        <f aca="false">-(S129+S130+S131)</f>
        <v>6.1</v>
      </c>
      <c r="T172" s="33" t="n">
        <f aca="false">-(T129+T130+T131)</f>
        <v>13</v>
      </c>
      <c r="U172" s="33" t="n">
        <f aca="false">-(U129+U130+U131)</f>
        <v>-4.7474</v>
      </c>
      <c r="V172" s="33" t="n">
        <f aca="false">-(V129+V130+V131)</f>
        <v>16.2032</v>
      </c>
      <c r="W172" s="33" t="n">
        <f aca="false">-(W129+W130+W131)</f>
        <v>-19.4537</v>
      </c>
    </row>
    <row r="173" customFormat="false" ht="15" hidden="false" customHeight="false" outlineLevel="0" collapsed="false">
      <c r="A173" s="11" t="s">
        <v>174</v>
      </c>
      <c r="B173" s="33" t="n">
        <f aca="false">-B132</f>
        <v>-0</v>
      </c>
      <c r="C173" s="33" t="n">
        <f aca="false">-C132</f>
        <v>-0</v>
      </c>
      <c r="D173" s="33" t="n">
        <f aca="false">-D132</f>
        <v>-0</v>
      </c>
      <c r="E173" s="33" t="n">
        <f aca="false">-E132</f>
        <v>-0</v>
      </c>
      <c r="F173" s="33" t="n">
        <f aca="false">-F132</f>
        <v>-0</v>
      </c>
      <c r="G173" s="33" t="n">
        <f aca="false">-G132</f>
        <v>-0</v>
      </c>
      <c r="H173" s="33" t="n">
        <f aca="false">-H132</f>
        <v>-0</v>
      </c>
      <c r="I173" s="33" t="n">
        <f aca="false">-I132</f>
        <v>-0</v>
      </c>
      <c r="J173" s="33" t="n">
        <f aca="false">-J132</f>
        <v>-0</v>
      </c>
      <c r="K173" s="33" t="n">
        <f aca="false">-K132</f>
        <v>-0</v>
      </c>
      <c r="L173" s="33" t="n">
        <f aca="false">-L132</f>
        <v>-0</v>
      </c>
      <c r="M173" s="33" t="n">
        <f aca="false">-M132</f>
        <v>-0</v>
      </c>
      <c r="N173" s="33" t="n">
        <f aca="false">-N132</f>
        <v>-1.9675</v>
      </c>
      <c r="O173" s="33" t="n">
        <f aca="false">-O132</f>
        <v>-0</v>
      </c>
      <c r="P173" s="33" t="n">
        <f aca="false">-P132</f>
        <v>-0</v>
      </c>
      <c r="Q173" s="33" t="n">
        <f aca="false">-Q132</f>
        <v>-0</v>
      </c>
      <c r="R173" s="33" t="n">
        <f aca="false">-R132</f>
        <v>-0</v>
      </c>
      <c r="S173" s="33" t="n">
        <f aca="false">-S132</f>
        <v>-0</v>
      </c>
      <c r="T173" s="33" t="n">
        <f aca="false">-T132</f>
        <v>-0</v>
      </c>
      <c r="U173" s="33" t="n">
        <f aca="false">-U132</f>
        <v>-0</v>
      </c>
      <c r="V173" s="33" t="n">
        <f aca="false">-V132</f>
        <v>-0</v>
      </c>
      <c r="W173" s="33" t="n">
        <f aca="false">-W132</f>
        <v>122.8003</v>
      </c>
    </row>
    <row r="174" customFormat="false" ht="15" hidden="false" customHeight="false" outlineLevel="0" collapsed="false">
      <c r="A174" s="11" t="s">
        <v>175</v>
      </c>
      <c r="B174" s="33" t="n">
        <f aca="false">-B135</f>
        <v>-0</v>
      </c>
      <c r="C174" s="33" t="n">
        <f aca="false">-C135</f>
        <v>-0</v>
      </c>
      <c r="D174" s="33" t="n">
        <f aca="false">-D135</f>
        <v>-0</v>
      </c>
      <c r="E174" s="33" t="n">
        <f aca="false">-E135</f>
        <v>-0</v>
      </c>
      <c r="F174" s="33" t="n">
        <f aca="false">-F135</f>
        <v>6.5</v>
      </c>
      <c r="G174" s="33" t="n">
        <f aca="false">-G135</f>
        <v>-0</v>
      </c>
      <c r="H174" s="33" t="n">
        <f aca="false">-H135</f>
        <v>-0</v>
      </c>
      <c r="I174" s="33" t="n">
        <f aca="false">-I135</f>
        <v>-0</v>
      </c>
      <c r="J174" s="33" t="n">
        <f aca="false">-J135</f>
        <v>-0</v>
      </c>
      <c r="K174" s="33" t="n">
        <f aca="false">-K135</f>
        <v>-0</v>
      </c>
      <c r="L174" s="33" t="n">
        <f aca="false">-L135</f>
        <v>-0</v>
      </c>
      <c r="M174" s="33" t="n">
        <f aca="false">-M135</f>
        <v>-0</v>
      </c>
      <c r="N174" s="33" t="n">
        <f aca="false">-N135</f>
        <v>-0</v>
      </c>
      <c r="O174" s="33" t="n">
        <f aca="false">-O135</f>
        <v>-0</v>
      </c>
      <c r="P174" s="33" t="n">
        <f aca="false">-P135</f>
        <v>-0</v>
      </c>
      <c r="Q174" s="33" t="n">
        <f aca="false">-Q135</f>
        <v>-0</v>
      </c>
      <c r="R174" s="33" t="n">
        <f aca="false">-R135</f>
        <v>-0</v>
      </c>
      <c r="S174" s="33" t="n">
        <f aca="false">-S135</f>
        <v>2</v>
      </c>
      <c r="T174" s="33" t="n">
        <f aca="false">-T135</f>
        <v>6.6717</v>
      </c>
      <c r="U174" s="33" t="n">
        <f aca="false">-U135</f>
        <v>-9.6109</v>
      </c>
      <c r="V174" s="33" t="n">
        <f aca="false">-V135</f>
        <v>-0</v>
      </c>
      <c r="W174" s="33" t="n">
        <f aca="false">-W135</f>
        <v>-0</v>
      </c>
    </row>
    <row r="175" customFormat="false" ht="15" hidden="false" customHeight="false" outlineLevel="0" collapsed="false">
      <c r="A175" s="11" t="s">
        <v>176</v>
      </c>
      <c r="B175" s="33" t="n">
        <f aca="false">-(B145+B147)</f>
        <v>-0</v>
      </c>
      <c r="C175" s="33" t="n">
        <f aca="false">-(C145+C147)</f>
        <v>-0</v>
      </c>
      <c r="D175" s="33" t="n">
        <f aca="false">-(D145+D147)</f>
        <v>-0</v>
      </c>
      <c r="E175" s="33" t="n">
        <f aca="false">-(E145+E147)</f>
        <v>-0</v>
      </c>
      <c r="F175" s="33" t="n">
        <f aca="false">-(F145+F147)</f>
        <v>-0</v>
      </c>
      <c r="G175" s="33" t="n">
        <f aca="false">-(G145+G147)</f>
        <v>-0</v>
      </c>
      <c r="H175" s="33" t="n">
        <f aca="false">-(H145+H147)</f>
        <v>-0</v>
      </c>
      <c r="I175" s="33" t="n">
        <f aca="false">-(I145+I147)</f>
        <v>-0</v>
      </c>
      <c r="J175" s="33" t="n">
        <f aca="false">-(J145+J147)</f>
        <v>-0</v>
      </c>
      <c r="K175" s="33" t="n">
        <f aca="false">-(K145+K147)</f>
        <v>-0</v>
      </c>
      <c r="L175" s="33" t="n">
        <f aca="false">-(L145+L147)</f>
        <v>-0</v>
      </c>
      <c r="M175" s="33" t="n">
        <f aca="false">-(M145+M147)</f>
        <v>-0</v>
      </c>
      <c r="N175" s="33" t="n">
        <f aca="false">-(N145+N147)</f>
        <v>-0</v>
      </c>
      <c r="O175" s="33" t="n">
        <f aca="false">-(O145+O147)</f>
        <v>-0</v>
      </c>
      <c r="P175" s="33" t="n">
        <f aca="false">-(P145+P147)</f>
        <v>-0</v>
      </c>
      <c r="Q175" s="33" t="n">
        <f aca="false">-(Q145+Q147)</f>
        <v>-0</v>
      </c>
      <c r="R175" s="33" t="n">
        <f aca="false">-(R145+R147)</f>
        <v>-0</v>
      </c>
      <c r="S175" s="33" t="n">
        <f aca="false">-(S145+S147)</f>
        <v>-0</v>
      </c>
      <c r="T175" s="33" t="n">
        <f aca="false">-(T145+T147)</f>
        <v>-0</v>
      </c>
      <c r="U175" s="33" t="n">
        <f aca="false">-(U145+U147)</f>
        <v>-0</v>
      </c>
      <c r="V175" s="33" t="n">
        <f aca="false">-(V145+V147)</f>
        <v>-0</v>
      </c>
      <c r="W175" s="33" t="n">
        <f aca="false">-(W145+W147)</f>
        <v>4.424</v>
      </c>
    </row>
    <row r="176" customFormat="false" ht="15" hidden="false" customHeight="false" outlineLevel="0" collapsed="false">
      <c r="A176" s="11" t="s">
        <v>177</v>
      </c>
      <c r="B176" s="33" t="n">
        <f aca="false">-(B136+B149)</f>
        <v>0.3852805</v>
      </c>
      <c r="C176" s="33" t="n">
        <f aca="false">-(C136+C149)</f>
        <v>-0.4165388</v>
      </c>
      <c r="D176" s="33" t="n">
        <f aca="false">-(D136+D149)</f>
        <v>-4.809261</v>
      </c>
      <c r="E176" s="33" t="n">
        <f aca="false">-(E136+E149)</f>
        <v>10.2673551</v>
      </c>
      <c r="F176" s="33" t="n">
        <f aca="false">-(F136+F149)</f>
        <v>-0</v>
      </c>
      <c r="G176" s="33" t="n">
        <f aca="false">-(G136+G149)</f>
        <v>-0</v>
      </c>
      <c r="H176" s="33" t="n">
        <f aca="false">-(H136+H149)</f>
        <v>-0</v>
      </c>
      <c r="I176" s="33" t="n">
        <f aca="false">-(I136+I149)</f>
        <v>7.4355</v>
      </c>
      <c r="J176" s="33" t="n">
        <f aca="false">-(J136+J149)</f>
        <v>-2.0232</v>
      </c>
      <c r="K176" s="33" t="n">
        <f aca="false">-(K136+K149)</f>
        <v>-42.3669</v>
      </c>
      <c r="L176" s="33" t="n">
        <f aca="false">-(L136+L149)</f>
        <v>16.9724</v>
      </c>
      <c r="M176" s="33" t="n">
        <f aca="false">-(M136+M149)</f>
        <v>1.1667</v>
      </c>
      <c r="N176" s="33" t="n">
        <f aca="false">-(N136+N149)</f>
        <v>-0</v>
      </c>
      <c r="O176" s="33" t="n">
        <f aca="false">-(O136+O149)</f>
        <v>-0</v>
      </c>
      <c r="P176" s="33" t="n">
        <f aca="false">-(P136+P149)</f>
        <v>-0</v>
      </c>
      <c r="Q176" s="33" t="n">
        <f aca="false">-(Q136+Q149)</f>
        <v>4.3763</v>
      </c>
      <c r="R176" s="33" t="n">
        <f aca="false">-(R136+R149)</f>
        <v>0.9932</v>
      </c>
      <c r="S176" s="33" t="n">
        <f aca="false">-(S136+S149)</f>
        <v>1.1021</v>
      </c>
      <c r="T176" s="33" t="n">
        <f aca="false">-(T136+T149)</f>
        <v>0.9255</v>
      </c>
      <c r="U176" s="33" t="n">
        <f aca="false">-(U136+U149)</f>
        <v>0.8766</v>
      </c>
      <c r="V176" s="33" t="n">
        <f aca="false">-(V136+V149)</f>
        <v>0.767</v>
      </c>
      <c r="W176" s="33" t="n">
        <f aca="false">-(W136+W149)</f>
        <v>1.1224</v>
      </c>
    </row>
    <row r="177" customFormat="false" ht="15" hidden="false" customHeight="false" outlineLevel="0" collapsed="false">
      <c r="A177" s="6" t="s">
        <v>178</v>
      </c>
      <c r="B177" s="26" t="n">
        <f aca="false">SUM(B169:B176)</f>
        <v>1.7215771</v>
      </c>
      <c r="C177" s="26" t="n">
        <f aca="false">SUM(C169:C176)</f>
        <v>1.0776522</v>
      </c>
      <c r="D177" s="26" t="n">
        <f aca="false">SUM(D169:D176)</f>
        <v>7.2860813</v>
      </c>
      <c r="E177" s="26" t="n">
        <f aca="false">SUM(E169:E176)</f>
        <v>14.3628541</v>
      </c>
      <c r="F177" s="26" t="n">
        <f aca="false">SUM(F169:F176)</f>
        <v>8.079</v>
      </c>
      <c r="G177" s="26" t="n">
        <f aca="false">SUM(G169:G176)</f>
        <v>27.4578</v>
      </c>
      <c r="H177" s="26" t="n">
        <f aca="false">SUM(H169:H176)</f>
        <v>-5.0384</v>
      </c>
      <c r="I177" s="26" t="n">
        <f aca="false">SUM(I169:I176)</f>
        <v>18.2531</v>
      </c>
      <c r="J177" s="26" t="n">
        <f aca="false">SUM(J169:J176)</f>
        <v>15.6617</v>
      </c>
      <c r="K177" s="26" t="n">
        <f aca="false">SUM(K169:K176)</f>
        <v>32.812</v>
      </c>
      <c r="L177" s="26" t="n">
        <f aca="false">SUM(L169:L176)</f>
        <v>18.8227</v>
      </c>
      <c r="M177" s="26" t="n">
        <f aca="false">SUM(M169:M176)</f>
        <v>8.6481</v>
      </c>
      <c r="N177" s="26" t="n">
        <f aca="false">SUM(N169:N176)</f>
        <v>48.0034</v>
      </c>
      <c r="O177" s="26" t="n">
        <f aca="false">SUM(O169:O176)</f>
        <v>43.3331</v>
      </c>
      <c r="P177" s="26" t="n">
        <f aca="false">SUM(P169:P176)</f>
        <v>29.0995</v>
      </c>
      <c r="Q177" s="26" t="n">
        <f aca="false">SUM(Q169:Q176)</f>
        <v>0.266700000000004</v>
      </c>
      <c r="R177" s="26" t="n">
        <f aca="false">SUM(R169:R176)</f>
        <v>99.0561</v>
      </c>
      <c r="S177" s="26" t="n">
        <f aca="false">SUM(S169:S176)</f>
        <v>69.8479</v>
      </c>
      <c r="T177" s="26" t="n">
        <f aca="false">SUM(T169:T176)</f>
        <v>5.8837</v>
      </c>
      <c r="U177" s="26" t="n">
        <f aca="false">SUM(U169:U176)</f>
        <v>103.3191</v>
      </c>
      <c r="V177" s="26" t="n">
        <f aca="false">SUM(V169:V176)</f>
        <v>136.5842</v>
      </c>
      <c r="W177" s="26" t="n">
        <f aca="false">SUM(W169:W176)</f>
        <v>214.2195</v>
      </c>
    </row>
    <row r="179" customFormat="false" ht="15" hidden="false" customHeight="false" outlineLevel="0" collapsed="false">
      <c r="A179" s="34" t="s">
        <v>179</v>
      </c>
      <c r="B179" s="35" t="n">
        <f aca="false">+B162-B169-B170-B171</f>
        <v>-0.314063</v>
      </c>
      <c r="C179" s="35" t="n">
        <f aca="false">+C162-C169-C170-C171</f>
        <v>0.0707736000000002</v>
      </c>
      <c r="D179" s="35" t="n">
        <f aca="false">+D162-D169-D170-D171</f>
        <v>-3.4871872</v>
      </c>
      <c r="E179" s="35" t="n">
        <f aca="false">+E162-E169-E170-E171</f>
        <v>12.2715796</v>
      </c>
      <c r="F179" s="35" t="n">
        <f aca="false">+F162-F169-F170-F171</f>
        <v>7.1632</v>
      </c>
      <c r="G179" s="35" t="n">
        <f aca="false">+G162-G169-G170-G171</f>
        <v>-18.9403</v>
      </c>
      <c r="H179" s="35" t="n">
        <f aca="false">+H162-H169-H170-H171</f>
        <v>-21.5884</v>
      </c>
      <c r="I179" s="35" t="n">
        <f aca="false">+I162-I169-I170-I171</f>
        <v>-8.3732</v>
      </c>
      <c r="J179" s="35" t="n">
        <f aca="false">+J162-J169-J170-J171</f>
        <v>-22.4506</v>
      </c>
      <c r="K179" s="35" t="n">
        <f aca="false">+K162-K169-K170-K171</f>
        <v>-80.584</v>
      </c>
      <c r="L179" s="35" t="n">
        <f aca="false">+L162-L169-L170-L171</f>
        <v>-3.1844</v>
      </c>
      <c r="M179" s="35" t="n">
        <f aca="false">+M162-M169-M170-M171</f>
        <v>-3.33</v>
      </c>
      <c r="N179" s="35" t="n">
        <f aca="false">+N162-N169-N170-N171</f>
        <v>-25.197</v>
      </c>
      <c r="O179" s="35" t="n">
        <f aca="false">+O162-O169-O170-O171</f>
        <v>10.938</v>
      </c>
      <c r="P179" s="35" t="n">
        <f aca="false">+P162-P169-P170-P171</f>
        <v>3.5411</v>
      </c>
      <c r="Q179" s="35" t="n">
        <f aca="false">+Q162-Q169-Q170-Q171</f>
        <v>75.1391</v>
      </c>
      <c r="R179" s="35" t="n">
        <f aca="false">+R162-R169-R170-R171</f>
        <v>-43.4537</v>
      </c>
      <c r="S179" s="35" t="n">
        <f aca="false">+S162-S169-S170-S171</f>
        <v>5.75389999999999</v>
      </c>
      <c r="T179" s="35" t="n">
        <f aca="false">+T162-T169-T170-T171</f>
        <v>-3.9363</v>
      </c>
      <c r="U179" s="35" t="n">
        <f aca="false">+U162-U169-U170-U171</f>
        <v>-72.6717</v>
      </c>
      <c r="V179" s="35" t="n">
        <f aca="false">+V162-V169-V170-V171</f>
        <v>-52.0917</v>
      </c>
      <c r="W179" s="35" t="n">
        <f aca="false">+W162-W169-W170-W171</f>
        <v>-7.65630000000001</v>
      </c>
    </row>
    <row r="180" customFormat="false" ht="15" hidden="false" customHeight="false" outlineLevel="0" collapsed="false">
      <c r="A180" s="34" t="s">
        <v>180</v>
      </c>
      <c r="B180" s="35" t="n">
        <f aca="false">+B179+B165</f>
        <v>-0.314063</v>
      </c>
      <c r="C180" s="35" t="n">
        <f aca="false">+C179+C165</f>
        <v>0.0707736000000002</v>
      </c>
      <c r="D180" s="35" t="n">
        <f aca="false">+D179+D165</f>
        <v>-3.4871872</v>
      </c>
      <c r="E180" s="35" t="n">
        <f aca="false">+E179+E165</f>
        <v>12.2715796</v>
      </c>
      <c r="F180" s="35" t="n">
        <f aca="false">+F179+F165</f>
        <v>4.0869</v>
      </c>
      <c r="G180" s="35" t="n">
        <f aca="false">+G179+G165</f>
        <v>-18.9483</v>
      </c>
      <c r="H180" s="35" t="n">
        <f aca="false">+H179+H165</f>
        <v>-10.579</v>
      </c>
      <c r="I180" s="35" t="n">
        <f aca="false">+I179+I165</f>
        <v>4.2987</v>
      </c>
      <c r="J180" s="35" t="n">
        <f aca="false">+J179+J165</f>
        <v>-15.0194</v>
      </c>
      <c r="K180" s="35" t="n">
        <f aca="false">+K179+K165</f>
        <v>-61.4131</v>
      </c>
      <c r="L180" s="35" t="n">
        <f aca="false">+L179+L165</f>
        <v>19.9199</v>
      </c>
      <c r="M180" s="35" t="n">
        <f aca="false">+M179+M165</f>
        <v>10.8636</v>
      </c>
      <c r="N180" s="35" t="n">
        <f aca="false">+N179+N165</f>
        <v>-52.7096</v>
      </c>
      <c r="O180" s="35" t="n">
        <f aca="false">+O179+O165</f>
        <v>-45.8072</v>
      </c>
      <c r="P180" s="35" t="n">
        <f aca="false">+P179+P165</f>
        <v>-10.8681</v>
      </c>
      <c r="Q180" s="35" t="n">
        <f aca="false">+Q179+Q165</f>
        <v>65.1747</v>
      </c>
      <c r="R180" s="35" t="n">
        <f aca="false">+R179+R165</f>
        <v>-40.975</v>
      </c>
      <c r="S180" s="35" t="n">
        <f aca="false">+S179+S165</f>
        <v>10.5992</v>
      </c>
      <c r="T180" s="35" t="n">
        <f aca="false">+T179+T165</f>
        <v>7.8708</v>
      </c>
      <c r="U180" s="35" t="n">
        <f aca="false">+U179+U165</f>
        <v>-70.5639</v>
      </c>
      <c r="V180" s="35" t="n">
        <f aca="false">+V179+V165</f>
        <v>-48.969</v>
      </c>
      <c r="W180" s="35" t="n">
        <f aca="false">+W179+W165</f>
        <v>126.7443</v>
      </c>
    </row>
    <row r="181" customFormat="false" ht="15" hidden="false" customHeight="false" outlineLevel="0" collapsed="false">
      <c r="A181" s="27" t="s">
        <v>181</v>
      </c>
      <c r="B181" s="36" t="n">
        <f aca="false">IF(B31&lt;=0,"n.m.",B124/B31)</f>
        <v>-0.98421497963021</v>
      </c>
      <c r="C181" s="36" t="n">
        <f aca="false">IF(C31&lt;=0,"n.m.",C124/C31)</f>
        <v>0.113948800515215</v>
      </c>
      <c r="D181" s="36" t="n">
        <f aca="false">IF(D31&lt;=0,"n.m.",D124/D31)</f>
        <v>-0.811861150559915</v>
      </c>
      <c r="E181" s="36" t="n">
        <f aca="false">IF(E31&lt;=0,"n.m.",E124/E31)</f>
        <v>1.27528730280797</v>
      </c>
      <c r="F181" s="36" t="n">
        <f aca="false">IF(F31&lt;=0,"n.m.",F124/F31)</f>
        <v>2.59242545413002</v>
      </c>
      <c r="G181" s="36" t="str">
        <f aca="false">IF(G31&lt;=0,"n.m.",G124/G31)</f>
        <v>n.m.</v>
      </c>
      <c r="H181" s="36" t="str">
        <f aca="false">IF(H31&lt;=0,"n.m.",H124/H31)</f>
        <v>n.m.</v>
      </c>
      <c r="I181" s="36" t="str">
        <f aca="false">IF(I31&lt;=0,"n.m.",I124/I31)</f>
        <v>n.m.</v>
      </c>
      <c r="J181" s="36" t="str">
        <f aca="false">IF(J31&lt;=0,"n.m.",J124/J31)</f>
        <v>n.m.</v>
      </c>
      <c r="K181" s="36" t="str">
        <f aca="false">IF(K31&lt;=0,"n.m.",K124/K31)</f>
        <v>n.m.</v>
      </c>
      <c r="L181" s="36" t="str">
        <f aca="false">IF(L31&lt;=0,"n.m.",L124/L31)</f>
        <v>n.m.</v>
      </c>
      <c r="M181" s="36" t="str">
        <f aca="false">IF(M31&lt;=0,"n.m.",M124/M31)</f>
        <v>n.m.</v>
      </c>
      <c r="N181" s="36" t="str">
        <f aca="false">IF(N31&lt;=0,"n.m.",N124/N31)</f>
        <v>n.m.</v>
      </c>
      <c r="O181" s="36" t="n">
        <f aca="false">IF(O31&lt;=0,"n.m.",O124/O31)</f>
        <v>2.65284989178854</v>
      </c>
      <c r="P181" s="36" t="n">
        <f aca="false">IF(P31&lt;=0,"n.m.",P124/P31)</f>
        <v>2.95955256189084</v>
      </c>
      <c r="Q181" s="36" t="n">
        <f aca="false">IF(Q31&lt;=0,"n.m.",Q124/Q31)</f>
        <v>3.04640264884353</v>
      </c>
      <c r="R181" s="36" t="n">
        <f aca="false">IF(R31&lt;=0,"n.m.",R124/R31)</f>
        <v>-0.301530691358571</v>
      </c>
      <c r="S181" s="36" t="n">
        <f aca="false">IF(S31&lt;=0,"n.m.",S124/S31)</f>
        <v>1.23970462058535</v>
      </c>
      <c r="T181" s="36" t="str">
        <f aca="false">IF(T31&lt;=0,"n.m.",T124/T31)</f>
        <v>n.m.</v>
      </c>
      <c r="U181" s="36" t="n">
        <f aca="false">IF(U31&lt;=0,"n.m.",U124/U31)</f>
        <v>-1.72637244348762</v>
      </c>
      <c r="V181" s="36" t="n">
        <f aca="false">IF(V31&lt;=0,"n.m.",V124/V31)</f>
        <v>-0.784479977990495</v>
      </c>
      <c r="W181" s="36" t="n">
        <f aca="false">IF(W31&lt;=0,"n.m.",W124/W31)</f>
        <v>1.02211668116677</v>
      </c>
    </row>
    <row r="184" customFormat="false" ht="15" hidden="false" customHeight="false" outlineLevel="0" collapsed="false">
      <c r="A184" s="3" t="s">
        <v>182</v>
      </c>
      <c r="B184" s="5" t="str">
        <f aca="false">B$2</f>
        <v>FY05</v>
      </c>
      <c r="C184" s="5" t="str">
        <f aca="false">C$2</f>
        <v>FY06</v>
      </c>
      <c r="D184" s="5" t="str">
        <f aca="false">D$2</f>
        <v>FY07</v>
      </c>
      <c r="E184" s="5" t="str">
        <f aca="false">E$2</f>
        <v>FY08</v>
      </c>
      <c r="F184" s="5" t="str">
        <f aca="false">F$2</f>
        <v>FY09</v>
      </c>
      <c r="G184" s="5" t="str">
        <f aca="false">G$2</f>
        <v>FY10</v>
      </c>
      <c r="H184" s="5" t="str">
        <f aca="false">H$2</f>
        <v>FY11</v>
      </c>
      <c r="I184" s="5" t="str">
        <f aca="false">I$2</f>
        <v>FY12</v>
      </c>
      <c r="J184" s="5" t="str">
        <f aca="false">J$2</f>
        <v>FY13</v>
      </c>
      <c r="K184" s="5" t="str">
        <f aca="false">K$2</f>
        <v>FY14</v>
      </c>
      <c r="L184" s="5" t="str">
        <f aca="false">L$2</f>
        <v>FY15</v>
      </c>
      <c r="M184" s="5" t="str">
        <f aca="false">M$2</f>
        <v>FY16</v>
      </c>
      <c r="N184" s="5" t="str">
        <f aca="false">N$2</f>
        <v>FY17</v>
      </c>
      <c r="O184" s="5" t="str">
        <f aca="false">O$2</f>
        <v>FY18</v>
      </c>
      <c r="P184" s="5" t="str">
        <f aca="false">P$2</f>
        <v>FY19</v>
      </c>
      <c r="Q184" s="5" t="str">
        <f aca="false">Q$2</f>
        <v>FY20</v>
      </c>
      <c r="R184" s="5" t="str">
        <f aca="false">R$2</f>
        <v>FY21</v>
      </c>
      <c r="S184" s="5" t="str">
        <f aca="false">S$2</f>
        <v>FY22</v>
      </c>
      <c r="T184" s="5" t="str">
        <f aca="false">T$2</f>
        <v>FY23</v>
      </c>
      <c r="U184" s="5" t="str">
        <f aca="false">U$2</f>
        <v>FY24</v>
      </c>
      <c r="V184" s="5" t="str">
        <f aca="false">V$2</f>
        <v>FY25</v>
      </c>
      <c r="W184" s="5" t="str">
        <f aca="false">W$2</f>
        <v>FY26</v>
      </c>
      <c r="X184" s="5" t="str">
        <f aca="false">X$2</f>
        <v>FY27E</v>
      </c>
      <c r="Y184" s="5" t="str">
        <f aca="false">Y$2</f>
        <v>FY28E</v>
      </c>
      <c r="Z184" s="5" t="str">
        <f aca="false">Z$2</f>
        <v>FY29E</v>
      </c>
      <c r="AA184" s="5" t="str">
        <f aca="false">AA$2</f>
        <v>FY30E</v>
      </c>
    </row>
    <row r="185" customFormat="false" ht="15" hidden="false" customHeight="false" outlineLevel="0" collapsed="false">
      <c r="A185" s="11" t="s">
        <v>183</v>
      </c>
      <c r="C185" s="37" t="n">
        <f aca="false">(AVERAGE(B81:C81)/C$3)*365</f>
        <v>2.73523240410369</v>
      </c>
      <c r="D185" s="37" t="n">
        <f aca="false">(AVERAGE(C81:D81)/D$3)*365</f>
        <v>0.655665433738334</v>
      </c>
      <c r="E185" s="37" t="n">
        <f aca="false">(AVERAGE(D81:E81)/E$3)*365</f>
        <v>0.77633462764919</v>
      </c>
      <c r="F185" s="37" t="n">
        <f aca="false">(AVERAGE(E81:F81)/F$3)*365</f>
        <v>0.272912167602085</v>
      </c>
      <c r="G185" s="37" t="n">
        <f aca="false">(AVERAGE(F81:G81)/G$3)*365</f>
        <v>0</v>
      </c>
      <c r="H185" s="37" t="n">
        <f aca="false">(AVERAGE(G81:H81)/H$3)*365</f>
        <v>6.60164143776663</v>
      </c>
      <c r="I185" s="37" t="n">
        <f aca="false">(AVERAGE(H81:I81)/I$3)*365</f>
        <v>23.3707161398889</v>
      </c>
      <c r="J185" s="37" t="n">
        <f aca="false">(AVERAGE(I81:J81)/J$3)*365</f>
        <v>30.9679073698201</v>
      </c>
      <c r="K185" s="37" t="n">
        <f aca="false">(AVERAGE(J81:K81)/K$3)*365</f>
        <v>15.1782985059436</v>
      </c>
      <c r="L185" s="37" t="n">
        <f aca="false">(AVERAGE(K81:L81)/L$3)*365</f>
        <v>10.4055051017872</v>
      </c>
      <c r="M185" s="37" t="n">
        <f aca="false">(AVERAGE(L81:M81)/M$3)*365</f>
        <v>22.2714684115384</v>
      </c>
      <c r="N185" s="37" t="n">
        <f aca="false">(AVERAGE(M81:N81)/N$3)*365</f>
        <v>10.6350017133728</v>
      </c>
      <c r="O185" s="37" t="n">
        <f aca="false">(AVERAGE(N81:O81)/O$3)*365</f>
        <v>2.83387873166987</v>
      </c>
      <c r="P185" s="37" t="n">
        <f aca="false">(AVERAGE(O81:P81)/P$3)*365</f>
        <v>2.42011950156612</v>
      </c>
      <c r="Q185" s="37" t="n">
        <f aca="false">(AVERAGE(P81:Q81)/Q$3)*365</f>
        <v>0.47436645582086</v>
      </c>
      <c r="R185" s="37" t="n">
        <f aca="false">(AVERAGE(Q81:R81)/R$3)*365</f>
        <v>0.0128425742756014</v>
      </c>
      <c r="S185" s="37" t="n">
        <f aca="false">(AVERAGE(R81:S81)/S$3)*365</f>
        <v>0</v>
      </c>
      <c r="T185" s="37" t="n">
        <f aca="false">(AVERAGE(S81:T81)/T$3)*365</f>
        <v>0</v>
      </c>
      <c r="U185" s="37" t="n">
        <f aca="false">(AVERAGE(T81:U81)/U$3)*365</f>
        <v>0.173547554486784</v>
      </c>
      <c r="V185" s="37" t="n">
        <f aca="false">(AVERAGE(U81:V81)/V$3)*365</f>
        <v>0.183623126793267</v>
      </c>
      <c r="W185" s="37" t="n">
        <f aca="false">(AVERAGE(V81:W81)/W$3)*365</f>
        <v>0.108501399536867</v>
      </c>
    </row>
    <row r="186" customFormat="false" ht="15" hidden="false" customHeight="false" outlineLevel="0" collapsed="false">
      <c r="A186" s="11" t="s">
        <v>184</v>
      </c>
      <c r="C186" s="37" t="n">
        <f aca="false">(AVERAGE(B82:C82)/C$3)*365</f>
        <v>186.982251810596</v>
      </c>
      <c r="D186" s="37" t="n">
        <f aca="false">(AVERAGE(C82:D82)/D$3)*365</f>
        <v>164.656819703439</v>
      </c>
      <c r="E186" s="37" t="n">
        <f aca="false">(AVERAGE(D82:E82)/E$3)*365</f>
        <v>132.940871819345</v>
      </c>
      <c r="F186" s="37" t="n">
        <f aca="false">(AVERAGE(E82:F82)/F$3)*365</f>
        <v>93.1513676671908</v>
      </c>
      <c r="G186" s="37" t="n">
        <f aca="false">(AVERAGE(F82:G82)/G$3)*365</f>
        <v>269.073436368865</v>
      </c>
      <c r="H186" s="37" t="n">
        <f aca="false">(AVERAGE(G82:H82)/H$3)*365</f>
        <v>100.064140346281</v>
      </c>
      <c r="I186" s="37" t="n">
        <f aca="false">(AVERAGE(H82:I82)/I$3)*365</f>
        <v>176.738223313197</v>
      </c>
      <c r="J186" s="37" t="n">
        <f aca="false">(AVERAGE(I82:J82)/J$3)*365</f>
        <v>111.627560620616</v>
      </c>
      <c r="K186" s="37" t="n">
        <f aca="false">(AVERAGE(J82:K82)/K$3)*365</f>
        <v>39.3466724780718</v>
      </c>
      <c r="L186" s="37" t="n">
        <f aca="false">(AVERAGE(K82:L82)/L$3)*365</f>
        <v>38.6712151981425</v>
      </c>
      <c r="M186" s="37" t="n">
        <f aca="false">(AVERAGE(L82:M82)/M$3)*365</f>
        <v>145.150374802363</v>
      </c>
      <c r="N186" s="37" t="n">
        <f aca="false">(AVERAGE(M82:N82)/N$3)*365</f>
        <v>103.381805830616</v>
      </c>
      <c r="O186" s="37" t="n">
        <f aca="false">(AVERAGE(N82:O82)/O$3)*365</f>
        <v>73.194340007263</v>
      </c>
      <c r="P186" s="37" t="n">
        <f aca="false">(AVERAGE(O82:P82)/P$3)*365</f>
        <v>113.923357485381</v>
      </c>
      <c r="Q186" s="37" t="n">
        <f aca="false">(AVERAGE(P82:Q82)/Q$3)*365</f>
        <v>98.5203674633119</v>
      </c>
      <c r="R186" s="37" t="n">
        <f aca="false">(AVERAGE(Q82:R82)/R$3)*365</f>
        <v>169.72865813948</v>
      </c>
      <c r="S186" s="37" t="n">
        <f aca="false">(AVERAGE(R82:S82)/S$3)*365</f>
        <v>165.390320653616</v>
      </c>
      <c r="T186" s="37" t="n">
        <f aca="false">(AVERAGE(S82:T82)/T$3)*365</f>
        <v>361.93911810127</v>
      </c>
      <c r="U186" s="37" t="n">
        <f aca="false">(AVERAGE(T82:U82)/U$3)*365</f>
        <v>145.133674058757</v>
      </c>
      <c r="V186" s="37" t="n">
        <f aca="false">(AVERAGE(U82:V82)/V$3)*365</f>
        <v>141.394124481413</v>
      </c>
      <c r="W186" s="37" t="n">
        <f aca="false">(AVERAGE(V82:W82)/W$3)*365</f>
        <v>131.99895448743</v>
      </c>
    </row>
    <row r="187" customFormat="false" ht="15" hidden="false" customHeight="false" outlineLevel="0" collapsed="false">
      <c r="A187" s="11" t="s">
        <v>185</v>
      </c>
      <c r="C187" s="37" t="n">
        <f aca="false">(AVERAGE(B82:C82)+AVERAGE(B85:C85))/C$3*365</f>
        <v>216.123947243737</v>
      </c>
      <c r="D187" s="37" t="n">
        <f aca="false">(AVERAGE(C82:D82)+AVERAGE(C85:D85))/D$3*365</f>
        <v>179.255057018362</v>
      </c>
      <c r="E187" s="37" t="n">
        <f aca="false">(AVERAGE(D82:E82)+AVERAGE(D85:E85))/E$3*365</f>
        <v>161.446327469143</v>
      </c>
      <c r="F187" s="37" t="n">
        <f aca="false">(AVERAGE(E82:F82)+AVERAGE(E85:F85))/F$3*365</f>
        <v>139.234006097898</v>
      </c>
      <c r="G187" s="37" t="n">
        <f aca="false">(AVERAGE(F82:G82)+AVERAGE(F85:G85))/G$3*365</f>
        <v>505.062537807793</v>
      </c>
      <c r="H187" s="37" t="n">
        <f aca="false">(AVERAGE(G82:H82)+AVERAGE(G85:H85))/H$3*365</f>
        <v>161.594375265075</v>
      </c>
      <c r="I187" s="37" t="n">
        <f aca="false">(AVERAGE(H82:I82)+AVERAGE(H85:I85))/I$3*365</f>
        <v>230.358367683611</v>
      </c>
      <c r="J187" s="37" t="n">
        <f aca="false">(AVERAGE(I82:J82)+AVERAGE(I85:J85))/J$3*365</f>
        <v>163.184275297415</v>
      </c>
      <c r="K187" s="37" t="n">
        <f aca="false">(AVERAGE(J82:K82)+AVERAGE(J85:K85))/K$3*365</f>
        <v>76.9544707599315</v>
      </c>
      <c r="L187" s="37" t="n">
        <f aca="false">(AVERAGE(K82:L82)+AVERAGE(K85:L85))/L$3*365</f>
        <v>64.1227038407192</v>
      </c>
      <c r="M187" s="37" t="n">
        <f aca="false">(AVERAGE(L82:M82)+AVERAGE(L85:M85))/M$3*365</f>
        <v>157.648733191189</v>
      </c>
      <c r="N187" s="37" t="n">
        <f aca="false">(AVERAGE(M82:N82)+AVERAGE(M85:N85))/N$3*365</f>
        <v>109.18316961104</v>
      </c>
      <c r="O187" s="37" t="n">
        <f aca="false">(AVERAGE(N82:O82)+AVERAGE(N85:O85))/O$3*365</f>
        <v>97.4801888104241</v>
      </c>
      <c r="P187" s="37" t="n">
        <f aca="false">(AVERAGE(O82:P82)+AVERAGE(O85:P85))/P$3*365</f>
        <v>160.094383591464</v>
      </c>
      <c r="Q187" s="37" t="n">
        <f aca="false">(AVERAGE(P82:Q82)+AVERAGE(P85:Q85))/Q$3*365</f>
        <v>123.06949967381</v>
      </c>
      <c r="R187" s="37" t="n">
        <f aca="false">(AVERAGE(Q82:R82)+AVERAGE(Q85:R85))/R$3*365</f>
        <v>222.903297043837</v>
      </c>
      <c r="S187" s="37" t="n">
        <f aca="false">(AVERAGE(R82:S82)+AVERAGE(R85:S85))/S$3*365</f>
        <v>230.473678269873</v>
      </c>
      <c r="T187" s="37" t="n">
        <f aca="false">(AVERAGE(S82:T82)+AVERAGE(S85:T85))/T$3*365</f>
        <v>472.53918322095</v>
      </c>
      <c r="U187" s="37" t="n">
        <f aca="false">(AVERAGE(T82:U82)+AVERAGE(T85:U85))/U$3*365</f>
        <v>183.934025656188</v>
      </c>
      <c r="V187" s="37" t="n">
        <f aca="false">(AVERAGE(U82:V82)+AVERAGE(U85:V85))/V$3*365</f>
        <v>205.428481021232</v>
      </c>
      <c r="W187" s="37" t="n">
        <f aca="false">(AVERAGE(V82:W82)+AVERAGE(V85:W85))/W$3*365</f>
        <v>209.174064348104</v>
      </c>
    </row>
    <row r="188" customFormat="false" ht="15" hidden="false" customHeight="false" outlineLevel="0" collapsed="false">
      <c r="A188" s="11" t="s">
        <v>186</v>
      </c>
      <c r="C188" s="37" t="n">
        <f aca="false">(AVERAGE(B58:C58)/C$3)*365</f>
        <v>24.0471044972394</v>
      </c>
      <c r="D188" s="37" t="n">
        <f aca="false">(AVERAGE(C58:D58)/D$3)*365</f>
        <v>32.5662744710664</v>
      </c>
      <c r="E188" s="37" t="n">
        <f aca="false">(AVERAGE(D58:E58)/E$3)*365</f>
        <v>34.9097214690124</v>
      </c>
      <c r="F188" s="37" t="n">
        <f aca="false">(AVERAGE(E58:F58)/F$3)*365</f>
        <v>38.0366360706054</v>
      </c>
      <c r="G188" s="37" t="n">
        <f aca="false">(AVERAGE(F58:G58)/G$3)*365</f>
        <v>139.991050089747</v>
      </c>
      <c r="H188" s="37" t="n">
        <f aca="false">(AVERAGE(G58:H58)/H$3)*365</f>
        <v>42.2250081081755</v>
      </c>
      <c r="I188" s="37" t="n">
        <f aca="false">(AVERAGE(H58:I58)/I$3)*365</f>
        <v>71.1554264617339</v>
      </c>
      <c r="J188" s="37" t="n">
        <f aca="false">(AVERAGE(I58:J58)/J$3)*365</f>
        <v>80.0773242417457</v>
      </c>
      <c r="K188" s="37" t="n">
        <f aca="false">(AVERAGE(J58:K58)/K$3)*365</f>
        <v>51.3725874050106</v>
      </c>
      <c r="L188" s="37" t="n">
        <f aca="false">(AVERAGE(K58:L58)/L$3)*365</f>
        <v>38.7750136686714</v>
      </c>
      <c r="M188" s="37" t="n">
        <f aca="false">(AVERAGE(L58:M58)/M$3)*365</f>
        <v>91.1235830642379</v>
      </c>
      <c r="N188" s="37" t="n">
        <f aca="false">(AVERAGE(M58:N58)/N$3)*365</f>
        <v>92.1318460506354</v>
      </c>
      <c r="O188" s="37" t="n">
        <f aca="false">(AVERAGE(N58:O58)/O$3)*365</f>
        <v>73.9514480730834</v>
      </c>
      <c r="P188" s="37" t="n">
        <f aca="false">(AVERAGE(O58:P58)/P$3)*365</f>
        <v>93.4669601331303</v>
      </c>
      <c r="Q188" s="37" t="n">
        <f aca="false">(AVERAGE(P58:Q58)/Q$3)*365</f>
        <v>72.0861296822523</v>
      </c>
      <c r="R188" s="37" t="n">
        <f aca="false">(AVERAGE(Q58:R58)/R$3)*365</f>
        <v>124.014358376116</v>
      </c>
      <c r="S188" s="37" t="n">
        <f aca="false">(AVERAGE(R58:S58)/S$3)*365</f>
        <v>114.64590793374</v>
      </c>
      <c r="T188" s="37" t="n">
        <f aca="false">(AVERAGE(S58:T58)/T$3)*365</f>
        <v>191.637996423875</v>
      </c>
      <c r="U188" s="37" t="n">
        <f aca="false">(AVERAGE(T58:U58)/U$3)*365</f>
        <v>69.9035909747699</v>
      </c>
      <c r="V188" s="37" t="n">
        <f aca="false">(AVERAGE(U58:V58)/V$3)*365</f>
        <v>84.4634987971953</v>
      </c>
      <c r="W188" s="37" t="n">
        <f aca="false">(AVERAGE(V58:W58)/W$3)*365</f>
        <v>85.8278369286088</v>
      </c>
    </row>
    <row r="189" customFormat="false" ht="15" hidden="false" customHeight="false" outlineLevel="0" collapsed="false">
      <c r="A189" s="6" t="s">
        <v>187</v>
      </c>
      <c r="C189" s="38" t="n">
        <f aca="false">+C185+C187-C188</f>
        <v>194.812075150601</v>
      </c>
      <c r="D189" s="38" t="n">
        <f aca="false">+D185+D187-D188</f>
        <v>147.344447981034</v>
      </c>
      <c r="E189" s="38" t="n">
        <f aca="false">+E185+E187-E188</f>
        <v>127.312940627779</v>
      </c>
      <c r="F189" s="38" t="n">
        <f aca="false">+F185+F187-F188</f>
        <v>101.470282194894</v>
      </c>
      <c r="G189" s="38" t="n">
        <f aca="false">+G185+G187-G188</f>
        <v>365.071487718046</v>
      </c>
      <c r="H189" s="38" t="n">
        <f aca="false">+H185+H187-H188</f>
        <v>125.971008594666</v>
      </c>
      <c r="I189" s="38" t="n">
        <f aca="false">+I185+I187-I188</f>
        <v>182.573657361766</v>
      </c>
      <c r="J189" s="38" t="n">
        <f aca="false">+J185+J187-J188</f>
        <v>114.074858425489</v>
      </c>
      <c r="K189" s="38" t="n">
        <f aca="false">+K185+K187-K188</f>
        <v>40.7601818608645</v>
      </c>
      <c r="L189" s="38" t="n">
        <f aca="false">+L185+L187-L188</f>
        <v>35.753195273835</v>
      </c>
      <c r="M189" s="38" t="n">
        <f aca="false">+M185+M187-M188</f>
        <v>88.7966185384897</v>
      </c>
      <c r="N189" s="38" t="n">
        <f aca="false">+N185+N187-N188</f>
        <v>27.6863252737777</v>
      </c>
      <c r="O189" s="38" t="n">
        <f aca="false">+O185+O187-O188</f>
        <v>26.3626194690106</v>
      </c>
      <c r="P189" s="38" t="n">
        <f aca="false">+P185+P187-P188</f>
        <v>69.0475429598999</v>
      </c>
      <c r="Q189" s="38" t="n">
        <f aca="false">+Q185+Q187-Q188</f>
        <v>51.4577364473788</v>
      </c>
      <c r="R189" s="38" t="n">
        <f aca="false">+R185+R187-R188</f>
        <v>98.901781241996</v>
      </c>
      <c r="S189" s="38" t="n">
        <f aca="false">+S185+S187-S188</f>
        <v>115.827770336133</v>
      </c>
      <c r="T189" s="38" t="n">
        <f aca="false">+T185+T187-T188</f>
        <v>280.901186797076</v>
      </c>
      <c r="U189" s="38" t="n">
        <f aca="false">+U185+U187-U188</f>
        <v>114.203982235905</v>
      </c>
      <c r="V189" s="38" t="n">
        <f aca="false">+V185+V187-V188</f>
        <v>121.14860535083</v>
      </c>
      <c r="W189" s="38" t="n">
        <f aca="false">+W185+W187-W188</f>
        <v>123.454728819032</v>
      </c>
    </row>
    <row r="192" customFormat="false" ht="15" hidden="false" customHeight="false" outlineLevel="0" collapsed="false">
      <c r="A192" s="3" t="s">
        <v>188</v>
      </c>
      <c r="B192" s="5" t="str">
        <f aca="false">B$2</f>
        <v>FY05</v>
      </c>
      <c r="C192" s="5" t="str">
        <f aca="false">C$2</f>
        <v>FY06</v>
      </c>
      <c r="D192" s="5" t="str">
        <f aca="false">D$2</f>
        <v>FY07</v>
      </c>
      <c r="E192" s="5" t="str">
        <f aca="false">E$2</f>
        <v>FY08</v>
      </c>
      <c r="F192" s="5" t="str">
        <f aca="false">F$2</f>
        <v>FY09</v>
      </c>
      <c r="G192" s="5" t="str">
        <f aca="false">G$2</f>
        <v>FY10</v>
      </c>
      <c r="H192" s="5" t="str">
        <f aca="false">H$2</f>
        <v>FY11</v>
      </c>
      <c r="I192" s="5" t="str">
        <f aca="false">I$2</f>
        <v>FY12</v>
      </c>
      <c r="J192" s="5" t="str">
        <f aca="false">J$2</f>
        <v>FY13</v>
      </c>
      <c r="K192" s="5" t="str">
        <f aca="false">K$2</f>
        <v>FY14</v>
      </c>
      <c r="L192" s="5" t="str">
        <f aca="false">L$2</f>
        <v>FY15</v>
      </c>
      <c r="M192" s="5" t="str">
        <f aca="false">M$2</f>
        <v>FY16</v>
      </c>
      <c r="N192" s="5" t="str">
        <f aca="false">N$2</f>
        <v>FY17</v>
      </c>
      <c r="O192" s="5" t="str">
        <f aca="false">O$2</f>
        <v>FY18</v>
      </c>
      <c r="P192" s="5" t="str">
        <f aca="false">P$2</f>
        <v>FY19</v>
      </c>
      <c r="Q192" s="5" t="str">
        <f aca="false">Q$2</f>
        <v>FY20</v>
      </c>
      <c r="R192" s="5" t="str">
        <f aca="false">R$2</f>
        <v>FY21</v>
      </c>
      <c r="S192" s="5" t="str">
        <f aca="false">S$2</f>
        <v>FY22</v>
      </c>
      <c r="T192" s="5" t="str">
        <f aca="false">T$2</f>
        <v>FY23</v>
      </c>
      <c r="U192" s="5" t="str">
        <f aca="false">U$2</f>
        <v>FY24</v>
      </c>
      <c r="V192" s="5" t="str">
        <f aca="false">V$2</f>
        <v>FY25</v>
      </c>
      <c r="W192" s="5" t="str">
        <f aca="false">W$2</f>
        <v>FY26</v>
      </c>
      <c r="X192" s="5" t="str">
        <f aca="false">X$2</f>
        <v>FY27E</v>
      </c>
      <c r="Y192" s="5" t="str">
        <f aca="false">Y$2</f>
        <v>FY28E</v>
      </c>
      <c r="Z192" s="5" t="str">
        <f aca="false">Z$2</f>
        <v>FY29E</v>
      </c>
      <c r="AA192" s="5" t="str">
        <f aca="false">AA$2</f>
        <v>FY30E</v>
      </c>
    </row>
    <row r="193" customFormat="false" ht="15" hidden="false" customHeight="false" outlineLevel="0" collapsed="false">
      <c r="A193" s="11" t="s">
        <v>189</v>
      </c>
      <c r="B193" s="33" t="n">
        <f aca="false">+B46</f>
        <v>6.8415</v>
      </c>
      <c r="C193" s="33" t="n">
        <f aca="false">+C46</f>
        <v>7.4625</v>
      </c>
      <c r="D193" s="33" t="n">
        <f aca="false">+D46</f>
        <v>15.3247</v>
      </c>
      <c r="E193" s="33" t="n">
        <f aca="false">+E46</f>
        <v>66.8007</v>
      </c>
      <c r="F193" s="33" t="n">
        <f aca="false">+F46</f>
        <v>77.8956</v>
      </c>
      <c r="G193" s="33" t="n">
        <f aca="false">+G46</f>
        <v>100.4213</v>
      </c>
      <c r="H193" s="33" t="n">
        <f aca="false">+H46</f>
        <v>91.4995</v>
      </c>
      <c r="I193" s="33" t="n">
        <f aca="false">+I46</f>
        <v>82.3029</v>
      </c>
      <c r="J193" s="33" t="n">
        <f aca="false">+J46</f>
        <v>72.2424</v>
      </c>
      <c r="K193" s="33" t="n">
        <f aca="false">+K46</f>
        <v>65.0075</v>
      </c>
      <c r="L193" s="33" t="n">
        <f aca="false">+L46</f>
        <v>37.1921</v>
      </c>
      <c r="M193" s="33" t="n">
        <f aca="false">+M46</f>
        <v>10.0668</v>
      </c>
      <c r="N193" s="33" t="n">
        <f aca="false">+N46</f>
        <v>81.7919</v>
      </c>
      <c r="O193" s="33" t="n">
        <f aca="false">+O46</f>
        <v>140.5312</v>
      </c>
      <c r="P193" s="33" t="n">
        <f aca="false">+P46</f>
        <v>152.0014</v>
      </c>
      <c r="Q193" s="33" t="n">
        <f aca="false">+Q46</f>
        <v>181.4529</v>
      </c>
      <c r="R193" s="33" t="n">
        <f aca="false">+R46</f>
        <v>203.437</v>
      </c>
      <c r="S193" s="33" t="n">
        <f aca="false">+S46</f>
        <v>241.7627</v>
      </c>
      <c r="T193" s="33" t="n">
        <f aca="false">+T46</f>
        <v>199.4525</v>
      </c>
      <c r="U193" s="33" t="n">
        <f aca="false">+U46</f>
        <v>277.8801</v>
      </c>
      <c r="V193" s="33" t="n">
        <f aca="false">+V46</f>
        <v>398.672</v>
      </c>
      <c r="W193" s="33" t="n">
        <f aca="false">+W46</f>
        <v>494.153</v>
      </c>
    </row>
    <row r="194" customFormat="false" ht="15" hidden="false" customHeight="false" outlineLevel="0" collapsed="false">
      <c r="A194" s="11" t="s">
        <v>190</v>
      </c>
      <c r="C194" s="33" t="n">
        <f aca="false">AVERAGE(B193:C193)</f>
        <v>7.152</v>
      </c>
      <c r="D194" s="33" t="n">
        <f aca="false">AVERAGE(C193:D193)</f>
        <v>11.3936</v>
      </c>
      <c r="E194" s="33" t="n">
        <f aca="false">AVERAGE(D193:E193)</f>
        <v>41.0627</v>
      </c>
      <c r="F194" s="33" t="n">
        <f aca="false">AVERAGE(E193:F193)</f>
        <v>72.34815</v>
      </c>
      <c r="G194" s="33" t="n">
        <f aca="false">AVERAGE(F193:G193)</f>
        <v>89.15845</v>
      </c>
      <c r="H194" s="33" t="n">
        <f aca="false">AVERAGE(G193:H193)</f>
        <v>95.9604</v>
      </c>
      <c r="I194" s="33" t="n">
        <f aca="false">AVERAGE(H193:I193)</f>
        <v>86.9012</v>
      </c>
      <c r="J194" s="33" t="n">
        <f aca="false">AVERAGE(I193:J193)</f>
        <v>77.27265</v>
      </c>
      <c r="K194" s="33" t="n">
        <f aca="false">AVERAGE(J193:K193)</f>
        <v>68.62495</v>
      </c>
      <c r="L194" s="33" t="n">
        <f aca="false">AVERAGE(K193:L193)</f>
        <v>51.0998</v>
      </c>
      <c r="M194" s="33" t="n">
        <f aca="false">AVERAGE(L193:M193)</f>
        <v>23.62945</v>
      </c>
      <c r="N194" s="33" t="n">
        <f aca="false">AVERAGE(M193:N193)</f>
        <v>45.92935</v>
      </c>
      <c r="O194" s="33" t="n">
        <f aca="false">AVERAGE(N193:O193)</f>
        <v>111.16155</v>
      </c>
      <c r="P194" s="33" t="n">
        <f aca="false">AVERAGE(O193:P193)</f>
        <v>146.2663</v>
      </c>
      <c r="Q194" s="33" t="n">
        <f aca="false">AVERAGE(P193:Q193)</f>
        <v>166.72715</v>
      </c>
      <c r="R194" s="33" t="n">
        <f aca="false">AVERAGE(Q193:R193)</f>
        <v>192.44495</v>
      </c>
      <c r="S194" s="33" t="n">
        <f aca="false">AVERAGE(R193:S193)</f>
        <v>222.59985</v>
      </c>
      <c r="T194" s="33" t="n">
        <f aca="false">AVERAGE(S193:T193)</f>
        <v>220.6076</v>
      </c>
      <c r="U194" s="33" t="n">
        <f aca="false">AVERAGE(T193:U193)</f>
        <v>238.6663</v>
      </c>
      <c r="V194" s="33" t="n">
        <f aca="false">AVERAGE(U193:V193)</f>
        <v>338.27605</v>
      </c>
      <c r="W194" s="33" t="n">
        <f aca="false">AVERAGE(V193:W193)</f>
        <v>446.4125</v>
      </c>
    </row>
    <row r="195" customFormat="false" ht="15" hidden="false" customHeight="false" outlineLevel="0" collapsed="false">
      <c r="A195" s="11" t="s">
        <v>191</v>
      </c>
      <c r="C195" s="39" t="n">
        <f aca="false">+C33/C194</f>
        <v>0.0868428411633111</v>
      </c>
      <c r="D195" s="39" t="n">
        <f aca="false">+D33/D194</f>
        <v>0.376992346580536</v>
      </c>
      <c r="E195" s="39" t="n">
        <f aca="false">+E33/E194</f>
        <v>0.234339193477292</v>
      </c>
      <c r="F195" s="39" t="n">
        <f aca="false">+F33/F194</f>
        <v>0.0725906605766698</v>
      </c>
      <c r="G195" s="39" t="n">
        <f aca="false">+G33/G194</f>
        <v>-0.0100584969792544</v>
      </c>
      <c r="H195" s="39" t="n">
        <f aca="false">+H33/H194</f>
        <v>-0.0786282674936744</v>
      </c>
      <c r="I195" s="39" t="n">
        <f aca="false">+I33/I194</f>
        <v>-0.104053799026941</v>
      </c>
      <c r="J195" s="39" t="n">
        <f aca="false">+J33/J194</f>
        <v>-0.133225662637427</v>
      </c>
      <c r="K195" s="39" t="n">
        <f aca="false">+K33/K194</f>
        <v>-0.341387498278687</v>
      </c>
      <c r="L195" s="39" t="n">
        <f aca="false">+L33/L194</f>
        <v>-0.528591109945636</v>
      </c>
      <c r="M195" s="39" t="n">
        <f aca="false">+M33/M194</f>
        <v>-1.14499491101147</v>
      </c>
      <c r="N195" s="39" t="n">
        <f aca="false">+N33/N194</f>
        <v>-0.396360932606275</v>
      </c>
      <c r="O195" s="39" t="n">
        <f aca="false">+O33/O194</f>
        <v>0.0926930220026622</v>
      </c>
      <c r="P195" s="39" t="n">
        <f aca="false">+P33/P194</f>
        <v>0.0622200739336403</v>
      </c>
      <c r="Q195" s="39" t="n">
        <f aca="false">+Q33/Q194</f>
        <v>0.175348765932843</v>
      </c>
      <c r="R195" s="39" t="n">
        <f aca="false">+R33/R194</f>
        <v>0.117288086800927</v>
      </c>
      <c r="S195" s="39" t="n">
        <f aca="false">+S33/S194</f>
        <v>0.17435366645575</v>
      </c>
      <c r="T195" s="39" t="n">
        <f aca="false">+T33/T194</f>
        <v>-0.201067415628473</v>
      </c>
      <c r="U195" s="39" t="n">
        <f aca="false">+U33/U194</f>
        <v>0.106706728180728</v>
      </c>
      <c r="V195" s="39" t="n">
        <f aca="false">+V33/V194</f>
        <v>0.124522856406772</v>
      </c>
      <c r="W195" s="39" t="n">
        <f aca="false">+W33/W194</f>
        <v>0.11459602945706</v>
      </c>
    </row>
    <row r="196" customFormat="false" ht="15" hidden="false" customHeight="false" outlineLevel="0" collapsed="false">
      <c r="A196" s="11" t="s">
        <v>192</v>
      </c>
      <c r="C196" s="33" t="n">
        <f aca="false">AVERAGE(B89:C89)</f>
        <v>10.55375</v>
      </c>
      <c r="D196" s="33" t="n">
        <f aca="false">AVERAGE(C89:D89)</f>
        <v>20.16125</v>
      </c>
      <c r="E196" s="33" t="n">
        <f aca="false">AVERAGE(D89:E89)</f>
        <v>55.0485</v>
      </c>
      <c r="F196" s="33" t="n">
        <f aca="false">AVERAGE(E89:F89)</f>
        <v>90.08155</v>
      </c>
      <c r="G196" s="33" t="n">
        <f aca="false">AVERAGE(F89:G89)</f>
        <v>107.3092</v>
      </c>
      <c r="H196" s="33" t="n">
        <f aca="false">AVERAGE(G89:H89)</f>
        <v>118.7949</v>
      </c>
      <c r="I196" s="33" t="n">
        <f aca="false">AVERAGE(H89:I89)</f>
        <v>117.8372</v>
      </c>
      <c r="J196" s="33" t="n">
        <f aca="false">AVERAGE(I89:J89)</f>
        <v>117.14105</v>
      </c>
      <c r="K196" s="33" t="n">
        <f aca="false">AVERAGE(J89:K89)</f>
        <v>146.5196</v>
      </c>
      <c r="L196" s="33" t="n">
        <f aca="false">AVERAGE(K89:L89)</f>
        <v>161.2374</v>
      </c>
      <c r="M196" s="33" t="n">
        <f aca="false">AVERAGE(L89:M89)</f>
        <v>160.2323</v>
      </c>
      <c r="N196" s="33" t="n">
        <f aca="false">AVERAGE(M89:N89)</f>
        <v>189.95805</v>
      </c>
      <c r="O196" s="33" t="n">
        <f aca="false">AVERAGE(N89:O89)</f>
        <v>230.90355</v>
      </c>
      <c r="P196" s="33" t="n">
        <f aca="false">AVERAGE(O89:P89)</f>
        <v>235.4743</v>
      </c>
      <c r="Q196" s="33" t="n">
        <f aca="false">AVERAGE(P89:Q89)</f>
        <v>263.09905</v>
      </c>
      <c r="R196" s="33" t="n">
        <f aca="false">AVERAGE(Q89:R89)</f>
        <v>327.898</v>
      </c>
      <c r="S196" s="33" t="n">
        <f aca="false">AVERAGE(R89:S89)</f>
        <v>343.12935</v>
      </c>
      <c r="T196" s="33" t="n">
        <f aca="false">AVERAGE(S89:T89)</f>
        <v>317.4632</v>
      </c>
      <c r="U196" s="33" t="n">
        <f aca="false">AVERAGE(T89:U89)</f>
        <v>340.5845</v>
      </c>
      <c r="V196" s="33" t="n">
        <f aca="false">AVERAGE(U89:V89)</f>
        <v>488.45345</v>
      </c>
      <c r="W196" s="33" t="n">
        <f aca="false">AVERAGE(V89:W89)</f>
        <v>752.89805</v>
      </c>
    </row>
    <row r="197" customFormat="false" ht="15" hidden="false" customHeight="false" outlineLevel="0" collapsed="false">
      <c r="A197" s="11" t="s">
        <v>193</v>
      </c>
      <c r="C197" s="39" t="n">
        <f aca="false">IF(C28&lt;=0,(C24)/(C196-C71),(C24*(1-C30))/(C196-C71))</f>
        <v>0.0721889827631943</v>
      </c>
      <c r="D197" s="39" t="n">
        <f aca="false">IF(D28&lt;=0,(D24)/(D196-D71),(D24*(1-D30))/(D196-D71))</f>
        <v>0.253823263950279</v>
      </c>
      <c r="E197" s="39" t="n">
        <f aca="false">IF(E28&lt;=0,(E24)/(E196-E71),(E24*(1-E30))/(E196-E71))</f>
        <v>0.192237109852192</v>
      </c>
      <c r="F197" s="39" t="n">
        <f aca="false">IF(F28&lt;=0,(F24)/(F196-F71),(F24*(1-F30))/(F196-F71))</f>
        <v>0.063002906334029</v>
      </c>
      <c r="G197" s="39" t="n">
        <f aca="false">IF(G28&lt;=0,(G24)/(G196-G71),(G24*(1-G30))/(G196-G71))</f>
        <v>-0.00191626126155747</v>
      </c>
      <c r="H197" s="39" t="n">
        <f aca="false">IF(H28&lt;=0,(H24)/(H196-H71),(H24*(1-H30))/(H196-H71))</f>
        <v>0.00520021254560007</v>
      </c>
      <c r="I197" s="39" t="n">
        <f aca="false">IF(I28&lt;=0,(I24)/(I196-I71),(I24*(1-I30))/(I196-I71))</f>
        <v>-0.0864302614115067</v>
      </c>
      <c r="J197" s="39" t="n">
        <f aca="false">IF(J28&lt;=0,(J24)/(J196-J71),(J24*(1-J30))/(J196-J71))</f>
        <v>-0.0511724246530934</v>
      </c>
      <c r="K197" s="39" t="n">
        <f aca="false">IF(K28&lt;=0,(K24)/(K196-K71),(K24*(1-K30))/(K196-K71))</f>
        <v>-0.0950176640678485</v>
      </c>
      <c r="L197" s="39" t="n">
        <f aca="false">IF(L28&lt;=0,(L24)/(L196-L71),(L24*(1-L30))/(L196-L71))</f>
        <v>-0.1058699780572</v>
      </c>
      <c r="M197" s="39" t="n">
        <f aca="false">IF(M28&lt;=0,(M24)/(M196-M71),(M24*(1-M30))/(M196-M71))</f>
        <v>-0.0893122048425941</v>
      </c>
      <c r="N197" s="39" t="n">
        <f aca="false">IF(N28&lt;=0,(N24)/(N196-N71),(N24*(1-N30))/(N196-N71))</f>
        <v>-0.155329558289317</v>
      </c>
      <c r="O197" s="39" t="n">
        <f aca="false">IF(O28&lt;=0,(O24)/(O196-O71),(O24*(1-O30))/(O196-O71))</f>
        <v>0.115482942470905</v>
      </c>
      <c r="P197" s="39" t="n">
        <f aca="false">IF(P28&lt;=0,(P24)/(P196-P71),(P24*(1-P30))/(P196-P71))</f>
        <v>0.0732843815681325</v>
      </c>
      <c r="Q197" s="39" t="n">
        <f aca="false">IF(Q28&lt;=0,(Q24)/(Q196-Q71),(Q24*(1-Q30))/(Q196-Q71))</f>
        <v>0.137689898066214</v>
      </c>
      <c r="R197" s="39" t="n">
        <f aca="false">IF(R28&lt;=0,(R24)/(R196-R71),(R24*(1-R30))/(R196-R71))</f>
        <v>0.105503647768773</v>
      </c>
      <c r="S197" s="39" t="n">
        <f aca="false">IF(S28&lt;=0,(S24)/(S196-S71),(S24*(1-S30))/(S196-S71))</f>
        <v>0.115359705248558</v>
      </c>
      <c r="T197" s="39" t="n">
        <f aca="false">IF(T28&lt;=0,(T24)/(T196-T71),(T24*(1-T30))/(T196-T71))</f>
        <v>-0.11542566193499</v>
      </c>
      <c r="U197" s="39" t="n">
        <f aca="false">IF(U28&lt;=0,(U24)/(U196-U71),(U24*(1-U30))/(U196-U71))</f>
        <v>0.0814106992580247</v>
      </c>
      <c r="V197" s="39" t="n">
        <f aca="false">IF(V28&lt;=0,(V24)/(V196-V71),(V24*(1-V30))/(V196-V71))</f>
        <v>0.0831396862040529</v>
      </c>
      <c r="W197" s="39" t="n">
        <f aca="false">IF(W28&lt;=0,(W24)/(W196-W71),(W24*(1-W30))/(W196-W71))</f>
        <v>0.0909767705460327</v>
      </c>
    </row>
    <row r="198" customFormat="false" ht="15" hidden="false" customHeight="false" outlineLevel="0" collapsed="false">
      <c r="A198" s="11" t="s">
        <v>194</v>
      </c>
      <c r="B198" s="24" t="n">
        <v>0</v>
      </c>
      <c r="C198" s="24" t="n">
        <v>0</v>
      </c>
      <c r="D198" s="24" t="n">
        <v>0</v>
      </c>
      <c r="E198" s="24" t="n">
        <v>0</v>
      </c>
      <c r="F198" s="25" t="n">
        <v>0</v>
      </c>
      <c r="G198" s="25" t="n">
        <v>0</v>
      </c>
      <c r="H198" s="25" t="n">
        <v>4.2</v>
      </c>
      <c r="I198" s="25" t="n">
        <v>4.2</v>
      </c>
      <c r="J198" s="25" t="n">
        <v>2.6949</v>
      </c>
      <c r="K198" s="25" t="n">
        <v>0.1104</v>
      </c>
      <c r="L198" s="25" t="n">
        <v>17.899</v>
      </c>
      <c r="M198" s="25" t="n">
        <v>48.7426</v>
      </c>
      <c r="N198" s="25" t="n">
        <v>7.2943</v>
      </c>
      <c r="O198" s="25" t="n">
        <v>7.0942</v>
      </c>
      <c r="P198" s="25" t="n">
        <v>5.5644</v>
      </c>
      <c r="Q198" s="25" t="n">
        <v>0</v>
      </c>
      <c r="R198" s="25" t="n">
        <v>0.2992</v>
      </c>
      <c r="S198" s="25" t="n">
        <v>0.7969</v>
      </c>
      <c r="T198" s="25" t="n">
        <v>0.9614</v>
      </c>
      <c r="U198" s="25" t="n">
        <v>2.2935</v>
      </c>
      <c r="V198" s="25" t="n">
        <v>1.5716</v>
      </c>
      <c r="W198" s="25" t="n">
        <v>25.1738</v>
      </c>
    </row>
    <row r="199" customFormat="false" ht="15" hidden="false" customHeight="false" outlineLevel="0" collapsed="false">
      <c r="A199" s="11" t="s">
        <v>195</v>
      </c>
      <c r="B199" s="33" t="n">
        <f aca="false">+B50+B51+B60+B198</f>
        <v>1.0768</v>
      </c>
      <c r="C199" s="33" t="n">
        <f aca="false">+C50+C51+C60+C198</f>
        <v>1.7093</v>
      </c>
      <c r="D199" s="33" t="n">
        <f aca="false">+D50+D51+D60+D198</f>
        <v>3.7518</v>
      </c>
      <c r="E199" s="33" t="n">
        <f aca="false">+E50+E51+E60+E198</f>
        <v>3.0908</v>
      </c>
      <c r="F199" s="33" t="n">
        <f aca="false">+F50+F51+F60+F198</f>
        <v>0.0146</v>
      </c>
      <c r="G199" s="33" t="n">
        <f aca="false">+G50+G51+G60+G198</f>
        <v>0.0066</v>
      </c>
      <c r="H199" s="33" t="n">
        <f aca="false">+H50+H51+H60+H198</f>
        <v>11</v>
      </c>
      <c r="I199" s="33" t="n">
        <f aca="false">+I50+I51+I60+I198</f>
        <v>20.0349</v>
      </c>
      <c r="J199" s="33" t="n">
        <f aca="false">+J50+J51+J60+J198</f>
        <v>27.4752</v>
      </c>
      <c r="K199" s="33" t="n">
        <f aca="false">+K50+K51+K60+K198</f>
        <v>46.646</v>
      </c>
      <c r="L199" s="33" t="n">
        <f aca="false">+L50+L51+L60+L198</f>
        <v>69.9718</v>
      </c>
      <c r="M199" s="33" t="n">
        <f aca="false">+M50+M51+M60+M198</f>
        <v>110.1611</v>
      </c>
      <c r="N199" s="33" t="n">
        <f aca="false">+N50+N51+N60+N198</f>
        <v>82.6486</v>
      </c>
      <c r="O199" s="33" t="n">
        <f aca="false">+O50+O51+O60+O198</f>
        <v>25.9034</v>
      </c>
      <c r="P199" s="33" t="n">
        <f aca="false">+P50+P51+P60+P198</f>
        <v>9.9644</v>
      </c>
      <c r="Q199" s="33" t="n">
        <f aca="false">+Q50+Q51+Q60+Q198</f>
        <v>0</v>
      </c>
      <c r="R199" s="33" t="n">
        <f aca="false">+R50+R51+R60+R198</f>
        <v>2.4787</v>
      </c>
      <c r="S199" s="33" t="n">
        <f aca="false">+S50+S51+S60+S198</f>
        <v>7.3306</v>
      </c>
      <c r="T199" s="33" t="n">
        <f aca="false">+T50+T51+T60+T198</f>
        <v>19.1385</v>
      </c>
      <c r="U199" s="33" t="n">
        <f aca="false">+U50+U51+U60+U198</f>
        <v>21.2546</v>
      </c>
      <c r="V199" s="33" t="n">
        <f aca="false">+V50+V51+V60+V198</f>
        <v>23.7171</v>
      </c>
      <c r="W199" s="33" t="n">
        <f aca="false">+W50+W51+W60+W198</f>
        <v>158.1181</v>
      </c>
    </row>
    <row r="200" customFormat="false" ht="15" hidden="false" customHeight="false" outlineLevel="0" collapsed="false">
      <c r="A200" s="11" t="s">
        <v>196</v>
      </c>
      <c r="B200" s="33" t="n">
        <f aca="false">+B199-B83-B80</f>
        <v>0.678</v>
      </c>
      <c r="C200" s="33" t="n">
        <f aca="false">+C199-C83-C80</f>
        <v>0.8232</v>
      </c>
      <c r="D200" s="33" t="n">
        <f aca="false">+D199-D83-D80</f>
        <v>1.5435</v>
      </c>
      <c r="E200" s="33" t="n">
        <f aca="false">+E199-E83-E80</f>
        <v>-1.1217</v>
      </c>
      <c r="F200" s="33" t="n">
        <f aca="false">+F199-F83-F80</f>
        <v>-18.6347</v>
      </c>
      <c r="G200" s="33" t="n">
        <f aca="false">+G199-G83-G80</f>
        <v>-25.1753</v>
      </c>
      <c r="H200" s="33" t="n">
        <f aca="false">+H199-H83-H80</f>
        <v>-25.0285</v>
      </c>
      <c r="I200" s="33" t="n">
        <f aca="false">+I199-I83-I80</f>
        <v>-17.7377</v>
      </c>
      <c r="J200" s="33" t="n">
        <f aca="false">+J199-J83-J80</f>
        <v>3.2862</v>
      </c>
      <c r="K200" s="33" t="n">
        <f aca="false">+K199-K83-K80</f>
        <v>37.2912</v>
      </c>
      <c r="L200" s="33" t="n">
        <f aca="false">+L199-L83-L80</f>
        <v>66.9748</v>
      </c>
      <c r="M200" s="33" t="n">
        <f aca="false">+M199-M83-M80</f>
        <v>100.5027</v>
      </c>
      <c r="N200" s="33" t="n">
        <f aca="false">+N199-N83-N80</f>
        <v>53.5054</v>
      </c>
      <c r="O200" s="33" t="n">
        <f aca="false">+O199-O83-O80</f>
        <v>1.3293</v>
      </c>
      <c r="P200" s="33" t="n">
        <f aca="false">+P199-P83-P80</f>
        <v>-15.2293</v>
      </c>
      <c r="Q200" s="33" t="n">
        <f aca="false">+Q199-Q83-Q80</f>
        <v>-81.9762</v>
      </c>
      <c r="R200" s="33" t="n">
        <f aca="false">+R199-R83-R80</f>
        <v>-21.4118</v>
      </c>
      <c r="S200" s="33" t="n">
        <f aca="false">+S199-S83-S80</f>
        <v>-42.8897</v>
      </c>
      <c r="T200" s="33" t="n">
        <f aca="false">+T199-T83-T80</f>
        <v>-20.9271</v>
      </c>
      <c r="U200" s="33" t="n">
        <f aca="false">+U199-U83-U80</f>
        <v>-21.0622</v>
      </c>
      <c r="V200" s="33" t="n">
        <f aca="false">+V199-V83-V80</f>
        <v>-72.3572</v>
      </c>
      <c r="W200" s="33" t="n">
        <f aca="false">+W199-W83-W80</f>
        <v>11.2727</v>
      </c>
    </row>
    <row r="201" customFormat="false" ht="15" hidden="false" customHeight="false" outlineLevel="0" collapsed="false">
      <c r="A201" s="11" t="s">
        <v>197</v>
      </c>
      <c r="B201" s="40" t="n">
        <f aca="false">IF(B19&lt;=0,"n.m.",B200/B19)</f>
        <v>0.750913722449884</v>
      </c>
      <c r="C201" s="40" t="n">
        <f aca="false">IF(C19&lt;=0,"n.m.",C200/C19)</f>
        <v>0.601930389002632</v>
      </c>
      <c r="D201" s="40" t="n">
        <f aca="false">IF(D19&lt;=0,"n.m.",D200/D19)</f>
        <v>0.182332581243429</v>
      </c>
      <c r="E201" s="40" t="n">
        <f aca="false">IF(E19&lt;=0,"n.m.",E200/E19)</f>
        <v>-0.0737097346528408</v>
      </c>
      <c r="F201" s="40" t="n">
        <f aca="false">IF(F19&lt;=0,"n.m.",F200/F19)</f>
        <v>-1.83785036589936</v>
      </c>
      <c r="G201" s="40" t="n">
        <f aca="false">IF(G19&lt;=0,"n.m.",G200/G19)</f>
        <v>-10.104069674105</v>
      </c>
      <c r="H201" s="40" t="n">
        <f aca="false">IF(H19&lt;=0,"n.m.",H200/H19)</f>
        <v>-4.45703855400231</v>
      </c>
      <c r="I201" s="40" t="str">
        <f aca="false">IF(I19&lt;=0,"n.m.",I200/I19)</f>
        <v>n.m.</v>
      </c>
      <c r="J201" s="40" t="str">
        <f aca="false">IF(J19&lt;=0,"n.m.",J200/J19)</f>
        <v>n.m.</v>
      </c>
      <c r="K201" s="40" t="str">
        <f aca="false">IF(K19&lt;=0,"n.m.",K200/K19)</f>
        <v>n.m.</v>
      </c>
      <c r="L201" s="40" t="str">
        <f aca="false">IF(L19&lt;=0,"n.m.",L200/L19)</f>
        <v>n.m.</v>
      </c>
      <c r="M201" s="40" t="str">
        <f aca="false">IF(M19&lt;=0,"n.m.",M200/M19)</f>
        <v>n.m.</v>
      </c>
      <c r="N201" s="40" t="str">
        <f aca="false">IF(N19&lt;=0,"n.m.",N200/N19)</f>
        <v>n.m.</v>
      </c>
      <c r="O201" s="40" t="n">
        <f aca="false">IF(O19&lt;=0,"n.m.",O200/O19)</f>
        <v>0.0326687998584425</v>
      </c>
      <c r="P201" s="40" t="n">
        <f aca="false">IF(P19&lt;=0,"n.m.",P200/P19)</f>
        <v>-0.463244441875815</v>
      </c>
      <c r="Q201" s="40" t="n">
        <f aca="false">IF(Q19&lt;=0,"n.m.",Q200/Q19)</f>
        <v>-1.23184122065827</v>
      </c>
      <c r="R201" s="40" t="n">
        <f aca="false">IF(R19&lt;=0,"n.m.",R200/R19)</f>
        <v>-0.385921971370998</v>
      </c>
      <c r="S201" s="40" t="n">
        <f aca="false">IF(S19&lt;=0,"n.m.",S200/S19)</f>
        <v>-0.646517313942201</v>
      </c>
      <c r="T201" s="40" t="str">
        <f aca="false">IF(T19&lt;=0,"n.m.",T200/T19)</f>
        <v>n.m.</v>
      </c>
      <c r="U201" s="40" t="n">
        <f aca="false">IF(U19&lt;=0,"n.m.",U200/U19)</f>
        <v>-0.503676743134953</v>
      </c>
      <c r="V201" s="40" t="n">
        <f aca="false">IF(V19&lt;=0,"n.m.",V200/V19)</f>
        <v>-1.09453016276396</v>
      </c>
      <c r="W201" s="40" t="n">
        <f aca="false">IF(W19&lt;=0,"n.m.",W200/W19)</f>
        <v>0.118217121331769</v>
      </c>
    </row>
    <row r="202" customFormat="false" ht="15" hidden="false" customHeight="false" outlineLevel="0" collapsed="false">
      <c r="A202" s="11" t="s">
        <v>198</v>
      </c>
      <c r="B202" s="40" t="n">
        <f aca="false">+B200/B46</f>
        <v>0.0991010743258057</v>
      </c>
      <c r="C202" s="40" t="n">
        <f aca="false">+C200/C46</f>
        <v>0.110311557788945</v>
      </c>
      <c r="D202" s="40" t="n">
        <f aca="false">+D200/D46</f>
        <v>0.100719753078364</v>
      </c>
      <c r="E202" s="40" t="n">
        <f aca="false">+E200/E46</f>
        <v>-0.0167917402063152</v>
      </c>
      <c r="F202" s="40" t="n">
        <f aca="false">+F200/F46</f>
        <v>-0.23922660586734</v>
      </c>
      <c r="G202" s="40" t="n">
        <f aca="false">+G200/G46</f>
        <v>-0.250696814321265</v>
      </c>
      <c r="H202" s="40" t="n">
        <f aca="false">+H200/H46</f>
        <v>-0.273537013863464</v>
      </c>
      <c r="I202" s="40" t="n">
        <f aca="false">+I200/I46</f>
        <v>-0.215517314699725</v>
      </c>
      <c r="J202" s="40" t="n">
        <f aca="false">+J200/J46</f>
        <v>0.0454885219760141</v>
      </c>
      <c r="K202" s="40" t="n">
        <f aca="false">+K200/K46</f>
        <v>0.573644579471599</v>
      </c>
      <c r="L202" s="40" t="n">
        <f aca="false">+L200/L46</f>
        <v>1.80078027323007</v>
      </c>
      <c r="M202" s="40" t="n">
        <f aca="false">+M200/M46</f>
        <v>9.98357968768626</v>
      </c>
      <c r="N202" s="40" t="n">
        <f aca="false">+N200/N46</f>
        <v>0.654165021230709</v>
      </c>
      <c r="O202" s="40" t="n">
        <f aca="false">+O200/O46</f>
        <v>0.00945910943619638</v>
      </c>
      <c r="P202" s="40" t="n">
        <f aca="false">+P200/P46</f>
        <v>-0.100191840338313</v>
      </c>
      <c r="Q202" s="40" t="n">
        <f aca="false">+Q200/Q46</f>
        <v>-0.451776742063643</v>
      </c>
      <c r="R202" s="40" t="n">
        <f aca="false">+R200/R46</f>
        <v>-0.105250274040612</v>
      </c>
      <c r="S202" s="40" t="n">
        <f aca="false">+S200/S46</f>
        <v>-0.177404123961223</v>
      </c>
      <c r="T202" s="40" t="n">
        <f aca="false">+T200/T46</f>
        <v>-0.104922725962322</v>
      </c>
      <c r="U202" s="40" t="n">
        <f aca="false">+U200/U46</f>
        <v>-0.075795999785519</v>
      </c>
      <c r="V202" s="40" t="n">
        <f aca="false">+V200/V46</f>
        <v>-0.181495565276719</v>
      </c>
      <c r="W202" s="40" t="n">
        <f aca="false">+W200/W46</f>
        <v>0.0228121654629234</v>
      </c>
    </row>
    <row r="203" customFormat="false" ht="15" hidden="false" customHeight="false" outlineLevel="0" collapsed="false">
      <c r="A203" s="11" t="s">
        <v>199</v>
      </c>
      <c r="C203" s="39" t="n">
        <f aca="false">IF((C194+AVERAGE(B199:C199)-AVERAGE(B83:C83)-AVERAGE(B80:C80))&lt;=0,"n.m.",(C19-C23)/(C194+AVERAGE(B199:C199)-AVERAGE(B83:C83)-AVERAGE(B80:C80)))</f>
        <v>0.129982537392757</v>
      </c>
      <c r="D203" s="39" t="n">
        <f aca="false">IF((D194+AVERAGE(C199:D199)-AVERAGE(C83:D83)-AVERAGE(C80:D80))&lt;=0,"n.m.",(D19-D23)/(D194+AVERAGE(C199:D199)-AVERAGE(C83:D83)-AVERAGE(C80:D80)))</f>
        <v>0.620937508696465</v>
      </c>
      <c r="E203" s="39" t="n">
        <f aca="false">IF((E194+AVERAGE(D199:E199)-AVERAGE(D83:E83)-AVERAGE(D80:E80))&lt;=0,"n.m.",(E19-E23)/(E194+AVERAGE(D199:E199)-AVERAGE(D83:E83)-AVERAGE(D80:E80)))</f>
        <v>0.319211311831292</v>
      </c>
      <c r="F203" s="39" t="n">
        <f aca="false">IF((F194+AVERAGE(E199:F199)-AVERAGE(E83:F83)-AVERAGE(E80:F80))&lt;=0,"n.m.",(F19-F23)/(F194+AVERAGE(E199:F199)-AVERAGE(E83:F83)-AVERAGE(E80:F80)))</f>
        <v>0.0998079876804767</v>
      </c>
      <c r="G203" s="39" t="n">
        <f aca="false">IF((G194+AVERAGE(F199:G199)-AVERAGE(F83:G83)-AVERAGE(F80:G80))&lt;=0,"n.m.",(G19-G23)/(G194+AVERAGE(F199:G199)-AVERAGE(F83:G83)-AVERAGE(F80:G80)))</f>
        <v>-0.0159739017106186</v>
      </c>
      <c r="H203" s="39" t="n">
        <f aca="false">IF((H194+AVERAGE(G199:H199)-AVERAGE(G83:H83)-AVERAGE(G80:H80))&lt;=0,"n.m.",(H19-H23)/(H194+AVERAGE(G199:H199)-AVERAGE(G83:H83)-AVERAGE(G80:H80)))</f>
        <v>-0.0424959602588256</v>
      </c>
      <c r="I203" s="39" t="n">
        <f aca="false">IF((I194+AVERAGE(H199:I199)-AVERAGE(H83:I83)-AVERAGE(H80:I80))&lt;=0,"n.m.",(I19-I23)/(I194+AVERAGE(H199:I199)-AVERAGE(H83:I83)-AVERAGE(H80:I80)))</f>
        <v>-0.223097128884995</v>
      </c>
      <c r="J203" s="39" t="n">
        <f aca="false">IF((J194+AVERAGE(I199:J199)-AVERAGE(I83:J83)-AVERAGE(I80:J80))&lt;=0,"n.m.",(J19-J23)/(J194+AVERAGE(I199:J199)-AVERAGE(I83:J83)-AVERAGE(I80:J80)))</f>
        <v>-0.173469489727597</v>
      </c>
      <c r="K203" s="39" t="n">
        <f aca="false">IF((K194+AVERAGE(J199:K199)-AVERAGE(J83:K83)-AVERAGE(J80:K80))&lt;=0,"n.m.",(K19-K23)/(K194+AVERAGE(J199:K199)-AVERAGE(J83:K83)-AVERAGE(J80:K80)))</f>
        <v>-0.186996034917023</v>
      </c>
      <c r="L203" s="39" t="n">
        <f aca="false">IF((L194+AVERAGE(K199:L199)-AVERAGE(K83:L83)-AVERAGE(K80:L80))&lt;=0,"n.m.",(L19-L23)/(L194+AVERAGE(K199:L199)-AVERAGE(K83:L83)-AVERAGE(K80:L80)))</f>
        <v>-0.228791624367449</v>
      </c>
      <c r="M203" s="39" t="n">
        <f aca="false">IF((M194+AVERAGE(L199:M199)-AVERAGE(L83:M83)-AVERAGE(L80:M80))&lt;=0,"n.m.",(M19-M23)/(M194+AVERAGE(L199:M199)-AVERAGE(L83:M83)-AVERAGE(L80:M80)))</f>
        <v>-0.398953321374485</v>
      </c>
      <c r="N203" s="39" t="n">
        <f aca="false">IF((N194+AVERAGE(M199:N199)-AVERAGE(M83:N83)-AVERAGE(M80:N80))&lt;=0,"n.m.",(N19-N23)/(N194+AVERAGE(M199:N199)-AVERAGE(M83:N83)-AVERAGE(M80:N80)))</f>
        <v>-0.271695893874244</v>
      </c>
      <c r="O203" s="39" t="n">
        <f aca="false">IF((O194+AVERAGE(N199:O199)-AVERAGE(N83:O83)-AVERAGE(N80:O80))&lt;=0,"n.m.",(O19-O23)/(O194+AVERAGE(N199:O199)-AVERAGE(N83:O83)-AVERAGE(N80:O80)))</f>
        <v>0.170757597296558</v>
      </c>
      <c r="P203" s="39" t="n">
        <f aca="false">IF((P194+AVERAGE(O199:P199)-AVERAGE(O83:P83)-AVERAGE(O80:P80))&lt;=0,"n.m.",(P19-P23)/(P194+AVERAGE(O199:P199)-AVERAGE(O83:P83)-AVERAGE(O80:P80)))</f>
        <v>0.0964180070817271</v>
      </c>
      <c r="Q203" s="39" t="n">
        <f aca="false">IF((Q194+AVERAGE(P199:Q199)-AVERAGE(P83:Q83)-AVERAGE(P80:Q80))&lt;=0,"n.m.",(Q19-Q23)/(Q194+AVERAGE(P199:Q199)-AVERAGE(P83:Q83)-AVERAGE(P80:Q80)))</f>
        <v>0.396940005621192</v>
      </c>
      <c r="R203" s="39" t="n">
        <f aca="false">IF((R194+AVERAGE(Q199:R199)-AVERAGE(Q83:R83)-AVERAGE(Q80:R80))&lt;=0,"n.m.",(R19-R23)/(R194+AVERAGE(Q199:R199)-AVERAGE(Q83:R83)-AVERAGE(Q80:R80)))</f>
        <v>0.228434692625521</v>
      </c>
      <c r="S203" s="39" t="n">
        <f aca="false">IF((S194+AVERAGE(R199:S199)-AVERAGE(R83:S83)-AVERAGE(R80:S80))&lt;=0,"n.m.",(S19-S23)/(S194+AVERAGE(R199:S199)-AVERAGE(R83:S83)-AVERAGE(R80:S80)))</f>
        <v>0.202949239455582</v>
      </c>
      <c r="T203" s="39" t="n">
        <f aca="false">IF((T194+AVERAGE(S199:T199)-AVERAGE(S83:T83)-AVERAGE(S80:T80))&lt;=0,"n.m.",(T19-T23)/(T194+AVERAGE(S199:T199)-AVERAGE(S83:T83)-AVERAGE(S80:T80)))</f>
        <v>-0.21590075633601</v>
      </c>
      <c r="U203" s="39" t="n">
        <f aca="false">IF((U194+AVERAGE(T199:U199)-AVERAGE(T83:U83)-AVERAGE(T80:U80))&lt;=0,"n.m.",(U19-U23)/(U194+AVERAGE(T199:U199)-AVERAGE(T83:U83)-AVERAGE(T80:U80)))</f>
        <v>0.11392480371238</v>
      </c>
      <c r="V203" s="39" t="n">
        <f aca="false">IF((V194+AVERAGE(U199:V199)-AVERAGE(U83:V83)-AVERAGE(U80:V80))&lt;=0,"n.m.",(V19-V23)/(V194+AVERAGE(U199:V199)-AVERAGE(U83:V83)-AVERAGE(U80:V80)))</f>
        <v>0.166004753292004</v>
      </c>
      <c r="W203" s="39" t="n">
        <f aca="false">IF((W194+AVERAGE(V199:W199)-AVERAGE(V83:W83)-AVERAGE(V80:W80))&lt;=0,"n.m.",(W19-W23)/(W194+AVERAGE(V199:W199)-AVERAGE(V83:W83)-AVERAGE(V80:W80)))</f>
        <v>0.183933330167282</v>
      </c>
    </row>
    <row r="204" customFormat="false" ht="15" hidden="false" customHeight="false" outlineLevel="0" collapsed="false">
      <c r="A204" s="11" t="s">
        <v>200</v>
      </c>
      <c r="C204" s="40" t="n">
        <f aca="false">+C3/C196</f>
        <v>0.979926566386356</v>
      </c>
      <c r="D204" s="40" t="n">
        <f aca="false">+D3/D196</f>
        <v>1.35573439146878</v>
      </c>
      <c r="E204" s="40" t="n">
        <f aca="false">+E3/E196</f>
        <v>0.83742517961434</v>
      </c>
      <c r="F204" s="40" t="n">
        <f aca="false">+F3/F196</f>
        <v>0.763870071063386</v>
      </c>
      <c r="G204" s="40" t="n">
        <f aca="false">+G3/G196</f>
        <v>0.187941015309032</v>
      </c>
      <c r="H204" s="40" t="n">
        <f aca="false">+H3/H196</f>
        <v>0.539861559713422</v>
      </c>
      <c r="I204" s="40" t="n">
        <f aca="false">+I3/I196</f>
        <v>0.384782564419385</v>
      </c>
      <c r="J204" s="40" t="n">
        <f aca="false">+J3/J196</f>
        <v>0.472739487993321</v>
      </c>
      <c r="K204" s="40" t="n">
        <f aca="false">+K3/K196</f>
        <v>0.831488756453062</v>
      </c>
      <c r="L204" s="40" t="n">
        <f aca="false">+L3/L196</f>
        <v>0.873451196806696</v>
      </c>
      <c r="M204" s="40" t="n">
        <f aca="false">+M3/M196</f>
        <v>0.484718748966344</v>
      </c>
      <c r="N204" s="40" t="n">
        <f aca="false">+N3/N196</f>
        <v>0.654440282999325</v>
      </c>
      <c r="O204" s="40" t="n">
        <f aca="false">+O3/O196</f>
        <v>0.962405731743839</v>
      </c>
      <c r="P204" s="40" t="n">
        <f aca="false">+P3/P196</f>
        <v>0.823254172536026</v>
      </c>
      <c r="Q204" s="40" t="n">
        <f aca="false">+Q3/Q196</f>
        <v>1.03821659561294</v>
      </c>
      <c r="R204" s="40" t="n">
        <f aca="false">+R3/R196</f>
        <v>0.697746860304119</v>
      </c>
      <c r="S204" s="40" t="n">
        <f aca="false">+S3/S196</f>
        <v>0.759104693317549</v>
      </c>
      <c r="T204" s="40" t="n">
        <f aca="false">+T3/T196</f>
        <v>0.346343765198612</v>
      </c>
      <c r="U204" s="40" t="n">
        <f aca="false">+U3/U196</f>
        <v>0.89570958161631</v>
      </c>
      <c r="V204" s="40" t="n">
        <f aca="false">+V3/V196</f>
        <v>0.952062269188599</v>
      </c>
      <c r="W204" s="40" t="n">
        <f aca="false">+W3/W196</f>
        <v>1.0506700077122</v>
      </c>
    </row>
    <row r="205" customFormat="false" ht="15" hidden="false" customHeight="false" outlineLevel="0" collapsed="false">
      <c r="A205" s="11" t="s">
        <v>201</v>
      </c>
      <c r="C205" s="40" t="n">
        <f aca="false">+C3/AVERAGE(B68:C68)</f>
        <v>1.5042982443381</v>
      </c>
      <c r="D205" s="40" t="n">
        <f aca="false">+D3/AVERAGE(C68:D68)</f>
        <v>3.52394458805252</v>
      </c>
      <c r="E205" s="40" t="n">
        <f aca="false">+E3/AVERAGE(D68:E68)</f>
        <v>2.76098127762538</v>
      </c>
      <c r="F205" s="40" t="n">
        <f aca="false">+F3/AVERAGE(E68:F68)</f>
        <v>2.43946070698011</v>
      </c>
      <c r="G205" s="40" t="n">
        <f aca="false">+G3/AVERAGE(F68:G68)</f>
        <v>0.494592486867468</v>
      </c>
      <c r="H205" s="40" t="n">
        <f aca="false">+H3/AVERAGE(G68:H68)</f>
        <v>1.16198922856017</v>
      </c>
      <c r="I205" s="40" t="n">
        <f aca="false">+I3/AVERAGE(H68:I68)</f>
        <v>0.715551939879478</v>
      </c>
      <c r="J205" s="40" t="n">
        <f aca="false">+J3/AVERAGE(I68:J68)</f>
        <v>0.798667378167501</v>
      </c>
      <c r="K205" s="40" t="n">
        <f aca="false">+K3/AVERAGE(J68:K68)</f>
        <v>1.03438148853009</v>
      </c>
      <c r="L205" s="40" t="n">
        <f aca="false">+L3/AVERAGE(K68:L68)</f>
        <v>0.858795668854517</v>
      </c>
      <c r="M205" s="40" t="n">
        <f aca="false">+M3/AVERAGE(L68:M68)</f>
        <v>0.459852134645455</v>
      </c>
      <c r="N205" s="40" t="n">
        <f aca="false">+N3/AVERAGE(M68:N68)</f>
        <v>0.928263470013455</v>
      </c>
      <c r="O205" s="40" t="n">
        <f aca="false">+O3/AVERAGE(N68:O68)</f>
        <v>1.99557821128589</v>
      </c>
      <c r="P205" s="40" t="n">
        <f aca="false">+P3/AVERAGE(O68:P68)</f>
        <v>1.48262938051311</v>
      </c>
      <c r="Q205" s="40" t="n">
        <f aca="false">+Q3/AVERAGE(P68:Q68)</f>
        <v>1.88181031560789</v>
      </c>
      <c r="R205" s="40" t="n">
        <f aca="false">+R3/AVERAGE(Q68:R68)</f>
        <v>1.21065487283853</v>
      </c>
      <c r="S205" s="40" t="n">
        <f aca="false">+S3/AVERAGE(R68:S68)</f>
        <v>1.04955073841367</v>
      </c>
      <c r="T205" s="40" t="n">
        <f aca="false">+T3/AVERAGE(S68:T68)</f>
        <v>0.395471646536655</v>
      </c>
      <c r="U205" s="40" t="n">
        <f aca="false">+U3/AVERAGE(T68:U68)</f>
        <v>1.02563940496637</v>
      </c>
      <c r="V205" s="40" t="n">
        <f aca="false">+V3/AVERAGE(U68:V68)</f>
        <v>1.43459787659891</v>
      </c>
      <c r="W205" s="40" t="n">
        <f aca="false">+W3/AVERAGE(V68:W68)</f>
        <v>2.26936461024636</v>
      </c>
    </row>
    <row r="206" customFormat="false" ht="15" hidden="false" customHeight="false" outlineLevel="0" collapsed="false">
      <c r="A206" s="11" t="s">
        <v>202</v>
      </c>
      <c r="B206" s="40" t="n">
        <f aca="false">IF(B23=0,"n.m.",-B127/B23)</f>
        <v>-0</v>
      </c>
      <c r="C206" s="40" t="n">
        <f aca="false">IF(C23=0,"n.m.",-C127/C23)</f>
        <v>-0</v>
      </c>
      <c r="D206" s="40" t="n">
        <f aca="false">IF(D23=0,"n.m.",-D127/D23)</f>
        <v>-0</v>
      </c>
      <c r="E206" s="40" t="n">
        <f aca="false">IF(E23=0,"n.m.",-E127/E23)</f>
        <v>-0</v>
      </c>
      <c r="F206" s="40" t="n">
        <f aca="false">IF(F23=0,"n.m.",-F127/F23)</f>
        <v>2.23578526790288</v>
      </c>
      <c r="G206" s="40" t="n">
        <f aca="false">IF(G23=0,"n.m.",-G127/G23)</f>
        <v>5.84048907709134</v>
      </c>
      <c r="H206" s="40" t="n">
        <f aca="false">IF(H23=0,"n.m.",-H127/H23)</f>
        <v>1.60660507494175</v>
      </c>
      <c r="I206" s="40" t="n">
        <f aca="false">IF(I23=0,"n.m.",-I127/I23)</f>
        <v>0.227107775781278</v>
      </c>
      <c r="J206" s="40" t="n">
        <f aca="false">IF(J23=0,"n.m.",-J127/J23)</f>
        <v>1.9451281062505</v>
      </c>
      <c r="K206" s="40" t="n">
        <f aca="false">IF(K23=0,"n.m.",-K127/K23)</f>
        <v>7.65794533912085</v>
      </c>
      <c r="L206" s="40" t="n">
        <f aca="false">IF(L23=0,"n.m.",-L127/L23)</f>
        <v>0.152505121790943</v>
      </c>
      <c r="M206" s="40" t="n">
        <f aca="false">IF(M23=0,"n.m.",-M127/M23)</f>
        <v>0.124726489332381</v>
      </c>
      <c r="N206" s="40" t="n">
        <f aca="false">IF(N23=0,"n.m.",-N127/N23)</f>
        <v>1.09693985459352</v>
      </c>
      <c r="O206" s="40" t="n">
        <f aca="false">IF(O23=0,"n.m.",-O127/O23)</f>
        <v>0.962993633565908</v>
      </c>
      <c r="P206" s="40" t="n">
        <f aca="false">IF(P23=0,"n.m.",-P127/P23)</f>
        <v>1.21097892782381</v>
      </c>
      <c r="Q206" s="40" t="n">
        <f aca="false">IF(Q23=0,"n.m.",-Q127/Q23)</f>
        <v>0.722646672838439</v>
      </c>
      <c r="R206" s="40" t="n">
        <f aca="false">IF(R23=0,"n.m.",-R127/R23)</f>
        <v>1.57085358640023</v>
      </c>
      <c r="S206" s="40" t="n">
        <f aca="false">IF(S23=0,"n.m.",-S127/S23)</f>
        <v>1.53029640892658</v>
      </c>
      <c r="T206" s="40" t="n">
        <f aca="false">IF(T23=0,"n.m.",-T127/T23)</f>
        <v>0.0589383898335943</v>
      </c>
      <c r="U206" s="40" t="n">
        <f aca="false">IF(U23=0,"n.m.",-U127/U23)</f>
        <v>1.6785770946077</v>
      </c>
      <c r="V206" s="40" t="n">
        <f aca="false">IF(V23=0,"n.m.",-V127/V23)</f>
        <v>1.07390464572532</v>
      </c>
      <c r="W206" s="40" t="n">
        <f aca="false">IF(W23=0,"n.m.",-W127/W23)</f>
        <v>3.21475335966284</v>
      </c>
    </row>
    <row r="208" customFormat="false" ht="15" hidden="false" customHeight="false" outlineLevel="0" collapsed="false">
      <c r="A208" s="11" t="s">
        <v>203</v>
      </c>
    </row>
    <row r="210" customFormat="false" ht="15" hidden="false" customHeight="false" outlineLevel="0" collapsed="false">
      <c r="A210" s="27" t="s">
        <v>204</v>
      </c>
      <c r="B210" s="41" t="s">
        <v>205</v>
      </c>
      <c r="C210" s="41" t="s">
        <v>205</v>
      </c>
      <c r="D210" s="41" t="s">
        <v>205</v>
      </c>
      <c r="E210" s="41" t="s">
        <v>206</v>
      </c>
      <c r="F210" s="42" t="s">
        <v>207</v>
      </c>
      <c r="G210" s="42" t="s">
        <v>208</v>
      </c>
      <c r="H210" s="42" t="s">
        <v>207</v>
      </c>
      <c r="I210" s="42" t="s">
        <v>207</v>
      </c>
      <c r="J210" s="42" t="s">
        <v>207</v>
      </c>
      <c r="K210" s="42" t="s">
        <v>207</v>
      </c>
      <c r="L210" s="42" t="s">
        <v>207</v>
      </c>
      <c r="M210" s="42" t="s">
        <v>207</v>
      </c>
      <c r="N210" s="42" t="s">
        <v>207</v>
      </c>
      <c r="O210" s="42" t="s">
        <v>207</v>
      </c>
      <c r="P210" s="42" t="s">
        <v>207</v>
      </c>
      <c r="Q210" s="42" t="s">
        <v>207</v>
      </c>
      <c r="R210" s="42" t="s">
        <v>207</v>
      </c>
      <c r="S210" s="42" t="s">
        <v>207</v>
      </c>
      <c r="T210" s="42" t="s">
        <v>207</v>
      </c>
      <c r="U210" s="42" t="s">
        <v>207</v>
      </c>
      <c r="V210" s="42" t="s">
        <v>207</v>
      </c>
      <c r="W210" s="42" t="s">
        <v>207</v>
      </c>
    </row>
    <row r="211" customFormat="false" ht="15" hidden="false" customHeight="false" outlineLevel="0" collapsed="false">
      <c r="A211" s="27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1"/>
  </cols>
  <sheetData>
    <row r="1" customFormat="false" ht="15" hidden="false" customHeight="false" outlineLevel="0" collapsed="false">
      <c r="A1" s="3" t="s">
        <v>210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</row>
    <row r="3" customFormat="false" ht="15" hidden="false" customHeight="false" outlineLevel="0" collapsed="false">
      <c r="A3" s="6" t="s">
        <v>211</v>
      </c>
    </row>
    <row r="4" customFormat="false" ht="15" hidden="false" customHeight="false" outlineLevel="0" collapsed="false">
      <c r="A4" s="11" t="s">
        <v>212</v>
      </c>
      <c r="B4" s="13" t="n">
        <v>221.91</v>
      </c>
      <c r="C4" s="13" t="n">
        <v>188.87</v>
      </c>
      <c r="D4" s="13" t="n">
        <v>63.22</v>
      </c>
      <c r="E4" s="13" t="n">
        <v>191.91</v>
      </c>
      <c r="F4" s="13" t="n">
        <v>192.44</v>
      </c>
      <c r="G4" s="13" t="n">
        <v>632.68</v>
      </c>
    </row>
    <row r="5" customFormat="false" ht="15" hidden="false" customHeight="false" outlineLevel="0" collapsed="false">
      <c r="A5" s="9" t="s">
        <v>29</v>
      </c>
      <c r="C5" s="10" t="n">
        <f aca="false">+C4/B4-1</f>
        <v>-0.148889189310982</v>
      </c>
      <c r="D5" s="10" t="n">
        <f aca="false">+D4/C4-1</f>
        <v>-0.665272409593901</v>
      </c>
      <c r="E5" s="10" t="n">
        <f aca="false">+E4/D4-1</f>
        <v>2.03559000316356</v>
      </c>
      <c r="F5" s="10" t="n">
        <f aca="false">+F4/E4-1</f>
        <v>0.00276171121880053</v>
      </c>
      <c r="G5" s="10" t="n">
        <f aca="false">+G4/F4-1</f>
        <v>2.2876740802328</v>
      </c>
    </row>
    <row r="6" customFormat="false" ht="15" hidden="false" customHeight="false" outlineLevel="0" collapsed="false">
      <c r="A6" s="11" t="s">
        <v>213</v>
      </c>
      <c r="B6" s="13" t="n">
        <v>6.88</v>
      </c>
      <c r="C6" s="13" t="n">
        <v>71.6</v>
      </c>
      <c r="D6" s="13" t="n">
        <v>46.73</v>
      </c>
      <c r="E6" s="13" t="n">
        <v>113.16</v>
      </c>
      <c r="F6" s="13" t="n">
        <v>272.59</v>
      </c>
      <c r="G6" s="13" t="n">
        <v>158.37</v>
      </c>
    </row>
    <row r="7" customFormat="false" ht="15" hidden="false" customHeight="false" outlineLevel="0" collapsed="false">
      <c r="A7" s="9" t="s">
        <v>29</v>
      </c>
      <c r="C7" s="10" t="n">
        <f aca="false">IF(B6&lt;=0,"n.m.",C6/B6-1)</f>
        <v>9.40697674418605</v>
      </c>
      <c r="D7" s="10" t="n">
        <f aca="false">IF(C6&lt;=0,"n.m.",D6/C6-1)</f>
        <v>-0.347346368715084</v>
      </c>
      <c r="E7" s="10" t="n">
        <f aca="false">IF(D6&lt;=0,"n.m.",E6/D6-1)</f>
        <v>1.42157072544404</v>
      </c>
      <c r="F7" s="10" t="n">
        <f aca="false">IF(E6&lt;=0,"n.m.",F6/E6-1)</f>
        <v>1.40889006716154</v>
      </c>
      <c r="G7" s="10" t="n">
        <f aca="false">IF(F6&lt;=0,"n.m.",G6/F6-1)</f>
        <v>-0.419017572177996</v>
      </c>
    </row>
    <row r="8" customFormat="false" ht="15" hidden="false" customHeight="false" outlineLevel="0" collapsed="false">
      <c r="A8" s="6" t="s">
        <v>214</v>
      </c>
      <c r="B8" s="14" t="n">
        <f aca="false">+B6+B4</f>
        <v>228.79</v>
      </c>
      <c r="C8" s="14" t="n">
        <f aca="false">+C6+C4</f>
        <v>260.47</v>
      </c>
      <c r="D8" s="14" t="n">
        <f aca="false">+D6+D4</f>
        <v>109.95</v>
      </c>
      <c r="E8" s="14" t="n">
        <f aca="false">+E6+E4</f>
        <v>305.07</v>
      </c>
      <c r="F8" s="14" t="n">
        <f aca="false">+F6+F4</f>
        <v>465.03</v>
      </c>
      <c r="G8" s="14" t="n">
        <f aca="false">+G6+G4</f>
        <v>791.05</v>
      </c>
    </row>
    <row r="9" customFormat="false" ht="15" hidden="false" customHeight="false" outlineLevel="0" collapsed="false">
      <c r="A9" s="27" t="s">
        <v>215</v>
      </c>
      <c r="B9" s="28" t="n">
        <f aca="false">+B4/B8</f>
        <v>0.969928755627431</v>
      </c>
      <c r="C9" s="28" t="n">
        <f aca="false">+C4/C8</f>
        <v>0.725112297001574</v>
      </c>
      <c r="D9" s="28" t="n">
        <f aca="false">+D4/D8</f>
        <v>0.574988631195998</v>
      </c>
      <c r="E9" s="28" t="n">
        <f aca="false">+E4/E8</f>
        <v>0.629068738322352</v>
      </c>
      <c r="F9" s="28" t="n">
        <f aca="false">+F4/F8</f>
        <v>0.413822764122745</v>
      </c>
      <c r="G9" s="28" t="n">
        <f aca="false">+G4/G8</f>
        <v>0.799797737184754</v>
      </c>
    </row>
    <row r="10" customFormat="false" ht="15" hidden="false" customHeight="false" outlineLevel="0" collapsed="false">
      <c r="A10" s="18" t="s">
        <v>216</v>
      </c>
      <c r="B10" s="43" t="n">
        <f aca="false">ROUND(B8-'P&amp;L'!R3,1)</f>
        <v>0</v>
      </c>
      <c r="C10" s="43" t="n">
        <f aca="false">ROUND(C8-'P&amp;L'!S3,1)</f>
        <v>-0</v>
      </c>
      <c r="D10" s="43" t="n">
        <f aca="false">ROUND(D8-'P&amp;L'!T3,1)</f>
        <v>-0</v>
      </c>
      <c r="E10" s="43" t="n">
        <f aca="false">ROUND(E8-'P&amp;L'!U3,1)</f>
        <v>0</v>
      </c>
      <c r="F10" s="43" t="n">
        <f aca="false">ROUND(F8-'P&amp;L'!V3,1)</f>
        <v>-0</v>
      </c>
      <c r="G10" s="43" t="n">
        <f aca="false">ROUND(G8-'P&amp;L'!W3,1)</f>
        <v>0</v>
      </c>
    </row>
    <row r="12" customFormat="false" ht="15" hidden="false" customHeight="false" outlineLevel="0" collapsed="false">
      <c r="A12" s="6" t="s">
        <v>217</v>
      </c>
    </row>
    <row r="13" customFormat="false" ht="15" hidden="false" customHeight="false" outlineLevel="0" collapsed="false">
      <c r="A13" s="11" t="s">
        <v>218</v>
      </c>
      <c r="B13" s="13" t="n">
        <v>77.79</v>
      </c>
      <c r="C13" s="13" t="n">
        <v>54.52</v>
      </c>
      <c r="D13" s="13" t="n">
        <v>-0.3</v>
      </c>
      <c r="E13" s="13" t="n">
        <v>40.97</v>
      </c>
      <c r="F13" s="13" t="n">
        <v>33.05</v>
      </c>
      <c r="G13" s="13" t="n">
        <v>101.96</v>
      </c>
    </row>
    <row r="14" customFormat="false" ht="15" hidden="false" customHeight="false" outlineLevel="0" collapsed="false">
      <c r="A14" s="11" t="s">
        <v>219</v>
      </c>
      <c r="B14" s="13" t="n">
        <v>-3.8</v>
      </c>
      <c r="C14" s="13" t="n">
        <v>32.96</v>
      </c>
      <c r="D14" s="13" t="n">
        <v>6.73</v>
      </c>
      <c r="E14" s="13" t="n">
        <v>18.63</v>
      </c>
      <c r="F14" s="13" t="n">
        <v>58.87</v>
      </c>
      <c r="G14" s="13" t="n">
        <v>31.6</v>
      </c>
    </row>
    <row r="15" customFormat="false" ht="15" hidden="false" customHeight="false" outlineLevel="0" collapsed="false">
      <c r="A15" s="6" t="s">
        <v>220</v>
      </c>
      <c r="B15" s="14" t="n">
        <f aca="false">SUM(B13:B14)</f>
        <v>73.99</v>
      </c>
      <c r="C15" s="14" t="n">
        <f aca="false">SUM(C13:C14)</f>
        <v>87.48</v>
      </c>
      <c r="D15" s="14" t="n">
        <f aca="false">SUM(D13:D14)</f>
        <v>6.43</v>
      </c>
      <c r="E15" s="14" t="n">
        <f aca="false">SUM(E13:E14)</f>
        <v>59.6</v>
      </c>
      <c r="F15" s="14" t="n">
        <f aca="false">SUM(F13:F14)</f>
        <v>91.92</v>
      </c>
      <c r="G15" s="14" t="n">
        <f aca="false">SUM(G13:G14)</f>
        <v>133.56</v>
      </c>
    </row>
    <row r="16" customFormat="false" ht="15" hidden="false" customHeight="false" outlineLevel="0" collapsed="false">
      <c r="A16" s="11" t="s">
        <v>221</v>
      </c>
      <c r="B16" s="13" t="n">
        <v>23.33</v>
      </c>
      <c r="C16" s="13" t="n">
        <v>27.69</v>
      </c>
      <c r="D16" s="13" t="n">
        <v>21.97</v>
      </c>
      <c r="E16" s="13" t="n">
        <v>17.02</v>
      </c>
      <c r="F16" s="13" t="n">
        <v>17.71</v>
      </c>
      <c r="G16" s="13" t="n">
        <v>18.86</v>
      </c>
    </row>
    <row r="17" customFormat="false" ht="15" hidden="false" customHeight="false" outlineLevel="0" collapsed="false">
      <c r="A17" s="11" t="s">
        <v>222</v>
      </c>
      <c r="B17" s="13" t="n">
        <v>5.42</v>
      </c>
      <c r="C17" s="13" t="n">
        <v>2.83</v>
      </c>
      <c r="D17" s="13" t="n">
        <v>4.1</v>
      </c>
      <c r="E17" s="13" t="n">
        <v>6.22</v>
      </c>
      <c r="F17" s="13" t="n">
        <v>5.41</v>
      </c>
      <c r="G17" s="13" t="n">
        <v>8.89</v>
      </c>
    </row>
    <row r="18" customFormat="false" ht="15" hidden="false" customHeight="false" outlineLevel="0" collapsed="false">
      <c r="A18" s="11" t="s">
        <v>223</v>
      </c>
      <c r="B18" s="13" t="n">
        <v>0.71</v>
      </c>
      <c r="C18" s="13" t="n">
        <v>0.81</v>
      </c>
      <c r="D18" s="13" t="n">
        <v>2.46</v>
      </c>
      <c r="E18" s="13" t="n">
        <v>2.06</v>
      </c>
      <c r="F18" s="13" t="n">
        <v>3.83</v>
      </c>
      <c r="G18" s="13" t="n">
        <v>10.65</v>
      </c>
    </row>
    <row r="19" customFormat="false" ht="15" hidden="false" customHeight="false" outlineLevel="0" collapsed="false">
      <c r="A19" s="11" t="s">
        <v>224</v>
      </c>
      <c r="B19" s="13" t="n">
        <v>18.5</v>
      </c>
      <c r="C19" s="13" t="n">
        <v>21.14</v>
      </c>
      <c r="D19" s="13" t="n">
        <v>25.2</v>
      </c>
      <c r="E19" s="13" t="n">
        <v>17.79</v>
      </c>
      <c r="F19" s="13" t="n">
        <v>25.81</v>
      </c>
      <c r="G19" s="13" t="n">
        <v>38.2</v>
      </c>
    </row>
    <row r="20" customFormat="false" ht="15" hidden="false" customHeight="false" outlineLevel="0" collapsed="false">
      <c r="A20" s="6" t="s">
        <v>225</v>
      </c>
      <c r="B20" s="14" t="n">
        <f aca="false">+B15-B16+B17-B18-B19</f>
        <v>36.87</v>
      </c>
      <c r="C20" s="14" t="n">
        <f aca="false">+C15-C16+C17-C18-C19</f>
        <v>40.67</v>
      </c>
      <c r="D20" s="14" t="n">
        <f aca="false">+D15-D16+D17-D18-D19</f>
        <v>-39.1</v>
      </c>
      <c r="E20" s="14" t="n">
        <f aca="false">+E15-E16+E17-E18-E19</f>
        <v>28.95</v>
      </c>
      <c r="F20" s="14" t="n">
        <f aca="false">+F15-F16+F17-F18-F19</f>
        <v>49.98</v>
      </c>
      <c r="G20" s="14" t="n">
        <f aca="false">+G15-G16+G17-G18-G19</f>
        <v>74.74</v>
      </c>
    </row>
    <row r="22" customFormat="false" ht="15" hidden="false" customHeight="false" outlineLevel="0" collapsed="false">
      <c r="A22" s="6" t="s">
        <v>226</v>
      </c>
    </row>
    <row r="23" customFormat="false" ht="15" hidden="false" customHeight="false" outlineLevel="0" collapsed="false">
      <c r="A23" s="0" t="s">
        <v>227</v>
      </c>
      <c r="B23" s="44" t="n">
        <f aca="false">IF(B4=0,"n.m.",B13/B4)</f>
        <v>0.350547519264567</v>
      </c>
      <c r="C23" s="44" t="n">
        <f aca="false">IF(C4=0,"n.m.",C13/C4)</f>
        <v>0.2886641605337</v>
      </c>
      <c r="D23" s="44" t="n">
        <f aca="false">IF(D4=0,"n.m.",D13/D4)</f>
        <v>-0.00474533375514078</v>
      </c>
      <c r="E23" s="44" t="n">
        <f aca="false">IF(E4=0,"n.m.",E13/E4)</f>
        <v>0.213485487989162</v>
      </c>
      <c r="F23" s="44" t="n">
        <f aca="false">IF(F4=0,"n.m.",F13/F4)</f>
        <v>0.17174184161297</v>
      </c>
      <c r="G23" s="44" t="n">
        <f aca="false">IF(G4=0,"n.m.",G13/G4)</f>
        <v>0.161155718530695</v>
      </c>
    </row>
    <row r="24" customFormat="false" ht="15" hidden="false" customHeight="false" outlineLevel="0" collapsed="false">
      <c r="A24" s="0" t="s">
        <v>228</v>
      </c>
      <c r="B24" s="44" t="n">
        <f aca="false">IF(B6=0,"n.m.",B14/B6)</f>
        <v>-0.552325581395349</v>
      </c>
      <c r="C24" s="44" t="n">
        <f aca="false">IF(C6=0,"n.m.",C14/C6)</f>
        <v>0.460335195530726</v>
      </c>
      <c r="D24" s="44" t="n">
        <f aca="false">IF(D6=0,"n.m.",D14/D6)</f>
        <v>0.144018831585705</v>
      </c>
      <c r="E24" s="44" t="n">
        <f aca="false">IF(E6=0,"n.m.",E14/E6)</f>
        <v>0.164634146341463</v>
      </c>
      <c r="F24" s="44" t="n">
        <f aca="false">IF(F6=0,"n.m.",F14/F6)</f>
        <v>0.215965369235849</v>
      </c>
      <c r="G24" s="44" t="n">
        <f aca="false">IF(G6=0,"n.m.",G14/G6)</f>
        <v>0.199532739786576</v>
      </c>
    </row>
    <row r="25" customFormat="false" ht="15" hidden="false" customHeight="false" outlineLevel="0" collapsed="false">
      <c r="A25" s="0" t="s">
        <v>229</v>
      </c>
      <c r="B25" s="44" t="n">
        <f aca="false">+B15/B8</f>
        <v>0.323397001617204</v>
      </c>
      <c r="C25" s="44" t="n">
        <f aca="false">+C15/C8</f>
        <v>0.335854417015395</v>
      </c>
      <c r="D25" s="44" t="n">
        <f aca="false">+D15/D8</f>
        <v>0.058481127785357</v>
      </c>
      <c r="E25" s="44" t="n">
        <f aca="false">+E15/E8</f>
        <v>0.195364998197135</v>
      </c>
      <c r="F25" s="44" t="n">
        <f aca="false">+F15/F8</f>
        <v>0.197664666795691</v>
      </c>
      <c r="G25" s="44" t="n">
        <f aca="false">+G15/G8</f>
        <v>0.168838885026231</v>
      </c>
    </row>
    <row r="27" customFormat="false" ht="15" hidden="false" customHeight="false" outlineLevel="0" collapsed="false">
      <c r="A27" s="6" t="s">
        <v>230</v>
      </c>
    </row>
    <row r="28" customFormat="false" ht="15" hidden="false" customHeight="false" outlineLevel="0" collapsed="false">
      <c r="A28" s="27" t="s">
        <v>231</v>
      </c>
    </row>
    <row r="30" customFormat="false" ht="15" hidden="false" customHeight="false" outlineLevel="0" collapsed="false">
      <c r="A30" s="6" t="s">
        <v>232</v>
      </c>
    </row>
    <row r="31" customFormat="false" ht="15" hidden="false" customHeight="false" outlineLevel="0" collapsed="false">
      <c r="A31" s="0" t="s">
        <v>233</v>
      </c>
      <c r="F31" s="13" t="n">
        <v>0</v>
      </c>
      <c r="G31" s="13" t="n">
        <v>299.37</v>
      </c>
    </row>
    <row r="32" customFormat="false" ht="15" hidden="false" customHeight="false" outlineLevel="0" collapsed="false">
      <c r="A32" s="0" t="s">
        <v>234</v>
      </c>
      <c r="F32" s="13" t="n">
        <v>112.7</v>
      </c>
      <c r="G32" s="13" t="n">
        <v>142.96</v>
      </c>
    </row>
    <row r="33" customFormat="false" ht="15" hidden="false" customHeight="false" outlineLevel="0" collapsed="false">
      <c r="A33" s="0" t="s">
        <v>235</v>
      </c>
      <c r="F33" s="13" t="n">
        <v>246.6</v>
      </c>
      <c r="G33" s="13" t="n">
        <v>264.36</v>
      </c>
    </row>
    <row r="34" customFormat="false" ht="15" hidden="false" customHeight="false" outlineLevel="0" collapsed="false">
      <c r="A34" s="0" t="s">
        <v>236</v>
      </c>
      <c r="F34" s="45" t="n">
        <v>4</v>
      </c>
      <c r="G34" s="45" t="n">
        <v>3</v>
      </c>
    </row>
    <row r="36" customFormat="false" ht="69.75" hidden="false" customHeight="true" outlineLevel="0" collapsed="false">
      <c r="A36" s="46" t="s">
        <v>237</v>
      </c>
    </row>
    <row r="37" customFormat="false" ht="15" hidden="false" customHeight="false" outlineLevel="0" collapsed="false">
      <c r="A37" s="27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8" min="4" style="0" width="11"/>
  </cols>
  <sheetData>
    <row r="2" customFormat="false" ht="15" hidden="false" customHeight="false" outlineLevel="0" collapsed="false">
      <c r="B2" s="47" t="s">
        <v>239</v>
      </c>
      <c r="C2" s="48" t="n">
        <v>455</v>
      </c>
      <c r="D2" s="27" t="s">
        <v>240</v>
      </c>
    </row>
    <row r="3" customFormat="false" ht="15" hidden="false" customHeight="false" outlineLevel="0" collapsed="false">
      <c r="B3" s="49" t="s">
        <v>241</v>
      </c>
      <c r="C3" s="50" t="n">
        <f aca="false">'P&amp;L'!W36</f>
        <v>4.49175</v>
      </c>
      <c r="D3" s="27" t="s">
        <v>242</v>
      </c>
    </row>
    <row r="4" customFormat="false" ht="15" hidden="false" customHeight="false" outlineLevel="0" collapsed="false">
      <c r="B4" s="49" t="s">
        <v>243</v>
      </c>
      <c r="C4" s="38" t="n">
        <f aca="false">C2*C3</f>
        <v>2043.74625</v>
      </c>
    </row>
    <row r="6" customFormat="false" ht="15" hidden="false" customHeight="false" outlineLevel="0" collapsed="false">
      <c r="B6" s="3" t="s">
        <v>244</v>
      </c>
    </row>
    <row r="7" customFormat="false" ht="15" hidden="false" customHeight="false" outlineLevel="0" collapsed="false">
      <c r="D7" s="51" t="s">
        <v>23</v>
      </c>
      <c r="E7" s="51" t="s">
        <v>24</v>
      </c>
      <c r="F7" s="51" t="s">
        <v>25</v>
      </c>
      <c r="G7" s="51" t="s">
        <v>26</v>
      </c>
      <c r="H7" s="51" t="s">
        <v>27</v>
      </c>
    </row>
    <row r="8" customFormat="false" ht="15" hidden="false" customHeight="false" outlineLevel="0" collapsed="false">
      <c r="B8" s="49" t="s">
        <v>245</v>
      </c>
    </row>
    <row r="9" customFormat="false" ht="15" hidden="false" customHeight="false" outlineLevel="0" collapsed="false">
      <c r="B9" s="49" t="s">
        <v>246</v>
      </c>
      <c r="C9" s="6" t="s">
        <v>247</v>
      </c>
      <c r="D9" s="52" t="n">
        <f aca="false">'P&amp;L'!W19</f>
        <v>95.3559</v>
      </c>
      <c r="E9" s="52" t="n">
        <f aca="false">'P&amp;L'!X19</f>
        <v>0</v>
      </c>
      <c r="F9" s="52" t="n">
        <f aca="false">'P&amp;L'!Y19</f>
        <v>0</v>
      </c>
      <c r="G9" s="52" t="n">
        <f aca="false">'P&amp;L'!Z19</f>
        <v>0</v>
      </c>
      <c r="H9" s="52" t="n">
        <f aca="false">'P&amp;L'!AA19</f>
        <v>0</v>
      </c>
    </row>
    <row r="10" customFormat="false" ht="15" hidden="false" customHeight="false" outlineLevel="0" collapsed="false">
      <c r="B10" s="49" t="s">
        <v>248</v>
      </c>
      <c r="D10" s="52" t="n">
        <f aca="false">'P&amp;L'!W200</f>
        <v>11.2727</v>
      </c>
      <c r="E10" s="52" t="n">
        <f aca="false">'P&amp;L'!X200</f>
        <v>0</v>
      </c>
      <c r="F10" s="52" t="n">
        <f aca="false">'P&amp;L'!Y200</f>
        <v>0</v>
      </c>
      <c r="G10" s="52" t="n">
        <f aca="false">'P&amp;L'!Z200</f>
        <v>0</v>
      </c>
      <c r="H10" s="52" t="n">
        <f aca="false">'P&amp;L'!AA200</f>
        <v>0</v>
      </c>
    </row>
    <row r="11" customFormat="false" ht="15" hidden="false" customHeight="false" outlineLevel="0" collapsed="false">
      <c r="B11" s="49" t="str">
        <f aca="false">CONCATENATE("-@CMP of Rs.",ROUND($C$2,0),"/share")</f>
        <v>-@CMP of Rs.455/share</v>
      </c>
      <c r="C11" s="6" t="s">
        <v>249</v>
      </c>
      <c r="D11" s="53" t="n">
        <f aca="false">IF(D9&lt;=0,"",($C$4+D10)/D9)</f>
        <v>21.5510414143225</v>
      </c>
      <c r="E11" s="53" t="str">
        <f aca="false">IF(E9&lt;=0,"",($C$4+E10)/E9)</f>
        <v/>
      </c>
      <c r="F11" s="53" t="str">
        <f aca="false">IF(F9&lt;=0,"",($C$4+F10)/F9)</f>
        <v/>
      </c>
      <c r="G11" s="53" t="str">
        <f aca="false">IF(G9&lt;=0,"",($C$4+G10)/G9)</f>
        <v/>
      </c>
      <c r="H11" s="53" t="str">
        <f aca="false">IF(H9&lt;=0,"",($C$4+H10)/H9)</f>
        <v/>
      </c>
    </row>
    <row r="12" customFormat="false" ht="15" hidden="false" customHeight="false" outlineLevel="0" collapsed="false">
      <c r="A12" s="54" t="n">
        <v>8</v>
      </c>
      <c r="B12" s="49" t="str">
        <f aca="false">CONCATENATE("-Target Price @",ROUND(A12,0),"x EV/EBITDA")</f>
        <v>-Target Price @8x EV/EBITDA</v>
      </c>
      <c r="C12" s="6" t="s">
        <v>250</v>
      </c>
      <c r="E12" s="55" t="str">
        <f aca="false">IF(E$9&lt;=0,"",((E$9*$A12)-(E$10))/$C$3)</f>
        <v/>
      </c>
      <c r="F12" s="55" t="str">
        <f aca="false">IF(F$9&lt;=0,"",((F$9*$A12)-(F$10))/$C$3)</f>
        <v/>
      </c>
      <c r="G12" s="55" t="str">
        <f aca="false">IF(G$9&lt;=0,"",((G$9*$A12)-(G$10))/$C$3)</f>
        <v/>
      </c>
      <c r="H12" s="55" t="str">
        <f aca="false">IF(H$9&lt;=0,"",((H$9*$A12)-(H$10))/$C$3)</f>
        <v/>
      </c>
    </row>
    <row r="13" customFormat="false" ht="15" hidden="false" customHeight="false" outlineLevel="0" collapsed="false">
      <c r="A13" s="54" t="n">
        <v>10</v>
      </c>
      <c r="B13" s="49" t="str">
        <f aca="false">CONCATENATE("-Target Price @",ROUND(A13,0),"x EV/EBITDA")</f>
        <v>-Target Price @10x EV/EBITDA</v>
      </c>
      <c r="C13" s="6" t="s">
        <v>250</v>
      </c>
      <c r="E13" s="55" t="str">
        <f aca="false">IF(E$9&lt;=0,"",((E$9*$A13)-(E$10))/$C$3)</f>
        <v/>
      </c>
      <c r="F13" s="55" t="str">
        <f aca="false">IF(F$9&lt;=0,"",((F$9*$A13)-(F$10))/$C$3)</f>
        <v/>
      </c>
      <c r="G13" s="55" t="str">
        <f aca="false">IF(G$9&lt;=0,"",((G$9*$A13)-(G$10))/$C$3)</f>
        <v/>
      </c>
      <c r="H13" s="55" t="str">
        <f aca="false">IF(H$9&lt;=0,"",((H$9*$A13)-(H$10))/$C$3)</f>
        <v/>
      </c>
    </row>
    <row r="14" customFormat="false" ht="15" hidden="false" customHeight="false" outlineLevel="0" collapsed="false">
      <c r="A14" s="54" t="n">
        <v>12</v>
      </c>
      <c r="B14" s="49" t="str">
        <f aca="false">CONCATENATE("-Target Price @",ROUND(A14,0),"x EV/EBITDA")</f>
        <v>-Target Price @12x EV/EBITDA</v>
      </c>
      <c r="C14" s="6" t="s">
        <v>250</v>
      </c>
      <c r="E14" s="55" t="str">
        <f aca="false">IF(E$9&lt;=0,"",((E$9*$A14)-(E$10))/$C$3)</f>
        <v/>
      </c>
      <c r="F14" s="55" t="str">
        <f aca="false">IF(F$9&lt;=0,"",((F$9*$A14)-(F$10))/$C$3)</f>
        <v/>
      </c>
      <c r="G14" s="55" t="str">
        <f aca="false">IF(G$9&lt;=0,"",((G$9*$A14)-(G$10))/$C$3)</f>
        <v/>
      </c>
      <c r="H14" s="55" t="str">
        <f aca="false">IF(H$9&lt;=0,"",((H$9*$A14)-(H$10))/$C$3)</f>
        <v/>
      </c>
    </row>
    <row r="15" customFormat="false" ht="15" hidden="false" customHeight="false" outlineLevel="0" collapsed="false">
      <c r="B15" s="27" t="s">
        <v>251</v>
      </c>
      <c r="E15" s="44" t="str">
        <f aca="false">IF(E14="","",E14/$C$2-1)</f>
        <v/>
      </c>
      <c r="F15" s="44" t="str">
        <f aca="false">IF(F14="","",F14/$C$2-1)</f>
        <v/>
      </c>
      <c r="G15" s="44" t="str">
        <f aca="false">IF(G14="","",G14/$C$2-1)</f>
        <v/>
      </c>
      <c r="H15" s="44" t="str">
        <f aca="false">IF(H14="","",H14/$C$2-1)</f>
        <v/>
      </c>
    </row>
    <row r="17" customFormat="false" ht="15" hidden="false" customHeight="false" outlineLevel="0" collapsed="false">
      <c r="B17" s="49" t="s">
        <v>252</v>
      </c>
    </row>
    <row r="18" customFormat="false" ht="15" hidden="false" customHeight="false" outlineLevel="0" collapsed="false">
      <c r="B18" s="0" t="s">
        <v>253</v>
      </c>
      <c r="C18" s="53" t="n">
        <f aca="false">$C$2/'P&amp;L'!W37</f>
        <v>39.9503930050765</v>
      </c>
    </row>
    <row r="19" customFormat="false" ht="15" hidden="false" customHeight="false" outlineLevel="0" collapsed="false">
      <c r="B19" s="0" t="s">
        <v>254</v>
      </c>
      <c r="C19" s="53" t="n">
        <f aca="false">$C$4/'P&amp;L'!W46</f>
        <v>4.1358572142636</v>
      </c>
    </row>
    <row r="20" customFormat="false" ht="15" hidden="false" customHeight="false" outlineLevel="0" collapsed="false">
      <c r="B20" s="0" t="s">
        <v>255</v>
      </c>
      <c r="C20" s="53" t="n">
        <f aca="false">($C$4+D10)/'P&amp;L'!W3</f>
        <v>2.59784552733502</v>
      </c>
    </row>
    <row r="22" customFormat="false" ht="60" hidden="false" customHeight="true" outlineLevel="0" collapsed="false">
      <c r="B22" s="46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  <col collapsed="false" customWidth="true" hidden="false" outlineLevel="0" max="7" min="3" style="0" width="20"/>
  </cols>
  <sheetData>
    <row r="1" customFormat="false" ht="15" hidden="false" customHeight="false" outlineLevel="0" collapsed="false">
      <c r="A1" s="6" t="s">
        <v>257</v>
      </c>
      <c r="B1" s="56"/>
    </row>
    <row r="2" customFormat="false" ht="45" hidden="false" customHeight="true" outlineLevel="0" collapsed="false">
      <c r="A2" s="11" t="s">
        <v>258</v>
      </c>
      <c r="B2" s="56" t="s">
        <v>259</v>
      </c>
    </row>
    <row r="3" customFormat="false" ht="45" hidden="false" customHeight="true" outlineLevel="0" collapsed="false">
      <c r="A3" s="11" t="s">
        <v>260</v>
      </c>
      <c r="B3" s="56" t="s">
        <v>261</v>
      </c>
    </row>
    <row r="4" customFormat="false" ht="30" hidden="false" customHeight="true" outlineLevel="0" collapsed="false">
      <c r="A4" s="11" t="s">
        <v>262</v>
      </c>
      <c r="B4" s="56" t="s">
        <v>263</v>
      </c>
    </row>
    <row r="5" customFormat="false" ht="15" hidden="false" customHeight="false" outlineLevel="0" collapsed="false">
      <c r="A5" s="11"/>
      <c r="B5" s="56"/>
    </row>
    <row r="6" customFormat="false" ht="15" hidden="false" customHeight="false" outlineLevel="0" collapsed="false">
      <c r="A6" s="6" t="s">
        <v>264</v>
      </c>
      <c r="B6" s="56"/>
    </row>
    <row r="7" customFormat="false" ht="45" hidden="false" customHeight="true" outlineLevel="0" collapsed="false">
      <c r="A7" s="11" t="s">
        <v>265</v>
      </c>
      <c r="B7" s="56" t="s">
        <v>266</v>
      </c>
    </row>
    <row r="8" customFormat="false" ht="30" hidden="false" customHeight="true" outlineLevel="0" collapsed="false">
      <c r="A8" s="11" t="s">
        <v>267</v>
      </c>
      <c r="B8" s="56" t="s">
        <v>268</v>
      </c>
    </row>
    <row r="9" customFormat="false" ht="45" hidden="false" customHeight="true" outlineLevel="0" collapsed="false">
      <c r="A9" s="11" t="s">
        <v>269</v>
      </c>
      <c r="B9" s="56" t="s">
        <v>270</v>
      </c>
    </row>
    <row r="10" customFormat="false" ht="30" hidden="false" customHeight="true" outlineLevel="0" collapsed="false">
      <c r="A10" s="11" t="s">
        <v>271</v>
      </c>
      <c r="B10" s="56" t="s">
        <v>272</v>
      </c>
    </row>
    <row r="11" customFormat="false" ht="30" hidden="false" customHeight="true" outlineLevel="0" collapsed="false">
      <c r="A11" s="11" t="s">
        <v>273</v>
      </c>
      <c r="B11" s="56" t="s">
        <v>274</v>
      </c>
    </row>
    <row r="12" customFormat="false" ht="30" hidden="false" customHeight="true" outlineLevel="0" collapsed="false">
      <c r="A12" s="11" t="s">
        <v>275</v>
      </c>
      <c r="B12" s="56" t="s">
        <v>276</v>
      </c>
    </row>
    <row r="13" customFormat="false" ht="45" hidden="false" customHeight="true" outlineLevel="0" collapsed="false">
      <c r="A13" s="11" t="s">
        <v>277</v>
      </c>
      <c r="B13" s="56" t="s">
        <v>278</v>
      </c>
    </row>
    <row r="14" customFormat="false" ht="30" hidden="false" customHeight="true" outlineLevel="0" collapsed="false">
      <c r="A14" s="11" t="s">
        <v>279</v>
      </c>
      <c r="B14" s="56" t="s">
        <v>280</v>
      </c>
    </row>
    <row r="15" customFormat="false" ht="45" hidden="false" customHeight="true" outlineLevel="0" collapsed="false">
      <c r="A15" s="11" t="s">
        <v>281</v>
      </c>
      <c r="B15" s="56" t="s">
        <v>282</v>
      </c>
    </row>
    <row r="16" customFormat="false" ht="15" hidden="false" customHeight="false" outlineLevel="0" collapsed="false">
      <c r="A16" s="11"/>
      <c r="B16" s="56"/>
    </row>
    <row r="17" customFormat="false" ht="15" hidden="false" customHeight="false" outlineLevel="0" collapsed="false">
      <c r="A17" s="6" t="s">
        <v>283</v>
      </c>
      <c r="B17" s="56"/>
    </row>
    <row r="18" customFormat="false" ht="15" hidden="false" customHeight="false" outlineLevel="0" collapsed="false">
      <c r="A18" s="3" t="s">
        <v>284</v>
      </c>
      <c r="B18" s="3" t="s">
        <v>285</v>
      </c>
      <c r="C18" s="3" t="s">
        <v>286</v>
      </c>
      <c r="D18" s="3" t="s">
        <v>287</v>
      </c>
      <c r="E18" s="3" t="s">
        <v>288</v>
      </c>
      <c r="F18" s="3" t="s">
        <v>289</v>
      </c>
      <c r="G18" s="3" t="s">
        <v>290</v>
      </c>
    </row>
    <row r="19" customFormat="false" ht="15" hidden="false" customHeight="false" outlineLevel="0" collapsed="false">
      <c r="A19" s="0" t="s">
        <v>23</v>
      </c>
      <c r="B19" s="13" t="n">
        <v>491.8</v>
      </c>
      <c r="C19" s="13" t="n">
        <v>791</v>
      </c>
      <c r="D19" s="13" t="n">
        <v>44.8</v>
      </c>
      <c r="E19" s="13" t="n">
        <v>51.8</v>
      </c>
      <c r="F19" s="13" t="n">
        <v>447.6</v>
      </c>
      <c r="G19" s="13" t="n">
        <v>494.2</v>
      </c>
    </row>
    <row r="20" customFormat="false" ht="15" hidden="false" customHeight="false" outlineLevel="0" collapsed="false">
      <c r="A20" s="0" t="s">
        <v>22</v>
      </c>
      <c r="B20" s="13" t="n">
        <v>464.1</v>
      </c>
      <c r="C20" s="13" t="n">
        <v>465</v>
      </c>
      <c r="D20" s="13" t="n">
        <v>41</v>
      </c>
      <c r="E20" s="13" t="n">
        <v>42.2</v>
      </c>
      <c r="F20" s="13" t="n">
        <v>396.7</v>
      </c>
      <c r="G20" s="13" t="n">
        <v>398.7</v>
      </c>
    </row>
    <row r="21" customFormat="false" ht="15" hidden="false" customHeight="false" outlineLevel="0" collapsed="false">
      <c r="A21" s="0" t="s">
        <v>21</v>
      </c>
      <c r="B21" s="13" t="n">
        <v>305.1</v>
      </c>
      <c r="C21" s="13" t="n">
        <v>305.1</v>
      </c>
      <c r="D21" s="13" t="n">
        <v>28.7</v>
      </c>
      <c r="E21" s="13" t="n">
        <v>25.5</v>
      </c>
      <c r="F21" s="13" t="n">
        <v>276.5</v>
      </c>
      <c r="G21" s="13" t="n">
        <v>277.9</v>
      </c>
    </row>
    <row r="22" customFormat="false" ht="15" hidden="false" customHeight="false" outlineLevel="0" collapsed="false">
      <c r="A22" s="0" t="s">
        <v>20</v>
      </c>
      <c r="B22" s="13" t="n">
        <v>109.9</v>
      </c>
      <c r="C22" s="13" t="n">
        <v>110</v>
      </c>
      <c r="D22" s="13" t="n">
        <v>-29.3</v>
      </c>
      <c r="E22" s="13" t="n">
        <v>-44.4</v>
      </c>
      <c r="F22" s="13" t="n">
        <v>193.6</v>
      </c>
      <c r="G22" s="13" t="n">
        <v>199.5</v>
      </c>
    </row>
    <row r="23" customFormat="false" ht="15" hidden="false" customHeight="false" outlineLevel="0" collapsed="false">
      <c r="A23" s="0" t="s">
        <v>19</v>
      </c>
      <c r="B23" s="13" t="n">
        <v>254.1</v>
      </c>
      <c r="C23" s="13" t="n">
        <v>260.5</v>
      </c>
      <c r="D23" s="13" t="n">
        <v>62.8</v>
      </c>
      <c r="E23" s="13" t="n">
        <v>38.8</v>
      </c>
      <c r="F23" s="13" t="n">
        <v>222</v>
      </c>
      <c r="G23" s="13" t="n">
        <v>241.8</v>
      </c>
    </row>
    <row r="24" customFormat="false" ht="15" hidden="false" customHeight="false" outlineLevel="0" collapsed="false">
      <c r="A24" s="0" t="s">
        <v>18</v>
      </c>
      <c r="B24" s="13" t="n">
        <v>140.7</v>
      </c>
      <c r="C24" s="13" t="n">
        <v>228.8</v>
      </c>
      <c r="D24" s="13" t="n">
        <v>21.6</v>
      </c>
      <c r="E24" s="13" t="n">
        <v>22.6</v>
      </c>
      <c r="F24" s="13" t="n">
        <v>160.8</v>
      </c>
      <c r="G24" s="13" t="n">
        <v>203.4</v>
      </c>
    </row>
    <row r="25" customFormat="false" ht="15" hidden="false" customHeight="false" outlineLevel="0" collapsed="false">
      <c r="A25" s="0" t="s">
        <v>17</v>
      </c>
      <c r="B25" s="13" t="n">
        <v>64.5</v>
      </c>
      <c r="C25" s="13" t="n">
        <v>273.2</v>
      </c>
      <c r="D25" s="13" t="n">
        <v>4.7</v>
      </c>
      <c r="E25" s="13" t="n">
        <v>29.2</v>
      </c>
      <c r="F25" s="13" t="n">
        <v>138.9</v>
      </c>
      <c r="G25" s="13" t="n">
        <v>181.5</v>
      </c>
    </row>
    <row r="26" customFormat="false" ht="15" hidden="false" customHeight="false" outlineLevel="0" collapsed="false">
      <c r="A26" s="0" t="s">
        <v>16</v>
      </c>
      <c r="B26" s="13" t="n">
        <v>156.8</v>
      </c>
      <c r="C26" s="13" t="n">
        <v>193.9</v>
      </c>
      <c r="D26" s="13" t="n">
        <v>1.6</v>
      </c>
      <c r="E26" s="13" t="n">
        <v>9.1</v>
      </c>
      <c r="F26" s="13" t="n">
        <v>136.8</v>
      </c>
      <c r="G26" s="13" t="n">
        <v>152</v>
      </c>
    </row>
    <row r="27" customFormat="false" ht="15" hidden="false" customHeight="false" outlineLevel="0" collapsed="false">
      <c r="A27" s="0" t="s">
        <v>15</v>
      </c>
      <c r="B27" s="13" t="n">
        <v>95.7</v>
      </c>
      <c r="C27" s="13" t="n">
        <v>222.2</v>
      </c>
      <c r="D27" s="13" t="n">
        <v>-20.7</v>
      </c>
      <c r="E27" s="13" t="n">
        <v>10.3</v>
      </c>
      <c r="F27" s="13" t="n">
        <v>134.5</v>
      </c>
      <c r="G27" s="13" t="n">
        <v>140.5</v>
      </c>
    </row>
    <row r="28" customFormat="false" ht="15" hidden="false" customHeight="false" outlineLevel="0" collapsed="false">
      <c r="A28" s="0" t="s">
        <v>14</v>
      </c>
      <c r="B28" s="13" t="n">
        <v>43.4</v>
      </c>
      <c r="C28" s="13" t="n">
        <v>124.3</v>
      </c>
      <c r="D28" s="13" t="n">
        <v>0.8</v>
      </c>
      <c r="E28" s="13" t="n">
        <v>-18.2</v>
      </c>
      <c r="F28" s="13" t="n">
        <v>106.8</v>
      </c>
      <c r="G28" s="13" t="n">
        <v>81.8</v>
      </c>
    </row>
    <row r="29" customFormat="false" ht="15" hidden="false" customHeight="false" outlineLevel="0" collapsed="false">
      <c r="A29" s="0" t="s">
        <v>13</v>
      </c>
      <c r="B29" s="13" t="n">
        <v>9.4</v>
      </c>
      <c r="C29" s="13" t="n">
        <v>77.7</v>
      </c>
      <c r="D29" s="13" t="n">
        <v>-29.4</v>
      </c>
      <c r="E29" s="13" t="n">
        <v>-27.1</v>
      </c>
      <c r="F29" s="13" t="n">
        <v>17.4</v>
      </c>
      <c r="G29" s="13" t="n">
        <v>10.1</v>
      </c>
    </row>
    <row r="30" customFormat="false" ht="15" hidden="false" customHeight="false" outlineLevel="0" collapsed="false">
      <c r="A30" s="0" t="s">
        <v>12</v>
      </c>
      <c r="B30" s="13" t="n">
        <v>1.4</v>
      </c>
      <c r="C30" s="13" t="n">
        <v>140.8</v>
      </c>
      <c r="D30" s="13" t="n">
        <v>-16.8</v>
      </c>
      <c r="E30" s="13" t="n">
        <v>-27</v>
      </c>
      <c r="F30" s="13" t="n">
        <v>46.8</v>
      </c>
      <c r="G30" s="13" t="n">
        <v>37.2</v>
      </c>
    </row>
    <row r="31" customFormat="false" ht="15" hidden="false" customHeight="false" outlineLevel="0" collapsed="false">
      <c r="A31" s="0" t="s">
        <v>11</v>
      </c>
      <c r="B31" s="13" t="n">
        <v>18</v>
      </c>
      <c r="C31" s="13" t="n">
        <v>121.8</v>
      </c>
      <c r="D31" s="13" t="n">
        <v>-25</v>
      </c>
      <c r="E31" s="13" t="n">
        <v>-23.4</v>
      </c>
      <c r="F31" s="13" t="n">
        <v>63.9</v>
      </c>
      <c r="G31" s="13" t="n">
        <v>65</v>
      </c>
    </row>
    <row r="32" customFormat="false" ht="15" hidden="false" customHeight="false" outlineLevel="0" collapsed="false">
      <c r="A32" s="0" t="s">
        <v>10</v>
      </c>
      <c r="B32" s="13" t="n">
        <v>53.5</v>
      </c>
      <c r="C32" s="13" t="n">
        <v>55.4</v>
      </c>
      <c r="D32" s="13" t="n">
        <v>-9.4</v>
      </c>
      <c r="E32" s="13" t="n">
        <v>-10.3</v>
      </c>
      <c r="F32" s="13" t="n">
        <v>73.8</v>
      </c>
      <c r="G32" s="13" t="n">
        <v>72.2</v>
      </c>
    </row>
    <row r="33" customFormat="false" ht="15" hidden="false" customHeight="false" outlineLevel="0" collapsed="false">
      <c r="A33" s="0" t="s">
        <v>9</v>
      </c>
      <c r="B33" s="13" t="n">
        <v>45.3</v>
      </c>
      <c r="C33" s="13" t="n">
        <v>45.3</v>
      </c>
      <c r="D33" s="13" t="n">
        <v>-9</v>
      </c>
      <c r="E33" s="13" t="n">
        <v>-9</v>
      </c>
      <c r="F33" s="13" t="n">
        <v>83.2</v>
      </c>
      <c r="G33" s="13" t="n">
        <v>82.3</v>
      </c>
    </row>
    <row r="34" customFormat="false" ht="15" hidden="false" customHeight="false" outlineLevel="0" collapsed="false">
      <c r="A34" s="0" t="s">
        <v>8</v>
      </c>
      <c r="B34" s="13" t="n">
        <v>64.1</v>
      </c>
      <c r="C34" s="13" t="n">
        <v>64.1</v>
      </c>
      <c r="D34" s="13" t="n">
        <v>-6.8</v>
      </c>
      <c r="E34" s="13" t="n">
        <v>-7.5</v>
      </c>
      <c r="F34" s="13" t="n">
        <v>92.2</v>
      </c>
      <c r="G34" s="13" t="n">
        <v>91.5</v>
      </c>
    </row>
    <row r="35" customFormat="false" ht="15" hidden="false" customHeight="false" outlineLevel="0" collapsed="false">
      <c r="A35" s="0" t="s">
        <v>7</v>
      </c>
      <c r="B35" s="13" t="n">
        <v>20.2</v>
      </c>
      <c r="C35" s="13" t="n">
        <v>20.2</v>
      </c>
      <c r="D35" s="13" t="n">
        <v>-0.9</v>
      </c>
      <c r="E35" s="13" t="n">
        <v>-0.9</v>
      </c>
      <c r="F35" s="13" t="n">
        <v>99.1</v>
      </c>
      <c r="G35" s="13" t="n">
        <v>100.4</v>
      </c>
    </row>
    <row r="36" customFormat="false" ht="15" hidden="false" customHeight="false" outlineLevel="0" collapsed="false">
      <c r="A36" s="0" t="s">
        <v>6</v>
      </c>
      <c r="B36" s="13" t="n">
        <v>68.8</v>
      </c>
      <c r="C36" s="13" t="n">
        <v>68.8</v>
      </c>
      <c r="D36" s="13" t="n">
        <v>5.3</v>
      </c>
      <c r="E36" s="13" t="n">
        <v>5.3</v>
      </c>
      <c r="F36" s="13" t="n">
        <v>75.1</v>
      </c>
      <c r="G36" s="13" t="n">
        <v>77.9</v>
      </c>
    </row>
    <row r="39" customFormat="false" ht="15" hidden="false" customHeight="false" outlineLevel="0" collapsed="false">
      <c r="A39" s="6" t="s">
        <v>291</v>
      </c>
      <c r="B39" s="56"/>
    </row>
    <row r="40" customFormat="false" ht="45" hidden="false" customHeight="true" outlineLevel="0" collapsed="false">
      <c r="A40" s="6" t="s">
        <v>292</v>
      </c>
      <c r="B40" s="56" t="s">
        <v>293</v>
      </c>
    </row>
    <row r="41" customFormat="false" ht="30" hidden="false" customHeight="true" outlineLevel="0" collapsed="false">
      <c r="A41" s="6" t="s">
        <v>294</v>
      </c>
      <c r="B41" s="56" t="s">
        <v>295</v>
      </c>
    </row>
    <row r="42" customFormat="false" ht="30" hidden="false" customHeight="true" outlineLevel="0" collapsed="false">
      <c r="A42" s="6" t="s">
        <v>296</v>
      </c>
      <c r="B42" s="56" t="s">
        <v>297</v>
      </c>
    </row>
    <row r="43" customFormat="false" ht="30" hidden="false" customHeight="true" outlineLevel="0" collapsed="false">
      <c r="A43" s="6" t="s">
        <v>298</v>
      </c>
      <c r="B43" s="56" t="s">
        <v>299</v>
      </c>
    </row>
    <row r="44" customFormat="false" ht="15" hidden="false" customHeight="false" outlineLevel="0" collapsed="false">
      <c r="A44" s="11"/>
      <c r="B44" s="56"/>
    </row>
    <row r="45" customFormat="false" ht="15" hidden="false" customHeight="false" outlineLevel="0" collapsed="false">
      <c r="A45" s="6" t="s">
        <v>300</v>
      </c>
      <c r="B45" s="56"/>
    </row>
    <row r="46" customFormat="false" ht="60" hidden="false" customHeight="true" outlineLevel="0" collapsed="false">
      <c r="A46" s="6" t="s">
        <v>301</v>
      </c>
      <c r="B46" s="56" t="s">
        <v>302</v>
      </c>
    </row>
    <row r="47" customFormat="false" ht="45" hidden="false" customHeight="true" outlineLevel="0" collapsed="false">
      <c r="A47" s="6" t="s">
        <v>303</v>
      </c>
      <c r="B47" s="56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2026-10-18T12:01:11Z</dcterms:created>
  <dc:creator>openpyxl</dc:creator>
  <dc:description/>
  <dc:language>en-US</dc:language>
  <cp:lastModifiedBy/>
  <dcterms:modified xsi:type="dcterms:W3CDTF">2026-10-18T12:01:11Z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