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&amp;L" sheetId="1" state="visible" r:id="rId3"/>
    <sheet name="Drivers" sheetId="2" state="visible" r:id="rId4"/>
    <sheet name="TAM" sheetId="3" state="visible" r:id="rId5"/>
    <sheet name="Quarterly" sheetId="4" state="visible" r:id="rId6"/>
    <sheet name="Segments" sheetId="5" state="visible" r:id="rId7"/>
    <sheet name="Valuations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9" authorId="0">
      <text>
        <r>
          <rPr>
            <sz val="10"/>
            <rFont val="Arial"/>
            <family val="2"/>
          </rPr>
          <t xml:space="preserve">Indian GAAP audited statement: PBT + finance cost + depreciation - other income.</t>
        </r>
      </text>
    </comment>
    <comment ref="B33" authorId="0">
      <text>
        <r>
          <rPr>
            <sz val="10"/>
            <rFont val="Arial"/>
            <family val="2"/>
          </rPr>
          <t xml:space="preserve">228,500 sh FV10 x32 (31:1 bonus Dec-23) x2 (split Nov-25) = 1.4624 cr. FY25 adds CCPS conversion + reserved bonus (18.25 lakh FV10). FY26 = 2,04,59,200 (AR). Post-IPO (Aug-26) = 2,72,82,728.</t>
        </r>
      </text>
    </comment>
    <comment ref="C19" authorId="0">
      <text>
        <r>
          <rPr>
            <sz val="10"/>
            <rFont val="Arial"/>
            <family val="2"/>
          </rPr>
          <t xml:space="preserve">Indian GAAP audited statement: PBT + finance cost + depreciation - other income.</t>
        </r>
      </text>
    </comment>
    <comment ref="C33" authorId="0">
      <text>
        <r>
          <rPr>
            <sz val="10"/>
            <rFont val="Arial"/>
            <family val="2"/>
          </rPr>
          <t xml:space="preserve">228,500 sh FV10 x32 (31:1 bonus Dec-23) x2 (split Nov-25) = 1.4624 cr. FY25 adds CCPS conversion + reserved bonus (18.25 lakh FV10). FY26 = 2,04,59,200 (AR). Post-IPO (Aug-26) = 2,72,82,728.</t>
        </r>
      </text>
    </comment>
    <comment ref="D19" authorId="0">
      <text>
        <r>
          <rPr>
            <sz val="10"/>
            <rFont val="Arial"/>
            <family val="2"/>
          </rPr>
          <t xml:space="preserve">Indian GAAP audited statement: PBT + finance cost + depreciation - other income.</t>
        </r>
      </text>
    </comment>
    <comment ref="D33" authorId="0">
      <text>
        <r>
          <rPr>
            <sz val="10"/>
            <rFont val="Arial"/>
            <family val="2"/>
          </rPr>
          <t xml:space="preserve">228,500 sh FV10 x32 (31:1 bonus Dec-23) x2 (split Nov-25) = 1.4624 cr. FY25 adds CCPS conversion + reserved bonus (18.25 lakh FV10). FY26 = 2,04,59,200 (AR). Post-IPO (Aug-26) = 2,72,82,728.</t>
        </r>
      </text>
    </comment>
    <comment ref="E12" authorId="0">
      <text>
        <r>
          <rPr>
            <sz val="10"/>
            <rFont val="Arial"/>
            <family val="2"/>
          </rPr>
          <t xml:space="preserve">FY25-26 audited AR note 24 (95.66 / 137.60 mn); FY24 restated per prospectus. ACE shows 9.48 / 13.14.</t>
        </r>
      </text>
    </comment>
    <comment ref="E16" authorId="0">
      <text>
        <r>
          <rPr>
            <sz val="10"/>
            <rFont val="Arial"/>
            <family val="2"/>
          </rPr>
          <t xml:space="preserve">Balancing line so that rows 11-16 tie to audited Other Expenses (FY24 8.81, FY25 8.90, FY26 11.10). ACE split used for the sub-lines.</t>
        </r>
      </text>
    </comment>
    <comment ref="E25" authorId="0">
      <text>
        <r>
          <rPr>
            <sz val="10"/>
            <rFont val="Arial"/>
            <family val="2"/>
          </rPr>
          <t xml:space="preserve">FY25-26 audited AR note 25 (30.42 / 34.90 mn); FY24 restated. ACE shows 3.55 / 4.14 (ACE moves ~Rs 0.5-0.65 cr of opex into interest; PBT ties).</t>
        </r>
      </text>
    </comment>
    <comment ref="E33" authorId="0">
      <text>
        <r>
          <rPr>
            <sz val="10"/>
            <rFont val="Arial"/>
            <family val="2"/>
          </rPr>
          <t xml:space="preserve">228,500 sh FV10 x32 (31:1 bonus Dec-23) x2 (split Nov-25) = 1.4624 cr. FY25 adds CCPS conversion + reserved bonus (18.25 lakh FV10). FY26 = 2,04,59,200 (AR). Post-IPO (Aug-26) = 2,72,82,728.</t>
        </r>
      </text>
    </comment>
    <comment ref="E70" authorId="0">
      <text>
        <r>
          <rPr>
            <sz val="10"/>
            <rFont val="Arial"/>
            <family val="2"/>
          </rPr>
          <t xml:space="preserve">AR FY26 balance sheet: Investment property 105.15 mn (FY25 109.51). Land &amp; building let to group company IBoard India Ltd (rent 2.40 mn p.a.). ACE labels this line "Assets in transit".</t>
        </r>
      </text>
    </comment>
    <comment ref="F12" authorId="0">
      <text>
        <r>
          <rPr>
            <sz val="10"/>
            <rFont val="Arial"/>
            <family val="2"/>
          </rPr>
          <t xml:space="preserve">FY25-26 audited AR note 24 (95.66 / 137.60 mn); FY24 restated per prospectus. ACE shows 9.48 / 13.14.</t>
        </r>
      </text>
    </comment>
    <comment ref="F16" authorId="0">
      <text>
        <r>
          <rPr>
            <sz val="10"/>
            <rFont val="Arial"/>
            <family val="2"/>
          </rPr>
          <t xml:space="preserve">Balancing line so that rows 11-16 tie to audited Other Expenses (FY24 8.81, FY25 8.90, FY26 11.10). ACE split used for the sub-lines.</t>
        </r>
      </text>
    </comment>
    <comment ref="F25" authorId="0">
      <text>
        <r>
          <rPr>
            <sz val="10"/>
            <rFont val="Arial"/>
            <family val="2"/>
          </rPr>
          <t xml:space="preserve">FY25-26 audited AR note 25 (30.42 / 34.90 mn); FY24 restated. ACE shows 3.55 / 4.14 (ACE moves ~Rs 0.5-0.65 cr of opex into interest; PBT ties).</t>
        </r>
      </text>
    </comment>
    <comment ref="F33" authorId="0">
      <text>
        <r>
          <rPr>
            <sz val="10"/>
            <rFont val="Arial"/>
            <family val="2"/>
          </rPr>
          <t xml:space="preserve">228,500 sh FV10 x32 (31:1 bonus Dec-23) x2 (split Nov-25) = 1.4624 cr. FY25 adds CCPS conversion + reserved bonus (18.25 lakh FV10). FY26 = 2,04,59,200 (AR). Post-IPO (Aug-26) = 2,72,82,728.</t>
        </r>
      </text>
    </comment>
    <comment ref="F57" authorId="0">
      <text>
        <r>
          <rPr>
            <sz val="10"/>
            <rFont val="Arial"/>
            <family val="2"/>
          </rPr>
          <t xml:space="preserve">restated BS (PPT p.23). ACE shows current maturities of term loans inside Other Current Liabilities; moved here so Total Debt ties to ACE/AR total.</t>
        </r>
      </text>
    </comment>
    <comment ref="F70" authorId="0">
      <text>
        <r>
          <rPr>
            <sz val="10"/>
            <rFont val="Arial"/>
            <family val="2"/>
          </rPr>
          <t xml:space="preserve">AR FY26 balance sheet: Investment property 105.15 mn (FY25 109.51). Land &amp; building let to group company IBoard India Ltd (rent 2.40 mn p.a.). ACE labels this line "Assets in transit".</t>
        </r>
      </text>
    </comment>
    <comment ref="F129" authorId="0">
      <text>
        <r>
          <rPr>
            <sz val="10"/>
            <rFont val="Arial"/>
            <family val="2"/>
          </rPr>
          <t xml:space="preserve">57,025 CCPS at Rs.570 (calls FY24) = Rs.3.25 cr; Ramendra Pratap Singh / Sangeeta Singh (reclassified promoter Nov-25). Prospectus p.104-106.</t>
        </r>
      </text>
    </comment>
    <comment ref="G12" authorId="0">
      <text>
        <r>
          <rPr>
            <sz val="10"/>
            <rFont val="Arial"/>
            <family val="2"/>
          </rPr>
          <t xml:space="preserve">FY25-26 audited AR note 24 (95.66 / 137.60 mn); FY24 restated per prospectus. ACE shows 9.48 / 13.14.</t>
        </r>
      </text>
    </comment>
    <comment ref="G16" authorId="0">
      <text>
        <r>
          <rPr>
            <sz val="10"/>
            <rFont val="Arial"/>
            <family val="2"/>
          </rPr>
          <t xml:space="preserve">Balancing line so that rows 11-16 tie to audited Other Expenses (FY24 8.81, FY25 8.90, FY26 11.10). ACE split used for the sub-lines.</t>
        </r>
      </text>
    </comment>
    <comment ref="G25" authorId="0">
      <text>
        <r>
          <rPr>
            <sz val="10"/>
            <rFont val="Arial"/>
            <family val="2"/>
          </rPr>
          <t xml:space="preserve">FY25-26 audited AR note 25 (30.42 / 34.90 mn); FY24 restated. ACE shows 3.55 / 4.14 (ACE moves ~Rs 0.5-0.65 cr of opex into interest; PBT ties).</t>
        </r>
      </text>
    </comment>
    <comment ref="G33" authorId="0">
      <text>
        <r>
          <rPr>
            <sz val="10"/>
            <rFont val="Arial"/>
            <family val="2"/>
          </rPr>
          <t xml:space="preserve">228,500 sh FV10 x32 (31:1 bonus Dec-23) x2 (split Nov-25) = 1.4624 cr. FY25 adds CCPS conversion + reserved bonus (18.25 lakh FV10). FY26 = 2,04,59,200 (AR). Post-IPO (Aug-26) = 2,72,82,728.</t>
        </r>
      </text>
    </comment>
    <comment ref="G57" authorId="0">
      <text>
        <r>
          <rPr>
            <sz val="10"/>
            <rFont val="Arial"/>
            <family val="2"/>
          </rPr>
          <t xml:space="preserve">AR FY26 note 13: current borrowings 224.29 mn. ACE shows current maturities of term loans inside Other Current Liabilities; moved here so Total Debt ties to ACE/AR total.</t>
        </r>
      </text>
    </comment>
    <comment ref="G70" authorId="0">
      <text>
        <r>
          <rPr>
            <sz val="10"/>
            <rFont val="Arial"/>
            <family val="2"/>
          </rPr>
          <t xml:space="preserve">AR FY26 balance sheet: Investment property 105.15 mn (FY25 109.51). Land &amp; building let to group company IBoard India Ltd (rent 2.40 mn p.a.). ACE labels this line "Assets in transit".</t>
        </r>
      </text>
    </comment>
    <comment ref="H12" authorId="0">
      <text>
        <r>
          <rPr>
            <sz val="10"/>
            <rFont val="Arial"/>
            <family val="2"/>
          </rPr>
          <t xml:space="preserve">FY25-26 audited AR note 24 (95.66 / 137.60 mn); FY24 restated per prospectus. ACE shows 9.48 / 13.14.</t>
        </r>
      </text>
    </comment>
    <comment ref="H16" authorId="0">
      <text>
        <r>
          <rPr>
            <sz val="10"/>
            <rFont val="Arial"/>
            <family val="2"/>
          </rPr>
          <t xml:space="preserve">Balancing line so that rows 11-16 tie to audited Other Expenses (FY24 8.81, FY25 8.90, FY26 11.10). ACE split used for the sub-lines.</t>
        </r>
      </text>
    </comment>
    <comment ref="H25" authorId="0">
      <text>
        <r>
          <rPr>
            <sz val="10"/>
            <rFont val="Arial"/>
            <family val="2"/>
          </rPr>
          <t xml:space="preserve">FY25-26 audited AR note 25 (30.42 / 34.90 mn); FY24 restated. ACE shows 3.55 / 4.14 (ACE moves ~Rs 0.5-0.65 cr of opex into interest; PBT ties).</t>
        </r>
      </text>
    </comment>
    <comment ref="H33" authorId="0">
      <text>
        <r>
          <rPr>
            <sz val="10"/>
            <rFont val="Arial"/>
            <family val="2"/>
          </rPr>
          <t xml:space="preserve">228,500 sh FV10 x32 (31:1 bonus Dec-23) x2 (split Nov-25) = 1.4624 cr. FY25 adds CCPS conversion + reserved bonus (18.25 lakh FV10). FY26 = 2,04,59,200 (AR). Post-IPO (Aug-26) = 2,72,82,728.</t>
        </r>
      </text>
    </comment>
    <comment ref="H57" authorId="0">
      <text>
        <r>
          <rPr>
            <sz val="10"/>
            <rFont val="Arial"/>
            <family val="2"/>
          </rPr>
          <t xml:space="preserve">AR FY26 note 13: current borrowings 403.50 mn (CC 372.60 + current maturities 30.90). ACE shows current maturities of term loans inside Other Current Liabilities; moved here so Total Debt ties to ACE/AR total.</t>
        </r>
      </text>
    </comment>
    <comment ref="H70" authorId="0">
      <text>
        <r>
          <rPr>
            <sz val="10"/>
            <rFont val="Arial"/>
            <family val="2"/>
          </rPr>
          <t xml:space="preserve">AR FY26 balance sheet: Investment property 105.15 mn (FY25 109.51). Land &amp; building let to group company IBoard India Ltd (rent 2.40 mn p.a.). ACE labels this line "Assets in transit".</t>
        </r>
      </text>
    </comment>
    <comment ref="H129" authorId="0">
      <text>
        <r>
          <rPr>
            <sz val="10"/>
            <rFont val="Arial"/>
            <family val="2"/>
          </rPr>
          <t xml:space="preserve">Private placements 25-Aug-25 (4,56,100 sh) and 1-Oct-25 (6,33,500 sh) at Rs.547/sh FV10 = Rs.59.6 cr gross; Rs.57.36 cr net per cash flow. Madhuri Kela 5,75,000 sh (Rs.31.5 cr). Prospectus p.103-104, 153.</t>
        </r>
      </text>
    </comment>
  </commentList>
</comments>
</file>

<file path=xl/sharedStrings.xml><?xml version="1.0" encoding="utf-8"?>
<sst xmlns="http://schemas.openxmlformats.org/spreadsheetml/2006/main" count="585" uniqueCount="469">
  <si>
    <t xml:space="preserve">MV Electrosystems Ltd (NSE: MVELECTRO, BSE: 544851) - Model v1 (historicals). Standalone = consolidated: no subsidiary, associate or JV (FY26 AR, CARO cl. ix(e)). Rs. crore unless stated.</t>
  </si>
  <si>
    <t xml:space="preserve">Colour code: blue = hardcoded historical [A]/[S]; black = formula; red = check/tax-rate input; yellow fill = input cell (v2). FY20-FY22 = Indian GAAP audited statements, headline rows only. FY23-FY26 = ACE Equity dump (Ind AS), overridden by the audited AR/prospectus where they conflict (see Sources sheet).</t>
  </si>
  <si>
    <t xml:space="preserve">P&amp;L Statement (Rs. crore)</t>
  </si>
  <si>
    <t xml:space="preserve">FY20</t>
  </si>
  <si>
    <t xml:space="preserve">FY21</t>
  </si>
  <si>
    <t xml:space="preserve">FY22</t>
  </si>
  <si>
    <t xml:space="preserve">FY23</t>
  </si>
  <si>
    <t xml:space="preserve">FY24</t>
  </si>
  <si>
    <t xml:space="preserve">FY25</t>
  </si>
  <si>
    <t xml:space="preserve">FY26</t>
  </si>
  <si>
    <t xml:space="preserve">FY27E</t>
  </si>
  <si>
    <t xml:space="preserve">FY28E</t>
  </si>
  <si>
    <t xml:space="preserve">FY29E</t>
  </si>
  <si>
    <t xml:space="preserve">FY30E</t>
  </si>
  <si>
    <t xml:space="preserve">FY27E-FY30E = MANAGEMENT GUIDANCE CASE. Every forecast cell is a formula fed by the Drivers sheet; change assumptions there. Other expenses are spread across rows 11 and 13-16 in their FY26 proportions.</t>
  </si>
  <si>
    <t xml:space="preserve">Net Sales</t>
  </si>
  <si>
    <t xml:space="preserve">Growth, %</t>
  </si>
  <si>
    <t xml:space="preserve">EXPENDITURE</t>
  </si>
  <si>
    <t xml:space="preserve">(Increase)/Decrease in Stock</t>
  </si>
  <si>
    <t xml:space="preserve">Raw Material Consumed</t>
  </si>
  <si>
    <t xml:space="preserve">Variable Cost</t>
  </si>
  <si>
    <t xml:space="preserve">Gross Profit</t>
  </si>
  <si>
    <t xml:space="preserve">Gross Margin</t>
  </si>
  <si>
    <t xml:space="preserve">Power &amp; Fuel Cost</t>
  </si>
  <si>
    <t xml:space="preserve">Employee Cost</t>
  </si>
  <si>
    <t xml:space="preserve">Other Manufacturing Expenses</t>
  </si>
  <si>
    <t xml:space="preserve">General &amp; Administration Expenses</t>
  </si>
  <si>
    <t xml:space="preserve">Selling &amp; Distribution Expenses</t>
  </si>
  <si>
    <t xml:space="preserve">Miscellaneous Expenses</t>
  </si>
  <si>
    <t xml:space="preserve">Total Expenditure</t>
  </si>
  <si>
    <t xml:space="preserve">EBITDA</t>
  </si>
  <si>
    <t xml:space="preserve">Margin, %</t>
  </si>
  <si>
    <t xml:space="preserve">Other Income</t>
  </si>
  <si>
    <t xml:space="preserve">Depreciation</t>
  </si>
  <si>
    <t xml:space="preserve">EBIT</t>
  </si>
  <si>
    <t xml:space="preserve">Interest</t>
  </si>
  <si>
    <t xml:space="preserve">Exceptional Income / (Expenses)</t>
  </si>
  <si>
    <t xml:space="preserve">PBT</t>
  </si>
  <si>
    <t xml:space="preserve">Provision for Tax</t>
  </si>
  <si>
    <t xml:space="preserve">Tax Rate %</t>
  </si>
  <si>
    <t xml:space="preserve">PAT</t>
  </si>
  <si>
    <t xml:space="preserve">No. of Shares, crore (current FV Rs.5 equivalent, year-end)</t>
  </si>
  <si>
    <t xml:space="preserve">EPS (Rs., on current share count)</t>
  </si>
  <si>
    <t xml:space="preserve">Dividend</t>
  </si>
  <si>
    <t xml:space="preserve">DPS</t>
  </si>
  <si>
    <t xml:space="preserve">Balance Sheet (Rs. crore)</t>
  </si>
  <si>
    <t xml:space="preserve">EQUITY AND LIABILITIES</t>
  </si>
  <si>
    <t xml:space="preserve">Share Capital</t>
  </si>
  <si>
    <t xml:space="preserve">Share Warrants &amp; Outstandings</t>
  </si>
  <si>
    <t xml:space="preserve">Total Reserves</t>
  </si>
  <si>
    <t xml:space="preserve">Shareholder's Funds</t>
  </si>
  <si>
    <t xml:space="preserve">Minority Interest</t>
  </si>
  <si>
    <t xml:space="preserve">Non-Current Liabilities</t>
  </si>
  <si>
    <t xml:space="preserve">     Secured Loans</t>
  </si>
  <si>
    <t xml:space="preserve">     Unsecured Loans</t>
  </si>
  <si>
    <t xml:space="preserve">     Deferred Tax Liabilities / (Assets)</t>
  </si>
  <si>
    <t xml:space="preserve">     Other Long Term Liabilities (lease liabilities)</t>
  </si>
  <si>
    <t xml:space="preserve">     Long Term Provisions</t>
  </si>
  <si>
    <t xml:space="preserve">Total Non-Current Liabilities</t>
  </si>
  <si>
    <t xml:space="preserve">Current Liabilities</t>
  </si>
  <si>
    <t xml:space="preserve">     Trade Payables</t>
  </si>
  <si>
    <t xml:space="preserve">     Other Current Liabilities</t>
  </si>
  <si>
    <t xml:space="preserve">     Short Term Borrowings</t>
  </si>
  <si>
    <t xml:space="preserve">     Short Term Provisions</t>
  </si>
  <si>
    <t xml:space="preserve">Total Current Liabilities</t>
  </si>
  <si>
    <t xml:space="preserve">TOTAL EQUITY AND LIABILITIES</t>
  </si>
  <si>
    <t xml:space="preserve">ASSETS</t>
  </si>
  <si>
    <t xml:space="preserve">Non-Current Assets</t>
  </si>
  <si>
    <t xml:space="preserve">     Gross Block</t>
  </si>
  <si>
    <t xml:space="preserve">     Less: Accumulated Depreciation</t>
  </si>
  <si>
    <t xml:space="preserve">     Net Block</t>
  </si>
  <si>
    <t xml:space="preserve">     Capital Work in Progress</t>
  </si>
  <si>
    <t xml:space="preserve">     Intangible Assets under Development</t>
  </si>
  <si>
    <t xml:space="preserve">     Investment Property (ACE label: Assets in Transit)</t>
  </si>
  <si>
    <t xml:space="preserve">     Non-Current Investments</t>
  </si>
  <si>
    <t xml:space="preserve">     Long Term Loans &amp; Advances</t>
  </si>
  <si>
    <t xml:space="preserve">     Other Non-Current Assets</t>
  </si>
  <si>
    <t xml:space="preserve">Total Non-Current Assets</t>
  </si>
  <si>
    <t xml:space="preserve">Current Assets</t>
  </si>
  <si>
    <t xml:space="preserve">     Current Investments</t>
  </si>
  <si>
    <t xml:space="preserve">     Inventories</t>
  </si>
  <si>
    <t xml:space="preserve">     Sundry Debtors</t>
  </si>
  <si>
    <t xml:space="preserve">     Cash and Bank</t>
  </si>
  <si>
    <t xml:space="preserve">     Other Current Assets</t>
  </si>
  <si>
    <t xml:space="preserve">     Short Term Loans and Advances (FY26: advances to suppliers Rs.7.4 cr)</t>
  </si>
  <si>
    <t xml:space="preserve">Total Current Assets</t>
  </si>
  <si>
    <t xml:space="preserve">Miscellaneous Expenses not Written Off</t>
  </si>
  <si>
    <t xml:space="preserve">TOTAL ASSETS</t>
  </si>
  <si>
    <t xml:space="preserve">CHECK:</t>
  </si>
  <si>
    <t xml:space="preserve">Cash Flow Statement (Rs. crore)</t>
  </si>
  <si>
    <t xml:space="preserve">Profit Before Tax (per CF as reported)</t>
  </si>
  <si>
    <t xml:space="preserve">Adjustments (non-cash / non-operating)</t>
  </si>
  <si>
    <t xml:space="preserve">     Depreciation</t>
  </si>
  <si>
    <t xml:space="preserve">     Interest Expenses</t>
  </si>
  <si>
    <t xml:space="preserve">     Profit/Loss on Sale of Fixed Assets</t>
  </si>
  <si>
    <t xml:space="preserve">     Interest Income</t>
  </si>
  <si>
    <t xml:space="preserve">     Provisions &amp; Write-offs</t>
  </si>
  <si>
    <t xml:space="preserve">     Excess of Cost over Fair Value of Investments</t>
  </si>
  <si>
    <t xml:space="preserve">     Bad Debts Written Off</t>
  </si>
  <si>
    <t xml:space="preserve">     Other Adjustments</t>
  </si>
  <si>
    <t xml:space="preserve">Total Adjustments</t>
  </si>
  <si>
    <t xml:space="preserve">Changes in Working Capital</t>
  </si>
  <si>
    <t xml:space="preserve">     Trade &amp; Other Receivables</t>
  </si>
  <si>
    <t xml:space="preserve">     Loans &amp; Advances (FY26: advances to suppliers)</t>
  </si>
  <si>
    <t xml:space="preserve">     Trade &amp; Other Payables</t>
  </si>
  <si>
    <t xml:space="preserve">Total Changes in Working Capital</t>
  </si>
  <si>
    <t xml:space="preserve">Cash Flow after Working Capital Changes</t>
  </si>
  <si>
    <t xml:space="preserve">     Direct Taxes Paid</t>
  </si>
  <si>
    <t xml:space="preserve">Cash from Operating Activities (A)</t>
  </si>
  <si>
    <t xml:space="preserve">Investing Activities</t>
  </si>
  <si>
    <t xml:space="preserve">     Purchase of Fixed Assets</t>
  </si>
  <si>
    <t xml:space="preserve">     Sale of Fixed Assets</t>
  </si>
  <si>
    <t xml:space="preserve">     Purchase of Investments</t>
  </si>
  <si>
    <t xml:space="preserve">     Sale of Investments</t>
  </si>
  <si>
    <t xml:space="preserve">     Interest Received</t>
  </si>
  <si>
    <t xml:space="preserve">     Other Investing Activities</t>
  </si>
  <si>
    <t xml:space="preserve">Cash from Investing Activities (B)</t>
  </si>
  <si>
    <t xml:space="preserve">Financing Activities</t>
  </si>
  <si>
    <t xml:space="preserve">     Increase/(Decrease) in Loan Funds</t>
  </si>
  <si>
    <t xml:space="preserve">     Short Term Loans</t>
  </si>
  <si>
    <t xml:space="preserve">     Proceeds from Preference Shares (CCPS)</t>
  </si>
  <si>
    <t xml:space="preserve">     Proceeds from Issue of Equity</t>
  </si>
  <si>
    <t xml:space="preserve">     Equity Dividend Paid</t>
  </si>
  <si>
    <t xml:space="preserve">     Interest Paid</t>
  </si>
  <si>
    <t xml:space="preserve">     Other Financing Activities (lease payments)</t>
  </si>
  <si>
    <t xml:space="preserve">Cash from Financing Activities (C)</t>
  </si>
  <si>
    <t xml:space="preserve">Net Increase / (Decrease) in Cash (A+B+C)</t>
  </si>
  <si>
    <t xml:space="preserve">Opening Cash &amp; Cash Equivalents</t>
  </si>
  <si>
    <t xml:space="preserve">Closing Cash &amp; Cash Equivalents</t>
  </si>
  <si>
    <t xml:space="preserve">CHECK vs balance sheet cash:</t>
  </si>
  <si>
    <t xml:space="preserve">Abridged Cash Flow (Rs. crore)</t>
  </si>
  <si>
    <t xml:space="preserve">Sources of Funds</t>
  </si>
  <si>
    <t xml:space="preserve">     Operating Cashflows before WC</t>
  </si>
  <si>
    <t xml:space="preserve">     Interest &amp; Dividend Income</t>
  </si>
  <si>
    <t xml:space="preserve">     Equity (incl. CCPS)</t>
  </si>
  <si>
    <t xml:space="preserve">     Net Debt</t>
  </si>
  <si>
    <t xml:space="preserve">Total Sources of Funds</t>
  </si>
  <si>
    <t xml:space="preserve">Application of Funds (positive figure = cash out)</t>
  </si>
  <si>
    <t xml:space="preserve">     Working Capital</t>
  </si>
  <si>
    <t xml:space="preserve">     Tax</t>
  </si>
  <si>
    <t xml:space="preserve">     Capex</t>
  </si>
  <si>
    <t xml:space="preserve">     Investments (net)</t>
  </si>
  <si>
    <t xml:space="preserve">     Dividends Paid</t>
  </si>
  <si>
    <t xml:space="preserve">     Interest paid &amp; others</t>
  </si>
  <si>
    <t xml:space="preserve">Total Application of Funds</t>
  </si>
  <si>
    <t xml:space="preserve">CHECK (sources - applications - change in cash):</t>
  </si>
  <si>
    <t xml:space="preserve">FCFF (op. cash before WC - WC - tax - capex)</t>
  </si>
  <si>
    <t xml:space="preserve">FCFE (FCFF + net debt - interest)</t>
  </si>
  <si>
    <t xml:space="preserve">Cumulative FCFF FY23-FY26</t>
  </si>
  <si>
    <t xml:space="preserve">Cumulative equity raised FY23-FY26 (cash)</t>
  </si>
  <si>
    <t xml:space="preserve">Cumulative PAT FY20-FY26</t>
  </si>
  <si>
    <t xml:space="preserve">Working Capital Analysis (days on year-end balances)</t>
  </si>
  <si>
    <t xml:space="preserve">     Inventory Days</t>
  </si>
  <si>
    <t xml:space="preserve">     Debtor Days</t>
  </si>
  <si>
    <t xml:space="preserve">     Creditor Days</t>
  </si>
  <si>
    <t xml:space="preserve">Net Working Capital (Days)</t>
  </si>
  <si>
    <t xml:space="preserve">     Advances to suppliers + other loans &amp; advances, days</t>
  </si>
  <si>
    <t xml:space="preserve">Key Ratios</t>
  </si>
  <si>
    <t xml:space="preserve">Net Worth</t>
  </si>
  <si>
    <t xml:space="preserve">Avg Net Worth</t>
  </si>
  <si>
    <t xml:space="preserve">ROE</t>
  </si>
  <si>
    <t xml:space="preserve">Avg Capital Employed (total assets - CWIP)</t>
  </si>
  <si>
    <t xml:space="preserve">RoCE (post-tax EBIT / avg capital employed)</t>
  </si>
  <si>
    <t xml:space="preserve">Total Debt</t>
  </si>
  <si>
    <t xml:space="preserve">Net Debt</t>
  </si>
  <si>
    <t xml:space="preserve">Net Debt / EBITDA</t>
  </si>
  <si>
    <t xml:space="preserve">Net Debt / Equity</t>
  </si>
  <si>
    <t xml:space="preserve">Interest cover (EBIT / interest)</t>
  </si>
  <si>
    <t xml:space="preserve">CFO / PAT</t>
  </si>
  <si>
    <t xml:space="preserve">Gross block turnover (sales / gross block)</t>
  </si>
  <si>
    <t xml:space="preserve">Capex (from Drivers sheet)</t>
  </si>
  <si>
    <t xml:space="preserve">Memo: FY20-FY22 are Indian GAAP figures from the audited statements signed by Jugal Arora &amp; Co (FY20 figures are the comparatives in the FY21 statement). FY23 onwards Ind AS. The two bases differ (leases, ECL), so FY22 to FY23 is not strictly comparable.</t>
  </si>
  <si>
    <t xml:space="preserve">Forecast drivers - MANAGEMENT GUIDANCE CASE (to be tweaked); Rs. crore unless stated</t>
  </si>
  <si>
    <t xml:space="preserve">Every forecast number in P&amp;L, Segments and the balance sheet flows from this sheet. Blue = input, black = formula, yellow = the inputs that move the answer most. Sources: call 27-Aug-2026 [M], Q1FY27 PPT p.16 [M], Prospectus [A], analyst [E].</t>
  </si>
  <si>
    <t xml:space="preserve">Driver</t>
  </si>
  <si>
    <t xml:space="preserve">Unit</t>
  </si>
  <si>
    <t xml:space="preserve">Source / basis</t>
  </si>
  <si>
    <t xml:space="preserve">1. Locomotive propulsion</t>
  </si>
  <si>
    <t xml:space="preserve">Opening order book</t>
  </si>
  <si>
    <t xml:space="preserve">sets</t>
  </si>
  <si>
    <t xml:space="preserve">[A] 564 sets outstanding at 30-Jun-2026 (Pro p.216) + 5 delivered in 1QFY27 [E: 9 delivered to 30-Jun-2026 less 1 prototype (Feb-2024) less 3 in FY26] = 569 at 1-Apr-2026.</t>
  </si>
  <si>
    <t xml:space="preserve">New orders won</t>
  </si>
  <si>
    <t xml:space="preserve">[M] "confident to get similar order book ... every year" (call). FY26 actual: 450 sets = 27% of 1,659 tendered (Pro p.126). First test: CLW 748-locomotive tender (due 31-Aug-2026).</t>
  </si>
  <si>
    <t xml:space="preserve">Sets delivered</t>
  </si>
  <si>
    <t xml:space="preserve">[M] FY27 from the quarterly ramp below; FY28 onward 40 sets a month = 480 (call: "we want to stand on 40 propulsion systems per month"). Capacity: 114 + 171 = 285 a year single shift; two shifts planned (call).</t>
  </si>
  <si>
    <t xml:space="preserve">Closing order book</t>
  </si>
  <si>
    <t xml:space="preserve">Check: must stay positive, else deliveries exceed orders.</t>
  </si>
  <si>
    <t xml:space="preserve">Book cover at next year's run-rate</t>
  </si>
  <si>
    <t xml:space="preserve">years</t>
  </si>
  <si>
    <t xml:space="preserve">Closing book / next year's deliveries.</t>
  </si>
  <si>
    <t xml:space="preserve">Realisation per set, ex GST</t>
  </si>
  <si>
    <t xml:space="preserve">Rs cr</t>
  </si>
  <si>
    <t xml:space="preserve">[A] PO basic rate Rs.16.40 mn (CLW, BLW), Rs.16.50 mn (PLW); book average Rs.16.34 mn (Pro p.216). Held flat: tenders are fixed-price, L1-set.</t>
  </si>
  <si>
    <t xml:space="preserve">Locomotive propulsion revenue</t>
  </si>
  <si>
    <t xml:space="preserve">Sets x realisation.</t>
  </si>
  <si>
    <t xml:space="preserve">2. Developmental orders (MEMU, converters)</t>
  </si>
  <si>
    <t xml:space="preserve">MEMU 12-car rakes delivered</t>
  </si>
  <si>
    <t xml:space="preserve">rakes</t>
  </si>
  <si>
    <t xml:space="preserve">[A] LoA MCF Raebareli 27-Jun-2026, 6 rakes, 24-month delivery (Pro p.217). [M] design 8-10 months + RDSO approval ~3 quarters (call). Phasing [E].</t>
  </si>
  <si>
    <t xml:space="preserve">Price per MEMU rake</t>
  </si>
  <si>
    <t xml:space="preserve">[A] Rs.865.46 mn / 6 rakes (Pro p.217).</t>
  </si>
  <si>
    <t xml:space="preserve">MEMU revenue</t>
  </si>
  <si>
    <t xml:space="preserve">Composite converter + hotel load converter</t>
  </si>
  <si>
    <t xml:space="preserve">[A] CLW Rs.25.11 mn (10-Sep-2025) + BLW Rs.8.00 mn (14-Nov-2025) (Pro p.217); delivery after RDSO trials [E].</t>
  </si>
  <si>
    <t xml:space="preserve">3. Other revenue</t>
  </si>
  <si>
    <t xml:space="preserve">AMC on delivered sets</t>
  </si>
  <si>
    <t xml:space="preserve">[A] Warranty 72 months from delivery or 60 months from commissioning, whichever earlier (Pro p.61). AMC (Rs.1.2 mn per set over 3 yrs) starts ~FY32: zero in this horizon.</t>
  </si>
  <si>
    <t xml:space="preserve">Fault locators (OHE, with PNC)</t>
  </si>
  <si>
    <t xml:space="preserve">[M] "very hopeful" of tender wins (call); no order disclosed. Zero until an order is filed.</t>
  </si>
  <si>
    <t xml:space="preserve">Legacy lines growth</t>
  </si>
  <si>
    <t xml:space="preserve">%</t>
  </si>
  <si>
    <t xml:space="preserve">[E] No guidance. FY26 Rs.44.7 cr after a 29% fall; cable lines moving to Unit 2. Held flat.</t>
  </si>
  <si>
    <t xml:space="preserve">Legacy revenue (conduits, harnesses, panels)</t>
  </si>
  <si>
    <t xml:space="preserve">FY26 base Rs.44.72 cr (AR26 note 39).</t>
  </si>
  <si>
    <t xml:space="preserve">Total revenue from operations</t>
  </si>
  <si>
    <t xml:space="preserve">Management revenue guidance</t>
  </si>
  <si>
    <t xml:space="preserve">[M] "This year we are targeting to achieve INR400 crores" (call). FY28: "~INR70-odd crores" a month at 40 sets (call) = ~Rs.840 cr.</t>
  </si>
  <si>
    <t xml:space="preserve">Model vs guidance</t>
  </si>
  <si>
    <t xml:space="preserve">4. Costs</t>
  </si>
  <si>
    <t xml:space="preserve">Material cost, propulsion and developmental</t>
  </si>
  <si>
    <t xml:space="preserve">% of rev</t>
  </si>
  <si>
    <t xml:space="preserve">[A/E] Prospectus working-capital plan implies ~87% FY27 / ~82% FY28 (Pro p.133); [M] "10%+ PAT" at run-rate implies ~77%; 1QFY27 actual gross margin 8.8% (PPT p.21). Management case uses 77% from FY28.</t>
  </si>
  <si>
    <t xml:space="preserve">Material cost, legacy lines</t>
  </si>
  <si>
    <t xml:space="preserve">[A] FY25 gross margin 40.5% (PPT p.22) when legacy was ~100% of sales.</t>
  </si>
  <si>
    <t xml:space="preserve">Material cost</t>
  </si>
  <si>
    <t xml:space="preserve">Employee cost</t>
  </si>
  <si>
    <t xml:space="preserve">[A] FY26 Rs.13.8 cr; 1QFY27 Rs.4.35 cr (Res). [E] FY27 = Q1 run-rate + second shift; FY28 two shifts in two units + R&amp;D team expansion (call).</t>
  </si>
  <si>
    <t xml:space="preserve">Other expenses, fixed part</t>
  </si>
  <si>
    <t xml:space="preserve">[A] FY26 other expenses Rs.11.1 cr; 1QFY27 Rs.2.2 cr (Res). [E] grows ~8-10% a year. Includes R&amp;D consumables (mgmt R&amp;D ~Rs.9 cr a year, call).</t>
  </si>
  <si>
    <t xml:space="preserve">Other expenses, variable part</t>
  </si>
  <si>
    <t xml:space="preserve">[E] Freight, warranty provision, liquidated damages, power.</t>
  </si>
  <si>
    <t xml:space="preserve">Other expenses</t>
  </si>
  <si>
    <t xml:space="preserve">5. Capex, financing, tax</t>
  </si>
  <si>
    <t xml:space="preserve">Capex</t>
  </si>
  <si>
    <t xml:space="preserve">[M] "No capex required on machinery ... only ... testing" (call); [A] 2 test set-ups ordered, Unit 2 shift (PPT p.15). [E] amounts.</t>
  </si>
  <si>
    <t xml:space="preserve">Depreciation, % of average gross block</t>
  </si>
  <si>
    <t xml:space="preserve">[E] Calibrated to 1QFY27 depreciation Rs.1.51 cr x 4 = Rs.6.0 cr (Res).</t>
  </si>
  <si>
    <t xml:space="preserve">Interest rate on opening debt</t>
  </si>
  <si>
    <t xml:space="preserve">[A] Bajaj Finance 9.5% floating (AR26 note 13); cash credit ~10%. Debt held flat at FY26 level.</t>
  </si>
  <si>
    <t xml:space="preserve">Yield on cash</t>
  </si>
  <si>
    <t xml:space="preserve">[E] Fixed deposits. FY27: half the net IPO cash assumed earning for the year.</t>
  </si>
  <si>
    <t xml:space="preserve">Tax rate</t>
  </si>
  <si>
    <t xml:space="preserve">[A] Section 115BAA rate 25.17%.</t>
  </si>
  <si>
    <t xml:space="preserve">IPO gross proceeds</t>
  </si>
  <si>
    <t xml:space="preserve">[A] 68,23,528 shares at Rs.425 (Pro p.124).</t>
  </si>
  <si>
    <t xml:space="preserve">IPO expenses</t>
  </si>
  <si>
    <t xml:space="preserve">[A] Total estimated issue expenses Rs.355.41 mn; net proceeds Rs.2,544.59 mn (Pro p.124, break-up p.142-143). Charged to securities premium.</t>
  </si>
  <si>
    <t xml:space="preserve">New shares issued</t>
  </si>
  <si>
    <t xml:space="preserve">crore</t>
  </si>
  <si>
    <t xml:space="preserve">[A] 68,23,528 shares, FV Rs.5.</t>
  </si>
  <si>
    <t xml:space="preserve">Face value</t>
  </si>
  <si>
    <t xml:space="preserve">Rs</t>
  </si>
  <si>
    <t xml:space="preserve">[A]</t>
  </si>
  <si>
    <t xml:space="preserve">6. Working capital (prospectus plan, board-approved 23-Jul-2026)</t>
  </si>
  <si>
    <t xml:space="preserve">Inventory</t>
  </si>
  <si>
    <t xml:space="preserve">days of material cost</t>
  </si>
  <si>
    <t xml:space="preserve">[A] Pro p.133-137: 105 days of cost of goods sold for FY27 and FY28.</t>
  </si>
  <si>
    <t xml:space="preserve">Trade receivables</t>
  </si>
  <si>
    <t xml:space="preserve">days of revenue</t>
  </si>
  <si>
    <t xml:space="preserve">[A] Pro p.133-137: 60 days. [M] last three dispatches paid within ~15 days (call).</t>
  </si>
  <si>
    <t xml:space="preserve">Trade payables</t>
  </si>
  <si>
    <t xml:space="preserve">[A] Derived from the FY27 projection table: payables Rs.519.19 mn on implied COGS Rs.4,211 mn (Pro p.133).</t>
  </si>
  <si>
    <t xml:space="preserve">Advances to suppliers and other current assets</t>
  </si>
  <si>
    <t xml:space="preserve">[A] Pro p.133: other financial assets 5 days + other current assets 5 days.</t>
  </si>
  <si>
    <t xml:space="preserve">Other current liabilities</t>
  </si>
  <si>
    <t xml:space="preserve">[A] Pro p.133: other financial liabilities 13 + other current liabilities 1 + tax 5 days.</t>
  </si>
  <si>
    <t xml:space="preserve">7. FY27 delivery ramp (sets)</t>
  </si>
  <si>
    <t xml:space="preserve">Quarter</t>
  </si>
  <si>
    <t xml:space="preserve">Sets</t>
  </si>
  <si>
    <t xml:space="preserve">Basis</t>
  </si>
  <si>
    <t xml:space="preserve">1QFY27 (Apr-Jun)</t>
  </si>
  <si>
    <t xml:space="preserve">[E] 9 delivered to 30-Jun-2026 (Pro p.216) less prototype and FY26's 3.</t>
  </si>
  <si>
    <t xml:space="preserve">2QFY27 (Jul-Sep)</t>
  </si>
  <si>
    <t xml:space="preserve">[M] "September ... just 10" (call) plus a few in Jul-Aug.</t>
  </si>
  <si>
    <t xml:space="preserve">3QFY27 (Oct-Dec)</t>
  </si>
  <si>
    <t xml:space="preserve">[M] "~70 propulsion sets by Q3FY27" (PPT p.16); 25 in November (call).</t>
  </si>
  <si>
    <t xml:space="preserve">4QFY27 (Jan-Mar)</t>
  </si>
  <si>
    <t xml:space="preserve">[M] "40 in the month of January" and steady thereafter (call).</t>
  </si>
  <si>
    <t xml:space="preserve">Total addressable market (TAM), Rs. crore per year - rough first cut, 25-Oct-2026</t>
  </si>
  <si>
    <t xml:space="preserve">Built from the customer's own numbers (Indian Railways production and orders) where they exist; management unit prices from the 27-Aug-2026 call; [E] marks analyst placeholders to be replaced. Blue = input, black = formula, yellow = the base assumption that matters most.</t>
  </si>
  <si>
    <t xml:space="preserve">Segment</t>
  </si>
  <si>
    <t xml:space="preserve">MV status today</t>
  </si>
  <si>
    <t xml:space="preserve">Units/yr Low</t>
  </si>
  <si>
    <t xml:space="preserve">Base</t>
  </si>
  <si>
    <t xml:space="preserve">High</t>
  </si>
  <si>
    <t xml:space="preserve">Rs cr per unit</t>
  </si>
  <si>
    <t xml:space="preserve">TAM Low</t>
  </si>
  <si>
    <t xml:space="preserve">TAM Base</t>
  </si>
  <si>
    <t xml:space="preserve">TAM High</t>
  </si>
  <si>
    <t xml:space="preserve">Tag</t>
  </si>
  <si>
    <t xml:space="preserve">Basis and source</t>
  </si>
  <si>
    <t xml:space="preserve">A. Addressable now - MV is an approved supplier</t>
  </si>
  <si>
    <t xml:space="preserve">Locomotive propulsion, new build (CLW, BLW, PLW)</t>
  </si>
  <si>
    <t xml:space="preserve">Approved Sep-2025; 564 sets in hand; won 27% of FY26 tenders</t>
  </si>
  <si>
    <t xml:space="preserve">Sets tendered per year</t>
  </si>
  <si>
    <t xml:space="preserve">A / S</t>
  </si>
  <si>
    <t xml:space="preserve">Base = sets tendered by the three railway loco works for FY26 (Prospectus p.126: programme 1,700, tendered 1,659). FY26 output ~1,700 (BLW 572 PTI 31-Mar-26; CLW incl. Dankuni 800 Rail Analysis; PLW programme 325). High = output keeps rising; Low = FY27 programme cut (one BLW FY27 target report says 468 vs 572 built). Price = PO basic rate ex GST (Pro p.26).</t>
  </si>
  <si>
    <t xml:space="preserve">Locomotive propulsion, maintenance contracts (AMC) - steady state</t>
  </si>
  <si>
    <t xml:space="preserve">Bundled in every PO; starts after warranty</t>
  </si>
  <si>
    <t xml:space="preserve">Locos under AMC per year x 3-yr fee</t>
  </si>
  <si>
    <t xml:space="preserve">A / E</t>
  </si>
  <si>
    <t xml:space="preserve">Each PO carries a 3-year AMC worth Rs.12.3 lakh per set (Pro p.26: Rs.551.22 mn / 450 sets). Steady state, three cohorts are under AMC at once, so annual AMC pool = one year's sets x full 3-yr fee. Warranty length not disclosed, so timing of first AMC revenue unknown.</t>
  </si>
  <si>
    <t xml:space="preserve">Coach electricals: conduits, harnesses, switchgear panels</t>
  </si>
  <si>
    <t xml:space="preserve">MV's legacy line; Rs.44.7 cr FY26</t>
  </si>
  <si>
    <t xml:space="preserve">-</t>
  </si>
  <si>
    <t xml:space="preserve">n.s.</t>
  </si>
  <si>
    <t xml:space="preserve">Not sized: no disclosure of content per coach or the competitor set. MV FY26 revenue Rs.44.7 cr (AR26 note 39) is the only hard number; utilisation fell to 46-71% on conduit lines in FY26 (Pro p.245).</t>
  </si>
  <si>
    <t xml:space="preserve">B. Addressable now by tender, no order yet</t>
  </si>
  <si>
    <t xml:space="preserve">Automatic fault locators for 25 kV overhead lines (with PNC Technologies, Korea)</t>
  </si>
  <si>
    <t xml:space="preserve">3-yr exclusive tie-up Aug-2025; bids submitted, no win disclosed</t>
  </si>
  <si>
    <t xml:space="preserve">Traction-substation spans per year</t>
  </si>
  <si>
    <t xml:space="preserve">E / M</t>
  </si>
  <si>
    <t xml:space="preserve">Stock of ~1,550 substation spans (helper block below) rolled out over 5-7 years per management, priced at Rs.36/24/12 lakh per substation / sectioning / sub-sectioning locator (call 27-Aug-26). Likely partly a replacement market: fault locators already exist on many sections. High uncertainty.</t>
  </si>
  <si>
    <t xml:space="preserve">C. Needs a new approval (12-24 months)</t>
  </si>
  <si>
    <t xml:space="preserve">EMU / MEMU propulsion (12-car rakes)</t>
  </si>
  <si>
    <t xml:space="preserve">One developmental order: 6 MEMU rakes, MCF Raebareli, Rs.86.5 cr; RDSO approval ~15-16 months away</t>
  </si>
  <si>
    <t xml:space="preserve">Rakes per year</t>
  </si>
  <si>
    <t xml:space="preserve">A / S / M</t>
  </si>
  <si>
    <t xml:space="preserve">Price from the MCF LoA (Pro p.25): Rs.86.5 cr for 6 rakes = Rs.14.4 cr per rake (mgmt: ~Rs.16 cr incl. electrics). Units: 238 AC EMU rakes for Mumbai 2027-2030 (~60/yr, Statesman) plus other EMU/MEMU; mgmt says 300-500 EMUs tendered this year - unclear if rakes or cars, so used only as the high case.</t>
  </si>
  <si>
    <t xml:space="preserve">D. Long-dated: incumbent OEMs, bundled supply or no programme yet</t>
  </si>
  <si>
    <t xml:space="preserve">Vande Bharat trainset propulsion and electrics (16-car)</t>
  </si>
  <si>
    <t xml:space="preserve">No order, no approval; same distributed-traction platform as EMU</t>
  </si>
  <si>
    <t xml:space="preserve">S / M</t>
  </si>
  <si>
    <t xml:space="preserve">Price: mgmt Rs.~40 cr per 16-car rake incl. associated electrics (call). Units: ~100 Vande Bharat-platform trains built by end-2025 since 2019 (~15/yr actual); plan of 3,200 coaches for 2025-27 (~100 rakes/yr, Swarajya); 1,300 rakes sanctioned in the Rolling Stock Programme 2026-27 (Pro p.193). Base 60 = between history and plan. Much of new-generation Vande Bharat is awarded to OEM consortia that bring their own propulsion.</t>
  </si>
  <si>
    <t xml:space="preserve">Metro propulsion</t>
  </si>
  <si>
    <t xml:space="preserve">No product; metro OEMs (Alstom, BEML, Titagarh, Hitachi) bundle propulsion</t>
  </si>
  <si>
    <t xml:space="preserve">Not sized: no national metro-car demand figure found. CareEdge (Pro p.200) puts metro + Vande Bharat + Amrit Bharat propulsion at ~USD 114 mn in CY25, i.e. ~Rs.970 cr - lower than the Vande Bharat row above because actual Vande Bharat output so far is far below plan.</t>
  </si>
  <si>
    <t xml:space="preserve">Locomotive propulsion retrofit (GTO-era three-phase fleet)</t>
  </si>
  <si>
    <t xml:space="preserve">Mentioned by mgmt; no tender or RDSO programme found</t>
  </si>
  <si>
    <t xml:space="preserve">Sets per year</t>
  </si>
  <si>
    <t xml:space="preserve">E</t>
  </si>
  <si>
    <t xml:space="preserve">PLACEHOLDER. Early WAG-9/WAP-5/WAP-7 units carry GTO converters (Wikipedia; first IGBT WAG-9 was no. 31248). No retrofit tender or count of GTO units found. 100 sets/yr at Rs.1.2 cr (converters only) is a guess to be replaced; excluded from every case total.</t>
  </si>
  <si>
    <t xml:space="preserve">Rest of the integrated propulsion kit (traction motors, transformer, bogies) for loco tenders</t>
  </si>
  <si>
    <t xml:space="preserve">MV makes none of these; Korean motor partner (Hansung) mentioned</t>
  </si>
  <si>
    <t xml:space="preserve">Implied from CareEdge loco market</t>
  </si>
  <si>
    <t xml:space="preserve">S / E</t>
  </si>
  <si>
    <t xml:space="preserve">Railway Board directive Mar-2025: loco works to buy an integrated propulsion kit (Pro p.54, risk factor 27; p.226). CareEdge loco propulsion market USD 794.5 mn CY25 (~Rs.6,750 cr) vs ~Rs.2,720 cr for MV-type electronics bottom-up; the gap (~Rs.4,000 cr) is roughly the rest of the kit plus non-railway-works locos (Siemens 9,000 HP, Alstom 12,000 HP). Addressable only with partners.</t>
  </si>
  <si>
    <t xml:space="preserve">TOTALS</t>
  </si>
  <si>
    <t xml:space="preserve">1. Addressable today: approved product + open tenders (rows 6, 7, 10)</t>
  </si>
  <si>
    <t xml:space="preserve">Excludes coach electricals and metro (not sized), the retrofit placeholder, and the rest of the kit (row 17, partners only).</t>
  </si>
  <si>
    <t xml:space="preserve">2. Plus EMU/MEMU and Vande Bharat once approved (rows 12, 14)</t>
  </si>
  <si>
    <t xml:space="preserve">Helper: fault-locator value per substation span, Rs cr</t>
  </si>
  <si>
    <t xml:space="preserve">Helper: substation spans rolled out per year</t>
  </si>
  <si>
    <t xml:space="preserve">  Electrified route km / substation spacing (km) = substation spans</t>
  </si>
  <si>
    <t xml:space="preserve">  Roll-out period, years (mgmt: 5-7)</t>
  </si>
  <si>
    <t xml:space="preserve">Helper: CareEdge loco propulsion market, Rs cr, less MV-type electronics base TAM</t>
  </si>
  <si>
    <t xml:space="preserve">  Sectioning posts per substation (Prayagraj division: 33 / 29)</t>
  </si>
  <si>
    <t xml:space="preserve">  Sub-sectioning posts per substation (Prayagraj division: 46 / 29)</t>
  </si>
  <si>
    <t xml:space="preserve">  Electrified broad-gauge route km (Pro p.196)</t>
  </si>
  <si>
    <t xml:space="preserve">  Average substation spacing, km (Western Railway TRD: 35-50)</t>
  </si>
  <si>
    <t xml:space="preserve">  CareEdge India loco propulsion market CY25, USD mn (Pro p.200)</t>
  </si>
  <si>
    <t xml:space="preserve">  USD/INR</t>
  </si>
  <si>
    <t xml:space="preserve">What locomotive propulsion alone is worth to MV at different shares (base TAM, row 6)</t>
  </si>
  <si>
    <t xml:space="preserve">Share of sets tendered</t>
  </si>
  <si>
    <t xml:space="preserve">Revenue Rs cr</t>
  </si>
  <si>
    <t xml:space="preserve">x FY26 revenue</t>
  </si>
  <si>
    <t xml:space="preserve">&lt;- FY26 actual share (450 / 1,659)</t>
  </si>
  <si>
    <t xml:space="preserve">Read-across: management's 40 sets a month = 480 sets = 29% of base tenders; today MV earns Rs.49 cr against a Rs.~2,900 cr pool it is approved for.</t>
  </si>
  <si>
    <t xml:space="preserve">Quarterly P&amp;L, standalone (Rs. crore). Only three quarters are public: the company listed on 6-Aug-2026. Source: Q1FY27 results filing 25-Aug-2026 (ACE quarterly dump has Q1FY26 and Q1FY27 only). Periods verified from the results table header ("Quarter ended 30-06-2026").</t>
  </si>
  <si>
    <t xml:space="preserve">Rs. crore</t>
  </si>
  <si>
    <t xml:space="preserve">1QFY26</t>
  </si>
  <si>
    <t xml:space="preserve">4QFY26</t>
  </si>
  <si>
    <t xml:space="preserve">1QFY27</t>
  </si>
  <si>
    <t xml:space="preserve">Revenue from operations</t>
  </si>
  <si>
    <t xml:space="preserve">Other income</t>
  </si>
  <si>
    <t xml:space="preserve">Raw material consumed</t>
  </si>
  <si>
    <t xml:space="preserve">Change in inventories</t>
  </si>
  <si>
    <t xml:space="preserve">EBITDA margin</t>
  </si>
  <si>
    <t xml:space="preserve">Finance cost</t>
  </si>
  <si>
    <t xml:space="preserve">Tax</t>
  </si>
  <si>
    <t xml:space="preserve">PAT margin</t>
  </si>
  <si>
    <t xml:space="preserve">Reported PAT (check)</t>
  </si>
  <si>
    <t xml:space="preserve">CHECK</t>
  </si>
  <si>
    <t xml:space="preserve">Propulsion sets delivered in quarter (mgmt: 3 sets in FY26, "2-3 small batches" by Aug-26; Sep-26 target 10, Nov 25, Jan-27 40/month) [M]</t>
  </si>
  <si>
    <t xml:space="preserve">R&amp;D expense inside opex: ~Rs.2 cr in 1QFY27; Rs.7.9 cr in FY26 (16% of revenue); not capitalised [M, PPT p.14/21; call]</t>
  </si>
  <si>
    <t xml:space="preserve">Revenue by product group (Rs. crore). One Ind AS 108 segment; split per AR FY26 note 39 [A]. FY27E-FY30E from the Drivers sheet (management guidance case); legacy lines split by FY26 mix.</t>
  </si>
  <si>
    <t xml:space="preserve">FY25A</t>
  </si>
  <si>
    <t xml:space="preserve">FY26A</t>
  </si>
  <si>
    <t xml:space="preserve">Cable protection, interconnect, switchgear &amp; panels - Indian Railways</t>
  </si>
  <si>
    <t xml:space="preserve">Cable protection, interconnect, switchgear &amp; panels - private sector</t>
  </si>
  <si>
    <t xml:space="preserve">Cable protection, interconnect, switchgear &amp; panels - group companies</t>
  </si>
  <si>
    <t xml:space="preserve">Rolling stock electrics &amp; propulsion - Indian Railways (forecast incl. MEMU, converters, AMC, fault locators)</t>
  </si>
  <si>
    <t xml:space="preserve">Check vs P&amp;L</t>
  </si>
  <si>
    <t xml:space="preserve">Propulsion share of revenue</t>
  </si>
  <si>
    <t xml:space="preserve">Legacy lines YoY</t>
  </si>
  <si>
    <t xml:space="preserve">Order book, 3-phase propulsion (as on 30-Jun-2026) [A: prospectus p.23, 25-26, 126; PPT p.16]</t>
  </si>
  <si>
    <t xml:space="preserve">Customer / order</t>
  </si>
  <si>
    <t xml:space="preserve">PO date</t>
  </si>
  <si>
    <t xml:space="preserve">Rate per set (Rs. cr, ex GST)</t>
  </si>
  <si>
    <t xml:space="preserve">Equipment value (Rs. cr)</t>
  </si>
  <si>
    <t xml:space="preserve">AMC 3 yrs (Rs. cr)</t>
  </si>
  <si>
    <t xml:space="preserve">Total (Rs. cr)</t>
  </si>
  <si>
    <t xml:space="preserve">CLW (Chittaranjan)</t>
  </si>
  <si>
    <t xml:space="preserve">24-Dec-2025</t>
  </si>
  <si>
    <t xml:space="preserve">BLW (Banaras)</t>
  </si>
  <si>
    <t xml:space="preserve">09-Jan-2026</t>
  </si>
  <si>
    <t xml:space="preserve">PLW (Patiala)</t>
  </si>
  <si>
    <t xml:space="preserve">16-Jan-2026</t>
  </si>
  <si>
    <t xml:space="preserve">27-Jan-2026</t>
  </si>
  <si>
    <t xml:space="preserve">Earlier developmental / other POs (balance to 564 sets)</t>
  </si>
  <si>
    <t xml:space="preserve">FY25-FY26</t>
  </si>
  <si>
    <t xml:space="preserve">Total executable propulsion order book</t>
  </si>
  <si>
    <t xml:space="preserve">Developmental: MEMU 6 rakes (MCF Raebareli LoA 27-Jun-2026, 24-month delivery) + composite converter + hotel load converter</t>
  </si>
  <si>
    <t xml:space="preserve">Other orders in hand: cable management &amp; control panels (approx.) [M]</t>
  </si>
  <si>
    <t xml:space="preserve">Total orders in hand</t>
  </si>
  <si>
    <t xml:space="preserve">Order book / FY26 revenue (x)</t>
  </si>
  <si>
    <t xml:space="preserve">FY26 tender share: 450 of 1,659 sets tendered by CLW/BLW/PLW = 27.1% [A: prospectus p.126]</t>
  </si>
  <si>
    <t xml:space="preserve">Capacity (single shift, chartered engineer certificate 7-Jul-2026) [A: prospectus p.245; PPT p.15]</t>
  </si>
  <si>
    <t xml:space="preserve">Product</t>
  </si>
  <si>
    <t xml:space="preserve">Installed capacity</t>
  </si>
  <si>
    <t xml:space="preserve">FY24 production</t>
  </si>
  <si>
    <t xml:space="preserve">FY25 production</t>
  </si>
  <si>
    <t xml:space="preserve">FY26 production</t>
  </si>
  <si>
    <t xml:space="preserve">FY26 utilisation</t>
  </si>
  <si>
    <t xml:space="preserve">Switchboard cabinet panels</t>
  </si>
  <si>
    <t xml:space="preserve">nos</t>
  </si>
  <si>
    <t xml:space="preserve">Cable protection conduit tubing</t>
  </si>
  <si>
    <t xml:space="preserve">metres</t>
  </si>
  <si>
    <t xml:space="preserve">Conduit end fittings</t>
  </si>
  <si>
    <t xml:space="preserve">Expandable cable jackets</t>
  </si>
  <si>
    <t xml:space="preserve">Propulsion systems, Unit 1</t>
  </si>
  <si>
    <t xml:space="preserve">Propulsion systems, Unit 2 (consent to operate Jun-2026; certified 171 sets/yr) - combined 285/yr single shift; mgmt says up to 55/month with two shifts [M]</t>
  </si>
  <si>
    <t xml:space="preserve">Mgmt delivery plan [M, call 27-Aug-26]: ~10 sets Sep-26, ~25 Nov-26, ~40/month from Jan-27; ~70 sets by 3QFY27; FY27 revenue target Rs.400 cr; PAT 10%+ at run-rate; R&amp;D ~Rs.9 cr/yr</t>
  </si>
  <si>
    <t xml:space="preserve">CMP (Rs.) - NSE close 22-Oct-2026 [S]; replace with Bloomberg CMP and date</t>
  </si>
  <si>
    <t xml:space="preserve">No. of shares, crore (post-IPO: 2,04,59,200 + 68,23,528) [A]</t>
  </si>
  <si>
    <t xml:space="preserve">Market Cap (Rs. crore)</t>
  </si>
  <si>
    <t xml:space="preserve">IPO price (Rs.), 6-Aug-2026 listing</t>
  </si>
  <si>
    <t xml:space="preserve">Pre-IPO placement price, Oct-2025 (Rs.547 FV10 = Rs.273.5 FV5) [A]</t>
  </si>
  <si>
    <t xml:space="preserve">Net debt at FY26 end (Rs. crore) [A]</t>
  </si>
  <si>
    <t xml:space="preserve">IPO gross proceeds (Rs. crore) [A]</t>
  </si>
  <si>
    <t xml:space="preserve">IPO expenses (Rs. crore) [A] Pro p.124, 142-143</t>
  </si>
  <si>
    <t xml:space="preserve">Pro-forma net cash post-IPO before FY27 working-capital build (Rs. crore)</t>
  </si>
  <si>
    <t xml:space="preserve">Pro-forma EV at CMP (Rs. crore)</t>
  </si>
  <si>
    <t xml:space="preserve">What the price implies - trailing (FY26A)</t>
  </si>
  <si>
    <t xml:space="preserve">EV / FY26A sales</t>
  </si>
  <si>
    <t xml:space="preserve">Price / post-money book (NAV Rs.129.2/sh at issue price, prospectus p.149)</t>
  </si>
  <si>
    <t xml:space="preserve">P/E FY26A</t>
  </si>
  <si>
    <t xml:space="preserve">n.m. (loss)</t>
  </si>
  <si>
    <t xml:space="preserve">What the price implies - on management guidance (NOT a base case; base case = committed only, built in v2)</t>
  </si>
  <si>
    <t xml:space="preserve">Sets per month at run-rate [M]</t>
  </si>
  <si>
    <t xml:space="preserve">Realisation per set, Rs. crore ex GST [A: PO rates]</t>
  </si>
  <si>
    <t xml:space="preserve">Propulsion revenue at run-rate, annualised (Rs. crore)</t>
  </si>
  <si>
    <t xml:space="preserve">Legacy lines revenue, FY26 level (Rs. crore)</t>
  </si>
  <si>
    <t xml:space="preserve">Implied annual revenue at run-rate (Rs. crore)</t>
  </si>
  <si>
    <t xml:space="preserve">PAT margin guided [M]</t>
  </si>
  <si>
    <t xml:space="preserve">Implied PAT at run-rate (Rs. crore)</t>
  </si>
  <si>
    <t xml:space="preserve">P/E on run-rate PAT at CMP</t>
  </si>
  <si>
    <t xml:space="preserve">Sets needed per year to hold the run-rate</t>
  </si>
  <si>
    <t xml:space="preserve">Executable order book (sets) / sets per year = months of cover at run-rate</t>
  </si>
  <si>
    <t xml:space="preserve">FY26 tender share won (sets) vs sets needed per year</t>
  </si>
  <si>
    <t xml:space="preserve">v2: primary method (P/E on FY28E, EPC/capital-goods engine: order book x execution + new orders), EV/EBITDA cross-check, reverse DCF; bull/base/bear; net debt from year before valuation year.</t>
  </si>
  <si>
    <t xml:space="preserve">Tag key</t>
  </si>
  <si>
    <t xml:space="preserve">[A] audited / statutory filing; [M] management statement (PPT, call, directors report); [S] secondary (NSE price, ACE); [E] analyst estimate</t>
  </si>
  <si>
    <t xml:space="preserve">ACE dump</t>
  </si>
  <si>
    <t xml:space="preserve">MV_Ace_Data_Dump.xlsx - P&amp;L, BS, CF (standalone, FY23-FY26), quarterly (Jun-25, Jun-26). Used as the base for FY23-FY26.</t>
  </si>
  <si>
    <t xml:space="preserve">Audited AR FY26</t>
  </si>
  <si>
    <t xml:space="preserve">Annual Report 2025-26 (filed NSE 3-Sep-2026): P&amp;L p.59, BS, CF, notes 7 (receivables), 10 (other current assets), 13 (borrowings), 24-27 (expenses), 33 (related parties), 34 (contingent), 39 (revenue disaggregation). Auditor Sanmarks &amp; Associates, unmodified opinion, emphasis of matter on MSME interest not provided; CARO: no internal audit system in FY26.</t>
  </si>
  <si>
    <t xml:space="preserve">Prospectus</t>
  </si>
  <si>
    <t xml:space="preserve">Prospectus dated 3-Aug-2026 (SEBI / company website): capital history p.104-106, 153; customers p.22, 218; order book p.23-26, 126, 216; capacity p.245; purchase orders p.26; working-capital plan p.133; LD terms p.31; contingent liabilities p.85; related parties p.86; KPIs and peers p.148-153; competition p.246.</t>
  </si>
  <si>
    <t xml:space="preserve">Q1FY27 results</t>
  </si>
  <si>
    <t xml:space="preserve">Outcome of board meeting 25-Aug-2026: standalone unaudited results for quarter ended 30-Jun-2026 with comparatives 4QFY26 and 1QFY26 (Rs. million).</t>
  </si>
  <si>
    <t xml:space="preserve">Q1FY27 PPT / call</t>
  </si>
  <si>
    <t xml:space="preserve">Investor presentation filed 26-Aug-2026; earnings call 27-Aug-2026 transcript filed 1-Sep-2026.</t>
  </si>
  <si>
    <t xml:space="preserve">Pre-listing audited statements</t>
  </si>
  <si>
    <t xml:space="preserve">Company website: FY2020-21 (Jugal Arora &amp; Co, signed 19-Oct-2021; comparatives give FY20) and FY2021-22 (signed 5-Sep-2022), Indian GAAP, scanned; read from rendered pages. Headline rows only.</t>
  </si>
  <si>
    <t xml:space="preserve">Market data</t>
  </si>
  <si>
    <t xml:space="preserve">NSE historical closes 5-Aug-2026 to 22-Oct-2026 (secondary). Bloomberg CMP to be supplied by the investor with date.</t>
  </si>
  <si>
    <t xml:space="preserve">Conflicts resolved</t>
  </si>
  <si>
    <t xml:space="preserve">1) ACE FY25/FY26 employee cost and interest differ from audited AR (ACE 9.48/13.14 vs AR 9.57/13.76 employee; ACE 3.55/4.14 vs AR 3.04/3.49 interest). PBT and PAT tie. Audited used; EBITDA FY26 = -10.3 (audited) vs -9.7 (ACE). 2) ACE "Assets in transit" Rs.10.5 cr is Investment property per AR. 3) PPT covering letter says "standalone &amp; consolidated"; there is no consolidation. 4) Prospectus top-customer table: FY26 76.72% vs AR note 39 Indian Railways 67.20%+9.53% = 76.73% - consistent. 5) Share count: PPT shows 2.73 cr and Mcap Rs.1,539 cr at Rs.560.15 (implies 2.75 cr); AR + IPO allotment give 2,72,82,728 - used.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</si>
</sst>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;\(#,##0.0\);\-"/>
    <numFmt numFmtId="166" formatCode="0%"/>
    <numFmt numFmtId="167" formatCode="0.0%"/>
    <numFmt numFmtId="168" formatCode="0.000"/>
    <numFmt numFmtId="169" formatCode="0.00;\(0.00\);\-"/>
    <numFmt numFmtId="170" formatCode="#,##0;\(#,##0\);\-"/>
    <numFmt numFmtId="171" formatCode="#,##0.00;\(#,##0.00\);\-"/>
    <numFmt numFmtId="172" formatCode="#,##0"/>
    <numFmt numFmtId="173" formatCode="0.0\x"/>
    <numFmt numFmtId="174" formatCode="0.0"/>
    <numFmt numFmtId="175" formatCode="0.0000"/>
    <numFmt numFmtId="176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FF0000"/>
      <name val="Arial"/>
      <family val="0"/>
      <charset val="1"/>
    </font>
    <font>
      <sz val="10"/>
      <name val="Arial"/>
      <family val="2"/>
    </font>
    <font>
      <b val="true"/>
      <sz val="11"/>
      <name val="Arial"/>
      <family val="0"/>
      <charset val="1"/>
    </font>
    <font>
      <sz val="11"/>
      <color theme="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F2F2F2"/>
      </patternFill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12" min="2" style="1" width="10.51"/>
    <col collapsed="false" customWidth="true" hidden="false" outlineLevel="0" max="13" min="13" style="1" width="60"/>
  </cols>
  <sheetData>
    <row r="1" customFormat="false" ht="36.75" hidden="false" customHeight="true" outlineLevel="0" collapsed="false">
      <c r="A1" s="2" t="s">
        <v>0</v>
      </c>
      <c r="M1" s="3" t="s">
        <v>1</v>
      </c>
    </row>
    <row r="2" customFormat="false" ht="15" hidden="false" customHeight="true" outlineLevel="0" collapsed="false">
      <c r="A2" s="4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3" t="s">
        <v>14</v>
      </c>
    </row>
    <row r="3" customFormat="false" ht="15" hidden="false" customHeight="true" outlineLevel="0" collapsed="false">
      <c r="A3" s="6" t="s">
        <v>15</v>
      </c>
      <c r="B3" s="7" t="n">
        <v>83.836</v>
      </c>
      <c r="C3" s="7" t="n">
        <v>57.372</v>
      </c>
      <c r="D3" s="7" t="n">
        <v>58.067</v>
      </c>
      <c r="E3" s="7" t="n">
        <v>68.071</v>
      </c>
      <c r="F3" s="7" t="n">
        <v>49.957</v>
      </c>
      <c r="G3" s="7" t="n">
        <v>62.637</v>
      </c>
      <c r="H3" s="7" t="n">
        <v>49.428</v>
      </c>
      <c r="I3" s="8" t="n">
        <f aca="false">Segments!D8</f>
        <v>389.12</v>
      </c>
      <c r="J3" s="8" t="n">
        <f aca="false">Segments!E8</f>
        <v>864.079666666667</v>
      </c>
      <c r="K3" s="8" t="n">
        <f aca="false">Segments!F8</f>
        <v>889.617333333333</v>
      </c>
      <c r="L3" s="8" t="n">
        <f aca="false">Segments!G8</f>
        <v>831.92</v>
      </c>
    </row>
    <row r="4" customFormat="false" ht="15" hidden="false" customHeight="true" outlineLevel="0" collapsed="false">
      <c r="A4" s="9" t="s">
        <v>16</v>
      </c>
      <c r="C4" s="10" t="n">
        <f aca="false">+C3/B3-1</f>
        <v>-0.315663915263133</v>
      </c>
      <c r="D4" s="10" t="n">
        <f aca="false">+D3/C3-1</f>
        <v>0.012113923168096</v>
      </c>
      <c r="E4" s="10" t="n">
        <f aca="false">+E3/D3-1</f>
        <v>0.172283741195516</v>
      </c>
      <c r="F4" s="10" t="n">
        <f aca="false">+F3/E3-1</f>
        <v>-0.266104508527861</v>
      </c>
      <c r="G4" s="10" t="n">
        <f aca="false">+G3/F3-1</f>
        <v>0.253818283724003</v>
      </c>
      <c r="H4" s="10" t="n">
        <f aca="false">+H3/G3-1</f>
        <v>-0.210881747210115</v>
      </c>
      <c r="I4" s="10" t="n">
        <f aca="false">+I3/H3-1</f>
        <v>6.87246095330582</v>
      </c>
      <c r="J4" s="10" t="n">
        <f aca="false">+J3/I3-1</f>
        <v>1.2205994723136</v>
      </c>
      <c r="K4" s="10" t="n">
        <f aca="false">+K3/J3-1</f>
        <v>0.0295547594184022</v>
      </c>
      <c r="L4" s="10" t="n">
        <f aca="false">+L3/K3-1</f>
        <v>-0.0648563502209939</v>
      </c>
    </row>
    <row r="5" customFormat="false" ht="15" hidden="false" customHeight="true" outlineLevel="0" collapsed="false">
      <c r="A5" s="6" t="s">
        <v>17</v>
      </c>
    </row>
    <row r="6" customFormat="false" ht="15" hidden="false" customHeight="true" outlineLevel="0" collapsed="false">
      <c r="A6" s="9" t="s">
        <v>18</v>
      </c>
      <c r="E6" s="11" t="n">
        <v>-5.396</v>
      </c>
      <c r="F6" s="11" t="n">
        <v>1.436</v>
      </c>
      <c r="G6" s="11" t="n">
        <v>-1.227</v>
      </c>
      <c r="H6" s="11" t="n">
        <v>-3.485</v>
      </c>
      <c r="I6" s="12" t="n">
        <f aca="false">0</f>
        <v>0</v>
      </c>
      <c r="J6" s="12" t="n">
        <f aca="false">0</f>
        <v>0</v>
      </c>
      <c r="K6" s="12" t="n">
        <f aca="false">0</f>
        <v>0</v>
      </c>
      <c r="L6" s="12" t="n">
        <f aca="false">0</f>
        <v>0</v>
      </c>
    </row>
    <row r="7" customFormat="false" ht="15" hidden="false" customHeight="true" outlineLevel="0" collapsed="false">
      <c r="A7" s="9" t="s">
        <v>19</v>
      </c>
      <c r="E7" s="11" t="n">
        <v>51.195</v>
      </c>
      <c r="F7" s="11" t="n">
        <v>24.723</v>
      </c>
      <c r="G7" s="11" t="n">
        <v>38.483</v>
      </c>
      <c r="H7" s="11" t="n">
        <v>38.362</v>
      </c>
      <c r="I7" s="13" t="n">
        <f aca="false">Drivers!C29</f>
        <v>319.572</v>
      </c>
      <c r="J7" s="13" t="n">
        <f aca="false">Drivers!D29</f>
        <v>657.738943333333</v>
      </c>
      <c r="K7" s="13" t="n">
        <f aca="false">Drivers!E29</f>
        <v>677.402946666667</v>
      </c>
      <c r="L7" s="13" t="n">
        <f aca="false">Drivers!F29</f>
        <v>632.976</v>
      </c>
    </row>
    <row r="8" customFormat="false" ht="15" hidden="false" customHeight="true" outlineLevel="0" collapsed="false">
      <c r="A8" s="9" t="s">
        <v>20</v>
      </c>
      <c r="E8" s="12" t="n">
        <f aca="false">+E6+E7</f>
        <v>45.799</v>
      </c>
      <c r="F8" s="12" t="n">
        <f aca="false">+F6+F7</f>
        <v>26.159</v>
      </c>
      <c r="G8" s="12" t="n">
        <f aca="false">+G6+G7</f>
        <v>37.256</v>
      </c>
      <c r="H8" s="12" t="n">
        <f aca="false">+H6+H7</f>
        <v>34.877</v>
      </c>
      <c r="I8" s="12" t="n">
        <f aca="false">+I6+I7</f>
        <v>319.572</v>
      </c>
      <c r="J8" s="12" t="n">
        <f aca="false">+J6+J7</f>
        <v>657.738943333333</v>
      </c>
      <c r="K8" s="12" t="n">
        <f aca="false">+K6+K7</f>
        <v>677.402946666667</v>
      </c>
      <c r="L8" s="12" t="n">
        <f aca="false">+L6+L7</f>
        <v>632.976</v>
      </c>
    </row>
    <row r="9" customFormat="false" ht="15" hidden="false" customHeight="true" outlineLevel="0" collapsed="false">
      <c r="A9" s="6" t="s">
        <v>21</v>
      </c>
      <c r="E9" s="14" t="n">
        <f aca="false">+E3-E8</f>
        <v>22.272</v>
      </c>
      <c r="F9" s="14" t="n">
        <f aca="false">+F3-F8</f>
        <v>23.798</v>
      </c>
      <c r="G9" s="14" t="n">
        <f aca="false">+G3-G8</f>
        <v>25.381</v>
      </c>
      <c r="H9" s="14" t="n">
        <f aca="false">+H3-H8</f>
        <v>14.551</v>
      </c>
      <c r="I9" s="14" t="n">
        <f aca="false">+I3-I8</f>
        <v>69.5480000000001</v>
      </c>
      <c r="J9" s="14" t="n">
        <f aca="false">+J3-J8</f>
        <v>206.340723333333</v>
      </c>
      <c r="K9" s="14" t="n">
        <f aca="false">+K3-K8</f>
        <v>212.214386666667</v>
      </c>
      <c r="L9" s="14" t="n">
        <f aca="false">+L3-L8</f>
        <v>198.944</v>
      </c>
    </row>
    <row r="10" customFormat="false" ht="15" hidden="false" customHeight="true" outlineLevel="0" collapsed="false">
      <c r="A10" s="9" t="s">
        <v>22</v>
      </c>
      <c r="E10" s="10" t="n">
        <f aca="false">+E9/E3</f>
        <v>0.327187789220079</v>
      </c>
      <c r="F10" s="10" t="n">
        <f aca="false">+F9/F3</f>
        <v>0.476369677923014</v>
      </c>
      <c r="G10" s="10" t="n">
        <f aca="false">+G9/G3</f>
        <v>0.405207784536296</v>
      </c>
      <c r="H10" s="10" t="n">
        <f aca="false">+H9/H3</f>
        <v>0.29438779639071</v>
      </c>
      <c r="I10" s="10" t="n">
        <f aca="false">+I9/I3</f>
        <v>0.178731496710526</v>
      </c>
      <c r="J10" s="10" t="n">
        <f aca="false">+J9/J3</f>
        <v>0.238798262814501</v>
      </c>
      <c r="K10" s="10" t="n">
        <f aca="false">+K9/K3</f>
        <v>0.238545696801471</v>
      </c>
      <c r="L10" s="10" t="n">
        <f aca="false">+L9/L3</f>
        <v>0.239138378690259</v>
      </c>
    </row>
    <row r="11" customFormat="false" ht="15" hidden="false" customHeight="true" outlineLevel="0" collapsed="false">
      <c r="A11" s="9" t="s">
        <v>23</v>
      </c>
      <c r="E11" s="11" t="n">
        <v>1.171</v>
      </c>
      <c r="F11" s="11" t="n">
        <v>0.875</v>
      </c>
      <c r="G11" s="11" t="n">
        <v>0.791</v>
      </c>
      <c r="H11" s="11" t="n">
        <v>1.062</v>
      </c>
      <c r="I11" s="13" t="n">
        <f aca="false">Drivers!C33*$H11/($H$11+SUM($H$13:$H$16))</f>
        <v>2.26580418168709</v>
      </c>
      <c r="J11" s="13" t="n">
        <f aca="false">Drivers!D33*$H11/($H$11+SUM($H$13:$H$16))</f>
        <v>3.72526840122567</v>
      </c>
      <c r="K11" s="13" t="n">
        <f aca="false">Drivers!E33*$H11/($H$11+SUM($H$13:$H$16))</f>
        <v>3.8943049963951</v>
      </c>
      <c r="L11" s="13" t="n">
        <f aca="false">Drivers!F33*$H11/($H$11+SUM($H$13:$H$16))</f>
        <v>3.82434852198991</v>
      </c>
    </row>
    <row r="12" customFormat="false" ht="15" hidden="false" customHeight="true" outlineLevel="0" collapsed="false">
      <c r="A12" s="9" t="s">
        <v>24</v>
      </c>
      <c r="E12" s="11" t="n">
        <v>7.67</v>
      </c>
      <c r="F12" s="11" t="n">
        <v>9.191</v>
      </c>
      <c r="G12" s="11" t="n">
        <v>9.566</v>
      </c>
      <c r="H12" s="11" t="n">
        <v>13.76</v>
      </c>
      <c r="I12" s="13" t="n">
        <f aca="false">Drivers!C30</f>
        <v>22</v>
      </c>
      <c r="J12" s="13" t="n">
        <f aca="false">Drivers!D30</f>
        <v>30</v>
      </c>
      <c r="K12" s="13" t="n">
        <f aca="false">Drivers!E30</f>
        <v>33</v>
      </c>
      <c r="L12" s="13" t="n">
        <f aca="false">Drivers!F30</f>
        <v>36</v>
      </c>
    </row>
    <row r="13" customFormat="false" ht="15" hidden="false" customHeight="true" outlineLevel="0" collapsed="false">
      <c r="A13" s="9" t="s">
        <v>25</v>
      </c>
      <c r="E13" s="11" t="n">
        <v>4.001</v>
      </c>
      <c r="F13" s="11" t="n">
        <v>4.042</v>
      </c>
      <c r="G13" s="11" t="n">
        <v>4.004</v>
      </c>
      <c r="H13" s="11" t="n">
        <v>4.891</v>
      </c>
      <c r="I13" s="13" t="n">
        <f aca="false">Drivers!C33*$H13/($H$11+SUM($H$13:$H$16))</f>
        <v>10.4350736842105</v>
      </c>
      <c r="J13" s="13" t="n">
        <f aca="false">Drivers!D33*$H13/($H$11+SUM($H$13:$H$16))</f>
        <v>17.1565798026316</v>
      </c>
      <c r="K13" s="13" t="n">
        <f aca="false">Drivers!E33*$H13/($H$11+SUM($H$13:$H$16))</f>
        <v>17.9350713157895</v>
      </c>
      <c r="L13" s="13" t="n">
        <f aca="false">Drivers!F33*$H13/($H$11+SUM($H$13:$H$16))</f>
        <v>17.6128894736842</v>
      </c>
    </row>
    <row r="14" customFormat="false" ht="15" hidden="false" customHeight="true" outlineLevel="0" collapsed="false">
      <c r="A14" s="9" t="s">
        <v>26</v>
      </c>
      <c r="E14" s="11" t="n">
        <v>2.625</v>
      </c>
      <c r="F14" s="11" t="n">
        <v>3.013</v>
      </c>
      <c r="G14" s="11" t="n">
        <v>2.594</v>
      </c>
      <c r="H14" s="11" t="n">
        <v>4.461</v>
      </c>
      <c r="I14" s="13" t="n">
        <f aca="false">Drivers!C33*$H14/($H$11+SUM($H$13:$H$16))</f>
        <v>9.51765767844268</v>
      </c>
      <c r="J14" s="13" t="n">
        <f aca="false">Drivers!D33*$H14/($H$11+SUM($H$13:$H$16))</f>
        <v>15.6482319565609</v>
      </c>
      <c r="K14" s="13" t="n">
        <f aca="false">Drivers!E33*$H14/($H$11+SUM($H$13:$H$16))</f>
        <v>16.3582811571738</v>
      </c>
      <c r="L14" s="13" t="n">
        <f aca="false">Drivers!F33*$H14/($H$11+SUM($H$13:$H$16))</f>
        <v>16.0644244412401</v>
      </c>
    </row>
    <row r="15" customFormat="false" ht="15" hidden="false" customHeight="true" outlineLevel="0" collapsed="false">
      <c r="A15" s="9" t="s">
        <v>27</v>
      </c>
      <c r="E15" s="11" t="n">
        <v>0.33</v>
      </c>
      <c r="F15" s="11" t="n">
        <v>0.46</v>
      </c>
      <c r="G15" s="11" t="n">
        <v>0.489</v>
      </c>
      <c r="H15" s="11" t="n">
        <v>0.208</v>
      </c>
      <c r="I15" s="13" t="n">
        <f aca="false">Drivers!C33*$H15/($H$11+SUM($H$13:$H$16))</f>
        <v>0.44377332372026</v>
      </c>
      <c r="J15" s="13" t="n">
        <f aca="false">Drivers!D33*$H15/($H$11+SUM($H$13:$H$16))</f>
        <v>0.729619423215573</v>
      </c>
      <c r="K15" s="13" t="n">
        <f aca="false">Drivers!E33*$H15/($H$11+SUM($H$13:$H$16))</f>
        <v>0.762726402307138</v>
      </c>
      <c r="L15" s="13" t="n">
        <f aca="false">Drivers!F33*$H15/($H$11+SUM($H$13:$H$16))</f>
        <v>0.74902494592646</v>
      </c>
    </row>
    <row r="16" customFormat="false" ht="15" hidden="false" customHeight="true" outlineLevel="0" collapsed="false">
      <c r="A16" s="9" t="s">
        <v>28</v>
      </c>
      <c r="E16" s="11" t="n">
        <v>0.275</v>
      </c>
      <c r="F16" s="11" t="n">
        <v>0.422</v>
      </c>
      <c r="G16" s="11" t="n">
        <v>1.02</v>
      </c>
      <c r="H16" s="11" t="n">
        <v>0.474</v>
      </c>
      <c r="I16" s="13" t="n">
        <f aca="false">Drivers!C33*$H16/($H$11+SUM($H$13:$H$16))</f>
        <v>1.01129113193944</v>
      </c>
      <c r="J16" s="13" t="n">
        <f aca="false">Drivers!D33*$H16/($H$11+SUM($H$13:$H$16))</f>
        <v>1.66269041636626</v>
      </c>
      <c r="K16" s="13" t="n">
        <f aca="false">Drivers!E33*$H16/($H$11+SUM($H$13:$H$16))</f>
        <v>1.73813612833453</v>
      </c>
      <c r="L16" s="13" t="n">
        <f aca="false">Drivers!F33*$H16/($H$11+SUM($H$13:$H$16))</f>
        <v>1.70691261715934</v>
      </c>
    </row>
    <row r="17" customFormat="false" ht="15" hidden="false" customHeight="true" outlineLevel="0" collapsed="false">
      <c r="A17" s="6" t="s">
        <v>29</v>
      </c>
      <c r="E17" s="14" t="n">
        <f aca="false">SUM(E11:E16)+E8</f>
        <v>61.871</v>
      </c>
      <c r="F17" s="14" t="n">
        <f aca="false">SUM(F11:F16)+F8</f>
        <v>44.162</v>
      </c>
      <c r="G17" s="14" t="n">
        <f aca="false">SUM(G11:G16)+G8</f>
        <v>55.72</v>
      </c>
      <c r="H17" s="14" t="n">
        <f aca="false">SUM(H11:H16)+H8</f>
        <v>59.733</v>
      </c>
      <c r="I17" s="14" t="n">
        <f aca="false">SUM(I11:I16)+I8</f>
        <v>365.2456</v>
      </c>
      <c r="J17" s="14" t="n">
        <f aca="false">SUM(J11:J16)+J8</f>
        <v>726.661333333333</v>
      </c>
      <c r="K17" s="14" t="n">
        <f aca="false">SUM(K11:K16)+K8</f>
        <v>751.091466666667</v>
      </c>
      <c r="L17" s="14" t="n">
        <f aca="false">SUM(L11:L16)+L8</f>
        <v>708.9336</v>
      </c>
    </row>
    <row r="19" customFormat="false" ht="15" hidden="false" customHeight="true" outlineLevel="0" collapsed="false">
      <c r="A19" s="6" t="s">
        <v>30</v>
      </c>
      <c r="B19" s="7" t="n">
        <v>6.6</v>
      </c>
      <c r="C19" s="7" t="n">
        <v>3.94</v>
      </c>
      <c r="D19" s="7" t="n">
        <v>4.53</v>
      </c>
      <c r="E19" s="14" t="n">
        <f aca="false">E3-E17</f>
        <v>6.2</v>
      </c>
      <c r="F19" s="14" t="n">
        <f aca="false">F3-F17</f>
        <v>5.795</v>
      </c>
      <c r="G19" s="14" t="n">
        <f aca="false">G3-G17</f>
        <v>6.917</v>
      </c>
      <c r="H19" s="14" t="n">
        <f aca="false">H3-H17</f>
        <v>-10.305</v>
      </c>
      <c r="I19" s="14" t="n">
        <f aca="false">I3-I17</f>
        <v>23.8744</v>
      </c>
      <c r="J19" s="14" t="n">
        <f aca="false">J3-J17</f>
        <v>137.418333333333</v>
      </c>
      <c r="K19" s="14" t="n">
        <f aca="false">K3-K17</f>
        <v>138.525866666667</v>
      </c>
      <c r="L19" s="14" t="n">
        <f aca="false">L3-L17</f>
        <v>122.9864</v>
      </c>
    </row>
    <row r="20" customFormat="false" ht="15" hidden="false" customHeight="true" outlineLevel="0" collapsed="false">
      <c r="A20" s="9" t="s">
        <v>16</v>
      </c>
      <c r="C20" s="10" t="n">
        <f aca="false">IF(B19&gt;0,C19/B19-1,"n.m.")</f>
        <v>-0.403030303030303</v>
      </c>
      <c r="D20" s="10" t="n">
        <f aca="false">IF(C19&gt;0,D19/C19-1,"n.m.")</f>
        <v>0.149746192893401</v>
      </c>
      <c r="E20" s="10" t="n">
        <f aca="false">IF(D19&gt;0,E19/D19-1,"n.m.")</f>
        <v>0.368653421633555</v>
      </c>
      <c r="F20" s="10" t="n">
        <f aca="false">IF(E19&gt;0,F19/E19-1,"n.m.")</f>
        <v>-0.0653225806451615</v>
      </c>
      <c r="G20" s="10" t="n">
        <f aca="false">IF(F19&gt;0,G19/F19-1,"n.m.")</f>
        <v>0.193615185504745</v>
      </c>
      <c r="H20" s="10" t="n">
        <f aca="false">IF(G19&gt;0,H19/G19-1,"n.m.")</f>
        <v>-2.48980772010987</v>
      </c>
      <c r="I20" s="10" t="str">
        <f aca="false">IF(H19&gt;0,I19/H19-1,"n.m.")</f>
        <v>n.m.</v>
      </c>
      <c r="J20" s="10" t="n">
        <f aca="false">IF(I19&gt;0,J19/I19-1,"n.m.")</f>
        <v>4.75588636084397</v>
      </c>
      <c r="K20" s="10" t="n">
        <f aca="false">IF(J19&gt;0,K19/J19-1,"n.m.")</f>
        <v>0.00805957477774588</v>
      </c>
      <c r="L20" s="10" t="n">
        <f aca="false">IF(K19&gt;0,L19/K19-1,"n.m.")</f>
        <v>-0.112177364708781</v>
      </c>
    </row>
    <row r="21" customFormat="false" ht="15" hidden="false" customHeight="true" outlineLevel="0" collapsed="false">
      <c r="A21" s="9" t="s">
        <v>31</v>
      </c>
      <c r="B21" s="15" t="n">
        <f aca="false">+B19/B3</f>
        <v>0.078725130015745</v>
      </c>
      <c r="C21" s="15" t="n">
        <f aca="false">+C19/C3</f>
        <v>0.0686746147946734</v>
      </c>
      <c r="D21" s="15" t="n">
        <f aca="false">+D19/D3</f>
        <v>0.0780133294297966</v>
      </c>
      <c r="E21" s="15" t="n">
        <f aca="false">+E19/E3</f>
        <v>0.0910813709215379</v>
      </c>
      <c r="F21" s="15" t="n">
        <f aca="false">+F19/F3</f>
        <v>0.115999759793422</v>
      </c>
      <c r="G21" s="15" t="n">
        <f aca="false">+G19/G3</f>
        <v>0.110429937576832</v>
      </c>
      <c r="H21" s="15" t="n">
        <f aca="false">+H19/H3</f>
        <v>-0.208485069191552</v>
      </c>
      <c r="I21" s="15" t="n">
        <f aca="false">+I19/I3</f>
        <v>0.0613548519736843</v>
      </c>
      <c r="J21" s="15" t="n">
        <f aca="false">+J19/J3</f>
        <v>0.159034332868227</v>
      </c>
      <c r="K21" s="15" t="n">
        <f aca="false">+K19/K3</f>
        <v>0.155713992383242</v>
      </c>
      <c r="L21" s="15" t="n">
        <f aca="false">+L19/L3</f>
        <v>0.147834407154534</v>
      </c>
    </row>
    <row r="22" customFormat="false" ht="15" hidden="false" customHeight="true" outlineLevel="0" collapsed="false">
      <c r="A22" s="9" t="s">
        <v>32</v>
      </c>
      <c r="E22" s="11" t="n">
        <v>0.061</v>
      </c>
      <c r="F22" s="11" t="n">
        <v>0.608</v>
      </c>
      <c r="G22" s="11" t="n">
        <v>1.999</v>
      </c>
      <c r="H22" s="11" t="n">
        <v>0.363</v>
      </c>
      <c r="I22" s="13" t="n">
        <f aca="false">Drivers!C38*(H80+0.5*(N(Drivers!C40)-N(Drivers!C41)))</f>
        <v>8.2814875</v>
      </c>
      <c r="J22" s="13" t="n">
        <f aca="false">Drivers!D38*(I80+0.5*(N(Drivers!D40)-N(Drivers!D41)))</f>
        <v>14.677169247506</v>
      </c>
      <c r="K22" s="13" t="n">
        <f aca="false">Drivers!E38*(J80+0.5*(N(Drivers!E40)-N(Drivers!E41)))</f>
        <v>13.3856991417775</v>
      </c>
      <c r="L22" s="13" t="n">
        <f aca="false">Drivers!F38*(K80+0.5*(N(Drivers!F40)-N(Drivers!F41)))</f>
        <v>19.5898339365589</v>
      </c>
    </row>
    <row r="23" customFormat="false" ht="15" hidden="false" customHeight="true" outlineLevel="0" collapsed="false">
      <c r="A23" s="9" t="s">
        <v>33</v>
      </c>
      <c r="E23" s="11" t="n">
        <v>2.595</v>
      </c>
      <c r="F23" s="11" t="n">
        <v>2.839</v>
      </c>
      <c r="G23" s="11" t="n">
        <v>3.473</v>
      </c>
      <c r="H23" s="11" t="n">
        <v>3.365</v>
      </c>
      <c r="I23" s="13" t="n">
        <f aca="false">Drivers!C36*AVERAGE(H65,I65)</f>
        <v>6.46572</v>
      </c>
      <c r="J23" s="13" t="n">
        <f aca="false">Drivers!D36*AVERAGE(I65,J65)</f>
        <v>7.96572</v>
      </c>
      <c r="K23" s="13" t="n">
        <f aca="false">Drivers!E36*AVERAGE(J65,K65)</f>
        <v>9.16572</v>
      </c>
      <c r="L23" s="13" t="n">
        <f aca="false">Drivers!F36*AVERAGE(K65,L65)</f>
        <v>10.48572</v>
      </c>
    </row>
    <row r="24" customFormat="false" ht="15" hidden="false" customHeight="true" outlineLevel="0" collapsed="false">
      <c r="A24" s="6" t="s">
        <v>34</v>
      </c>
      <c r="E24" s="14" t="n">
        <f aca="false">E19+E22-E23</f>
        <v>3.666</v>
      </c>
      <c r="F24" s="14" t="n">
        <f aca="false">F19+F22-F23</f>
        <v>3.564</v>
      </c>
      <c r="G24" s="14" t="n">
        <f aca="false">G19+G22-G23</f>
        <v>5.443</v>
      </c>
      <c r="H24" s="14" t="n">
        <f aca="false">H19+H22-H23</f>
        <v>-13.307</v>
      </c>
      <c r="I24" s="14" t="n">
        <f aca="false">I19+I22-I23</f>
        <v>25.6901675</v>
      </c>
      <c r="J24" s="14" t="n">
        <f aca="false">J19+J22-J23</f>
        <v>144.129782580839</v>
      </c>
      <c r="K24" s="14" t="n">
        <f aca="false">K19+K22-K23</f>
        <v>142.745845808444</v>
      </c>
      <c r="L24" s="14" t="n">
        <f aca="false">L19+L22-L23</f>
        <v>132.090513936559</v>
      </c>
    </row>
    <row r="25" customFormat="false" ht="15" hidden="false" customHeight="true" outlineLevel="0" collapsed="false">
      <c r="A25" s="9" t="s">
        <v>35</v>
      </c>
      <c r="E25" s="11" t="n">
        <v>1.902</v>
      </c>
      <c r="F25" s="11" t="n">
        <v>2.5</v>
      </c>
      <c r="G25" s="11" t="n">
        <v>3.042</v>
      </c>
      <c r="H25" s="11" t="n">
        <v>3.49</v>
      </c>
      <c r="I25" s="13" t="n">
        <f aca="false">Drivers!C37*(H47+H48+H57)</f>
        <v>4.9893</v>
      </c>
      <c r="J25" s="13" t="n">
        <f aca="false">Drivers!D37*(I47+I48+I57)</f>
        <v>4.9893</v>
      </c>
      <c r="K25" s="13" t="n">
        <f aca="false">Drivers!E37*(J47+J48+J57)</f>
        <v>4.9893</v>
      </c>
      <c r="L25" s="13" t="n">
        <f aca="false">Drivers!F37*(K47+K48+K57)</f>
        <v>4.9893</v>
      </c>
    </row>
    <row r="26" customFormat="false" ht="15" hidden="false" customHeight="true" outlineLevel="0" collapsed="false">
      <c r="A26" s="9" t="s">
        <v>36</v>
      </c>
      <c r="E26" s="11" t="n">
        <v>-0.001</v>
      </c>
      <c r="F26" s="11" t="n">
        <v>-0.08</v>
      </c>
      <c r="G26" s="11" t="n">
        <v>0.163</v>
      </c>
      <c r="H26" s="11" t="n">
        <v>0</v>
      </c>
      <c r="I26" s="12" t="n">
        <f aca="false">0</f>
        <v>0</v>
      </c>
      <c r="J26" s="12" t="n">
        <f aca="false">0</f>
        <v>0</v>
      </c>
      <c r="K26" s="12" t="n">
        <f aca="false">0</f>
        <v>0</v>
      </c>
      <c r="L26" s="12" t="n">
        <f aca="false">0</f>
        <v>0</v>
      </c>
    </row>
    <row r="27" customFormat="false" ht="15" hidden="false" customHeight="true" outlineLevel="0" collapsed="false">
      <c r="A27" s="6" t="s">
        <v>37</v>
      </c>
      <c r="E27" s="14" t="n">
        <f aca="false">+E24-E25+E26</f>
        <v>1.763</v>
      </c>
      <c r="F27" s="14" t="n">
        <f aca="false">+F24-F25+F26</f>
        <v>0.984000000000001</v>
      </c>
      <c r="G27" s="14" t="n">
        <f aca="false">+G24-G25+G26</f>
        <v>2.564</v>
      </c>
      <c r="H27" s="14" t="n">
        <f aca="false">+H24-H25+H26</f>
        <v>-16.797</v>
      </c>
      <c r="I27" s="14" t="n">
        <f aca="false">+I24-I25+I26</f>
        <v>20.7008675</v>
      </c>
      <c r="J27" s="14" t="n">
        <f aca="false">+J24-J25+J26</f>
        <v>139.140482580839</v>
      </c>
      <c r="K27" s="14" t="n">
        <f aca="false">+K24-K25+K26</f>
        <v>137.756545808444</v>
      </c>
      <c r="L27" s="14" t="n">
        <f aca="false">+L24-L25+L26</f>
        <v>127.101213936559</v>
      </c>
    </row>
    <row r="28" customFormat="false" ht="15" hidden="false" customHeight="true" outlineLevel="0" collapsed="false">
      <c r="A28" s="9" t="s">
        <v>38</v>
      </c>
      <c r="E28" s="11" t="n">
        <v>0.572</v>
      </c>
      <c r="F28" s="11" t="n">
        <v>0.459</v>
      </c>
      <c r="G28" s="11" t="n">
        <v>1.162</v>
      </c>
      <c r="H28" s="11" t="n">
        <v>-4.168</v>
      </c>
      <c r="I28" s="13" t="n">
        <f aca="false">I27*Drivers!C39</f>
        <v>5.21040834975001</v>
      </c>
      <c r="J28" s="13" t="n">
        <f aca="false">J27*Drivers!D39</f>
        <v>35.0216594655973</v>
      </c>
      <c r="K28" s="13" t="n">
        <f aca="false">K27*Drivers!E39</f>
        <v>34.6733225799854</v>
      </c>
      <c r="L28" s="13" t="n">
        <f aca="false">L27*Drivers!F39</f>
        <v>31.9913755478319</v>
      </c>
    </row>
    <row r="29" customFormat="false" ht="15" hidden="false" customHeight="true" outlineLevel="0" collapsed="false">
      <c r="A29" s="9" t="s">
        <v>39</v>
      </c>
      <c r="E29" s="16" t="n">
        <f aca="false">IF(E27=0,0,E28/E27)</f>
        <v>0.324446965399886</v>
      </c>
      <c r="F29" s="16" t="n">
        <f aca="false">IF(F27=0,0,F28/F27)</f>
        <v>0.466463414634146</v>
      </c>
      <c r="G29" s="16" t="n">
        <f aca="false">IF(G27=0,0,G28/G27)</f>
        <v>0.453198127925117</v>
      </c>
      <c r="H29" s="16" t="n">
        <f aca="false">IF(H27=0,0,H28/H27)</f>
        <v>0.24813954872894</v>
      </c>
      <c r="I29" s="16" t="n">
        <f aca="false">IF(I27=0,0,I28/I27)</f>
        <v>0.2517</v>
      </c>
      <c r="J29" s="16" t="n">
        <f aca="false">IF(J27=0,0,J28/J27)</f>
        <v>0.2517</v>
      </c>
      <c r="K29" s="16" t="n">
        <f aca="false">IF(K27=0,0,K28/K27)</f>
        <v>0.2517</v>
      </c>
      <c r="L29" s="16" t="n">
        <f aca="false">IF(L27=0,0,L28/L27)</f>
        <v>0.2517</v>
      </c>
    </row>
    <row r="30" customFormat="false" ht="15" hidden="false" customHeight="true" outlineLevel="0" collapsed="false">
      <c r="A30" s="6" t="s">
        <v>40</v>
      </c>
      <c r="B30" s="7" t="n">
        <v>3.091</v>
      </c>
      <c r="C30" s="7" t="n">
        <v>0.211</v>
      </c>
      <c r="D30" s="7" t="n">
        <v>0.579</v>
      </c>
      <c r="E30" s="14" t="n">
        <f aca="false">+E27-E28</f>
        <v>1.191</v>
      </c>
      <c r="F30" s="14" t="n">
        <f aca="false">+F27-F28</f>
        <v>0.525000000000002</v>
      </c>
      <c r="G30" s="14" t="n">
        <f aca="false">+G27-G28</f>
        <v>1.402</v>
      </c>
      <c r="H30" s="14" t="n">
        <f aca="false">+H27-H28</f>
        <v>-12.629</v>
      </c>
      <c r="I30" s="14" t="n">
        <f aca="false">+I27-I28</f>
        <v>15.49045915025</v>
      </c>
      <c r="J30" s="14" t="n">
        <f aca="false">+J27-J28</f>
        <v>104.118823115242</v>
      </c>
      <c r="K30" s="14" t="n">
        <f aca="false">+K27-K28</f>
        <v>103.083223228459</v>
      </c>
      <c r="L30" s="14" t="n">
        <f aca="false">+L27-L28</f>
        <v>95.109838388727</v>
      </c>
    </row>
    <row r="31" customFormat="false" ht="15" hidden="false" customHeight="true" outlineLevel="0" collapsed="false">
      <c r="A31" s="9" t="s">
        <v>16</v>
      </c>
      <c r="C31" s="10" t="n">
        <f aca="false">IF(B30&gt;0,C30/B30-1,"n.m.")</f>
        <v>-0.931737301844063</v>
      </c>
      <c r="D31" s="10" t="n">
        <f aca="false">IF(C30&gt;0,D30/C30-1,"n.m.")</f>
        <v>1.74407582938389</v>
      </c>
      <c r="E31" s="10" t="n">
        <f aca="false">IF(D30&gt;0,E30/D30-1,"n.m.")</f>
        <v>1.05699481865285</v>
      </c>
      <c r="F31" s="10" t="n">
        <f aca="false">IF(E30&gt;0,F30/E30-1,"n.m.")</f>
        <v>-0.55919395465995</v>
      </c>
      <c r="G31" s="10" t="n">
        <f aca="false">IF(F30&gt;0,G30/F30-1,"n.m.")</f>
        <v>1.67047619047619</v>
      </c>
      <c r="H31" s="10" t="n">
        <f aca="false">IF(G30&gt;0,H30/G30-1,"n.m.")</f>
        <v>-10.0078459343794</v>
      </c>
      <c r="I31" s="10" t="str">
        <f aca="false">IF(H30&gt;0,I30/H30-1,"n.m.")</f>
        <v>n.m.</v>
      </c>
      <c r="J31" s="10" t="n">
        <f aca="false">IF(I30&gt;0,J30/I30-1,"n.m.")</f>
        <v>5.72148075827446</v>
      </c>
      <c r="K31" s="10" t="n">
        <f aca="false">IF(J30&gt;0,K30/J30-1,"n.m.")</f>
        <v>-0.00994632724226141</v>
      </c>
      <c r="L31" s="10" t="n">
        <f aca="false">IF(K30&gt;0,L30/K30-1,"n.m.")</f>
        <v>-0.0773490058810123</v>
      </c>
    </row>
    <row r="32" customFormat="false" ht="15" hidden="false" customHeight="true" outlineLevel="0" collapsed="false">
      <c r="A32" s="9" t="s">
        <v>31</v>
      </c>
      <c r="B32" s="15" t="n">
        <f aca="false">+B30/B3</f>
        <v>0.0368696025573739</v>
      </c>
      <c r="C32" s="15" t="n">
        <f aca="false">+C30/C3</f>
        <v>0.00367775221362337</v>
      </c>
      <c r="D32" s="15" t="n">
        <f aca="false">+D30/D3</f>
        <v>0.00997124011917268</v>
      </c>
      <c r="E32" s="15" t="n">
        <f aca="false">+E30/E3</f>
        <v>0.0174964375431535</v>
      </c>
      <c r="F32" s="15" t="n">
        <f aca="false">+F30/F3</f>
        <v>0.0105090377724844</v>
      </c>
      <c r="G32" s="15" t="n">
        <f aca="false">+G30/G3</f>
        <v>0.0223829366029663</v>
      </c>
      <c r="H32" s="15" t="n">
        <f aca="false">+H30/H3</f>
        <v>-0.255502953791374</v>
      </c>
      <c r="I32" s="15" t="n">
        <f aca="false">+I30/I3</f>
        <v>0.0398089513524106</v>
      </c>
      <c r="J32" s="15" t="n">
        <f aca="false">+J30/J3</f>
        <v>0.120496786502219</v>
      </c>
      <c r="K32" s="15" t="n">
        <f aca="false">+K30/K3</f>
        <v>0.115873667661368</v>
      </c>
      <c r="L32" s="15" t="n">
        <f aca="false">+L30/L3</f>
        <v>0.114325702457841</v>
      </c>
    </row>
    <row r="33" customFormat="false" ht="15" hidden="false" customHeight="true" outlineLevel="0" collapsed="false">
      <c r="A33" s="9" t="s">
        <v>41</v>
      </c>
      <c r="B33" s="17" t="n">
        <v>1.4624</v>
      </c>
      <c r="C33" s="17" t="n">
        <v>1.4624</v>
      </c>
      <c r="D33" s="17" t="n">
        <v>1.4624</v>
      </c>
      <c r="E33" s="17" t="n">
        <v>1.4624</v>
      </c>
      <c r="F33" s="17" t="n">
        <v>1.4624</v>
      </c>
      <c r="G33" s="17" t="n">
        <v>1.828</v>
      </c>
      <c r="H33" s="17" t="n">
        <v>2.0459</v>
      </c>
      <c r="I33" s="18" t="n">
        <f aca="false">H33+N(Drivers!C42)</f>
        <v>2.7282528</v>
      </c>
      <c r="J33" s="18" t="n">
        <f aca="false">I33+N(Drivers!D42)</f>
        <v>2.7282528</v>
      </c>
      <c r="K33" s="18" t="n">
        <f aca="false">J33+N(Drivers!E42)</f>
        <v>2.7282528</v>
      </c>
      <c r="L33" s="18" t="n">
        <f aca="false">K33+N(Drivers!F42)</f>
        <v>2.7282528</v>
      </c>
    </row>
    <row r="34" customFormat="false" ht="15" hidden="false" customHeight="true" outlineLevel="0" collapsed="false">
      <c r="A34" s="9" t="s">
        <v>42</v>
      </c>
      <c r="B34" s="19" t="n">
        <f aca="false">+B30/B33</f>
        <v>2.11364879649891</v>
      </c>
      <c r="C34" s="19" t="n">
        <f aca="false">+C30/C33</f>
        <v>0.144283369803063</v>
      </c>
      <c r="D34" s="19" t="n">
        <f aca="false">+D30/D33</f>
        <v>0.395924507658643</v>
      </c>
      <c r="E34" s="19" t="n">
        <f aca="false">+E30/E33</f>
        <v>0.814414660831512</v>
      </c>
      <c r="F34" s="19" t="n">
        <f aca="false">+F30/F33</f>
        <v>0.358998905908097</v>
      </c>
      <c r="G34" s="19" t="n">
        <f aca="false">+G30/G33</f>
        <v>0.76695842450766</v>
      </c>
      <c r="H34" s="19" t="n">
        <f aca="false">+H30/H33</f>
        <v>-6.1728334718217</v>
      </c>
      <c r="I34" s="19" t="n">
        <f aca="false">+I30/I33</f>
        <v>5.67779464947311</v>
      </c>
      <c r="J34" s="19" t="n">
        <f aca="false">+J30/J33</f>
        <v>38.1631874858672</v>
      </c>
      <c r="K34" s="19" t="n">
        <f aca="false">+K30/K33</f>
        <v>37.783603934525</v>
      </c>
      <c r="L34" s="19" t="n">
        <f aca="false">+L30/L33</f>
        <v>34.8610797315876</v>
      </c>
    </row>
    <row r="35" customFormat="false" ht="15" hidden="false" customHeight="true" outlineLevel="0" collapsed="false">
      <c r="A35" s="9" t="s">
        <v>43</v>
      </c>
      <c r="E35" s="11" t="n">
        <v>0</v>
      </c>
      <c r="F35" s="11" t="n">
        <v>0</v>
      </c>
      <c r="G35" s="11" t="n">
        <v>0</v>
      </c>
      <c r="H35" s="11" t="n">
        <v>0</v>
      </c>
      <c r="I35" s="20" t="n">
        <f aca="false">0</f>
        <v>0</v>
      </c>
      <c r="J35" s="20" t="n">
        <f aca="false">0</f>
        <v>0</v>
      </c>
      <c r="K35" s="20" t="n">
        <f aca="false">0</f>
        <v>0</v>
      </c>
      <c r="L35" s="20" t="n">
        <f aca="false">0</f>
        <v>0</v>
      </c>
    </row>
    <row r="36" customFormat="false" ht="15" hidden="false" customHeight="true" outlineLevel="0" collapsed="false">
      <c r="A36" s="9" t="s">
        <v>44</v>
      </c>
      <c r="E36" s="11" t="n">
        <v>0</v>
      </c>
      <c r="F36" s="11" t="n">
        <v>0</v>
      </c>
      <c r="G36" s="11" t="n">
        <v>0</v>
      </c>
      <c r="H36" s="11" t="n">
        <v>0</v>
      </c>
      <c r="I36" s="20" t="n">
        <f aca="false">0</f>
        <v>0</v>
      </c>
      <c r="J36" s="20" t="n">
        <f aca="false">0</f>
        <v>0</v>
      </c>
      <c r="K36" s="20" t="n">
        <f aca="false">0</f>
        <v>0</v>
      </c>
      <c r="L36" s="20" t="n">
        <f aca="false">0</f>
        <v>0</v>
      </c>
    </row>
    <row r="38" customFormat="false" ht="15" hidden="false" customHeight="true" outlineLevel="0" collapsed="false">
      <c r="A38" s="4" t="s">
        <v>45</v>
      </c>
      <c r="B38" s="5" t="s">
        <v>3</v>
      </c>
      <c r="C38" s="5" t="s">
        <v>4</v>
      </c>
      <c r="D38" s="5" t="s">
        <v>5</v>
      </c>
      <c r="E38" s="5" t="s">
        <v>6</v>
      </c>
      <c r="F38" s="5" t="s">
        <v>7</v>
      </c>
      <c r="G38" s="5" t="s">
        <v>8</v>
      </c>
      <c r="H38" s="5" t="s">
        <v>9</v>
      </c>
      <c r="I38" s="5" t="s">
        <v>10</v>
      </c>
      <c r="J38" s="5" t="s">
        <v>11</v>
      </c>
      <c r="K38" s="5" t="s">
        <v>12</v>
      </c>
      <c r="L38" s="5" t="s">
        <v>13</v>
      </c>
    </row>
    <row r="39" customFormat="false" ht="15" hidden="false" customHeight="true" outlineLevel="0" collapsed="false">
      <c r="A39" s="6" t="s">
        <v>46</v>
      </c>
    </row>
    <row r="40" customFormat="false" ht="15" hidden="false" customHeight="true" outlineLevel="0" collapsed="false">
      <c r="A40" s="9" t="s">
        <v>47</v>
      </c>
      <c r="B40" s="21" t="n">
        <v>0.2285</v>
      </c>
      <c r="C40" s="21" t="n">
        <v>0.2285</v>
      </c>
      <c r="D40" s="21" t="n">
        <v>0.2285</v>
      </c>
      <c r="E40" s="21" t="n">
        <v>0.229</v>
      </c>
      <c r="F40" s="21" t="n">
        <v>7.372</v>
      </c>
      <c r="G40" s="21" t="n">
        <v>9.14</v>
      </c>
      <c r="H40" s="21" t="n">
        <v>10.23</v>
      </c>
      <c r="I40" s="22" t="n">
        <f aca="false">H40+N(Drivers!C42)*N(Drivers!C43)</f>
        <v>13.641764</v>
      </c>
      <c r="J40" s="22" t="n">
        <f aca="false">I40+N(Drivers!D42)*N(Drivers!D43)</f>
        <v>13.641764</v>
      </c>
      <c r="K40" s="22" t="n">
        <f aca="false">J40+N(Drivers!E42)*N(Drivers!E43)</f>
        <v>13.641764</v>
      </c>
      <c r="L40" s="22" t="n">
        <f aca="false">K40+N(Drivers!F42)*N(Drivers!F43)</f>
        <v>13.641764</v>
      </c>
    </row>
    <row r="41" customFormat="false" ht="15" hidden="false" customHeight="true" outlineLevel="0" collapsed="false">
      <c r="A41" s="9" t="s">
        <v>48</v>
      </c>
      <c r="E41" s="21" t="n">
        <v>0</v>
      </c>
      <c r="F41" s="21" t="n">
        <v>0</v>
      </c>
      <c r="G41" s="21" t="n">
        <v>0</v>
      </c>
      <c r="H41" s="21" t="n">
        <v>0</v>
      </c>
      <c r="I41" s="23" t="n">
        <f aca="false">0</f>
        <v>0</v>
      </c>
      <c r="J41" s="23" t="n">
        <f aca="false">0</f>
        <v>0</v>
      </c>
      <c r="K41" s="23" t="n">
        <f aca="false">0</f>
        <v>0</v>
      </c>
      <c r="L41" s="23" t="n">
        <f aca="false">0</f>
        <v>0</v>
      </c>
    </row>
    <row r="42" customFormat="false" ht="15" hidden="false" customHeight="true" outlineLevel="0" collapsed="false">
      <c r="A42" s="9" t="s">
        <v>49</v>
      </c>
      <c r="B42" s="21" t="n">
        <v>10.897</v>
      </c>
      <c r="C42" s="21" t="n">
        <v>11.026</v>
      </c>
      <c r="D42" s="21" t="n">
        <v>11.596</v>
      </c>
      <c r="E42" s="21" t="n">
        <v>12.394</v>
      </c>
      <c r="F42" s="21" t="n">
        <v>9.154</v>
      </c>
      <c r="G42" s="21" t="n">
        <v>8.77</v>
      </c>
      <c r="H42" s="21" t="n">
        <v>52.341</v>
      </c>
      <c r="I42" s="22" t="n">
        <f aca="false">H42+I30-I35+N(Drivers!C40)-N(Drivers!C41)-N(Drivers!C42)*N(Drivers!C43)</f>
        <v>318.87869515025</v>
      </c>
      <c r="J42" s="22" t="n">
        <f aca="false">I42+J30-J35+N(Drivers!D40)-N(Drivers!D41)-N(Drivers!D42)*N(Drivers!D43)</f>
        <v>422.997518265492</v>
      </c>
      <c r="K42" s="22" t="n">
        <f aca="false">J42+K30-K35+N(Drivers!E40)-N(Drivers!E41)-N(Drivers!E42)*N(Drivers!E43)</f>
        <v>526.080741493951</v>
      </c>
      <c r="L42" s="22" t="n">
        <f aca="false">K42+L30-L35+N(Drivers!F40)-N(Drivers!F41)-N(Drivers!F42)*N(Drivers!F43)</f>
        <v>621.190579882678</v>
      </c>
    </row>
    <row r="43" customFormat="false" ht="15" hidden="false" customHeight="true" outlineLevel="0" collapsed="false">
      <c r="A43" s="6" t="s">
        <v>50</v>
      </c>
      <c r="B43" s="24" t="n">
        <f aca="false">SUM(B40:B42)</f>
        <v>11.1255</v>
      </c>
      <c r="C43" s="24" t="n">
        <f aca="false">SUM(C40:C42)</f>
        <v>11.2545</v>
      </c>
      <c r="D43" s="24" t="n">
        <f aca="false">SUM(D40:D42)</f>
        <v>11.8245</v>
      </c>
      <c r="E43" s="24" t="n">
        <f aca="false">SUM(E40:E42)</f>
        <v>12.623</v>
      </c>
      <c r="F43" s="24" t="n">
        <f aca="false">SUM(F40:F42)</f>
        <v>16.526</v>
      </c>
      <c r="G43" s="24" t="n">
        <f aca="false">SUM(G40:G42)</f>
        <v>17.91</v>
      </c>
      <c r="H43" s="24" t="n">
        <f aca="false">SUM(H40:H42)</f>
        <v>62.571</v>
      </c>
      <c r="I43" s="24" t="n">
        <f aca="false">SUM(I40:I42)</f>
        <v>332.52045915025</v>
      </c>
      <c r="J43" s="24" t="n">
        <f aca="false">SUM(J40:J42)</f>
        <v>436.639282265492</v>
      </c>
      <c r="K43" s="24" t="n">
        <f aca="false">SUM(K40:K42)</f>
        <v>539.722505493951</v>
      </c>
      <c r="L43" s="24" t="n">
        <f aca="false">SUM(L40:L42)</f>
        <v>634.832343882678</v>
      </c>
    </row>
    <row r="44" customFormat="false" ht="15" hidden="false" customHeight="true" outlineLevel="0" collapsed="false">
      <c r="A44" s="9" t="s">
        <v>51</v>
      </c>
      <c r="E44" s="21" t="n">
        <v>0</v>
      </c>
      <c r="F44" s="21" t="n">
        <v>0</v>
      </c>
      <c r="G44" s="21" t="n">
        <v>0</v>
      </c>
      <c r="H44" s="21" t="n">
        <v>0</v>
      </c>
      <c r="I44" s="23" t="n">
        <f aca="false">0</f>
        <v>0</v>
      </c>
      <c r="J44" s="23" t="n">
        <f aca="false">0</f>
        <v>0</v>
      </c>
      <c r="K44" s="23" t="n">
        <f aca="false">0</f>
        <v>0</v>
      </c>
      <c r="L44" s="23" t="n">
        <f aca="false">0</f>
        <v>0</v>
      </c>
    </row>
    <row r="46" customFormat="false" ht="15" hidden="false" customHeight="true" outlineLevel="0" collapsed="false">
      <c r="A46" s="6" t="s">
        <v>52</v>
      </c>
    </row>
    <row r="47" customFormat="false" ht="15" hidden="false" customHeight="true" outlineLevel="0" collapsed="false">
      <c r="A47" s="9" t="s">
        <v>53</v>
      </c>
      <c r="B47" s="21" t="n">
        <v>4.415</v>
      </c>
      <c r="C47" s="21" t="n">
        <v>4.565</v>
      </c>
      <c r="D47" s="21" t="n">
        <v>2.678</v>
      </c>
      <c r="E47" s="21" t="n">
        <v>6.202</v>
      </c>
      <c r="F47" s="21" t="n">
        <v>5.065</v>
      </c>
      <c r="G47" s="21" t="n">
        <v>4.973</v>
      </c>
      <c r="H47" s="21" t="n">
        <v>9.543</v>
      </c>
      <c r="I47" s="23" t="n">
        <f aca="false">H47</f>
        <v>9.543</v>
      </c>
      <c r="J47" s="23" t="n">
        <f aca="false">I47</f>
        <v>9.543</v>
      </c>
      <c r="K47" s="23" t="n">
        <f aca="false">J47</f>
        <v>9.543</v>
      </c>
      <c r="L47" s="23" t="n">
        <f aca="false">K47</f>
        <v>9.543</v>
      </c>
    </row>
    <row r="48" customFormat="false" ht="15" hidden="false" customHeight="true" outlineLevel="0" collapsed="false">
      <c r="A48" s="9" t="s">
        <v>54</v>
      </c>
      <c r="E48" s="21" t="n">
        <v>0</v>
      </c>
      <c r="F48" s="21" t="n">
        <v>2.15</v>
      </c>
      <c r="G48" s="21" t="n">
        <v>0.1</v>
      </c>
      <c r="H48" s="21" t="n">
        <v>0</v>
      </c>
      <c r="I48" s="23" t="n">
        <f aca="false">H48</f>
        <v>0</v>
      </c>
      <c r="J48" s="23" t="n">
        <f aca="false">I48</f>
        <v>0</v>
      </c>
      <c r="K48" s="23" t="n">
        <f aca="false">J48</f>
        <v>0</v>
      </c>
      <c r="L48" s="23" t="n">
        <f aca="false">K48</f>
        <v>0</v>
      </c>
    </row>
    <row r="49" customFormat="false" ht="15" hidden="false" customHeight="true" outlineLevel="0" collapsed="false">
      <c r="A49" s="9" t="s">
        <v>55</v>
      </c>
      <c r="E49" s="21" t="n">
        <v>-0.577</v>
      </c>
      <c r="F49" s="21" t="n">
        <v>-0.885</v>
      </c>
      <c r="G49" s="21" t="n">
        <v>-1.656</v>
      </c>
      <c r="H49" s="21" t="n">
        <v>-5.848</v>
      </c>
      <c r="I49" s="23" t="n">
        <f aca="false">H49</f>
        <v>-5.848</v>
      </c>
      <c r="J49" s="23" t="n">
        <f aca="false">I49</f>
        <v>-5.848</v>
      </c>
      <c r="K49" s="23" t="n">
        <f aca="false">J49</f>
        <v>-5.848</v>
      </c>
      <c r="L49" s="23" t="n">
        <f aca="false">K49</f>
        <v>-5.848</v>
      </c>
    </row>
    <row r="50" customFormat="false" ht="15" hidden="false" customHeight="true" outlineLevel="0" collapsed="false">
      <c r="A50" s="9" t="s">
        <v>56</v>
      </c>
      <c r="E50" s="21" t="n">
        <v>0</v>
      </c>
      <c r="F50" s="21" t="n">
        <v>5.481</v>
      </c>
      <c r="G50" s="21" t="n">
        <v>4.846</v>
      </c>
      <c r="H50" s="21" t="n">
        <v>5.076</v>
      </c>
      <c r="I50" s="23" t="n">
        <f aca="false">H50</f>
        <v>5.076</v>
      </c>
      <c r="J50" s="23" t="n">
        <f aca="false">I50</f>
        <v>5.076</v>
      </c>
      <c r="K50" s="23" t="n">
        <f aca="false">J50</f>
        <v>5.076</v>
      </c>
      <c r="L50" s="23" t="n">
        <f aca="false">K50</f>
        <v>5.076</v>
      </c>
    </row>
    <row r="51" customFormat="false" ht="15" hidden="false" customHeight="true" outlineLevel="0" collapsed="false">
      <c r="A51" s="9" t="s">
        <v>57</v>
      </c>
      <c r="E51" s="21" t="n">
        <v>0.624</v>
      </c>
      <c r="F51" s="21" t="n">
        <v>0.718</v>
      </c>
      <c r="G51" s="21" t="n">
        <v>1.053</v>
      </c>
      <c r="H51" s="21" t="n">
        <v>1.555</v>
      </c>
      <c r="I51" s="23" t="n">
        <f aca="false">H51</f>
        <v>1.555</v>
      </c>
      <c r="J51" s="23" t="n">
        <f aca="false">I51</f>
        <v>1.555</v>
      </c>
      <c r="K51" s="23" t="n">
        <f aca="false">J51</f>
        <v>1.555</v>
      </c>
      <c r="L51" s="23" t="n">
        <f aca="false">K51</f>
        <v>1.555</v>
      </c>
    </row>
    <row r="52" customFormat="false" ht="15" hidden="false" customHeight="true" outlineLevel="0" collapsed="false">
      <c r="A52" s="6" t="s">
        <v>58</v>
      </c>
      <c r="E52" s="24" t="n">
        <f aca="false">SUM(E47:E51)</f>
        <v>6.249</v>
      </c>
      <c r="F52" s="24" t="n">
        <f aca="false">SUM(F47:F51)</f>
        <v>12.529</v>
      </c>
      <c r="G52" s="24" t="n">
        <f aca="false">SUM(G47:G51)</f>
        <v>9.316</v>
      </c>
      <c r="H52" s="24" t="n">
        <f aca="false">SUM(H47:H51)</f>
        <v>10.326</v>
      </c>
      <c r="I52" s="24" t="n">
        <f aca="false">SUM(I47:I51)</f>
        <v>10.326</v>
      </c>
      <c r="J52" s="24" t="n">
        <f aca="false">SUM(J47:J51)</f>
        <v>10.326</v>
      </c>
      <c r="K52" s="24" t="n">
        <f aca="false">SUM(K47:K51)</f>
        <v>10.326</v>
      </c>
      <c r="L52" s="24" t="n">
        <f aca="false">SUM(L47:L51)</f>
        <v>10.326</v>
      </c>
    </row>
    <row r="54" customFormat="false" ht="15" hidden="false" customHeight="true" outlineLevel="0" collapsed="false">
      <c r="A54" s="6" t="s">
        <v>59</v>
      </c>
    </row>
    <row r="55" customFormat="false" ht="15" hidden="false" customHeight="true" outlineLevel="0" collapsed="false">
      <c r="A55" s="9" t="s">
        <v>60</v>
      </c>
      <c r="B55" s="21" t="n">
        <v>16.226</v>
      </c>
      <c r="C55" s="21" t="n">
        <v>5.12</v>
      </c>
      <c r="D55" s="21" t="n">
        <v>4.63</v>
      </c>
      <c r="E55" s="21" t="n">
        <v>8.556</v>
      </c>
      <c r="F55" s="21" t="n">
        <v>12.411</v>
      </c>
      <c r="G55" s="21" t="n">
        <v>18.507</v>
      </c>
      <c r="H55" s="21" t="n">
        <v>21.923</v>
      </c>
      <c r="I55" s="22" t="n">
        <f aca="false">Drivers!C47/365*Drivers!C29</f>
        <v>39.3992876712329</v>
      </c>
      <c r="J55" s="22" t="n">
        <f aca="false">Drivers!D47/365*Drivers!D29</f>
        <v>81.0911026027397</v>
      </c>
      <c r="K55" s="22" t="n">
        <f aca="false">Drivers!E47/365*Drivers!E29</f>
        <v>83.5154317808219</v>
      </c>
      <c r="L55" s="22" t="n">
        <f aca="false">Drivers!F47/365*Drivers!F29</f>
        <v>78.0381369863014</v>
      </c>
    </row>
    <row r="56" customFormat="false" ht="15" hidden="false" customHeight="true" outlineLevel="0" collapsed="false">
      <c r="A56" s="9" t="s">
        <v>61</v>
      </c>
      <c r="E56" s="21" t="n">
        <v>4.596</v>
      </c>
      <c r="F56" s="21" t="n">
        <v>2.257</v>
      </c>
      <c r="G56" s="21" t="n">
        <v>2.539</v>
      </c>
      <c r="H56" s="21" t="n">
        <v>4.573</v>
      </c>
      <c r="I56" s="22" t="n">
        <f aca="false">Drivers!C49/365*Drivers!C23</f>
        <v>20.2555616438356</v>
      </c>
      <c r="J56" s="22" t="n">
        <f aca="false">Drivers!D49/365*Drivers!D23</f>
        <v>44.9794894977169</v>
      </c>
      <c r="K56" s="22" t="n">
        <f aca="false">Drivers!E49/365*Drivers!E23</f>
        <v>46.3088474885845</v>
      </c>
      <c r="L56" s="22" t="n">
        <f aca="false">Drivers!F49/365*Drivers!F23</f>
        <v>43.3054246575342</v>
      </c>
    </row>
    <row r="57" customFormat="false" ht="15" hidden="false" customHeight="true" outlineLevel="0" collapsed="false">
      <c r="A57" s="9" t="s">
        <v>62</v>
      </c>
      <c r="B57" s="21" t="n">
        <v>7.998</v>
      </c>
      <c r="C57" s="21" t="n">
        <v>9.317</v>
      </c>
      <c r="D57" s="21" t="n">
        <v>8.416</v>
      </c>
      <c r="E57" s="21" t="n">
        <v>11.913</v>
      </c>
      <c r="F57" s="21" t="n">
        <v>20.4</v>
      </c>
      <c r="G57" s="21" t="n">
        <v>22.429</v>
      </c>
      <c r="H57" s="21" t="n">
        <v>40.35</v>
      </c>
      <c r="I57" s="23" t="n">
        <f aca="false">H57</f>
        <v>40.35</v>
      </c>
      <c r="J57" s="23" t="n">
        <f aca="false">I57</f>
        <v>40.35</v>
      </c>
      <c r="K57" s="23" t="n">
        <f aca="false">J57</f>
        <v>40.35</v>
      </c>
      <c r="L57" s="23" t="n">
        <f aca="false">K57</f>
        <v>40.35</v>
      </c>
    </row>
    <row r="58" customFormat="false" ht="15" hidden="false" customHeight="true" outlineLevel="0" collapsed="false">
      <c r="A58" s="9" t="s">
        <v>63</v>
      </c>
      <c r="E58" s="21" t="n">
        <v>0.242</v>
      </c>
      <c r="F58" s="21" t="n">
        <v>1.05</v>
      </c>
      <c r="G58" s="21" t="n">
        <v>2.554</v>
      </c>
      <c r="H58" s="21" t="n">
        <v>1.825</v>
      </c>
      <c r="I58" s="23" t="n">
        <f aca="false">H58</f>
        <v>1.825</v>
      </c>
      <c r="J58" s="23" t="n">
        <f aca="false">I58</f>
        <v>1.825</v>
      </c>
      <c r="K58" s="23" t="n">
        <f aca="false">J58</f>
        <v>1.825</v>
      </c>
      <c r="L58" s="23" t="n">
        <f aca="false">K58</f>
        <v>1.825</v>
      </c>
    </row>
    <row r="59" customFormat="false" ht="15" hidden="false" customHeight="true" outlineLevel="0" collapsed="false">
      <c r="A59" s="6" t="s">
        <v>64</v>
      </c>
      <c r="E59" s="24" t="n">
        <f aca="false">SUM(E55:E58)</f>
        <v>25.307</v>
      </c>
      <c r="F59" s="24" t="n">
        <f aca="false">SUM(F55:F58)</f>
        <v>36.118</v>
      </c>
      <c r="G59" s="24" t="n">
        <f aca="false">SUM(G55:G58)</f>
        <v>46.029</v>
      </c>
      <c r="H59" s="24" t="n">
        <f aca="false">SUM(H55:H58)</f>
        <v>68.671</v>
      </c>
      <c r="I59" s="24" t="n">
        <f aca="false">SUM(I55:I58)</f>
        <v>101.829849315068</v>
      </c>
      <c r="J59" s="24" t="n">
        <f aca="false">SUM(J55:J58)</f>
        <v>168.245592100457</v>
      </c>
      <c r="K59" s="24" t="n">
        <f aca="false">SUM(K55:K58)</f>
        <v>171.999279269406</v>
      </c>
      <c r="L59" s="24" t="n">
        <f aca="false">SUM(L55:L58)</f>
        <v>163.518561643836</v>
      </c>
    </row>
    <row r="61" customFormat="false" ht="15" hidden="false" customHeight="true" outlineLevel="0" collapsed="false">
      <c r="A61" s="6" t="s">
        <v>65</v>
      </c>
      <c r="E61" s="24" t="n">
        <f aca="false">E43+E44+E52+E59</f>
        <v>44.179</v>
      </c>
      <c r="F61" s="24" t="n">
        <f aca="false">F43+F44+F52+F59</f>
        <v>65.173</v>
      </c>
      <c r="G61" s="24" t="n">
        <f aca="false">G43+G44+G52+G59</f>
        <v>73.255</v>
      </c>
      <c r="H61" s="24" t="n">
        <f aca="false">H43+H44+H52+H59</f>
        <v>141.568</v>
      </c>
      <c r="I61" s="24" t="n">
        <f aca="false">I43+I44+I52+I59</f>
        <v>444.676308465319</v>
      </c>
      <c r="J61" s="24" t="n">
        <f aca="false">J43+J44+J52+J59</f>
        <v>615.210874365949</v>
      </c>
      <c r="K61" s="24" t="n">
        <f aca="false">K43+K44+K52+K59</f>
        <v>722.047784763357</v>
      </c>
      <c r="L61" s="24" t="n">
        <f aca="false">L43+L44+L52+L59</f>
        <v>808.676905526514</v>
      </c>
    </row>
    <row r="63" customFormat="false" ht="15" hidden="false" customHeight="true" outlineLevel="0" collapsed="false">
      <c r="A63" s="6" t="s">
        <v>66</v>
      </c>
    </row>
    <row r="64" customFormat="false" ht="15" hidden="false" customHeight="true" outlineLevel="0" collapsed="false">
      <c r="A64" s="6" t="s">
        <v>67</v>
      </c>
    </row>
    <row r="65" customFormat="false" ht="15" hidden="false" customHeight="true" outlineLevel="0" collapsed="false">
      <c r="A65" s="9" t="s">
        <v>68</v>
      </c>
      <c r="E65" s="21" t="n">
        <v>20.124</v>
      </c>
      <c r="F65" s="21" t="n">
        <v>27.944</v>
      </c>
      <c r="G65" s="21" t="n">
        <v>28.391</v>
      </c>
      <c r="H65" s="21" t="n">
        <v>46.381</v>
      </c>
      <c r="I65" s="22" t="n">
        <f aca="false">H65+Drivers!C35</f>
        <v>61.381</v>
      </c>
      <c r="J65" s="22" t="n">
        <f aca="false">I65+Drivers!D35</f>
        <v>71.381</v>
      </c>
      <c r="K65" s="22" t="n">
        <f aca="false">J65+Drivers!E35</f>
        <v>81.381</v>
      </c>
      <c r="L65" s="22" t="n">
        <f aca="false">K65+Drivers!F35</f>
        <v>93.381</v>
      </c>
    </row>
    <row r="66" customFormat="false" ht="15" hidden="false" customHeight="true" outlineLevel="0" collapsed="false">
      <c r="A66" s="9" t="s">
        <v>69</v>
      </c>
      <c r="E66" s="21" t="n">
        <v>12.839</v>
      </c>
      <c r="F66" s="21" t="n">
        <v>15.009</v>
      </c>
      <c r="G66" s="21" t="n">
        <v>16.477</v>
      </c>
      <c r="H66" s="21" t="n">
        <v>19.403</v>
      </c>
      <c r="I66" s="23" t="n">
        <f aca="false">H66+I23</f>
        <v>25.86872</v>
      </c>
      <c r="J66" s="23" t="n">
        <f aca="false">I66+J23</f>
        <v>33.83444</v>
      </c>
      <c r="K66" s="23" t="n">
        <f aca="false">J66+K23</f>
        <v>43.00016</v>
      </c>
      <c r="L66" s="23" t="n">
        <f aca="false">K66+L23</f>
        <v>53.48588</v>
      </c>
    </row>
    <row r="67" customFormat="false" ht="15" hidden="false" customHeight="true" outlineLevel="0" collapsed="false">
      <c r="A67" s="9" t="s">
        <v>70</v>
      </c>
      <c r="B67" s="21" t="n">
        <v>8.208</v>
      </c>
      <c r="C67" s="21" t="n">
        <v>11.829</v>
      </c>
      <c r="D67" s="21" t="n">
        <v>9.021</v>
      </c>
      <c r="E67" s="23" t="n">
        <f aca="false">E65-E66</f>
        <v>7.285</v>
      </c>
      <c r="F67" s="23" t="n">
        <f aca="false">F65-F66</f>
        <v>12.935</v>
      </c>
      <c r="G67" s="23" t="n">
        <f aca="false">G65-G66</f>
        <v>11.914</v>
      </c>
      <c r="H67" s="23" t="n">
        <f aca="false">H65-H66</f>
        <v>26.978</v>
      </c>
      <c r="I67" s="23" t="n">
        <f aca="false">I65-I66</f>
        <v>35.51228</v>
      </c>
      <c r="J67" s="23" t="n">
        <f aca="false">J65-J66</f>
        <v>37.54656</v>
      </c>
      <c r="K67" s="23" t="n">
        <f aca="false">K65-K66</f>
        <v>38.38084</v>
      </c>
      <c r="L67" s="23" t="n">
        <f aca="false">L65-L66</f>
        <v>39.89512</v>
      </c>
    </row>
    <row r="68" customFormat="false" ht="15" hidden="false" customHeight="true" outlineLevel="0" collapsed="false">
      <c r="A68" s="9" t="s">
        <v>71</v>
      </c>
      <c r="E68" s="21" t="n">
        <v>4.079</v>
      </c>
      <c r="F68" s="21" t="n">
        <v>0.748</v>
      </c>
      <c r="G68" s="21" t="n">
        <v>0.195</v>
      </c>
      <c r="H68" s="21" t="n">
        <v>1.948</v>
      </c>
      <c r="I68" s="23" t="n">
        <f aca="false">H68</f>
        <v>1.948</v>
      </c>
      <c r="J68" s="23" t="n">
        <f aca="false">I68</f>
        <v>1.948</v>
      </c>
      <c r="K68" s="23" t="n">
        <f aca="false">J68</f>
        <v>1.948</v>
      </c>
      <c r="L68" s="23" t="n">
        <f aca="false">K68</f>
        <v>1.948</v>
      </c>
    </row>
    <row r="69" customFormat="false" ht="15" hidden="false" customHeight="true" outlineLevel="0" collapsed="false">
      <c r="A69" s="9" t="s">
        <v>72</v>
      </c>
      <c r="E69" s="21" t="n">
        <v>0</v>
      </c>
      <c r="F69" s="21" t="n">
        <v>0</v>
      </c>
      <c r="G69" s="21" t="n">
        <v>0</v>
      </c>
      <c r="H69" s="21" t="n">
        <v>0</v>
      </c>
      <c r="I69" s="23" t="n">
        <f aca="false">H69</f>
        <v>0</v>
      </c>
      <c r="J69" s="23" t="n">
        <f aca="false">I69</f>
        <v>0</v>
      </c>
      <c r="K69" s="23" t="n">
        <f aca="false">J69</f>
        <v>0</v>
      </c>
      <c r="L69" s="23" t="n">
        <f aca="false">K69</f>
        <v>0</v>
      </c>
    </row>
    <row r="70" customFormat="false" ht="15" hidden="false" customHeight="true" outlineLevel="0" collapsed="false">
      <c r="A70" s="9" t="s">
        <v>73</v>
      </c>
      <c r="E70" s="21" t="n">
        <v>6.36</v>
      </c>
      <c r="F70" s="21" t="n">
        <v>11.433</v>
      </c>
      <c r="G70" s="21" t="n">
        <v>10.951</v>
      </c>
      <c r="H70" s="21" t="n">
        <v>10.515</v>
      </c>
      <c r="I70" s="23" t="n">
        <f aca="false">H70</f>
        <v>10.515</v>
      </c>
      <c r="J70" s="23" t="n">
        <f aca="false">I70</f>
        <v>10.515</v>
      </c>
      <c r="K70" s="23" t="n">
        <f aca="false">J70</f>
        <v>10.515</v>
      </c>
      <c r="L70" s="23" t="n">
        <f aca="false">K70</f>
        <v>10.515</v>
      </c>
    </row>
    <row r="71" customFormat="false" ht="15" hidden="false" customHeight="true" outlineLevel="0" collapsed="false">
      <c r="A71" s="9" t="s">
        <v>74</v>
      </c>
      <c r="E71" s="21" t="n">
        <v>0.03</v>
      </c>
      <c r="F71" s="21" t="n">
        <v>0.035</v>
      </c>
      <c r="G71" s="21" t="n">
        <v>0</v>
      </c>
      <c r="H71" s="21" t="n">
        <v>0</v>
      </c>
      <c r="I71" s="23" t="n">
        <f aca="false">H71</f>
        <v>0</v>
      </c>
      <c r="J71" s="23" t="n">
        <f aca="false">I71</f>
        <v>0</v>
      </c>
      <c r="K71" s="23" t="n">
        <f aca="false">J71</f>
        <v>0</v>
      </c>
      <c r="L71" s="23" t="n">
        <f aca="false">K71</f>
        <v>0</v>
      </c>
    </row>
    <row r="72" customFormat="false" ht="15" hidden="false" customHeight="true" outlineLevel="0" collapsed="false">
      <c r="A72" s="9" t="s">
        <v>75</v>
      </c>
      <c r="E72" s="21" t="n">
        <v>0.4</v>
      </c>
      <c r="F72" s="21" t="n">
        <v>0.402</v>
      </c>
      <c r="G72" s="21" t="n">
        <v>0.415</v>
      </c>
      <c r="H72" s="21" t="n">
        <v>1.455</v>
      </c>
      <c r="I72" s="23" t="n">
        <f aca="false">H72</f>
        <v>1.455</v>
      </c>
      <c r="J72" s="23" t="n">
        <f aca="false">I72</f>
        <v>1.455</v>
      </c>
      <c r="K72" s="23" t="n">
        <f aca="false">J72</f>
        <v>1.455</v>
      </c>
      <c r="L72" s="23" t="n">
        <f aca="false">K72</f>
        <v>1.455</v>
      </c>
    </row>
    <row r="73" customFormat="false" ht="15" hidden="false" customHeight="true" outlineLevel="0" collapsed="false">
      <c r="A73" s="9" t="s">
        <v>76</v>
      </c>
      <c r="E73" s="21" t="n">
        <v>0.43</v>
      </c>
      <c r="F73" s="21" t="n">
        <v>0.46</v>
      </c>
      <c r="G73" s="21" t="n">
        <v>0.541</v>
      </c>
      <c r="H73" s="21" t="n">
        <v>0.726</v>
      </c>
      <c r="I73" s="23" t="n">
        <f aca="false">H73</f>
        <v>0.726</v>
      </c>
      <c r="J73" s="23" t="n">
        <f aca="false">I73</f>
        <v>0.726</v>
      </c>
      <c r="K73" s="23" t="n">
        <f aca="false">J73</f>
        <v>0.726</v>
      </c>
      <c r="L73" s="23" t="n">
        <f aca="false">K73</f>
        <v>0.726</v>
      </c>
    </row>
    <row r="74" customFormat="false" ht="15" hidden="false" customHeight="true" outlineLevel="0" collapsed="false">
      <c r="A74" s="6" t="s">
        <v>77</v>
      </c>
      <c r="E74" s="24" t="n">
        <f aca="false">E67+SUM(E68:E73)</f>
        <v>18.584</v>
      </c>
      <c r="F74" s="24" t="n">
        <f aca="false">F67+SUM(F68:F73)</f>
        <v>26.013</v>
      </c>
      <c r="G74" s="24" t="n">
        <f aca="false">G67+SUM(G68:G73)</f>
        <v>24.016</v>
      </c>
      <c r="H74" s="24" t="n">
        <f aca="false">H67+SUM(H68:H73)</f>
        <v>41.622</v>
      </c>
      <c r="I74" s="24" t="n">
        <f aca="false">I67+SUM(I68:I73)</f>
        <v>50.15628</v>
      </c>
      <c r="J74" s="24" t="n">
        <f aca="false">J67+SUM(J68:J73)</f>
        <v>52.19056</v>
      </c>
      <c r="K74" s="24" t="n">
        <f aca="false">K67+SUM(K68:K73)</f>
        <v>53.02484</v>
      </c>
      <c r="L74" s="24" t="n">
        <f aca="false">L67+SUM(L68:L73)</f>
        <v>54.53912</v>
      </c>
    </row>
    <row r="76" customFormat="false" ht="15" hidden="false" customHeight="true" outlineLevel="0" collapsed="false">
      <c r="A76" s="6" t="s">
        <v>78</v>
      </c>
    </row>
    <row r="77" customFormat="false" ht="15" hidden="false" customHeight="true" outlineLevel="0" collapsed="false">
      <c r="A77" s="9" t="s">
        <v>79</v>
      </c>
      <c r="E77" s="21" t="n">
        <v>0</v>
      </c>
      <c r="F77" s="21" t="n">
        <v>0</v>
      </c>
      <c r="G77" s="21" t="n">
        <v>0</v>
      </c>
      <c r="H77" s="21" t="n">
        <v>0</v>
      </c>
      <c r="I77" s="23" t="n">
        <f aca="false">0</f>
        <v>0</v>
      </c>
      <c r="J77" s="23" t="n">
        <f aca="false">0</f>
        <v>0</v>
      </c>
      <c r="K77" s="23" t="n">
        <f aca="false">0</f>
        <v>0</v>
      </c>
      <c r="L77" s="23" t="n">
        <f aca="false">0</f>
        <v>0</v>
      </c>
    </row>
    <row r="78" customFormat="false" ht="15" hidden="false" customHeight="true" outlineLevel="0" collapsed="false">
      <c r="A78" s="9" t="s">
        <v>80</v>
      </c>
      <c r="B78" s="21" t="n">
        <v>3.153</v>
      </c>
      <c r="C78" s="21" t="n">
        <v>8.864</v>
      </c>
      <c r="D78" s="21" t="n">
        <v>9.426</v>
      </c>
      <c r="E78" s="21" t="n">
        <v>13.669</v>
      </c>
      <c r="F78" s="21" t="n">
        <v>24.445</v>
      </c>
      <c r="G78" s="21" t="n">
        <v>31.756</v>
      </c>
      <c r="H78" s="21" t="n">
        <v>67.485</v>
      </c>
      <c r="I78" s="22" t="n">
        <f aca="false">Drivers!C45/365*Drivers!C29</f>
        <v>91.9316712328767</v>
      </c>
      <c r="J78" s="22" t="n">
        <f aca="false">Drivers!D45/365*Drivers!D29</f>
        <v>189.212572739726</v>
      </c>
      <c r="K78" s="22" t="n">
        <f aca="false">Drivers!E45/365*Drivers!E29</f>
        <v>194.869340821918</v>
      </c>
      <c r="L78" s="22" t="n">
        <f aca="false">Drivers!F45/365*Drivers!F29</f>
        <v>182.08898630137</v>
      </c>
    </row>
    <row r="79" customFormat="false" ht="15" hidden="false" customHeight="true" outlineLevel="0" collapsed="false">
      <c r="A79" s="9" t="s">
        <v>81</v>
      </c>
      <c r="B79" s="21" t="n">
        <v>25.692</v>
      </c>
      <c r="C79" s="21" t="n">
        <v>8.687</v>
      </c>
      <c r="D79" s="21" t="n">
        <v>5.898</v>
      </c>
      <c r="E79" s="21" t="n">
        <v>8.163</v>
      </c>
      <c r="F79" s="21" t="n">
        <v>12.594</v>
      </c>
      <c r="G79" s="21" t="n">
        <v>14.574</v>
      </c>
      <c r="H79" s="21" t="n">
        <v>10.406</v>
      </c>
      <c r="I79" s="22" t="n">
        <f aca="false">Drivers!C46/365*Drivers!C23</f>
        <v>63.9649315068493</v>
      </c>
      <c r="J79" s="22" t="n">
        <f aca="false">Drivers!D46/365*Drivers!D23</f>
        <v>142.040493150685</v>
      </c>
      <c r="K79" s="22" t="n">
        <f aca="false">Drivers!E46/365*Drivers!E23</f>
        <v>146.238465753425</v>
      </c>
      <c r="L79" s="22" t="n">
        <f aca="false">Drivers!F46/365*Drivers!F23</f>
        <v>136.75397260274</v>
      </c>
    </row>
    <row r="80" customFormat="false" ht="15" hidden="false" customHeight="true" outlineLevel="0" collapsed="false">
      <c r="A80" s="9" t="s">
        <v>82</v>
      </c>
      <c r="B80" s="21" t="n">
        <v>3.216</v>
      </c>
      <c r="C80" s="21" t="n">
        <v>2.089</v>
      </c>
      <c r="D80" s="21" t="n">
        <v>1.907</v>
      </c>
      <c r="E80" s="21" t="n">
        <v>2.35</v>
      </c>
      <c r="F80" s="21" t="n">
        <v>0.153</v>
      </c>
      <c r="G80" s="21" t="n">
        <v>0.076</v>
      </c>
      <c r="H80" s="21" t="n">
        <v>0.178</v>
      </c>
      <c r="I80" s="23" t="n">
        <f aca="false">I137</f>
        <v>225.802603807784</v>
      </c>
      <c r="J80" s="23" t="n">
        <f aca="false">J137</f>
        <v>205.933832950424</v>
      </c>
      <c r="K80" s="23" t="n">
        <f aca="false">K137</f>
        <v>301.382060562444</v>
      </c>
      <c r="L80" s="23" t="n">
        <f aca="false">L137</f>
        <v>410.342497855281</v>
      </c>
    </row>
    <row r="81" customFormat="false" ht="15" hidden="false" customHeight="true" outlineLevel="0" collapsed="false">
      <c r="A81" s="9" t="s">
        <v>83</v>
      </c>
      <c r="E81" s="21" t="n">
        <v>0.1</v>
      </c>
      <c r="F81" s="21" t="n">
        <v>0.114</v>
      </c>
      <c r="G81" s="21" t="n">
        <v>0.3</v>
      </c>
      <c r="H81" s="21" t="n">
        <v>2.16</v>
      </c>
      <c r="I81" s="23" t="n">
        <f aca="false">H81</f>
        <v>2.16</v>
      </c>
      <c r="J81" s="23" t="n">
        <f aca="false">I81</f>
        <v>2.16</v>
      </c>
      <c r="K81" s="23" t="n">
        <f aca="false">J81</f>
        <v>2.16</v>
      </c>
      <c r="L81" s="23" t="n">
        <f aca="false">K81</f>
        <v>2.16</v>
      </c>
    </row>
    <row r="82" customFormat="false" ht="15" hidden="false" customHeight="true" outlineLevel="0" collapsed="false">
      <c r="A82" s="9" t="s">
        <v>84</v>
      </c>
      <c r="E82" s="21" t="n">
        <v>1.313</v>
      </c>
      <c r="F82" s="21" t="n">
        <v>1.854</v>
      </c>
      <c r="G82" s="21" t="n">
        <v>2.533</v>
      </c>
      <c r="H82" s="21" t="n">
        <v>19.717</v>
      </c>
      <c r="I82" s="22" t="n">
        <f aca="false">Drivers!C48/365*Drivers!C23</f>
        <v>10.6608219178082</v>
      </c>
      <c r="J82" s="22" t="n">
        <f aca="false">Drivers!D48/365*Drivers!D23</f>
        <v>23.6734155251142</v>
      </c>
      <c r="K82" s="22" t="n">
        <f aca="false">Drivers!E48/365*Drivers!E23</f>
        <v>24.3730776255708</v>
      </c>
      <c r="L82" s="22" t="n">
        <f aca="false">Drivers!F48/365*Drivers!F23</f>
        <v>22.7923287671233</v>
      </c>
    </row>
    <row r="83" customFormat="false" ht="15" hidden="false" customHeight="true" outlineLevel="0" collapsed="false">
      <c r="A83" s="6" t="s">
        <v>85</v>
      </c>
      <c r="E83" s="24" t="n">
        <f aca="false">SUM(E77:E82)</f>
        <v>25.595</v>
      </c>
      <c r="F83" s="24" t="n">
        <f aca="false">SUM(F77:F82)</f>
        <v>39.16</v>
      </c>
      <c r="G83" s="24" t="n">
        <f aca="false">SUM(G77:G82)</f>
        <v>49.239</v>
      </c>
      <c r="H83" s="24" t="n">
        <f aca="false">SUM(H77:H82)</f>
        <v>99.946</v>
      </c>
      <c r="I83" s="24" t="n">
        <f aca="false">SUM(I77:I82)</f>
        <v>394.520028465319</v>
      </c>
      <c r="J83" s="24" t="n">
        <f aca="false">SUM(J77:J82)</f>
        <v>563.020314365949</v>
      </c>
      <c r="K83" s="24" t="n">
        <f aca="false">SUM(K77:K82)</f>
        <v>669.022944763357</v>
      </c>
      <c r="L83" s="24" t="n">
        <f aca="false">SUM(L77:L82)</f>
        <v>754.137785526514</v>
      </c>
    </row>
    <row r="84" customFormat="false" ht="15" hidden="false" customHeight="true" outlineLevel="0" collapsed="false">
      <c r="A84" s="9" t="s">
        <v>86</v>
      </c>
      <c r="E84" s="21" t="n">
        <v>0</v>
      </c>
      <c r="F84" s="21" t="n">
        <v>0</v>
      </c>
      <c r="G84" s="21" t="n">
        <v>0</v>
      </c>
      <c r="H84" s="21" t="n">
        <v>0</v>
      </c>
      <c r="I84" s="23" t="n">
        <f aca="false">0</f>
        <v>0</v>
      </c>
      <c r="J84" s="23" t="n">
        <f aca="false">0</f>
        <v>0</v>
      </c>
      <c r="K84" s="23" t="n">
        <f aca="false">0</f>
        <v>0</v>
      </c>
      <c r="L84" s="23" t="n">
        <f aca="false">0</f>
        <v>0</v>
      </c>
    </row>
    <row r="86" customFormat="false" ht="15" hidden="false" customHeight="true" outlineLevel="0" collapsed="false">
      <c r="A86" s="6" t="s">
        <v>87</v>
      </c>
      <c r="E86" s="24" t="n">
        <f aca="false">E74+E83+E84</f>
        <v>44.179</v>
      </c>
      <c r="F86" s="24" t="n">
        <f aca="false">F74+F83+F84</f>
        <v>65.173</v>
      </c>
      <c r="G86" s="24" t="n">
        <f aca="false">G74+G83+G84</f>
        <v>73.255</v>
      </c>
      <c r="H86" s="24" t="n">
        <f aca="false">H74+H83+H84</f>
        <v>141.568</v>
      </c>
      <c r="I86" s="24" t="n">
        <f aca="false">I74+I83+I84</f>
        <v>444.676308465319</v>
      </c>
      <c r="J86" s="24" t="n">
        <f aca="false">J74+J83+J84</f>
        <v>615.210874365949</v>
      </c>
      <c r="K86" s="24" t="n">
        <f aca="false">K74+K83+K84</f>
        <v>722.047784763357</v>
      </c>
      <c r="L86" s="24" t="n">
        <f aca="false">L74+L83+L84</f>
        <v>808.676905526514</v>
      </c>
    </row>
    <row r="88" customFormat="false" ht="15" hidden="false" customHeight="true" outlineLevel="0" collapsed="false">
      <c r="A88" s="9" t="s">
        <v>88</v>
      </c>
      <c r="E88" s="25" t="n">
        <f aca="false">E86-E61</f>
        <v>0</v>
      </c>
      <c r="F88" s="25" t="n">
        <f aca="false">F86-F61</f>
        <v>0</v>
      </c>
      <c r="G88" s="25" t="n">
        <f aca="false">G86-G61</f>
        <v>0</v>
      </c>
      <c r="H88" s="25" t="n">
        <f aca="false">H86-H61</f>
        <v>0</v>
      </c>
      <c r="I88" s="25" t="n">
        <f aca="false">I86-I61</f>
        <v>0</v>
      </c>
      <c r="J88" s="25" t="n">
        <f aca="false">J86-J61</f>
        <v>0</v>
      </c>
      <c r="K88" s="25" t="n">
        <f aca="false">K86-K61</f>
        <v>0</v>
      </c>
      <c r="L88" s="25" t="n">
        <f aca="false">L86-L61</f>
        <v>0</v>
      </c>
    </row>
    <row r="90" customFormat="false" ht="15" hidden="false" customHeight="true" outlineLevel="0" collapsed="false">
      <c r="A90" s="4" t="s">
        <v>89</v>
      </c>
      <c r="B90" s="5" t="s">
        <v>3</v>
      </c>
      <c r="C90" s="5" t="s">
        <v>4</v>
      </c>
      <c r="D90" s="5" t="s">
        <v>5</v>
      </c>
      <c r="E90" s="5" t="s">
        <v>6</v>
      </c>
      <c r="F90" s="5" t="s">
        <v>7</v>
      </c>
      <c r="G90" s="5" t="s">
        <v>8</v>
      </c>
      <c r="H90" s="5" t="s">
        <v>9</v>
      </c>
      <c r="I90" s="5" t="s">
        <v>10</v>
      </c>
      <c r="J90" s="5" t="s">
        <v>11</v>
      </c>
      <c r="K90" s="5" t="s">
        <v>12</v>
      </c>
      <c r="L90" s="5" t="s">
        <v>13</v>
      </c>
    </row>
    <row r="91" customFormat="false" ht="15" hidden="false" customHeight="true" outlineLevel="0" collapsed="false">
      <c r="A91" s="9" t="s">
        <v>90</v>
      </c>
      <c r="E91" s="21" t="n">
        <v>1.763</v>
      </c>
      <c r="F91" s="21" t="n">
        <v>1.142</v>
      </c>
      <c r="G91" s="21" t="n">
        <v>2.537</v>
      </c>
      <c r="H91" s="21" t="n">
        <v>-16.887</v>
      </c>
      <c r="I91" s="23" t="n">
        <f aca="false">I27</f>
        <v>20.7008675</v>
      </c>
      <c r="J91" s="23" t="n">
        <f aca="false">J27</f>
        <v>139.140482580839</v>
      </c>
      <c r="K91" s="23" t="n">
        <f aca="false">K27</f>
        <v>137.756545808444</v>
      </c>
      <c r="L91" s="23" t="n">
        <f aca="false">L27</f>
        <v>127.101213936559</v>
      </c>
    </row>
    <row r="93" customFormat="false" ht="15" hidden="false" customHeight="true" outlineLevel="0" collapsed="false">
      <c r="A93" s="6" t="s">
        <v>91</v>
      </c>
    </row>
    <row r="94" customFormat="false" ht="15" hidden="false" customHeight="true" outlineLevel="0" collapsed="false">
      <c r="A94" s="9" t="s">
        <v>92</v>
      </c>
      <c r="E94" s="21" t="n">
        <v>2.595</v>
      </c>
      <c r="F94" s="21" t="n">
        <v>2.839</v>
      </c>
      <c r="G94" s="21" t="n">
        <v>3.473</v>
      </c>
      <c r="H94" s="21" t="n">
        <v>3.365</v>
      </c>
      <c r="I94" s="23" t="n">
        <f aca="false">I23</f>
        <v>6.46572</v>
      </c>
      <c r="J94" s="23" t="n">
        <f aca="false">J23</f>
        <v>7.96572</v>
      </c>
      <c r="K94" s="23" t="n">
        <f aca="false">K23</f>
        <v>9.16572</v>
      </c>
      <c r="L94" s="23" t="n">
        <f aca="false">L23</f>
        <v>10.48572</v>
      </c>
    </row>
    <row r="95" customFormat="false" ht="15" hidden="false" customHeight="true" outlineLevel="0" collapsed="false">
      <c r="A95" s="9" t="s">
        <v>93</v>
      </c>
      <c r="E95" s="21" t="n">
        <v>1.549</v>
      </c>
      <c r="F95" s="21" t="n">
        <v>2.47</v>
      </c>
      <c r="G95" s="21" t="n">
        <v>3.042</v>
      </c>
      <c r="H95" s="21" t="n">
        <v>3.49</v>
      </c>
      <c r="I95" s="23" t="n">
        <f aca="false">I25</f>
        <v>4.9893</v>
      </c>
      <c r="J95" s="23" t="n">
        <f aca="false">J25</f>
        <v>4.9893</v>
      </c>
      <c r="K95" s="23" t="n">
        <f aca="false">K25</f>
        <v>4.9893</v>
      </c>
      <c r="L95" s="23" t="n">
        <f aca="false">L25</f>
        <v>4.9893</v>
      </c>
    </row>
    <row r="96" customFormat="false" ht="15" hidden="false" customHeight="true" outlineLevel="0" collapsed="false">
      <c r="A96" s="9" t="s">
        <v>94</v>
      </c>
      <c r="E96" s="21" t="n">
        <v>0.001</v>
      </c>
      <c r="F96" s="21" t="n">
        <v>0.08</v>
      </c>
      <c r="G96" s="21" t="n">
        <v>-0.163</v>
      </c>
      <c r="H96" s="21" t="n">
        <v>0</v>
      </c>
      <c r="I96" s="23" t="n">
        <f aca="false">0</f>
        <v>0</v>
      </c>
      <c r="J96" s="23" t="n">
        <f aca="false">0</f>
        <v>0</v>
      </c>
      <c r="K96" s="23" t="n">
        <f aca="false">0</f>
        <v>0</v>
      </c>
      <c r="L96" s="23" t="n">
        <f aca="false">0</f>
        <v>0</v>
      </c>
    </row>
    <row r="97" customFormat="false" ht="15" hidden="false" customHeight="true" outlineLevel="0" collapsed="false">
      <c r="A97" s="9" t="s">
        <v>95</v>
      </c>
      <c r="E97" s="21" t="n">
        <v>-0.021</v>
      </c>
      <c r="F97" s="21" t="n">
        <v>-0.584</v>
      </c>
      <c r="G97" s="21" t="n">
        <v>-0.472</v>
      </c>
      <c r="H97" s="21" t="n">
        <v>-0.293</v>
      </c>
      <c r="I97" s="23" t="n">
        <f aca="false">-I22</f>
        <v>-8.2814875</v>
      </c>
      <c r="J97" s="23" t="n">
        <f aca="false">-J22</f>
        <v>-14.677169247506</v>
      </c>
      <c r="K97" s="23" t="n">
        <f aca="false">-K22</f>
        <v>-13.3856991417775</v>
      </c>
      <c r="L97" s="23" t="n">
        <f aca="false">-L22</f>
        <v>-19.5898339365589</v>
      </c>
    </row>
    <row r="98" customFormat="false" ht="15" hidden="false" customHeight="true" outlineLevel="0" collapsed="false">
      <c r="A98" s="9" t="s">
        <v>96</v>
      </c>
      <c r="E98" s="21" t="n">
        <v>0.2</v>
      </c>
      <c r="F98" s="21" t="n">
        <v>0.173</v>
      </c>
      <c r="G98" s="21" t="n">
        <v>1.242</v>
      </c>
      <c r="H98" s="21" t="n">
        <v>0.611</v>
      </c>
      <c r="I98" s="23" t="n">
        <f aca="false">0</f>
        <v>0</v>
      </c>
      <c r="J98" s="23" t="n">
        <f aca="false">0</f>
        <v>0</v>
      </c>
      <c r="K98" s="23" t="n">
        <f aca="false">0</f>
        <v>0</v>
      </c>
      <c r="L98" s="23" t="n">
        <f aca="false">0</f>
        <v>0</v>
      </c>
    </row>
    <row r="99" customFormat="false" ht="15" hidden="false" customHeight="true" outlineLevel="0" collapsed="false">
      <c r="A99" s="9" t="s">
        <v>97</v>
      </c>
      <c r="E99" s="21" t="n">
        <v>-0.004</v>
      </c>
      <c r="F99" s="21" t="n">
        <v>-0.005</v>
      </c>
      <c r="G99" s="21" t="n">
        <v>-0.009</v>
      </c>
      <c r="H99" s="21" t="n">
        <v>0</v>
      </c>
      <c r="I99" s="23" t="n">
        <f aca="false">0</f>
        <v>0</v>
      </c>
      <c r="J99" s="23" t="n">
        <f aca="false">0</f>
        <v>0</v>
      </c>
      <c r="K99" s="23" t="n">
        <f aca="false">0</f>
        <v>0</v>
      </c>
      <c r="L99" s="23" t="n">
        <f aca="false">0</f>
        <v>0</v>
      </c>
    </row>
    <row r="100" customFormat="false" ht="15" hidden="false" customHeight="true" outlineLevel="0" collapsed="false">
      <c r="A100" s="9" t="s">
        <v>98</v>
      </c>
      <c r="E100" s="21" t="n">
        <v>0</v>
      </c>
      <c r="F100" s="21" t="n">
        <v>0</v>
      </c>
      <c r="G100" s="21" t="n">
        <v>-0.023</v>
      </c>
      <c r="H100" s="21" t="n">
        <v>0</v>
      </c>
      <c r="I100" s="23" t="n">
        <f aca="false">0</f>
        <v>0</v>
      </c>
      <c r="J100" s="23" t="n">
        <f aca="false">0</f>
        <v>0</v>
      </c>
      <c r="K100" s="23" t="n">
        <f aca="false">0</f>
        <v>0</v>
      </c>
      <c r="L100" s="23" t="n">
        <f aca="false">0</f>
        <v>0</v>
      </c>
    </row>
    <row r="101" customFormat="false" ht="15" hidden="false" customHeight="true" outlineLevel="0" collapsed="false">
      <c r="A101" s="9" t="s">
        <v>99</v>
      </c>
      <c r="E101" s="21" t="n">
        <v>-0.013</v>
      </c>
      <c r="F101" s="21" t="n">
        <v>-0.074</v>
      </c>
      <c r="G101" s="21" t="n">
        <v>-0.042</v>
      </c>
      <c r="H101" s="21" t="n">
        <v>-0.044</v>
      </c>
      <c r="I101" s="23" t="n">
        <f aca="false">0</f>
        <v>0</v>
      </c>
      <c r="J101" s="23" t="n">
        <f aca="false">0</f>
        <v>0</v>
      </c>
      <c r="K101" s="23" t="n">
        <f aca="false">0</f>
        <v>0</v>
      </c>
      <c r="L101" s="23" t="n">
        <f aca="false">0</f>
        <v>0</v>
      </c>
    </row>
    <row r="102" customFormat="false" ht="15" hidden="false" customHeight="true" outlineLevel="0" collapsed="false">
      <c r="A102" s="6" t="s">
        <v>100</v>
      </c>
      <c r="E102" s="24" t="n">
        <f aca="false">SUM(E94:E101)</f>
        <v>4.307</v>
      </c>
      <c r="F102" s="24" t="n">
        <f aca="false">SUM(F94:F101)</f>
        <v>4.899</v>
      </c>
      <c r="G102" s="24" t="n">
        <f aca="false">SUM(G94:G101)</f>
        <v>7.048</v>
      </c>
      <c r="H102" s="24" t="n">
        <f aca="false">SUM(H94:H101)</f>
        <v>7.129</v>
      </c>
      <c r="I102" s="24" t="n">
        <f aca="false">SUM(I94:I101)</f>
        <v>3.1735325</v>
      </c>
      <c r="J102" s="24" t="n">
        <f aca="false">SUM(J94:J101)</f>
        <v>-1.72214924750598</v>
      </c>
      <c r="K102" s="24" t="n">
        <f aca="false">SUM(K94:K101)</f>
        <v>0.769320858222459</v>
      </c>
      <c r="L102" s="24" t="n">
        <f aca="false">SUM(L94:L101)</f>
        <v>-4.11481393655887</v>
      </c>
    </row>
    <row r="104" customFormat="false" ht="15" hidden="false" customHeight="true" outlineLevel="0" collapsed="false">
      <c r="A104" s="6" t="s">
        <v>101</v>
      </c>
    </row>
    <row r="105" customFormat="false" ht="15" hidden="false" customHeight="true" outlineLevel="0" collapsed="false">
      <c r="A105" s="9" t="s">
        <v>102</v>
      </c>
      <c r="E105" s="21" t="n">
        <v>0</v>
      </c>
      <c r="F105" s="21" t="n">
        <v>-4.431</v>
      </c>
      <c r="G105" s="21" t="n">
        <v>-2.015</v>
      </c>
      <c r="H105" s="21" t="n">
        <v>4.167</v>
      </c>
      <c r="I105" s="23" t="n">
        <f aca="false">(H79+H81)-(I79+I81)</f>
        <v>-53.5589315068493</v>
      </c>
      <c r="J105" s="23" t="n">
        <f aca="false">(I79+I81)-(J79+J81)</f>
        <v>-78.0755616438356</v>
      </c>
      <c r="K105" s="23" t="n">
        <f aca="false">(J79+J81)-(K79+K81)</f>
        <v>-4.19797260273973</v>
      </c>
      <c r="L105" s="23" t="n">
        <f aca="false">(K79+K81)-(L79+L81)</f>
        <v>9.48449315068493</v>
      </c>
    </row>
    <row r="106" customFormat="false" ht="15" hidden="false" customHeight="true" outlineLevel="0" collapsed="false">
      <c r="A106" s="9" t="s">
        <v>80</v>
      </c>
      <c r="E106" s="21" t="n">
        <v>-4.243</v>
      </c>
      <c r="F106" s="21" t="n">
        <v>-10.776</v>
      </c>
      <c r="G106" s="21" t="n">
        <v>-7.311</v>
      </c>
      <c r="H106" s="21" t="n">
        <v>-35.729</v>
      </c>
      <c r="I106" s="23" t="n">
        <f aca="false">H78-I78</f>
        <v>-24.4466712328767</v>
      </c>
      <c r="J106" s="23" t="n">
        <f aca="false">I78-J78</f>
        <v>-97.2809015068493</v>
      </c>
      <c r="K106" s="23" t="n">
        <f aca="false">J78-K78</f>
        <v>-5.65676808219178</v>
      </c>
      <c r="L106" s="23" t="n">
        <f aca="false">K78-L78</f>
        <v>12.7803545205479</v>
      </c>
    </row>
    <row r="107" customFormat="false" ht="15" hidden="false" customHeight="true" outlineLevel="0" collapsed="false">
      <c r="A107" s="9" t="s">
        <v>103</v>
      </c>
      <c r="E107" s="21" t="n">
        <v>-2.482</v>
      </c>
      <c r="F107" s="21" t="n">
        <v>-0.076</v>
      </c>
      <c r="G107" s="21" t="n">
        <v>-0.553</v>
      </c>
      <c r="H107" s="21" t="n">
        <v>-17.926</v>
      </c>
      <c r="I107" s="23" t="n">
        <f aca="false">H82-I82</f>
        <v>9.05617808219178</v>
      </c>
      <c r="J107" s="23" t="n">
        <f aca="false">I82-J82</f>
        <v>-13.0125936073059</v>
      </c>
      <c r="K107" s="23" t="n">
        <f aca="false">J82-K82</f>
        <v>-0.699662100456621</v>
      </c>
      <c r="L107" s="23" t="n">
        <f aca="false">K82-L82</f>
        <v>1.58074885844749</v>
      </c>
    </row>
    <row r="108" customFormat="false" ht="15" hidden="false" customHeight="true" outlineLevel="0" collapsed="false">
      <c r="A108" s="9" t="s">
        <v>104</v>
      </c>
      <c r="E108" s="21" t="n">
        <v>3.677</v>
      </c>
      <c r="F108" s="21" t="n">
        <v>4.642</v>
      </c>
      <c r="G108" s="21" t="n">
        <v>6.219</v>
      </c>
      <c r="H108" s="21" t="n">
        <v>4.848</v>
      </c>
      <c r="I108" s="23" t="n">
        <f aca="false">(I55+I56+I58)-(H55+H56+H58)</f>
        <v>33.1588493150685</v>
      </c>
      <c r="J108" s="23" t="n">
        <f aca="false">(J55+J56+J58)-(I55+I56+I58)</f>
        <v>66.4157427853881</v>
      </c>
      <c r="K108" s="23" t="n">
        <f aca="false">(K55+K56+K58)-(J55+J56+J58)</f>
        <v>3.75368716894974</v>
      </c>
      <c r="L108" s="23" t="n">
        <f aca="false">(L55+L56+L58)-(K55+K56+K58)</f>
        <v>-8.48071762557073</v>
      </c>
    </row>
    <row r="109" customFormat="false" ht="15" hidden="false" customHeight="true" outlineLevel="0" collapsed="false">
      <c r="A109" s="9" t="s">
        <v>76</v>
      </c>
      <c r="E109" s="21" t="n">
        <v>0.696</v>
      </c>
      <c r="F109" s="21" t="n">
        <v>-0.137</v>
      </c>
      <c r="G109" s="21" t="n">
        <v>-0.094</v>
      </c>
      <c r="H109" s="21" t="n">
        <v>-1.237</v>
      </c>
      <c r="I109" s="23" t="n">
        <f aca="false">0</f>
        <v>0</v>
      </c>
      <c r="J109" s="23" t="n">
        <f aca="false">0</f>
        <v>0</v>
      </c>
      <c r="K109" s="23" t="n">
        <f aca="false">0</f>
        <v>0</v>
      </c>
      <c r="L109" s="23" t="n">
        <f aca="false">0</f>
        <v>0</v>
      </c>
    </row>
    <row r="110" customFormat="false" ht="15" hidden="false" customHeight="true" outlineLevel="0" collapsed="false">
      <c r="A110" s="6" t="s">
        <v>105</v>
      </c>
      <c r="E110" s="24" t="n">
        <f aca="false">SUM(E105:E109)</f>
        <v>-2.352</v>
      </c>
      <c r="F110" s="24" t="n">
        <f aca="false">SUM(F105:F109)</f>
        <v>-10.778</v>
      </c>
      <c r="G110" s="24" t="n">
        <f aca="false">SUM(G105:G109)</f>
        <v>-3.754</v>
      </c>
      <c r="H110" s="24" t="n">
        <f aca="false">SUM(H105:H109)</f>
        <v>-45.877</v>
      </c>
      <c r="I110" s="24" t="n">
        <f aca="false">SUM(I105:I109)</f>
        <v>-35.7905753424657</v>
      </c>
      <c r="J110" s="24" t="n">
        <f aca="false">SUM(J105:J109)</f>
        <v>-121.953313972603</v>
      </c>
      <c r="K110" s="24" t="n">
        <f aca="false">SUM(K105:K109)</f>
        <v>-6.80071561643838</v>
      </c>
      <c r="L110" s="24" t="n">
        <f aca="false">SUM(L105:L109)</f>
        <v>15.3648789041096</v>
      </c>
    </row>
    <row r="112" customFormat="false" ht="15" hidden="false" customHeight="true" outlineLevel="0" collapsed="false">
      <c r="A112" s="6" t="s">
        <v>106</v>
      </c>
      <c r="E112" s="24" t="n">
        <f aca="false">E91+E102+E110</f>
        <v>3.718</v>
      </c>
      <c r="F112" s="24" t="n">
        <f aca="false">F91+F102+F110</f>
        <v>-4.737</v>
      </c>
      <c r="G112" s="24" t="n">
        <f aca="false">G91+G102+G110</f>
        <v>5.831</v>
      </c>
      <c r="H112" s="24" t="n">
        <f aca="false">H91+H102+H110</f>
        <v>-55.635</v>
      </c>
      <c r="I112" s="24" t="n">
        <f aca="false">I91+I102+I110</f>
        <v>-11.9161753424657</v>
      </c>
      <c r="J112" s="24" t="n">
        <f aca="false">J91+J102+J110</f>
        <v>15.4650193607307</v>
      </c>
      <c r="K112" s="24" t="n">
        <f aca="false">K91+K102+K110</f>
        <v>131.725151050228</v>
      </c>
      <c r="L112" s="24" t="n">
        <f aca="false">L91+L102+L110</f>
        <v>138.35127890411</v>
      </c>
    </row>
    <row r="113" customFormat="false" ht="15" hidden="false" customHeight="true" outlineLevel="0" collapsed="false">
      <c r="A113" s="9" t="s">
        <v>107</v>
      </c>
      <c r="E113" s="21" t="n">
        <v>-0.342</v>
      </c>
      <c r="F113" s="21" t="n">
        <v>-0.478</v>
      </c>
      <c r="G113" s="21" t="n">
        <v>-0.792</v>
      </c>
      <c r="H113" s="21" t="n">
        <v>-1.91</v>
      </c>
      <c r="I113" s="23" t="n">
        <f aca="false">-I28</f>
        <v>-5.21040834975001</v>
      </c>
      <c r="J113" s="23" t="n">
        <f aca="false">-J28</f>
        <v>-35.0216594655973</v>
      </c>
      <c r="K113" s="23" t="n">
        <f aca="false">-K28</f>
        <v>-34.6733225799854</v>
      </c>
      <c r="L113" s="23" t="n">
        <f aca="false">-L28</f>
        <v>-31.9913755478319</v>
      </c>
    </row>
    <row r="114" customFormat="false" ht="15" hidden="false" customHeight="true" outlineLevel="0" collapsed="false">
      <c r="A114" s="6" t="s">
        <v>108</v>
      </c>
      <c r="E114" s="24" t="n">
        <f aca="false">E112+E113</f>
        <v>3.376</v>
      </c>
      <c r="F114" s="24" t="n">
        <f aca="false">F112+F113</f>
        <v>-5.215</v>
      </c>
      <c r="G114" s="24" t="n">
        <f aca="false">G112+G113</f>
        <v>5.039</v>
      </c>
      <c r="H114" s="24" t="n">
        <f aca="false">H112+H113</f>
        <v>-57.545</v>
      </c>
      <c r="I114" s="24" t="n">
        <f aca="false">I112+I113</f>
        <v>-17.1265836922157</v>
      </c>
      <c r="J114" s="24" t="n">
        <f aca="false">J112+J113</f>
        <v>-19.5566401048666</v>
      </c>
      <c r="K114" s="24" t="n">
        <f aca="false">K112+K113</f>
        <v>97.0518284702429</v>
      </c>
      <c r="L114" s="24" t="n">
        <f aca="false">L112+L113</f>
        <v>106.359903356278</v>
      </c>
    </row>
    <row r="116" customFormat="false" ht="15" hidden="false" customHeight="true" outlineLevel="0" collapsed="false">
      <c r="A116" s="6" t="s">
        <v>109</v>
      </c>
    </row>
    <row r="117" customFormat="false" ht="15" hidden="false" customHeight="true" outlineLevel="0" collapsed="false">
      <c r="A117" s="9" t="s">
        <v>110</v>
      </c>
      <c r="E117" s="21" t="n">
        <v>-10.179</v>
      </c>
      <c r="F117" s="21" t="n">
        <v>-4.36</v>
      </c>
      <c r="G117" s="21" t="n">
        <v>-2.549</v>
      </c>
      <c r="H117" s="21" t="n">
        <v>-18.162</v>
      </c>
      <c r="I117" s="22" t="n">
        <f aca="false">-Drivers!C35</f>
        <v>-15</v>
      </c>
      <c r="J117" s="22" t="n">
        <f aca="false">-Drivers!D35</f>
        <v>-10</v>
      </c>
      <c r="K117" s="22" t="n">
        <f aca="false">-Drivers!E35</f>
        <v>-10</v>
      </c>
      <c r="L117" s="22" t="n">
        <f aca="false">-Drivers!F35</f>
        <v>-12</v>
      </c>
    </row>
    <row r="118" customFormat="false" ht="15" hidden="false" customHeight="true" outlineLevel="0" collapsed="false">
      <c r="A118" s="9" t="s">
        <v>111</v>
      </c>
      <c r="E118" s="21" t="n">
        <v>0.013</v>
      </c>
      <c r="F118" s="21" t="n">
        <v>0.22</v>
      </c>
      <c r="G118" s="21" t="n">
        <v>0.549</v>
      </c>
      <c r="H118" s="21" t="n">
        <v>0</v>
      </c>
      <c r="I118" s="23" t="n">
        <f aca="false">0</f>
        <v>0</v>
      </c>
      <c r="J118" s="23" t="n">
        <f aca="false">0</f>
        <v>0</v>
      </c>
      <c r="K118" s="23" t="n">
        <f aca="false">0</f>
        <v>0</v>
      </c>
      <c r="L118" s="23" t="n">
        <f aca="false">0</f>
        <v>0</v>
      </c>
    </row>
    <row r="119" customFormat="false" ht="15" hidden="false" customHeight="true" outlineLevel="0" collapsed="false">
      <c r="A119" s="9" t="s">
        <v>112</v>
      </c>
      <c r="E119" s="21" t="n">
        <v>0</v>
      </c>
      <c r="F119" s="21" t="n">
        <v>0</v>
      </c>
      <c r="G119" s="21" t="n">
        <v>0</v>
      </c>
      <c r="H119" s="21" t="n">
        <v>0</v>
      </c>
      <c r="I119" s="23" t="n">
        <f aca="false">0</f>
        <v>0</v>
      </c>
      <c r="J119" s="23" t="n">
        <f aca="false">0</f>
        <v>0</v>
      </c>
      <c r="K119" s="23" t="n">
        <f aca="false">0</f>
        <v>0</v>
      </c>
      <c r="L119" s="23" t="n">
        <f aca="false">0</f>
        <v>0</v>
      </c>
    </row>
    <row r="120" customFormat="false" ht="15" hidden="false" customHeight="true" outlineLevel="0" collapsed="false">
      <c r="A120" s="9" t="s">
        <v>113</v>
      </c>
      <c r="E120" s="21" t="n">
        <v>0</v>
      </c>
      <c r="F120" s="21" t="n">
        <v>0</v>
      </c>
      <c r="G120" s="21" t="n">
        <v>0.043</v>
      </c>
      <c r="H120" s="21" t="n">
        <v>0</v>
      </c>
      <c r="I120" s="23" t="n">
        <f aca="false">0</f>
        <v>0</v>
      </c>
      <c r="J120" s="23" t="n">
        <f aca="false">0</f>
        <v>0</v>
      </c>
      <c r="K120" s="23" t="n">
        <f aca="false">0</f>
        <v>0</v>
      </c>
      <c r="L120" s="23" t="n">
        <f aca="false">0</f>
        <v>0</v>
      </c>
    </row>
    <row r="121" customFormat="false" ht="15" hidden="false" customHeight="true" outlineLevel="0" collapsed="false">
      <c r="A121" s="9" t="s">
        <v>114</v>
      </c>
      <c r="E121" s="21" t="n">
        <v>0.021</v>
      </c>
      <c r="F121" s="21" t="n">
        <v>0.584</v>
      </c>
      <c r="G121" s="21" t="n">
        <v>0.472</v>
      </c>
      <c r="H121" s="21" t="n">
        <v>0.293</v>
      </c>
      <c r="I121" s="23" t="n">
        <f aca="false">I22</f>
        <v>8.2814875</v>
      </c>
      <c r="J121" s="23" t="n">
        <f aca="false">J22</f>
        <v>14.677169247506</v>
      </c>
      <c r="K121" s="23" t="n">
        <f aca="false">K22</f>
        <v>13.3856991417775</v>
      </c>
      <c r="L121" s="23" t="n">
        <f aca="false">L22</f>
        <v>19.5898339365589</v>
      </c>
    </row>
    <row r="122" customFormat="false" ht="15" hidden="false" customHeight="true" outlineLevel="0" collapsed="false">
      <c r="A122" s="9" t="s">
        <v>115</v>
      </c>
      <c r="E122" s="21" t="n">
        <v>0</v>
      </c>
      <c r="F122" s="21" t="n">
        <v>0</v>
      </c>
      <c r="G122" s="21" t="n">
        <v>0</v>
      </c>
      <c r="H122" s="21" t="n">
        <v>0</v>
      </c>
      <c r="I122" s="23" t="n">
        <f aca="false">0</f>
        <v>0</v>
      </c>
      <c r="J122" s="23" t="n">
        <f aca="false">0</f>
        <v>0</v>
      </c>
      <c r="K122" s="23" t="n">
        <f aca="false">0</f>
        <v>0</v>
      </c>
      <c r="L122" s="23" t="n">
        <f aca="false">0</f>
        <v>0</v>
      </c>
    </row>
    <row r="123" customFormat="false" ht="15" hidden="false" customHeight="true" outlineLevel="0" collapsed="false">
      <c r="A123" s="6" t="s">
        <v>116</v>
      </c>
      <c r="E123" s="24" t="n">
        <f aca="false">SUM(E117:E122)</f>
        <v>-10.145</v>
      </c>
      <c r="F123" s="24" t="n">
        <f aca="false">SUM(F117:F122)</f>
        <v>-3.556</v>
      </c>
      <c r="G123" s="24" t="n">
        <f aca="false">SUM(G117:G122)</f>
        <v>-1.485</v>
      </c>
      <c r="H123" s="24" t="n">
        <f aca="false">SUM(H117:H122)</f>
        <v>-17.869</v>
      </c>
      <c r="I123" s="24" t="n">
        <f aca="false">SUM(I117:I122)</f>
        <v>-6.7185125</v>
      </c>
      <c r="J123" s="24" t="n">
        <f aca="false">SUM(J117:J122)</f>
        <v>4.67716924750598</v>
      </c>
      <c r="K123" s="24" t="n">
        <f aca="false">SUM(K117:K122)</f>
        <v>3.38569914177754</v>
      </c>
      <c r="L123" s="24" t="n">
        <f aca="false">SUM(L117:L122)</f>
        <v>7.58983393655887</v>
      </c>
    </row>
    <row r="125" customFormat="false" ht="15" hidden="false" customHeight="true" outlineLevel="0" collapsed="false">
      <c r="A125" s="6" t="s">
        <v>117</v>
      </c>
    </row>
    <row r="126" customFormat="false" ht="15" hidden="false" customHeight="true" outlineLevel="0" collapsed="false">
      <c r="A126" s="9" t="s">
        <v>118</v>
      </c>
      <c r="E126" s="21" t="n">
        <v>4.41</v>
      </c>
      <c r="F126" s="21" t="n">
        <v>-0.369</v>
      </c>
      <c r="G126" s="21" t="n">
        <v>-2.061</v>
      </c>
      <c r="H126" s="21" t="n">
        <v>5.94</v>
      </c>
      <c r="I126" s="23" t="n">
        <f aca="false">(I47+I48)-(H47+H48)</f>
        <v>0</v>
      </c>
      <c r="J126" s="23" t="n">
        <f aca="false">(J47+J48)-(I47+I48)</f>
        <v>0</v>
      </c>
      <c r="K126" s="23" t="n">
        <f aca="false">(K47+K48)-(J47+J48)</f>
        <v>0</v>
      </c>
      <c r="L126" s="23" t="n">
        <f aca="false">(L47+L48)-(K47+K48)</f>
        <v>0</v>
      </c>
    </row>
    <row r="127" customFormat="false" ht="15" hidden="false" customHeight="true" outlineLevel="0" collapsed="false">
      <c r="A127" s="9" t="s">
        <v>119</v>
      </c>
      <c r="E127" s="21" t="n">
        <v>5.532</v>
      </c>
      <c r="F127" s="21" t="n">
        <v>6.918</v>
      </c>
      <c r="G127" s="21" t="n">
        <v>1.979</v>
      </c>
      <c r="H127" s="21" t="n">
        <v>16.45</v>
      </c>
      <c r="I127" s="23" t="n">
        <f aca="false">I57-H57</f>
        <v>0</v>
      </c>
      <c r="J127" s="23" t="n">
        <f aca="false">J57-I57</f>
        <v>0</v>
      </c>
      <c r="K127" s="23" t="n">
        <f aca="false">K57-J57</f>
        <v>0</v>
      </c>
      <c r="L127" s="23" t="n">
        <f aca="false">L57-K57</f>
        <v>0</v>
      </c>
    </row>
    <row r="128" customFormat="false" ht="15" hidden="false" customHeight="true" outlineLevel="0" collapsed="false">
      <c r="A128" s="9" t="s">
        <v>120</v>
      </c>
      <c r="E128" s="21" t="n">
        <v>0</v>
      </c>
      <c r="F128" s="21" t="n">
        <v>0.057</v>
      </c>
      <c r="G128" s="21" t="n">
        <v>0</v>
      </c>
      <c r="H128" s="21" t="n">
        <v>0</v>
      </c>
      <c r="I128" s="23" t="n">
        <f aca="false">0</f>
        <v>0</v>
      </c>
      <c r="J128" s="23" t="n">
        <f aca="false">0</f>
        <v>0</v>
      </c>
      <c r="K128" s="23" t="n">
        <f aca="false">0</f>
        <v>0</v>
      </c>
      <c r="L128" s="23" t="n">
        <f aca="false">0</f>
        <v>0</v>
      </c>
    </row>
    <row r="129" customFormat="false" ht="15" hidden="false" customHeight="true" outlineLevel="0" collapsed="false">
      <c r="A129" s="9" t="s">
        <v>121</v>
      </c>
      <c r="E129" s="21" t="n">
        <v>0</v>
      </c>
      <c r="F129" s="21" t="n">
        <v>3.199</v>
      </c>
      <c r="G129" s="21" t="n">
        <v>0</v>
      </c>
      <c r="H129" s="21" t="n">
        <v>57.356</v>
      </c>
      <c r="I129" s="22" t="n">
        <f aca="false">N(Drivers!C40)-N(Drivers!C41)</f>
        <v>254.459</v>
      </c>
      <c r="J129" s="22" t="n">
        <f aca="false">N(Drivers!D40)-N(Drivers!D41)</f>
        <v>0</v>
      </c>
      <c r="K129" s="22" t="n">
        <f aca="false">N(Drivers!E40)-N(Drivers!E41)</f>
        <v>0</v>
      </c>
      <c r="L129" s="22" t="n">
        <f aca="false">N(Drivers!F40)-N(Drivers!F41)</f>
        <v>0</v>
      </c>
    </row>
    <row r="130" customFormat="false" ht="15" hidden="false" customHeight="true" outlineLevel="0" collapsed="false">
      <c r="A130" s="9" t="s">
        <v>122</v>
      </c>
      <c r="E130" s="21" t="n">
        <v>0</v>
      </c>
      <c r="F130" s="21" t="n">
        <v>0</v>
      </c>
      <c r="G130" s="21" t="n">
        <v>0</v>
      </c>
      <c r="H130" s="21" t="n">
        <v>0</v>
      </c>
      <c r="I130" s="23" t="n">
        <f aca="false">-I35</f>
        <v>-0</v>
      </c>
      <c r="J130" s="23" t="n">
        <f aca="false">-J35</f>
        <v>-0</v>
      </c>
      <c r="K130" s="23" t="n">
        <f aca="false">-K35</f>
        <v>-0</v>
      </c>
      <c r="L130" s="23" t="n">
        <f aca="false">-L35</f>
        <v>-0</v>
      </c>
    </row>
    <row r="131" customFormat="false" ht="15" hidden="false" customHeight="true" outlineLevel="0" collapsed="false">
      <c r="A131" s="9" t="s">
        <v>123</v>
      </c>
      <c r="E131" s="21" t="n">
        <v>-1.445</v>
      </c>
      <c r="F131" s="21" t="n">
        <v>-2.352</v>
      </c>
      <c r="G131" s="21" t="n">
        <v>-2.517</v>
      </c>
      <c r="H131" s="21" t="n">
        <v>-2.979</v>
      </c>
      <c r="I131" s="23" t="n">
        <f aca="false">-I25</f>
        <v>-4.9893</v>
      </c>
      <c r="J131" s="23" t="n">
        <f aca="false">-J25</f>
        <v>-4.9893</v>
      </c>
      <c r="K131" s="23" t="n">
        <f aca="false">-K25</f>
        <v>-4.9893</v>
      </c>
      <c r="L131" s="23" t="n">
        <f aca="false">-L25</f>
        <v>-4.9893</v>
      </c>
    </row>
    <row r="132" customFormat="false" ht="15" hidden="false" customHeight="true" outlineLevel="0" collapsed="false">
      <c r="A132" s="9" t="s">
        <v>124</v>
      </c>
      <c r="E132" s="21" t="n">
        <v>-0.803</v>
      </c>
      <c r="F132" s="21" t="n">
        <v>-0.879</v>
      </c>
      <c r="G132" s="21" t="n">
        <v>-1.032</v>
      </c>
      <c r="H132" s="21" t="n">
        <v>-1.251</v>
      </c>
      <c r="I132" s="23" t="n">
        <f aca="false">0</f>
        <v>0</v>
      </c>
      <c r="J132" s="23" t="n">
        <f aca="false">0</f>
        <v>0</v>
      </c>
      <c r="K132" s="23" t="n">
        <f aca="false">0</f>
        <v>0</v>
      </c>
      <c r="L132" s="23" t="n">
        <f aca="false">0</f>
        <v>0</v>
      </c>
    </row>
    <row r="133" customFormat="false" ht="15" hidden="false" customHeight="true" outlineLevel="0" collapsed="false">
      <c r="A133" s="6" t="s">
        <v>125</v>
      </c>
      <c r="E133" s="24" t="n">
        <f aca="false">SUM(E126:E132)</f>
        <v>7.694</v>
      </c>
      <c r="F133" s="24" t="n">
        <f aca="false">SUM(F126:F132)</f>
        <v>6.574</v>
      </c>
      <c r="G133" s="24" t="n">
        <f aca="false">SUM(G126:G132)</f>
        <v>-3.631</v>
      </c>
      <c r="H133" s="24" t="n">
        <f aca="false">SUM(H126:H132)</f>
        <v>75.516</v>
      </c>
      <c r="I133" s="24" t="n">
        <f aca="false">SUM(I126:I132)</f>
        <v>249.4697</v>
      </c>
      <c r="J133" s="24" t="n">
        <f aca="false">SUM(J126:J132)</f>
        <v>-4.9893</v>
      </c>
      <c r="K133" s="24" t="n">
        <f aca="false">SUM(K126:K132)</f>
        <v>-4.9893</v>
      </c>
      <c r="L133" s="24" t="n">
        <f aca="false">SUM(L126:L132)</f>
        <v>-4.9893</v>
      </c>
    </row>
    <row r="135" customFormat="false" ht="15" hidden="false" customHeight="true" outlineLevel="0" collapsed="false">
      <c r="A135" s="6" t="s">
        <v>126</v>
      </c>
      <c r="E135" s="24" t="n">
        <f aca="false">E114+E123+E133</f>
        <v>0.925</v>
      </c>
      <c r="F135" s="24" t="n">
        <f aca="false">F114+F123+F133</f>
        <v>-2.197</v>
      </c>
      <c r="G135" s="24" t="n">
        <f aca="false">G114+G123+G133</f>
        <v>-0.0769999999999982</v>
      </c>
      <c r="H135" s="24" t="n">
        <f aca="false">H114+H123+H133</f>
        <v>0.102000000000018</v>
      </c>
      <c r="I135" s="24" t="n">
        <f aca="false">I114+I123+I133</f>
        <v>225.624603807784</v>
      </c>
      <c r="J135" s="24" t="n">
        <f aca="false">J114+J123+J133</f>
        <v>-19.8687708573606</v>
      </c>
      <c r="K135" s="24" t="n">
        <f aca="false">K114+K123+K133</f>
        <v>95.4482276120204</v>
      </c>
      <c r="L135" s="24" t="n">
        <f aca="false">L114+L123+L133</f>
        <v>108.960437292837</v>
      </c>
    </row>
    <row r="136" customFormat="false" ht="15" hidden="false" customHeight="true" outlineLevel="0" collapsed="false">
      <c r="A136" s="9" t="s">
        <v>127</v>
      </c>
      <c r="E136" s="21" t="n">
        <v>1.425</v>
      </c>
      <c r="F136" s="21" t="n">
        <v>2.35</v>
      </c>
      <c r="G136" s="21" t="n">
        <v>0.153</v>
      </c>
      <c r="H136" s="21" t="n">
        <v>0.076</v>
      </c>
      <c r="I136" s="23" t="n">
        <f aca="false">H137</f>
        <v>0.178000000000018</v>
      </c>
      <c r="J136" s="23" t="n">
        <f aca="false">I137</f>
        <v>225.802603807784</v>
      </c>
      <c r="K136" s="23" t="n">
        <f aca="false">J137</f>
        <v>205.933832950424</v>
      </c>
      <c r="L136" s="23" t="n">
        <f aca="false">K137</f>
        <v>301.382060562444</v>
      </c>
    </row>
    <row r="137" customFormat="false" ht="15" hidden="false" customHeight="true" outlineLevel="0" collapsed="false">
      <c r="A137" s="9" t="s">
        <v>128</v>
      </c>
      <c r="E137" s="23" t="n">
        <f aca="false">E136+E135</f>
        <v>2.35</v>
      </c>
      <c r="F137" s="23" t="n">
        <f aca="false">F136+F135</f>
        <v>0.153000000000001</v>
      </c>
      <c r="G137" s="23" t="n">
        <f aca="false">G136+G135</f>
        <v>0.0760000000000018</v>
      </c>
      <c r="H137" s="23" t="n">
        <f aca="false">H136+H135</f>
        <v>0.178000000000018</v>
      </c>
      <c r="I137" s="23" t="n">
        <f aca="false">I136+I135</f>
        <v>225.802603807784</v>
      </c>
      <c r="J137" s="23" t="n">
        <f aca="false">J136+J135</f>
        <v>205.933832950424</v>
      </c>
      <c r="K137" s="23" t="n">
        <f aca="false">K136+K135</f>
        <v>301.382060562444</v>
      </c>
      <c r="L137" s="23" t="n">
        <f aca="false">L136+L135</f>
        <v>410.342497855281</v>
      </c>
    </row>
    <row r="138" customFormat="false" ht="15" hidden="false" customHeight="true" outlineLevel="0" collapsed="false">
      <c r="A138" s="9" t="s">
        <v>129</v>
      </c>
      <c r="E138" s="25" t="n">
        <f aca="false">E137-E80</f>
        <v>0</v>
      </c>
      <c r="F138" s="25" t="n">
        <f aca="false">F137-F80</f>
        <v>9.15933995315754E-016</v>
      </c>
      <c r="G138" s="25" t="n">
        <f aca="false">G137-G80</f>
        <v>1.81799020282369E-015</v>
      </c>
      <c r="H138" s="25" t="n">
        <f aca="false">H137-H80</f>
        <v>1.80966353013901E-014</v>
      </c>
      <c r="I138" s="25" t="n">
        <f aca="false">I137-I80</f>
        <v>0</v>
      </c>
      <c r="J138" s="25" t="n">
        <f aca="false">J137-J80</f>
        <v>0</v>
      </c>
      <c r="K138" s="25" t="n">
        <f aca="false">K137-K80</f>
        <v>0</v>
      </c>
      <c r="L138" s="25" t="n">
        <f aca="false">L137-L80</f>
        <v>0</v>
      </c>
    </row>
    <row r="140" customFormat="false" ht="15" hidden="false" customHeight="true" outlineLevel="0" collapsed="false">
      <c r="A140" s="4" t="s">
        <v>130</v>
      </c>
      <c r="B140" s="5" t="s">
        <v>3</v>
      </c>
      <c r="C140" s="5" t="s">
        <v>4</v>
      </c>
      <c r="D140" s="5" t="s">
        <v>5</v>
      </c>
      <c r="E140" s="5" t="s">
        <v>6</v>
      </c>
      <c r="F140" s="5" t="s">
        <v>7</v>
      </c>
      <c r="G140" s="5" t="s">
        <v>8</v>
      </c>
      <c r="H140" s="5" t="s">
        <v>9</v>
      </c>
      <c r="I140" s="5" t="s">
        <v>10</v>
      </c>
      <c r="J140" s="5" t="s">
        <v>11</v>
      </c>
      <c r="K140" s="5" t="s">
        <v>12</v>
      </c>
      <c r="L140" s="5" t="s">
        <v>13</v>
      </c>
    </row>
    <row r="141" customFormat="false" ht="15" hidden="false" customHeight="true" outlineLevel="0" collapsed="false">
      <c r="A141" s="6" t="s">
        <v>131</v>
      </c>
    </row>
    <row r="142" customFormat="false" ht="15" hidden="false" customHeight="true" outlineLevel="0" collapsed="false">
      <c r="A142" s="9" t="s">
        <v>132</v>
      </c>
      <c r="E142" s="23" t="n">
        <f aca="false">+E91+E102</f>
        <v>6.07</v>
      </c>
      <c r="F142" s="23" t="n">
        <f aca="false">+F91+F102</f>
        <v>6.041</v>
      </c>
      <c r="G142" s="23" t="n">
        <f aca="false">+G91+G102</f>
        <v>9.585</v>
      </c>
      <c r="H142" s="23" t="n">
        <f aca="false">+H91+H102</f>
        <v>-9.758</v>
      </c>
      <c r="I142" s="23" t="n">
        <f aca="false">+I91+I102</f>
        <v>23.8744</v>
      </c>
      <c r="J142" s="23" t="n">
        <f aca="false">+J91+J102</f>
        <v>137.418333333333</v>
      </c>
      <c r="K142" s="23" t="n">
        <f aca="false">+K91+K102</f>
        <v>138.525866666667</v>
      </c>
      <c r="L142" s="23" t="n">
        <f aca="false">+L91+L102</f>
        <v>122.9864</v>
      </c>
    </row>
    <row r="143" customFormat="false" ht="15" hidden="false" customHeight="true" outlineLevel="0" collapsed="false">
      <c r="A143" s="9" t="s">
        <v>133</v>
      </c>
      <c r="E143" s="23" t="n">
        <f aca="false">+E121</f>
        <v>0.021</v>
      </c>
      <c r="F143" s="23" t="n">
        <f aca="false">+F121</f>
        <v>0.584</v>
      </c>
      <c r="G143" s="23" t="n">
        <f aca="false">+G121</f>
        <v>0.472</v>
      </c>
      <c r="H143" s="23" t="n">
        <f aca="false">+H121</f>
        <v>0.293</v>
      </c>
      <c r="I143" s="23" t="n">
        <f aca="false">+I121</f>
        <v>8.2814875</v>
      </c>
      <c r="J143" s="23" t="n">
        <f aca="false">+J121</f>
        <v>14.677169247506</v>
      </c>
      <c r="K143" s="23" t="n">
        <f aca="false">+K121</f>
        <v>13.3856991417775</v>
      </c>
      <c r="L143" s="23" t="n">
        <f aca="false">+L121</f>
        <v>19.5898339365589</v>
      </c>
    </row>
    <row r="144" customFormat="false" ht="15" hidden="false" customHeight="true" outlineLevel="0" collapsed="false">
      <c r="A144" s="9" t="s">
        <v>134</v>
      </c>
      <c r="E144" s="23" t="n">
        <f aca="false">+E128+E129</f>
        <v>0</v>
      </c>
      <c r="F144" s="23" t="n">
        <f aca="false">+F128+F129</f>
        <v>3.256</v>
      </c>
      <c r="G144" s="23" t="n">
        <f aca="false">+G128+G129</f>
        <v>0</v>
      </c>
      <c r="H144" s="23" t="n">
        <f aca="false">+H128+H129</f>
        <v>57.356</v>
      </c>
      <c r="I144" s="23" t="n">
        <f aca="false">+I128+I129</f>
        <v>254.459</v>
      </c>
      <c r="J144" s="23" t="n">
        <f aca="false">+J128+J129</f>
        <v>0</v>
      </c>
      <c r="K144" s="23" t="n">
        <f aca="false">+K128+K129</f>
        <v>0</v>
      </c>
      <c r="L144" s="23" t="n">
        <f aca="false">+L128+L129</f>
        <v>0</v>
      </c>
    </row>
    <row r="145" customFormat="false" ht="15" hidden="false" customHeight="true" outlineLevel="0" collapsed="false">
      <c r="A145" s="9" t="s">
        <v>135</v>
      </c>
      <c r="E145" s="23" t="n">
        <f aca="false">+E126+E127</f>
        <v>9.942</v>
      </c>
      <c r="F145" s="23" t="n">
        <f aca="false">+F126+F127</f>
        <v>6.549</v>
      </c>
      <c r="G145" s="23" t="n">
        <f aca="false">+G126+G127</f>
        <v>-0.0819999999999999</v>
      </c>
      <c r="H145" s="23" t="n">
        <f aca="false">+H126+H127</f>
        <v>22.39</v>
      </c>
      <c r="I145" s="23" t="n">
        <f aca="false">+I126+I127</f>
        <v>0</v>
      </c>
      <c r="J145" s="23" t="n">
        <f aca="false">+J126+J127</f>
        <v>0</v>
      </c>
      <c r="K145" s="23" t="n">
        <f aca="false">+K126+K127</f>
        <v>0</v>
      </c>
      <c r="L145" s="23" t="n">
        <f aca="false">+L126+L127</f>
        <v>0</v>
      </c>
    </row>
    <row r="146" customFormat="false" ht="15" hidden="false" customHeight="true" outlineLevel="0" collapsed="false">
      <c r="A146" s="6" t="s">
        <v>136</v>
      </c>
      <c r="E146" s="24" t="n">
        <f aca="false">SUM(E142:E145)</f>
        <v>16.033</v>
      </c>
      <c r="F146" s="24" t="n">
        <f aca="false">SUM(F142:F145)</f>
        <v>16.43</v>
      </c>
      <c r="G146" s="24" t="n">
        <f aca="false">SUM(G142:G145)</f>
        <v>9.975</v>
      </c>
      <c r="H146" s="24" t="n">
        <f aca="false">SUM(H142:H145)</f>
        <v>70.281</v>
      </c>
      <c r="I146" s="24" t="n">
        <f aca="false">SUM(I142:I145)</f>
        <v>286.6148875</v>
      </c>
      <c r="J146" s="24" t="n">
        <f aca="false">SUM(J142:J145)</f>
        <v>152.095502580839</v>
      </c>
      <c r="K146" s="24" t="n">
        <f aca="false">SUM(K142:K145)</f>
        <v>151.911565808444</v>
      </c>
      <c r="L146" s="24" t="n">
        <f aca="false">SUM(L142:L145)</f>
        <v>142.576233936559</v>
      </c>
    </row>
    <row r="148" customFormat="false" ht="15" hidden="false" customHeight="true" outlineLevel="0" collapsed="false">
      <c r="A148" s="6" t="s">
        <v>137</v>
      </c>
    </row>
    <row r="149" customFormat="false" ht="15" hidden="false" customHeight="true" outlineLevel="0" collapsed="false">
      <c r="A149" s="9" t="s">
        <v>138</v>
      </c>
      <c r="E149" s="23" t="n">
        <f aca="false">-E110</f>
        <v>2.352</v>
      </c>
      <c r="F149" s="23" t="n">
        <f aca="false">-F110</f>
        <v>10.778</v>
      </c>
      <c r="G149" s="23" t="n">
        <f aca="false">-G110</f>
        <v>3.754</v>
      </c>
      <c r="H149" s="23" t="n">
        <f aca="false">-H110</f>
        <v>45.877</v>
      </c>
      <c r="I149" s="23" t="n">
        <f aca="false">-I110</f>
        <v>35.7905753424657</v>
      </c>
      <c r="J149" s="23" t="n">
        <f aca="false">-J110</f>
        <v>121.953313972603</v>
      </c>
      <c r="K149" s="23" t="n">
        <f aca="false">-K110</f>
        <v>6.80071561643838</v>
      </c>
      <c r="L149" s="23" t="n">
        <f aca="false">-L110</f>
        <v>-15.3648789041096</v>
      </c>
    </row>
    <row r="150" customFormat="false" ht="15" hidden="false" customHeight="true" outlineLevel="0" collapsed="false">
      <c r="A150" s="9" t="s">
        <v>139</v>
      </c>
      <c r="E150" s="23" t="n">
        <f aca="false">-E113</f>
        <v>0.342</v>
      </c>
      <c r="F150" s="23" t="n">
        <f aca="false">-F113</f>
        <v>0.478</v>
      </c>
      <c r="G150" s="23" t="n">
        <f aca="false">-G113</f>
        <v>0.792</v>
      </c>
      <c r="H150" s="23" t="n">
        <f aca="false">-H113</f>
        <v>1.91</v>
      </c>
      <c r="I150" s="23" t="n">
        <f aca="false">-I113</f>
        <v>5.21040834975001</v>
      </c>
      <c r="J150" s="23" t="n">
        <f aca="false">-J113</f>
        <v>35.0216594655973</v>
      </c>
      <c r="K150" s="23" t="n">
        <f aca="false">-K113</f>
        <v>34.6733225799854</v>
      </c>
      <c r="L150" s="23" t="n">
        <f aca="false">-L113</f>
        <v>31.9913755478319</v>
      </c>
    </row>
    <row r="151" customFormat="false" ht="15" hidden="false" customHeight="true" outlineLevel="0" collapsed="false">
      <c r="A151" s="9" t="s">
        <v>140</v>
      </c>
      <c r="E151" s="23" t="n">
        <f aca="false">-(E117+E118)</f>
        <v>10.166</v>
      </c>
      <c r="F151" s="23" t="n">
        <f aca="false">-(F117+F118)</f>
        <v>4.14</v>
      </c>
      <c r="G151" s="23" t="n">
        <f aca="false">-(G117+G118)</f>
        <v>2</v>
      </c>
      <c r="H151" s="23" t="n">
        <f aca="false">-(H117+H118)</f>
        <v>18.162</v>
      </c>
      <c r="I151" s="23" t="n">
        <f aca="false">-(I117+I118)</f>
        <v>15</v>
      </c>
      <c r="J151" s="23" t="n">
        <f aca="false">-(J117+J118)</f>
        <v>10</v>
      </c>
      <c r="K151" s="23" t="n">
        <f aca="false">-(K117+K118)</f>
        <v>10</v>
      </c>
      <c r="L151" s="23" t="n">
        <f aca="false">-(L117+L118)</f>
        <v>12</v>
      </c>
    </row>
    <row r="152" customFormat="false" ht="15" hidden="false" customHeight="true" outlineLevel="0" collapsed="false">
      <c r="A152" s="9" t="s">
        <v>141</v>
      </c>
      <c r="E152" s="23" t="n">
        <f aca="false">-(E119+E120)</f>
        <v>-0</v>
      </c>
      <c r="F152" s="23" t="n">
        <f aca="false">-(F119+F120)</f>
        <v>-0</v>
      </c>
      <c r="G152" s="23" t="n">
        <f aca="false">-(G119+G120)</f>
        <v>-0.043</v>
      </c>
      <c r="H152" s="23" t="n">
        <f aca="false">-(H119+H120)</f>
        <v>-0</v>
      </c>
      <c r="I152" s="23" t="n">
        <f aca="false">-(I119+I120)</f>
        <v>-0</v>
      </c>
      <c r="J152" s="23" t="n">
        <f aca="false">-(J119+J120)</f>
        <v>-0</v>
      </c>
      <c r="K152" s="23" t="n">
        <f aca="false">-(K119+K120)</f>
        <v>-0</v>
      </c>
      <c r="L152" s="23" t="n">
        <f aca="false">-(L119+L120)</f>
        <v>-0</v>
      </c>
    </row>
    <row r="153" customFormat="false" ht="15" hidden="false" customHeight="true" outlineLevel="0" collapsed="false">
      <c r="A153" s="9" t="s">
        <v>142</v>
      </c>
      <c r="E153" s="23" t="n">
        <f aca="false">-E130</f>
        <v>-0</v>
      </c>
      <c r="F153" s="23" t="n">
        <f aca="false">-F130</f>
        <v>-0</v>
      </c>
      <c r="G153" s="23" t="n">
        <f aca="false">-G130</f>
        <v>-0</v>
      </c>
      <c r="H153" s="23" t="n">
        <f aca="false">-H130</f>
        <v>-0</v>
      </c>
      <c r="I153" s="23" t="n">
        <f aca="false">-I130</f>
        <v>0</v>
      </c>
      <c r="J153" s="23" t="n">
        <f aca="false">-J130</f>
        <v>0</v>
      </c>
      <c r="K153" s="23" t="n">
        <f aca="false">-K130</f>
        <v>0</v>
      </c>
      <c r="L153" s="23" t="n">
        <f aca="false">-L130</f>
        <v>0</v>
      </c>
    </row>
    <row r="154" customFormat="false" ht="15" hidden="false" customHeight="true" outlineLevel="0" collapsed="false">
      <c r="A154" s="9" t="s">
        <v>143</v>
      </c>
      <c r="E154" s="23" t="n">
        <f aca="false">-(E131+E132+E122)</f>
        <v>2.248</v>
      </c>
      <c r="F154" s="23" t="n">
        <f aca="false">-(F131+F132+F122)</f>
        <v>3.231</v>
      </c>
      <c r="G154" s="23" t="n">
        <f aca="false">-(G131+G132+G122)</f>
        <v>3.549</v>
      </c>
      <c r="H154" s="23" t="n">
        <f aca="false">-(H131+H132+H122)</f>
        <v>4.23</v>
      </c>
      <c r="I154" s="23" t="n">
        <f aca="false">-(I131+I132+I122)</f>
        <v>4.9893</v>
      </c>
      <c r="J154" s="23" t="n">
        <f aca="false">-(J131+J132+J122)</f>
        <v>4.9893</v>
      </c>
      <c r="K154" s="23" t="n">
        <f aca="false">-(K131+K132+K122)</f>
        <v>4.9893</v>
      </c>
      <c r="L154" s="23" t="n">
        <f aca="false">-(L131+L132+L122)</f>
        <v>4.9893</v>
      </c>
    </row>
    <row r="155" customFormat="false" ht="15" hidden="false" customHeight="true" outlineLevel="0" collapsed="false">
      <c r="A155" s="6" t="s">
        <v>144</v>
      </c>
      <c r="E155" s="24" t="n">
        <f aca="false">SUM(E149:E154)</f>
        <v>15.108</v>
      </c>
      <c r="F155" s="24" t="n">
        <f aca="false">SUM(F149:F154)</f>
        <v>18.627</v>
      </c>
      <c r="G155" s="24" t="n">
        <f aca="false">SUM(G149:G154)</f>
        <v>10.052</v>
      </c>
      <c r="H155" s="24" t="n">
        <f aca="false">SUM(H149:H154)</f>
        <v>70.179</v>
      </c>
      <c r="I155" s="24" t="n">
        <f aca="false">SUM(I149:I154)</f>
        <v>60.9902836922157</v>
      </c>
      <c r="J155" s="24" t="n">
        <f aca="false">SUM(J149:J154)</f>
        <v>171.9642734382</v>
      </c>
      <c r="K155" s="24" t="n">
        <f aca="false">SUM(K149:K154)</f>
        <v>56.4633381964238</v>
      </c>
      <c r="L155" s="24" t="n">
        <f aca="false">SUM(L149:L154)</f>
        <v>33.6157966437223</v>
      </c>
    </row>
    <row r="156" customFormat="false" ht="15" hidden="false" customHeight="true" outlineLevel="0" collapsed="false">
      <c r="A156" s="9" t="s">
        <v>145</v>
      </c>
      <c r="E156" s="25" t="n">
        <f aca="false">E146-E155-E135</f>
        <v>0</v>
      </c>
      <c r="F156" s="25" t="n">
        <f aca="false">F146-F155-F135</f>
        <v>0</v>
      </c>
      <c r="G156" s="25" t="n">
        <f aca="false">G146-G155-G135</f>
        <v>0</v>
      </c>
      <c r="H156" s="25" t="n">
        <f aca="false">H146-H155-H135</f>
        <v>-1.4210854715202E-014</v>
      </c>
      <c r="I156" s="25" t="n">
        <f aca="false">I146-I155-I135</f>
        <v>0</v>
      </c>
      <c r="J156" s="25" t="n">
        <f aca="false">J146-J155-J135</f>
        <v>0</v>
      </c>
      <c r="K156" s="25" t="n">
        <f aca="false">K146-K155-K135</f>
        <v>0</v>
      </c>
      <c r="L156" s="25" t="n">
        <f aca="false">L146-L155-L135</f>
        <v>0</v>
      </c>
    </row>
    <row r="158" customFormat="false" ht="15" hidden="false" customHeight="true" outlineLevel="0" collapsed="false">
      <c r="A158" s="6" t="s">
        <v>146</v>
      </c>
      <c r="E158" s="24" t="n">
        <f aca="false">+E142-E149-E150-E151</f>
        <v>-6.79</v>
      </c>
      <c r="F158" s="24" t="n">
        <f aca="false">+F142-F149-F150-F151</f>
        <v>-9.355</v>
      </c>
      <c r="G158" s="24" t="n">
        <f aca="false">+G142-G149-G150-G151</f>
        <v>3.039</v>
      </c>
      <c r="H158" s="24" t="n">
        <f aca="false">+H142-H149-H150-H151</f>
        <v>-75.707</v>
      </c>
      <c r="I158" s="24" t="n">
        <f aca="false">+I142-I149-I150-I151</f>
        <v>-32.1265836922157</v>
      </c>
      <c r="J158" s="24" t="n">
        <f aca="false">+J142-J149-J150-J151</f>
        <v>-29.5566401048666</v>
      </c>
      <c r="K158" s="24" t="n">
        <f aca="false">+K142-K149-K150-K151</f>
        <v>87.0518284702429</v>
      </c>
      <c r="L158" s="24" t="n">
        <f aca="false">+L142-L149-L150-L151</f>
        <v>94.3599033562778</v>
      </c>
    </row>
    <row r="159" customFormat="false" ht="15" hidden="false" customHeight="true" outlineLevel="0" collapsed="false">
      <c r="A159" s="6" t="s">
        <v>147</v>
      </c>
      <c r="E159" s="24" t="n">
        <f aca="false">+E158+E145+E131</f>
        <v>1.707</v>
      </c>
      <c r="F159" s="24" t="n">
        <f aca="false">+F158+F145+F131</f>
        <v>-5.158</v>
      </c>
      <c r="G159" s="24" t="n">
        <f aca="false">+G158+G145+G131</f>
        <v>0.440000000000002</v>
      </c>
      <c r="H159" s="24" t="n">
        <f aca="false">+H158+H145+H131</f>
        <v>-56.296</v>
      </c>
      <c r="I159" s="24" t="n">
        <f aca="false">+I158+I145+I131</f>
        <v>-37.1158836922157</v>
      </c>
      <c r="J159" s="24" t="n">
        <f aca="false">+J158+J145+J131</f>
        <v>-34.5459401048666</v>
      </c>
      <c r="K159" s="24" t="n">
        <f aca="false">+K158+K145+K131</f>
        <v>82.0625284702429</v>
      </c>
      <c r="L159" s="24" t="n">
        <f aca="false">+L158+L145+L131</f>
        <v>89.3706033562778</v>
      </c>
    </row>
    <row r="160" customFormat="false" ht="15" hidden="false" customHeight="true" outlineLevel="0" collapsed="false">
      <c r="A160" s="9" t="s">
        <v>148</v>
      </c>
      <c r="H160" s="24" t="n">
        <f aca="false">SUM(E158:H158)</f>
        <v>-88.813</v>
      </c>
    </row>
    <row r="161" customFormat="false" ht="15" hidden="false" customHeight="true" outlineLevel="0" collapsed="false">
      <c r="A161" s="9" t="s">
        <v>149</v>
      </c>
      <c r="H161" s="24" t="n">
        <f aca="false">SUM(E144:H144)</f>
        <v>60.612</v>
      </c>
    </row>
    <row r="162" customFormat="false" ht="15" hidden="false" customHeight="true" outlineLevel="0" collapsed="false">
      <c r="A162" s="9" t="s">
        <v>150</v>
      </c>
      <c r="H162" s="24" t="n">
        <f aca="false">SUM(B30:H30)</f>
        <v>-5.63</v>
      </c>
    </row>
    <row r="165" customFormat="false" ht="15" hidden="false" customHeight="true" outlineLevel="0" collapsed="false">
      <c r="A165" s="4" t="s">
        <v>151</v>
      </c>
      <c r="B165" s="5" t="s">
        <v>3</v>
      </c>
      <c r="C165" s="5" t="s">
        <v>4</v>
      </c>
      <c r="D165" s="5" t="s">
        <v>5</v>
      </c>
      <c r="E165" s="5" t="s">
        <v>6</v>
      </c>
      <c r="F165" s="5" t="s">
        <v>7</v>
      </c>
      <c r="G165" s="5" t="s">
        <v>8</v>
      </c>
      <c r="H165" s="5" t="s">
        <v>9</v>
      </c>
      <c r="I165" s="5" t="s">
        <v>10</v>
      </c>
      <c r="J165" s="5" t="s">
        <v>11</v>
      </c>
      <c r="K165" s="5" t="s">
        <v>12</v>
      </c>
      <c r="L165" s="5" t="s">
        <v>13</v>
      </c>
    </row>
    <row r="166" customFormat="false" ht="15" hidden="false" customHeight="true" outlineLevel="0" collapsed="false">
      <c r="A166" s="9" t="s">
        <v>152</v>
      </c>
      <c r="B166" s="26" t="n">
        <f aca="false">(B78/B$3)*365</f>
        <v>13.7273367049955</v>
      </c>
      <c r="C166" s="26" t="n">
        <f aca="false">(C78/C$3)*365</f>
        <v>56.3926654116991</v>
      </c>
      <c r="D166" s="26" t="n">
        <f aca="false">(D78/D$3)*365</f>
        <v>59.2503487350819</v>
      </c>
      <c r="E166" s="26" t="n">
        <f aca="false">(E78/E$3)*365</f>
        <v>73.2938402550279</v>
      </c>
      <c r="F166" s="26" t="n">
        <f aca="false">(F78/F$3)*365</f>
        <v>178.602097804112</v>
      </c>
      <c r="G166" s="26" t="n">
        <f aca="false">(G78/G$3)*365</f>
        <v>185.049411689576</v>
      </c>
      <c r="H166" s="26" t="n">
        <f aca="false">(H78/H$3)*365</f>
        <v>498.341527069677</v>
      </c>
      <c r="I166" s="26" t="n">
        <f aca="false">(I78/I$3)*365</f>
        <v>86.2331928453947</v>
      </c>
      <c r="J166" s="26" t="n">
        <f aca="false">(J78/J$3)*365</f>
        <v>79.9261824044774</v>
      </c>
      <c r="K166" s="26" t="n">
        <f aca="false">(K78/K$3)*365</f>
        <v>79.9527018358455</v>
      </c>
      <c r="L166" s="26" t="n">
        <f aca="false">(L78/L$3)*365</f>
        <v>79.8904702375228</v>
      </c>
    </row>
    <row r="167" customFormat="false" ht="15" hidden="false" customHeight="true" outlineLevel="0" collapsed="false">
      <c r="A167" s="9" t="s">
        <v>153</v>
      </c>
      <c r="B167" s="26" t="n">
        <f aca="false">(B79/B$3)*365</f>
        <v>111.856243141371</v>
      </c>
      <c r="C167" s="26" t="n">
        <f aca="false">(C79/C$3)*365</f>
        <v>55.2665934602245</v>
      </c>
      <c r="D167" s="26" t="n">
        <f aca="false">(D79/D$3)*365</f>
        <v>37.0738973943892</v>
      </c>
      <c r="E167" s="26" t="n">
        <f aca="false">(E79/E$3)*365</f>
        <v>43.7704014925592</v>
      </c>
      <c r="F167" s="26" t="n">
        <f aca="false">(F79/F$3)*365</f>
        <v>92.0153331865404</v>
      </c>
      <c r="G167" s="26" t="n">
        <f aca="false">(G79/G$3)*365</f>
        <v>84.9260022031707</v>
      </c>
      <c r="H167" s="26" t="n">
        <f aca="false">(H79/H$3)*365</f>
        <v>76.8428825766772</v>
      </c>
      <c r="I167" s="26" t="n">
        <f aca="false">(I79/I$3)*365</f>
        <v>60</v>
      </c>
      <c r="J167" s="26" t="n">
        <f aca="false">(J79/J$3)*365</f>
        <v>60</v>
      </c>
      <c r="K167" s="26" t="n">
        <f aca="false">(K79/K$3)*365</f>
        <v>60</v>
      </c>
      <c r="L167" s="26" t="n">
        <f aca="false">(L79/L$3)*365</f>
        <v>60</v>
      </c>
    </row>
    <row r="168" customFormat="false" ht="15" hidden="false" customHeight="true" outlineLevel="0" collapsed="false">
      <c r="A168" s="9" t="s">
        <v>154</v>
      </c>
      <c r="B168" s="26" t="n">
        <f aca="false">(B55/B$3)*365</f>
        <v>70.6437568586288</v>
      </c>
      <c r="C168" s="26" t="n">
        <f aca="false">(C55/C$3)*365</f>
        <v>32.5733807432197</v>
      </c>
      <c r="D168" s="26" t="n">
        <f aca="false">(D55/D$3)*365</f>
        <v>29.1034494635507</v>
      </c>
      <c r="E168" s="26" t="n">
        <f aca="false">(E55/E$3)*365</f>
        <v>45.8776865331786</v>
      </c>
      <c r="F168" s="26" t="n">
        <f aca="false">(F55/F$3)*365</f>
        <v>90.6782833236583</v>
      </c>
      <c r="G168" s="26" t="n">
        <f aca="false">(G55/G$3)*365</f>
        <v>107.844484889123</v>
      </c>
      <c r="H168" s="26" t="n">
        <f aca="false">(H55/H$3)*365</f>
        <v>161.889920692725</v>
      </c>
      <c r="I168" s="26" t="n">
        <f aca="false">(I55/I$3)*365</f>
        <v>36.9570826480263</v>
      </c>
      <c r="J168" s="26" t="n">
        <f aca="false">(J55/J$3)*365</f>
        <v>34.2540781733474</v>
      </c>
      <c r="K168" s="26" t="n">
        <f aca="false">(K55/K$3)*365</f>
        <v>34.2654436439338</v>
      </c>
      <c r="L168" s="26" t="n">
        <f aca="false">(L55/L$3)*365</f>
        <v>34.2387729589384</v>
      </c>
    </row>
    <row r="169" customFormat="false" ht="15" hidden="false" customHeight="true" outlineLevel="0" collapsed="false">
      <c r="A169" s="6" t="s">
        <v>155</v>
      </c>
      <c r="B169" s="27" t="n">
        <f aca="false">+B166+B167-B168</f>
        <v>54.939822987738</v>
      </c>
      <c r="C169" s="27" t="n">
        <f aca="false">+C166+C167-C168</f>
        <v>79.0858781287039</v>
      </c>
      <c r="D169" s="27" t="n">
        <f aca="false">+D166+D167-D168</f>
        <v>67.2207966659204</v>
      </c>
      <c r="E169" s="27" t="n">
        <f aca="false">+E166+E167-E168</f>
        <v>71.1865552144085</v>
      </c>
      <c r="F169" s="27" t="n">
        <f aca="false">+F166+F167-F168</f>
        <v>179.939147666994</v>
      </c>
      <c r="G169" s="27" t="n">
        <f aca="false">+G166+G167-G168</f>
        <v>162.130929003624</v>
      </c>
      <c r="H169" s="27" t="n">
        <f aca="false">+H166+H167-H168</f>
        <v>413.29448895363</v>
      </c>
      <c r="I169" s="26" t="n">
        <f aca="false">+I166+I167-I168</f>
        <v>109.276110197368</v>
      </c>
      <c r="J169" s="26" t="n">
        <f aca="false">+J166+J167-J168</f>
        <v>105.67210423113</v>
      </c>
      <c r="K169" s="26" t="n">
        <f aca="false">+K166+K167-K168</f>
        <v>105.687258191912</v>
      </c>
      <c r="L169" s="26" t="n">
        <f aca="false">+L166+L167-L168</f>
        <v>105.651697278584</v>
      </c>
    </row>
    <row r="170" customFormat="false" ht="15" hidden="false" customHeight="true" outlineLevel="0" collapsed="false">
      <c r="A170" s="9" t="s">
        <v>156</v>
      </c>
      <c r="E170" s="26" t="n">
        <f aca="false">(E82/E$3)*365</f>
        <v>7.04036961407942</v>
      </c>
      <c r="F170" s="26" t="n">
        <f aca="false">(F82/F$3)*365</f>
        <v>13.5458494305102</v>
      </c>
      <c r="G170" s="26" t="n">
        <f aca="false">(G82/G$3)*365</f>
        <v>14.7603652793078</v>
      </c>
      <c r="H170" s="26" t="n">
        <f aca="false">(H82/H$3)*365</f>
        <v>145.599761268916</v>
      </c>
      <c r="I170" s="26" t="n">
        <f aca="false">(I82/I$3)*365</f>
        <v>10</v>
      </c>
      <c r="J170" s="26" t="n">
        <f aca="false">(J82/J$3)*365</f>
        <v>10</v>
      </c>
      <c r="K170" s="26" t="n">
        <f aca="false">(K82/K$3)*365</f>
        <v>10</v>
      </c>
      <c r="L170" s="26" t="n">
        <f aca="false">(L82/L$3)*365</f>
        <v>10</v>
      </c>
    </row>
    <row r="173" customFormat="false" ht="15" hidden="false" customHeight="true" outlineLevel="0" collapsed="false">
      <c r="A173" s="4" t="s">
        <v>157</v>
      </c>
      <c r="B173" s="5" t="s">
        <v>3</v>
      </c>
      <c r="C173" s="5" t="s">
        <v>4</v>
      </c>
      <c r="D173" s="5" t="s">
        <v>5</v>
      </c>
      <c r="E173" s="5" t="s">
        <v>6</v>
      </c>
      <c r="F173" s="5" t="s">
        <v>7</v>
      </c>
      <c r="G173" s="5" t="s">
        <v>8</v>
      </c>
      <c r="H173" s="5" t="s">
        <v>9</v>
      </c>
      <c r="I173" s="5" t="s">
        <v>10</v>
      </c>
      <c r="J173" s="5" t="s">
        <v>11</v>
      </c>
      <c r="K173" s="5" t="s">
        <v>12</v>
      </c>
      <c r="L173" s="5" t="s">
        <v>13</v>
      </c>
    </row>
    <row r="174" customFormat="false" ht="15" hidden="false" customHeight="true" outlineLevel="0" collapsed="false">
      <c r="A174" s="9" t="s">
        <v>158</v>
      </c>
      <c r="B174" s="23" t="n">
        <f aca="false">+B43</f>
        <v>11.1255</v>
      </c>
      <c r="C174" s="23" t="n">
        <f aca="false">+C43</f>
        <v>11.2545</v>
      </c>
      <c r="D174" s="23" t="n">
        <f aca="false">+D43</f>
        <v>11.8245</v>
      </c>
      <c r="E174" s="23" t="n">
        <f aca="false">+E43</f>
        <v>12.623</v>
      </c>
      <c r="F174" s="23" t="n">
        <f aca="false">+F43</f>
        <v>16.526</v>
      </c>
      <c r="G174" s="23" t="n">
        <f aca="false">+G43</f>
        <v>17.91</v>
      </c>
      <c r="H174" s="23" t="n">
        <f aca="false">+H43</f>
        <v>62.571</v>
      </c>
      <c r="I174" s="23" t="n">
        <f aca="false">+I43</f>
        <v>332.52045915025</v>
      </c>
      <c r="J174" s="23" t="n">
        <f aca="false">+J43</f>
        <v>436.639282265492</v>
      </c>
      <c r="K174" s="23" t="n">
        <f aca="false">+K43</f>
        <v>539.722505493951</v>
      </c>
      <c r="L174" s="23" t="n">
        <f aca="false">+L43</f>
        <v>634.832343882678</v>
      </c>
    </row>
    <row r="175" customFormat="false" ht="15" hidden="false" customHeight="true" outlineLevel="0" collapsed="false">
      <c r="A175" s="9" t="s">
        <v>159</v>
      </c>
      <c r="C175" s="23" t="n">
        <f aca="false">AVERAGE(B174:C174)</f>
        <v>11.19</v>
      </c>
      <c r="D175" s="23" t="n">
        <f aca="false">AVERAGE(C174:D174)</f>
        <v>11.5395</v>
      </c>
      <c r="E175" s="23" t="n">
        <f aca="false">AVERAGE(D174:E174)</f>
        <v>12.22375</v>
      </c>
      <c r="F175" s="23" t="n">
        <f aca="false">AVERAGE(E174:F174)</f>
        <v>14.5745</v>
      </c>
      <c r="G175" s="23" t="n">
        <f aca="false">AVERAGE(F174:G174)</f>
        <v>17.218</v>
      </c>
      <c r="H175" s="23" t="n">
        <f aca="false">AVERAGE(G174:H174)</f>
        <v>40.2405</v>
      </c>
      <c r="I175" s="23" t="n">
        <f aca="false">AVERAGE(H174:I174)</f>
        <v>197.545729575125</v>
      </c>
      <c r="J175" s="23" t="n">
        <f aca="false">AVERAGE(I174:J174)</f>
        <v>384.579870707871</v>
      </c>
      <c r="K175" s="23" t="n">
        <f aca="false">AVERAGE(J174:K174)</f>
        <v>488.180893879721</v>
      </c>
      <c r="L175" s="23" t="n">
        <f aca="false">AVERAGE(K174:L174)</f>
        <v>587.277424688314</v>
      </c>
    </row>
    <row r="176" customFormat="false" ht="15" hidden="false" customHeight="true" outlineLevel="0" collapsed="false">
      <c r="A176" s="9" t="s">
        <v>160</v>
      </c>
      <c r="C176" s="15" t="n">
        <f aca="false">+C30/C175</f>
        <v>0.0188561215370867</v>
      </c>
      <c r="D176" s="15" t="n">
        <f aca="false">+D30/D175</f>
        <v>0.0501754842064214</v>
      </c>
      <c r="E176" s="15" t="n">
        <f aca="false">+E30/E175</f>
        <v>0.0974332753860315</v>
      </c>
      <c r="F176" s="15" t="n">
        <f aca="false">+F30/F175</f>
        <v>0.0360218189303236</v>
      </c>
      <c r="G176" s="15" t="n">
        <f aca="false">+G30/G175</f>
        <v>0.0814264142176793</v>
      </c>
      <c r="H176" s="15" t="n">
        <f aca="false">+H30/H175</f>
        <v>-0.313838048731999</v>
      </c>
      <c r="I176" s="15" t="n">
        <f aca="false">+I30/I175</f>
        <v>0.0784145482849283</v>
      </c>
      <c r="J176" s="15" t="n">
        <f aca="false">+J30/J175</f>
        <v>0.270733938631779</v>
      </c>
      <c r="K176" s="15" t="n">
        <f aca="false">+K30/K175</f>
        <v>0.21115784030224</v>
      </c>
      <c r="L176" s="15" t="n">
        <f aca="false">+L30/L175</f>
        <v>0.161950441802194</v>
      </c>
    </row>
    <row r="177" customFormat="false" ht="15" hidden="false" customHeight="true" outlineLevel="0" collapsed="false">
      <c r="A177" s="9" t="s">
        <v>161</v>
      </c>
      <c r="F177" s="23" t="n">
        <f aca="false">AVERAGE(E86:F86)-F68</f>
        <v>53.928</v>
      </c>
      <c r="G177" s="23" t="n">
        <f aca="false">AVERAGE(F86:G86)-G68</f>
        <v>69.019</v>
      </c>
      <c r="H177" s="23" t="n">
        <f aca="false">AVERAGE(G86:H86)-H68</f>
        <v>105.4635</v>
      </c>
      <c r="I177" s="23" t="n">
        <f aca="false">AVERAGE(H86:I86)-I68</f>
        <v>291.174154232659</v>
      </c>
      <c r="J177" s="23" t="n">
        <f aca="false">AVERAGE(I86:J86)-J68</f>
        <v>527.995591415634</v>
      </c>
      <c r="K177" s="23" t="n">
        <f aca="false">AVERAGE(J86:K86)-K68</f>
        <v>666.681329564653</v>
      </c>
      <c r="L177" s="23" t="n">
        <f aca="false">AVERAGE(K86:L86)-L68</f>
        <v>763.414345144936</v>
      </c>
    </row>
    <row r="178" customFormat="false" ht="15" hidden="false" customHeight="true" outlineLevel="0" collapsed="false">
      <c r="A178" s="9" t="s">
        <v>162</v>
      </c>
      <c r="F178" s="15" t="n">
        <f aca="false">(F24*(1-F29))/F177</f>
        <v>0.0352604285388649</v>
      </c>
      <c r="G178" s="15" t="n">
        <f aca="false">(G24*(1-G29))/G177</f>
        <v>0.043122076380469</v>
      </c>
      <c r="H178" s="15" t="n">
        <f aca="false">(H24*(1-H29))/H177</f>
        <v>-0.0948670110992335</v>
      </c>
      <c r="I178" s="15" t="n">
        <f aca="false">(I24*(1-I29))/I177</f>
        <v>0.0660221797189092</v>
      </c>
      <c r="J178" s="15" t="n">
        <f aca="false">(J24*(1-J29))/J177</f>
        <v>0.204267456127946</v>
      </c>
      <c r="K178" s="15" t="n">
        <f aca="false">(K24*(1-K29))/K177</f>
        <v>0.160221550659309</v>
      </c>
      <c r="L178" s="15" t="n">
        <f aca="false">(L24*(1-L29))/L177</f>
        <v>0.129475339581104</v>
      </c>
    </row>
    <row r="179" customFormat="false" ht="15" hidden="false" customHeight="true" outlineLevel="0" collapsed="false">
      <c r="A179" s="9" t="s">
        <v>163</v>
      </c>
      <c r="B179" s="23" t="n">
        <f aca="false">+B47+B48+B57</f>
        <v>12.413</v>
      </c>
      <c r="C179" s="23" t="n">
        <f aca="false">+C47+C48+C57</f>
        <v>13.882</v>
      </c>
      <c r="D179" s="23" t="n">
        <f aca="false">+D47+D48+D57</f>
        <v>11.094</v>
      </c>
      <c r="E179" s="23" t="n">
        <f aca="false">+E47+E48+E57</f>
        <v>18.115</v>
      </c>
      <c r="F179" s="23" t="n">
        <f aca="false">+F47+F48+F57</f>
        <v>27.615</v>
      </c>
      <c r="G179" s="23" t="n">
        <f aca="false">+G47+G48+G57</f>
        <v>27.502</v>
      </c>
      <c r="H179" s="23" t="n">
        <f aca="false">+H47+H48+H57</f>
        <v>49.893</v>
      </c>
      <c r="I179" s="23" t="n">
        <f aca="false">+I47+I48+I57</f>
        <v>49.893</v>
      </c>
      <c r="J179" s="23" t="n">
        <f aca="false">+J47+J48+J57</f>
        <v>49.893</v>
      </c>
      <c r="K179" s="23" t="n">
        <f aca="false">+K47+K48+K57</f>
        <v>49.893</v>
      </c>
      <c r="L179" s="23" t="n">
        <f aca="false">+L47+L48+L57</f>
        <v>49.893</v>
      </c>
    </row>
    <row r="180" customFormat="false" ht="15" hidden="false" customHeight="true" outlineLevel="0" collapsed="false">
      <c r="A180" s="9" t="s">
        <v>164</v>
      </c>
      <c r="B180" s="23" t="n">
        <f aca="false">+B179-B80-B77</f>
        <v>9.197</v>
      </c>
      <c r="C180" s="23" t="n">
        <f aca="false">+C179-C80-C77</f>
        <v>11.793</v>
      </c>
      <c r="D180" s="23" t="n">
        <f aca="false">+D179-D80-D77</f>
        <v>9.187</v>
      </c>
      <c r="E180" s="23" t="n">
        <f aca="false">+E179-E80-E77</f>
        <v>15.765</v>
      </c>
      <c r="F180" s="23" t="n">
        <f aca="false">+F179-F80-F77</f>
        <v>27.462</v>
      </c>
      <c r="G180" s="23" t="n">
        <f aca="false">+G179-G80-G77</f>
        <v>27.426</v>
      </c>
      <c r="H180" s="23" t="n">
        <f aca="false">+H179-H80-H77</f>
        <v>49.715</v>
      </c>
      <c r="I180" s="23" t="n">
        <f aca="false">+I179-I80-I77</f>
        <v>-175.909603807784</v>
      </c>
      <c r="J180" s="23" t="n">
        <f aca="false">+J179-J80-J77</f>
        <v>-156.040832950424</v>
      </c>
      <c r="K180" s="23" t="n">
        <f aca="false">+K179-K80-K77</f>
        <v>-251.489060562444</v>
      </c>
      <c r="L180" s="23" t="n">
        <f aca="false">+L179-L80-L77</f>
        <v>-360.449497855281</v>
      </c>
    </row>
    <row r="181" customFormat="false" ht="15" hidden="false" customHeight="true" outlineLevel="0" collapsed="false">
      <c r="A181" s="9" t="s">
        <v>165</v>
      </c>
      <c r="B181" s="28" t="n">
        <f aca="false">IF(B19&gt;0,B180/B19,"n.m.")</f>
        <v>1.39348484848485</v>
      </c>
      <c r="C181" s="28" t="n">
        <f aca="false">IF(C19&gt;0,C180/C19,"n.m.")</f>
        <v>2.99314720812183</v>
      </c>
      <c r="D181" s="28" t="n">
        <f aca="false">IF(D19&gt;0,D180/D19,"n.m.")</f>
        <v>2.0280353200883</v>
      </c>
      <c r="E181" s="28" t="n">
        <f aca="false">IF(E19&gt;0,E180/E19,"n.m.")</f>
        <v>2.54274193548387</v>
      </c>
      <c r="F181" s="28" t="n">
        <f aca="false">IF(F19&gt;0,F180/F19,"n.m.")</f>
        <v>4.73891285591027</v>
      </c>
      <c r="G181" s="28" t="n">
        <f aca="false">IF(G19&gt;0,G180/G19,"n.m.")</f>
        <v>3.96501373427787</v>
      </c>
      <c r="H181" s="28" t="str">
        <f aca="false">IF(H19&gt;0,H180/H19,"n.m.")</f>
        <v>n.m.</v>
      </c>
      <c r="I181" s="28" t="n">
        <f aca="false">IF(I19&gt;0,I180/I19,"n.m.")</f>
        <v>-7.36812668832658</v>
      </c>
      <c r="J181" s="28" t="n">
        <f aca="false">IF(J19&gt;0,J180/J19,"n.m.")</f>
        <v>-1.13551684964711</v>
      </c>
      <c r="K181" s="28" t="n">
        <f aca="false">IF(K19&gt;0,K180/K19,"n.m.")</f>
        <v>-1.81546642958459</v>
      </c>
      <c r="L181" s="28" t="n">
        <f aca="false">IF(L19&gt;0,L180/L19,"n.m.")</f>
        <v>-2.93080777919575</v>
      </c>
    </row>
    <row r="182" customFormat="false" ht="15" hidden="false" customHeight="true" outlineLevel="0" collapsed="false">
      <c r="A182" s="9" t="s">
        <v>166</v>
      </c>
      <c r="B182" s="28" t="n">
        <f aca="false">+B180/B43</f>
        <v>0.826659475978608</v>
      </c>
      <c r="C182" s="28" t="n">
        <f aca="false">+C180/C43</f>
        <v>1.0478475276556</v>
      </c>
      <c r="D182" s="28" t="n">
        <f aca="false">+D180/D43</f>
        <v>0.776946171085458</v>
      </c>
      <c r="E182" s="28" t="n">
        <f aca="false">+E180/E43</f>
        <v>1.24891071852967</v>
      </c>
      <c r="F182" s="28" t="n">
        <f aca="false">+F180/F43</f>
        <v>1.66174512888781</v>
      </c>
      <c r="G182" s="28" t="n">
        <f aca="false">+G180/G43</f>
        <v>1.53132328308208</v>
      </c>
      <c r="H182" s="28" t="n">
        <f aca="false">+H180/H43</f>
        <v>0.794537405507344</v>
      </c>
      <c r="I182" s="28" t="n">
        <f aca="false">+I180/I43</f>
        <v>-0.529018888814595</v>
      </c>
      <c r="J182" s="28" t="n">
        <f aca="false">+J180/J43</f>
        <v>-0.357367830353718</v>
      </c>
      <c r="K182" s="28" t="n">
        <f aca="false">+K180/K43</f>
        <v>-0.465959929412769</v>
      </c>
      <c r="L182" s="28" t="n">
        <f aca="false">+L180/L43</f>
        <v>-0.567786914653319</v>
      </c>
    </row>
    <row r="183" customFormat="false" ht="15" hidden="false" customHeight="true" outlineLevel="0" collapsed="false">
      <c r="A183" s="9" t="s">
        <v>167</v>
      </c>
      <c r="E183" s="28" t="n">
        <f aca="false">IF(E25=0,"n.a.",E24/E25)</f>
        <v>1.92744479495268</v>
      </c>
      <c r="F183" s="28" t="n">
        <f aca="false">IF(F25=0,"n.a.",F24/F25)</f>
        <v>1.4256</v>
      </c>
      <c r="G183" s="28" t="n">
        <f aca="false">IF(G25=0,"n.a.",G24/G25)</f>
        <v>1.78928336620644</v>
      </c>
      <c r="H183" s="28" t="n">
        <f aca="false">IF(H25=0,"n.a.",H24/H25)</f>
        <v>-3.81289398280803</v>
      </c>
      <c r="I183" s="28" t="n">
        <f aca="false">IF(I25=0,"n.a.",I24/I25)</f>
        <v>5.14905247229071</v>
      </c>
      <c r="J183" s="28" t="n">
        <f aca="false">IF(J25=0,"n.a.",J24/J25)</f>
        <v>28.8877763575731</v>
      </c>
      <c r="K183" s="28" t="n">
        <f aca="false">IF(K25=0,"n.a.",K24/K25)</f>
        <v>28.6103954078617</v>
      </c>
      <c r="L183" s="28" t="n">
        <f aca="false">IF(L25=0,"n.a.",L24/L25)</f>
        <v>26.4747587710819</v>
      </c>
    </row>
    <row r="184" customFormat="false" ht="15" hidden="false" customHeight="true" outlineLevel="0" collapsed="false">
      <c r="A184" s="9" t="s">
        <v>168</v>
      </c>
      <c r="E184" s="28" t="n">
        <f aca="false">IF(E30&gt;0,E114/E30,"n.m.")</f>
        <v>2.83459277917716</v>
      </c>
      <c r="F184" s="28" t="n">
        <f aca="false">IF(F30&gt;0,F114/F30,"n.m.")</f>
        <v>-9.9333333333333</v>
      </c>
      <c r="G184" s="28" t="n">
        <f aca="false">IF(G30&gt;0,G114/G30,"n.m.")</f>
        <v>3.59415121255349</v>
      </c>
      <c r="H184" s="28" t="str">
        <f aca="false">IF(H30&gt;0,H114/H30,"n.m.")</f>
        <v>n.m.</v>
      </c>
      <c r="I184" s="28" t="n">
        <f aca="false">IF(I30&gt;0,I114/I30,"n.m.")</f>
        <v>-1.10562143614312</v>
      </c>
      <c r="J184" s="28" t="n">
        <f aca="false">IF(J30&gt;0,J114/J30,"n.m.")</f>
        <v>-0.187830014974532</v>
      </c>
      <c r="K184" s="28" t="n">
        <f aca="false">IF(K30&gt;0,K114/K30,"n.m.")</f>
        <v>0.941490044943115</v>
      </c>
      <c r="L184" s="28" t="n">
        <f aca="false">IF(L30&gt;0,L114/L30,"n.m.")</f>
        <v>1.11828497617218</v>
      </c>
    </row>
    <row r="185" customFormat="false" ht="15" hidden="false" customHeight="true" outlineLevel="0" collapsed="false">
      <c r="A185" s="9" t="s">
        <v>169</v>
      </c>
      <c r="E185" s="28" t="n">
        <f aca="false">+E3/E65</f>
        <v>3.38257801629895</v>
      </c>
      <c r="F185" s="28" t="n">
        <f aca="false">+F3/F65</f>
        <v>1.78775407958775</v>
      </c>
      <c r="G185" s="28" t="n">
        <f aca="false">+G3/G65</f>
        <v>2.20622732556092</v>
      </c>
      <c r="H185" s="28" t="n">
        <f aca="false">+H3/H65</f>
        <v>1.06569500441991</v>
      </c>
      <c r="I185" s="28" t="n">
        <f aca="false">+I3/I65</f>
        <v>6.33942099346703</v>
      </c>
      <c r="J185" s="28" t="n">
        <f aca="false">+J3/J65</f>
        <v>12.1051773814694</v>
      </c>
      <c r="K185" s="28" t="n">
        <f aca="false">+K3/K65</f>
        <v>10.9315114502566</v>
      </c>
      <c r="L185" s="28" t="n">
        <f aca="false">+L3/L65</f>
        <v>8.90887867981709</v>
      </c>
    </row>
    <row r="187" customFormat="false" ht="15" hidden="false" customHeight="true" outlineLevel="0" collapsed="false">
      <c r="A187" s="9" t="s">
        <v>170</v>
      </c>
      <c r="I187" s="13" t="n">
        <f aca="false">Drivers!C35</f>
        <v>15</v>
      </c>
      <c r="J187" s="13" t="n">
        <f aca="false">Drivers!D35</f>
        <v>10</v>
      </c>
      <c r="K187" s="13" t="n">
        <f aca="false">Drivers!E35</f>
        <v>10</v>
      </c>
      <c r="L187" s="13" t="n">
        <f aca="false">Drivers!F35</f>
        <v>12</v>
      </c>
    </row>
    <row r="189" customFormat="false" ht="15" hidden="false" customHeight="true" outlineLevel="0" collapsed="false">
      <c r="A189" s="29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2"/>
    <col collapsed="false" customWidth="true" hidden="false" outlineLevel="0" max="6" min="3" style="1" width="11"/>
    <col collapsed="false" customWidth="true" hidden="false" outlineLevel="0" max="7" min="7" style="1" width="90"/>
  </cols>
  <sheetData>
    <row r="1" customFormat="false" ht="15" hidden="false" customHeight="true" outlineLevel="0" collapsed="false">
      <c r="A1" s="30" t="s">
        <v>172</v>
      </c>
    </row>
    <row r="2" customFormat="false" ht="15" hidden="false" customHeight="true" outlineLevel="0" collapsed="false">
      <c r="A2" s="29" t="s">
        <v>173</v>
      </c>
    </row>
    <row r="4" customFormat="false" ht="15" hidden="false" customHeight="true" outlineLevel="0" collapsed="false">
      <c r="A4" s="4" t="s">
        <v>174</v>
      </c>
      <c r="B4" s="4" t="s">
        <v>175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176</v>
      </c>
    </row>
    <row r="5" customFormat="false" ht="15" hidden="false" customHeight="true" outlineLevel="0" collapsed="false">
      <c r="A5" s="31" t="s">
        <v>177</v>
      </c>
      <c r="B5" s="32"/>
      <c r="C5" s="32"/>
      <c r="D5" s="32"/>
      <c r="E5" s="32"/>
      <c r="F5" s="32"/>
      <c r="G5" s="32"/>
    </row>
    <row r="6" customFormat="false" ht="18.75" hidden="false" customHeight="true" outlineLevel="0" collapsed="false">
      <c r="A6" s="9" t="s">
        <v>178</v>
      </c>
      <c r="B6" s="9" t="s">
        <v>179</v>
      </c>
      <c r="C6" s="33" t="n">
        <v>569</v>
      </c>
      <c r="D6" s="20" t="n">
        <f aca="false">C9</f>
        <v>809</v>
      </c>
      <c r="E6" s="20" t="n">
        <f aca="false">D9</f>
        <v>779</v>
      </c>
      <c r="F6" s="20" t="n">
        <f aca="false">E9</f>
        <v>749</v>
      </c>
      <c r="G6" s="3" t="s">
        <v>180</v>
      </c>
    </row>
    <row r="7" customFormat="false" ht="18.75" hidden="false" customHeight="true" outlineLevel="0" collapsed="false">
      <c r="A7" s="9" t="s">
        <v>181</v>
      </c>
      <c r="B7" s="9" t="s">
        <v>179</v>
      </c>
      <c r="C7" s="34" t="n">
        <v>450</v>
      </c>
      <c r="D7" s="34" t="n">
        <v>450</v>
      </c>
      <c r="E7" s="34" t="n">
        <v>450</v>
      </c>
      <c r="F7" s="34" t="n">
        <v>450</v>
      </c>
      <c r="G7" s="3" t="s">
        <v>182</v>
      </c>
    </row>
    <row r="8" customFormat="false" ht="18.75" hidden="false" customHeight="true" outlineLevel="0" collapsed="false">
      <c r="A8" s="6" t="s">
        <v>183</v>
      </c>
      <c r="B8" s="9" t="s">
        <v>179</v>
      </c>
      <c r="C8" s="35" t="n">
        <f aca="false">SUM(C53:C56)</f>
        <v>210</v>
      </c>
      <c r="D8" s="34" t="n">
        <v>480</v>
      </c>
      <c r="E8" s="34" t="n">
        <v>480</v>
      </c>
      <c r="F8" s="34" t="n">
        <v>480</v>
      </c>
      <c r="G8" s="3" t="s">
        <v>184</v>
      </c>
    </row>
    <row r="9" customFormat="false" ht="15" hidden="false" customHeight="true" outlineLevel="0" collapsed="false">
      <c r="A9" s="9" t="s">
        <v>185</v>
      </c>
      <c r="B9" s="9" t="s">
        <v>179</v>
      </c>
      <c r="C9" s="20" t="n">
        <f aca="false">C6+C7-C8</f>
        <v>809</v>
      </c>
      <c r="D9" s="20" t="n">
        <f aca="false">D6+D7-D8</f>
        <v>779</v>
      </c>
      <c r="E9" s="20" t="n">
        <f aca="false">E6+E7-E8</f>
        <v>749</v>
      </c>
      <c r="F9" s="20" t="n">
        <f aca="false">F6+F7-F8</f>
        <v>719</v>
      </c>
      <c r="G9" s="3" t="s">
        <v>186</v>
      </c>
    </row>
    <row r="10" customFormat="false" ht="15" hidden="false" customHeight="true" outlineLevel="0" collapsed="false">
      <c r="A10" s="9" t="s">
        <v>187</v>
      </c>
      <c r="B10" s="9" t="s">
        <v>188</v>
      </c>
      <c r="C10" s="36" t="n">
        <f aca="false">C9/D8</f>
        <v>1.68541666666667</v>
      </c>
      <c r="D10" s="36" t="n">
        <f aca="false">D9/E8</f>
        <v>1.62291666666667</v>
      </c>
      <c r="E10" s="36" t="n">
        <f aca="false">E9/F8</f>
        <v>1.56041666666667</v>
      </c>
      <c r="G10" s="3" t="s">
        <v>189</v>
      </c>
    </row>
    <row r="11" customFormat="false" ht="18.75" hidden="false" customHeight="true" outlineLevel="0" collapsed="false">
      <c r="A11" s="9" t="s">
        <v>190</v>
      </c>
      <c r="B11" s="9" t="s">
        <v>191</v>
      </c>
      <c r="C11" s="37" t="n">
        <v>1.64</v>
      </c>
      <c r="D11" s="37" t="n">
        <v>1.64</v>
      </c>
      <c r="E11" s="37" t="n">
        <v>1.64</v>
      </c>
      <c r="F11" s="37" t="n">
        <v>1.64</v>
      </c>
      <c r="G11" s="3" t="s">
        <v>192</v>
      </c>
    </row>
    <row r="12" customFormat="false" ht="15" hidden="false" customHeight="true" outlineLevel="0" collapsed="false">
      <c r="A12" s="6" t="s">
        <v>193</v>
      </c>
      <c r="B12" s="9" t="s">
        <v>191</v>
      </c>
      <c r="C12" s="14" t="n">
        <f aca="false">C8*C11</f>
        <v>344.4</v>
      </c>
      <c r="D12" s="14" t="n">
        <f aca="false">D8*D11</f>
        <v>787.2</v>
      </c>
      <c r="E12" s="14" t="n">
        <f aca="false">E8*E11</f>
        <v>787.2</v>
      </c>
      <c r="F12" s="14" t="n">
        <f aca="false">F8*F11</f>
        <v>787.2</v>
      </c>
      <c r="G12" s="3" t="s">
        <v>194</v>
      </c>
    </row>
    <row r="13" customFormat="false" ht="15" hidden="false" customHeight="true" outlineLevel="0" collapsed="false">
      <c r="A13" s="31" t="s">
        <v>195</v>
      </c>
      <c r="B13" s="32"/>
      <c r="C13" s="32"/>
      <c r="D13" s="32"/>
      <c r="E13" s="32"/>
      <c r="F13" s="32"/>
      <c r="G13" s="32"/>
    </row>
    <row r="14" customFormat="false" ht="18.75" hidden="false" customHeight="true" outlineLevel="0" collapsed="false">
      <c r="A14" s="9" t="s">
        <v>196</v>
      </c>
      <c r="B14" s="9" t="s">
        <v>197</v>
      </c>
      <c r="C14" s="33" t="n">
        <v>0</v>
      </c>
      <c r="D14" s="33" t="n">
        <v>2</v>
      </c>
      <c r="E14" s="33" t="n">
        <v>4</v>
      </c>
      <c r="F14" s="33" t="n">
        <v>0</v>
      </c>
      <c r="G14" s="3" t="s">
        <v>198</v>
      </c>
    </row>
    <row r="15" customFormat="false" ht="15" hidden="false" customHeight="true" outlineLevel="0" collapsed="false">
      <c r="A15" s="9" t="s">
        <v>199</v>
      </c>
      <c r="B15" s="9" t="s">
        <v>191</v>
      </c>
      <c r="C15" s="23" t="n">
        <f aca="false">86.546/6</f>
        <v>14.4243333333333</v>
      </c>
      <c r="D15" s="23" t="n">
        <f aca="false">C15</f>
        <v>14.4243333333333</v>
      </c>
      <c r="E15" s="23" t="n">
        <f aca="false">D15</f>
        <v>14.4243333333333</v>
      </c>
      <c r="F15" s="23" t="n">
        <f aca="false">E15</f>
        <v>14.4243333333333</v>
      </c>
      <c r="G15" s="3" t="s">
        <v>200</v>
      </c>
    </row>
    <row r="16" customFormat="false" ht="15" hidden="false" customHeight="true" outlineLevel="0" collapsed="false">
      <c r="A16" s="9" t="s">
        <v>201</v>
      </c>
      <c r="B16" s="9" t="s">
        <v>191</v>
      </c>
      <c r="C16" s="12" t="n">
        <f aca="false">C14*C15</f>
        <v>0</v>
      </c>
      <c r="D16" s="12" t="n">
        <f aca="false">D14*D15</f>
        <v>28.8486666666667</v>
      </c>
      <c r="E16" s="12" t="n">
        <f aca="false">E14*E15</f>
        <v>57.6973333333333</v>
      </c>
      <c r="F16" s="12" t="n">
        <f aca="false">F14*F15</f>
        <v>0</v>
      </c>
      <c r="G16" s="3"/>
    </row>
    <row r="17" customFormat="false" ht="15" hidden="false" customHeight="true" outlineLevel="0" collapsed="false">
      <c r="A17" s="9" t="s">
        <v>202</v>
      </c>
      <c r="B17" s="9" t="s">
        <v>191</v>
      </c>
      <c r="C17" s="11" t="n">
        <v>0</v>
      </c>
      <c r="D17" s="11" t="n">
        <v>3.311</v>
      </c>
      <c r="E17" s="11" t="n">
        <v>0</v>
      </c>
      <c r="F17" s="11" t="n">
        <v>0</v>
      </c>
      <c r="G17" s="3" t="s">
        <v>203</v>
      </c>
    </row>
    <row r="18" customFormat="false" ht="15" hidden="false" customHeight="true" outlineLevel="0" collapsed="false">
      <c r="A18" s="31" t="s">
        <v>204</v>
      </c>
      <c r="B18" s="32"/>
      <c r="C18" s="32"/>
      <c r="D18" s="32"/>
      <c r="E18" s="32"/>
      <c r="F18" s="32"/>
      <c r="G18" s="32"/>
    </row>
    <row r="19" customFormat="false" ht="18.75" hidden="false" customHeight="true" outlineLevel="0" collapsed="false">
      <c r="A19" s="9" t="s">
        <v>205</v>
      </c>
      <c r="B19" s="9" t="s">
        <v>191</v>
      </c>
      <c r="C19" s="11" t="n">
        <v>0</v>
      </c>
      <c r="D19" s="11" t="n">
        <v>0</v>
      </c>
      <c r="E19" s="11" t="n">
        <v>0</v>
      </c>
      <c r="F19" s="11" t="n">
        <v>0</v>
      </c>
      <c r="G19" s="3" t="s">
        <v>206</v>
      </c>
    </row>
    <row r="20" customFormat="false" ht="15" hidden="false" customHeight="true" outlineLevel="0" collapsed="false">
      <c r="A20" s="9" t="s">
        <v>207</v>
      </c>
      <c r="B20" s="9" t="s">
        <v>191</v>
      </c>
      <c r="C20" s="11" t="n">
        <v>0</v>
      </c>
      <c r="D20" s="11" t="n">
        <v>0</v>
      </c>
      <c r="E20" s="11" t="n">
        <v>0</v>
      </c>
      <c r="F20" s="11" t="n">
        <v>0</v>
      </c>
      <c r="G20" s="3" t="s">
        <v>208</v>
      </c>
    </row>
    <row r="21" customFormat="false" ht="15" hidden="false" customHeight="true" outlineLevel="0" collapsed="false">
      <c r="A21" s="9" t="s">
        <v>209</v>
      </c>
      <c r="B21" s="9" t="s">
        <v>210</v>
      </c>
      <c r="C21" s="38" t="n">
        <v>0</v>
      </c>
      <c r="D21" s="38" t="n">
        <v>0</v>
      </c>
      <c r="E21" s="38" t="n">
        <v>0</v>
      </c>
      <c r="F21" s="38" t="n">
        <v>0</v>
      </c>
      <c r="G21" s="3" t="s">
        <v>211</v>
      </c>
    </row>
    <row r="22" customFormat="false" ht="15" hidden="false" customHeight="true" outlineLevel="0" collapsed="false">
      <c r="A22" s="9" t="s">
        <v>212</v>
      </c>
      <c r="B22" s="9" t="s">
        <v>191</v>
      </c>
      <c r="C22" s="13" t="n">
        <f aca="false">SUM(Segments!C4:C6)*(1+C21)</f>
        <v>44.72</v>
      </c>
      <c r="D22" s="12" t="n">
        <f aca="false">C22*(1+D21)</f>
        <v>44.72</v>
      </c>
      <c r="E22" s="12" t="n">
        <f aca="false">D22*(1+E21)</f>
        <v>44.72</v>
      </c>
      <c r="F22" s="12" t="n">
        <f aca="false">E22*(1+F21)</f>
        <v>44.72</v>
      </c>
      <c r="G22" s="3" t="s">
        <v>213</v>
      </c>
    </row>
    <row r="23" customFormat="false" ht="15" hidden="false" customHeight="true" outlineLevel="0" collapsed="false">
      <c r="A23" s="6" t="s">
        <v>214</v>
      </c>
      <c r="B23" s="9" t="s">
        <v>191</v>
      </c>
      <c r="C23" s="14" t="n">
        <f aca="false">C12+C16+C17+C19+C20+C22</f>
        <v>389.12</v>
      </c>
      <c r="D23" s="14" t="n">
        <f aca="false">D12+D16+D17+D19+D20+D22</f>
        <v>864.079666666667</v>
      </c>
      <c r="E23" s="14" t="n">
        <f aca="false">E12+E16+E17+E19+E20+E22</f>
        <v>889.617333333333</v>
      </c>
      <c r="F23" s="14" t="n">
        <f aca="false">F12+F16+F17+F19+F20+F22</f>
        <v>831.92</v>
      </c>
      <c r="G23" s="3"/>
    </row>
    <row r="24" customFormat="false" ht="15" hidden="false" customHeight="true" outlineLevel="0" collapsed="false">
      <c r="A24" s="9" t="s">
        <v>215</v>
      </c>
      <c r="B24" s="9" t="s">
        <v>191</v>
      </c>
      <c r="C24" s="33" t="n">
        <v>400</v>
      </c>
      <c r="G24" s="3" t="s">
        <v>216</v>
      </c>
    </row>
    <row r="25" customFormat="false" ht="15" hidden="false" customHeight="true" outlineLevel="0" collapsed="false">
      <c r="A25" s="9" t="s">
        <v>217</v>
      </c>
      <c r="B25" s="9" t="s">
        <v>210</v>
      </c>
      <c r="C25" s="10" t="n">
        <f aca="false">C23/C24-1</f>
        <v>-0.0272</v>
      </c>
      <c r="G25" s="3"/>
    </row>
    <row r="26" customFormat="false" ht="15" hidden="false" customHeight="true" outlineLevel="0" collapsed="false">
      <c r="A26" s="31" t="s">
        <v>218</v>
      </c>
      <c r="B26" s="32"/>
      <c r="C26" s="32"/>
      <c r="D26" s="32"/>
      <c r="E26" s="32"/>
      <c r="F26" s="32"/>
      <c r="G26" s="32"/>
    </row>
    <row r="27" customFormat="false" ht="18.75" hidden="false" customHeight="true" outlineLevel="0" collapsed="false">
      <c r="A27" s="9" t="s">
        <v>219</v>
      </c>
      <c r="B27" s="9" t="s">
        <v>220</v>
      </c>
      <c r="C27" s="38" t="n">
        <v>0.85</v>
      </c>
      <c r="D27" s="38" t="n">
        <v>0.77</v>
      </c>
      <c r="E27" s="38" t="n">
        <v>0.77</v>
      </c>
      <c r="F27" s="38" t="n">
        <v>0.77</v>
      </c>
      <c r="G27" s="3" t="s">
        <v>221</v>
      </c>
    </row>
    <row r="28" customFormat="false" ht="15" hidden="false" customHeight="true" outlineLevel="0" collapsed="false">
      <c r="A28" s="9" t="s">
        <v>222</v>
      </c>
      <c r="B28" s="9" t="s">
        <v>220</v>
      </c>
      <c r="C28" s="39" t="n">
        <v>0.6</v>
      </c>
      <c r="D28" s="39" t="n">
        <v>0.6</v>
      </c>
      <c r="E28" s="39" t="n">
        <v>0.6</v>
      </c>
      <c r="F28" s="39" t="n">
        <v>0.6</v>
      </c>
      <c r="G28" s="3" t="s">
        <v>223</v>
      </c>
    </row>
    <row r="29" customFormat="false" ht="15" hidden="false" customHeight="true" outlineLevel="0" collapsed="false">
      <c r="A29" s="6" t="s">
        <v>224</v>
      </c>
      <c r="B29" s="9" t="s">
        <v>191</v>
      </c>
      <c r="C29" s="14" t="n">
        <f aca="false">C27*(C12+C16+C17)+C28*C22</f>
        <v>319.572</v>
      </c>
      <c r="D29" s="14" t="n">
        <f aca="false">D27*(D12+D16+D17)+D28*D22</f>
        <v>657.738943333333</v>
      </c>
      <c r="E29" s="14" t="n">
        <f aca="false">E27*(E12+E16+E17)+E28*E22</f>
        <v>677.402946666667</v>
      </c>
      <c r="F29" s="14" t="n">
        <f aca="false">F27*(F12+F16+F17)+F28*F22</f>
        <v>632.976</v>
      </c>
      <c r="G29" s="3"/>
    </row>
    <row r="30" customFormat="false" ht="18.75" hidden="false" customHeight="true" outlineLevel="0" collapsed="false">
      <c r="A30" s="9" t="s">
        <v>225</v>
      </c>
      <c r="B30" s="9" t="s">
        <v>191</v>
      </c>
      <c r="C30" s="40" t="n">
        <v>22</v>
      </c>
      <c r="D30" s="40" t="n">
        <v>30</v>
      </c>
      <c r="E30" s="40" t="n">
        <v>33</v>
      </c>
      <c r="F30" s="40" t="n">
        <v>36</v>
      </c>
      <c r="G30" s="3" t="s">
        <v>226</v>
      </c>
    </row>
    <row r="31" customFormat="false" ht="18.75" hidden="false" customHeight="true" outlineLevel="0" collapsed="false">
      <c r="A31" s="9" t="s">
        <v>227</v>
      </c>
      <c r="B31" s="9" t="s">
        <v>191</v>
      </c>
      <c r="C31" s="11" t="n">
        <v>12</v>
      </c>
      <c r="D31" s="11" t="n">
        <v>13</v>
      </c>
      <c r="E31" s="11" t="n">
        <v>14</v>
      </c>
      <c r="F31" s="11" t="n">
        <v>15</v>
      </c>
      <c r="G31" s="3" t="s">
        <v>228</v>
      </c>
    </row>
    <row r="32" customFormat="false" ht="15" hidden="false" customHeight="true" outlineLevel="0" collapsed="false">
      <c r="A32" s="9" t="s">
        <v>229</v>
      </c>
      <c r="B32" s="9" t="s">
        <v>220</v>
      </c>
      <c r="C32" s="41" t="n">
        <v>0.03</v>
      </c>
      <c r="D32" s="41" t="n">
        <v>0.03</v>
      </c>
      <c r="E32" s="41" t="n">
        <v>0.03</v>
      </c>
      <c r="F32" s="41" t="n">
        <v>0.03</v>
      </c>
      <c r="G32" s="3" t="s">
        <v>230</v>
      </c>
    </row>
    <row r="33" customFormat="false" ht="15" hidden="false" customHeight="true" outlineLevel="0" collapsed="false">
      <c r="A33" s="6" t="s">
        <v>231</v>
      </c>
      <c r="B33" s="9" t="s">
        <v>191</v>
      </c>
      <c r="C33" s="14" t="n">
        <f aca="false">C31+C32*C23</f>
        <v>23.6736</v>
      </c>
      <c r="D33" s="14" t="n">
        <f aca="false">D31+D32*D23</f>
        <v>38.92239</v>
      </c>
      <c r="E33" s="14" t="n">
        <f aca="false">E31+E32*E23</f>
        <v>40.68852</v>
      </c>
      <c r="F33" s="14" t="n">
        <f aca="false">F31+F32*F23</f>
        <v>39.9576</v>
      </c>
      <c r="G33" s="3"/>
    </row>
    <row r="34" customFormat="false" ht="15" hidden="false" customHeight="true" outlineLevel="0" collapsed="false">
      <c r="A34" s="31" t="s">
        <v>232</v>
      </c>
      <c r="B34" s="32"/>
      <c r="C34" s="32"/>
      <c r="D34" s="32"/>
      <c r="E34" s="32"/>
      <c r="F34" s="32"/>
      <c r="G34" s="32"/>
    </row>
    <row r="35" customFormat="false" ht="15" hidden="false" customHeight="true" outlineLevel="0" collapsed="false">
      <c r="A35" s="9" t="s">
        <v>233</v>
      </c>
      <c r="B35" s="9" t="s">
        <v>191</v>
      </c>
      <c r="C35" s="11" t="n">
        <v>15</v>
      </c>
      <c r="D35" s="11" t="n">
        <v>10</v>
      </c>
      <c r="E35" s="11" t="n">
        <v>10</v>
      </c>
      <c r="F35" s="11" t="n">
        <v>12</v>
      </c>
      <c r="G35" s="3" t="s">
        <v>234</v>
      </c>
    </row>
    <row r="36" customFormat="false" ht="15" hidden="false" customHeight="true" outlineLevel="0" collapsed="false">
      <c r="A36" s="9" t="s">
        <v>235</v>
      </c>
      <c r="B36" s="9" t="s">
        <v>210</v>
      </c>
      <c r="C36" s="39" t="n">
        <v>0.12</v>
      </c>
      <c r="D36" s="39" t="n">
        <v>0.12</v>
      </c>
      <c r="E36" s="39" t="n">
        <v>0.12</v>
      </c>
      <c r="F36" s="39" t="n">
        <v>0.12</v>
      </c>
      <c r="G36" s="3" t="s">
        <v>236</v>
      </c>
    </row>
    <row r="37" customFormat="false" ht="15" hidden="false" customHeight="true" outlineLevel="0" collapsed="false">
      <c r="A37" s="9" t="s">
        <v>237</v>
      </c>
      <c r="B37" s="9" t="s">
        <v>210</v>
      </c>
      <c r="C37" s="41" t="n">
        <v>0.1</v>
      </c>
      <c r="D37" s="41" t="n">
        <v>0.1</v>
      </c>
      <c r="E37" s="41" t="n">
        <v>0.1</v>
      </c>
      <c r="F37" s="41" t="n">
        <v>0.1</v>
      </c>
      <c r="G37" s="3" t="s">
        <v>238</v>
      </c>
    </row>
    <row r="38" customFormat="false" ht="15" hidden="false" customHeight="true" outlineLevel="0" collapsed="false">
      <c r="A38" s="9" t="s">
        <v>239</v>
      </c>
      <c r="B38" s="9" t="s">
        <v>210</v>
      </c>
      <c r="C38" s="41" t="n">
        <v>0.065</v>
      </c>
      <c r="D38" s="41" t="n">
        <v>0.065</v>
      </c>
      <c r="E38" s="41" t="n">
        <v>0.065</v>
      </c>
      <c r="F38" s="41" t="n">
        <v>0.065</v>
      </c>
      <c r="G38" s="3" t="s">
        <v>240</v>
      </c>
    </row>
    <row r="39" customFormat="false" ht="15" hidden="false" customHeight="true" outlineLevel="0" collapsed="false">
      <c r="A39" s="9" t="s">
        <v>241</v>
      </c>
      <c r="B39" s="9" t="s">
        <v>210</v>
      </c>
      <c r="C39" s="41" t="n">
        <v>0.2517</v>
      </c>
      <c r="D39" s="41" t="n">
        <v>0.2517</v>
      </c>
      <c r="E39" s="41" t="n">
        <v>0.2517</v>
      </c>
      <c r="F39" s="41" t="n">
        <v>0.2517</v>
      </c>
      <c r="G39" s="3" t="s">
        <v>242</v>
      </c>
    </row>
    <row r="40" customFormat="false" ht="15" hidden="false" customHeight="true" outlineLevel="0" collapsed="false">
      <c r="A40" s="9" t="s">
        <v>243</v>
      </c>
      <c r="B40" s="9" t="s">
        <v>191</v>
      </c>
      <c r="C40" s="11" t="n">
        <v>290</v>
      </c>
      <c r="G40" s="3" t="s">
        <v>244</v>
      </c>
    </row>
    <row r="41" customFormat="false" ht="15" hidden="false" customHeight="true" outlineLevel="0" collapsed="false">
      <c r="A41" s="9" t="s">
        <v>245</v>
      </c>
      <c r="B41" s="9" t="s">
        <v>191</v>
      </c>
      <c r="C41" s="11" t="n">
        <v>35.541</v>
      </c>
      <c r="G41" s="3" t="s">
        <v>246</v>
      </c>
    </row>
    <row r="42" customFormat="false" ht="15" hidden="false" customHeight="true" outlineLevel="0" collapsed="false">
      <c r="A42" s="9" t="s">
        <v>247</v>
      </c>
      <c r="B42" s="9" t="s">
        <v>248</v>
      </c>
      <c r="C42" s="42" t="n">
        <v>0.6823528</v>
      </c>
      <c r="G42" s="3" t="s">
        <v>249</v>
      </c>
    </row>
    <row r="43" customFormat="false" ht="15" hidden="false" customHeight="true" outlineLevel="0" collapsed="false">
      <c r="A43" s="9" t="s">
        <v>250</v>
      </c>
      <c r="B43" s="9" t="s">
        <v>251</v>
      </c>
      <c r="C43" s="33" t="n">
        <v>5</v>
      </c>
      <c r="G43" s="3" t="s">
        <v>252</v>
      </c>
    </row>
    <row r="44" customFormat="false" ht="15" hidden="false" customHeight="true" outlineLevel="0" collapsed="false">
      <c r="A44" s="31" t="s">
        <v>253</v>
      </c>
      <c r="B44" s="32"/>
      <c r="C44" s="32"/>
      <c r="D44" s="32"/>
      <c r="E44" s="32"/>
      <c r="F44" s="32"/>
      <c r="G44" s="32"/>
    </row>
    <row r="45" customFormat="false" ht="15" hidden="false" customHeight="true" outlineLevel="0" collapsed="false">
      <c r="A45" s="9" t="s">
        <v>254</v>
      </c>
      <c r="B45" s="9" t="s">
        <v>255</v>
      </c>
      <c r="C45" s="34" t="n">
        <v>105</v>
      </c>
      <c r="D45" s="34" t="n">
        <v>105</v>
      </c>
      <c r="E45" s="34" t="n">
        <v>105</v>
      </c>
      <c r="F45" s="34" t="n">
        <v>105</v>
      </c>
      <c r="G45" s="3" t="s">
        <v>256</v>
      </c>
    </row>
    <row r="46" customFormat="false" ht="15" hidden="false" customHeight="true" outlineLevel="0" collapsed="false">
      <c r="A46" s="9" t="s">
        <v>257</v>
      </c>
      <c r="B46" s="9" t="s">
        <v>258</v>
      </c>
      <c r="C46" s="34" t="n">
        <v>60</v>
      </c>
      <c r="D46" s="34" t="n">
        <v>60</v>
      </c>
      <c r="E46" s="34" t="n">
        <v>60</v>
      </c>
      <c r="F46" s="34" t="n">
        <v>60</v>
      </c>
      <c r="G46" s="3" t="s">
        <v>259</v>
      </c>
    </row>
    <row r="47" customFormat="false" ht="15" hidden="false" customHeight="true" outlineLevel="0" collapsed="false">
      <c r="A47" s="9" t="s">
        <v>260</v>
      </c>
      <c r="B47" s="9" t="s">
        <v>255</v>
      </c>
      <c r="C47" s="33" t="n">
        <v>45</v>
      </c>
      <c r="D47" s="33" t="n">
        <v>45</v>
      </c>
      <c r="E47" s="33" t="n">
        <v>45</v>
      </c>
      <c r="F47" s="33" t="n">
        <v>45</v>
      </c>
      <c r="G47" s="3" t="s">
        <v>261</v>
      </c>
    </row>
    <row r="48" customFormat="false" ht="15" hidden="false" customHeight="true" outlineLevel="0" collapsed="false">
      <c r="A48" s="9" t="s">
        <v>262</v>
      </c>
      <c r="B48" s="9" t="s">
        <v>258</v>
      </c>
      <c r="C48" s="33" t="n">
        <v>10</v>
      </c>
      <c r="D48" s="33" t="n">
        <v>10</v>
      </c>
      <c r="E48" s="33" t="n">
        <v>10</v>
      </c>
      <c r="F48" s="33" t="n">
        <v>10</v>
      </c>
      <c r="G48" s="3" t="s">
        <v>263</v>
      </c>
    </row>
    <row r="49" customFormat="false" ht="15" hidden="false" customHeight="true" outlineLevel="0" collapsed="false">
      <c r="A49" s="9" t="s">
        <v>264</v>
      </c>
      <c r="B49" s="9" t="s">
        <v>258</v>
      </c>
      <c r="C49" s="33" t="n">
        <v>19</v>
      </c>
      <c r="D49" s="33" t="n">
        <v>19</v>
      </c>
      <c r="E49" s="33" t="n">
        <v>19</v>
      </c>
      <c r="F49" s="33" t="n">
        <v>19</v>
      </c>
      <c r="G49" s="3" t="s">
        <v>265</v>
      </c>
    </row>
    <row r="51" customFormat="false" ht="15" hidden="false" customHeight="true" outlineLevel="0" collapsed="false">
      <c r="A51" s="31" t="s">
        <v>266</v>
      </c>
      <c r="B51" s="32"/>
      <c r="C51" s="32"/>
      <c r="D51" s="32"/>
      <c r="E51" s="32"/>
      <c r="F51" s="32"/>
      <c r="G51" s="32"/>
    </row>
    <row r="52" customFormat="false" ht="15" hidden="false" customHeight="true" outlineLevel="0" collapsed="false">
      <c r="A52" s="4" t="s">
        <v>267</v>
      </c>
      <c r="B52" s="4"/>
      <c r="C52" s="4" t="s">
        <v>268</v>
      </c>
      <c r="D52" s="4"/>
      <c r="E52" s="4"/>
      <c r="F52" s="4"/>
      <c r="G52" s="4" t="s">
        <v>269</v>
      </c>
    </row>
    <row r="53" customFormat="false" ht="15" hidden="false" customHeight="true" outlineLevel="0" collapsed="false">
      <c r="A53" s="9" t="s">
        <v>270</v>
      </c>
      <c r="C53" s="34" t="n">
        <v>5</v>
      </c>
      <c r="G53" s="29" t="s">
        <v>271</v>
      </c>
    </row>
    <row r="54" customFormat="false" ht="15" hidden="false" customHeight="true" outlineLevel="0" collapsed="false">
      <c r="A54" s="9" t="s">
        <v>272</v>
      </c>
      <c r="C54" s="34" t="n">
        <v>15</v>
      </c>
      <c r="G54" s="29" t="s">
        <v>273</v>
      </c>
    </row>
    <row r="55" customFormat="false" ht="15" hidden="false" customHeight="true" outlineLevel="0" collapsed="false">
      <c r="A55" s="9" t="s">
        <v>274</v>
      </c>
      <c r="C55" s="34" t="n">
        <v>70</v>
      </c>
      <c r="G55" s="29" t="s">
        <v>275</v>
      </c>
    </row>
    <row r="56" customFormat="false" ht="15" hidden="false" customHeight="true" outlineLevel="0" collapsed="false">
      <c r="A56" s="9" t="s">
        <v>276</v>
      </c>
      <c r="C56" s="34" t="n">
        <v>120</v>
      </c>
      <c r="G56" s="29" t="s">
        <v>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26"/>
    <col collapsed="false" customWidth="true" hidden="false" outlineLevel="0" max="3" min="3" style="1" width="20"/>
    <col collapsed="false" customWidth="true" hidden="false" outlineLevel="0" max="6" min="4" style="1" width="9"/>
    <col collapsed="false" customWidth="true" hidden="false" outlineLevel="0" max="7" min="7" style="1" width="11"/>
    <col collapsed="false" customWidth="true" hidden="false" outlineLevel="0" max="10" min="8" style="1" width="10"/>
    <col collapsed="false" customWidth="true" hidden="false" outlineLevel="0" max="11" min="11" style="1" width="7"/>
    <col collapsed="false" customWidth="true" hidden="false" outlineLevel="0" max="12" min="12" style="1" width="70"/>
  </cols>
  <sheetData>
    <row r="1" customFormat="false" ht="15" hidden="false" customHeight="true" outlineLevel="0" collapsed="false">
      <c r="A1" s="30" t="s">
        <v>278</v>
      </c>
    </row>
    <row r="2" customFormat="false" ht="15" hidden="false" customHeight="true" outlineLevel="0" collapsed="false">
      <c r="A2" s="29" t="s">
        <v>279</v>
      </c>
    </row>
    <row r="4" customFormat="false" ht="23.25" hidden="false" customHeight="true" outlineLevel="0" collapsed="false">
      <c r="A4" s="43" t="s">
        <v>280</v>
      </c>
      <c r="B4" s="43" t="s">
        <v>281</v>
      </c>
      <c r="C4" s="43" t="s">
        <v>175</v>
      </c>
      <c r="D4" s="44" t="s">
        <v>282</v>
      </c>
      <c r="E4" s="44" t="s">
        <v>283</v>
      </c>
      <c r="F4" s="44" t="s">
        <v>284</v>
      </c>
      <c r="G4" s="44" t="s">
        <v>285</v>
      </c>
      <c r="H4" s="44" t="s">
        <v>286</v>
      </c>
      <c r="I4" s="44" t="s">
        <v>287</v>
      </c>
      <c r="J4" s="44" t="s">
        <v>288</v>
      </c>
      <c r="K4" s="44" t="s">
        <v>289</v>
      </c>
      <c r="L4" s="43" t="s">
        <v>290</v>
      </c>
    </row>
    <row r="5" customFormat="false" ht="15" hidden="false" customHeight="true" outlineLevel="0" collapsed="false">
      <c r="A5" s="31" t="s">
        <v>291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customFormat="false" ht="36.75" hidden="false" customHeight="true" outlineLevel="0" collapsed="false">
      <c r="A6" s="45" t="s">
        <v>292</v>
      </c>
      <c r="B6" s="45" t="s">
        <v>293</v>
      </c>
      <c r="C6" s="45" t="s">
        <v>294</v>
      </c>
      <c r="D6" s="33" t="n">
        <v>1500</v>
      </c>
      <c r="E6" s="34" t="n">
        <v>1659</v>
      </c>
      <c r="F6" s="33" t="n">
        <v>1900</v>
      </c>
      <c r="G6" s="46" t="n">
        <v>1.64</v>
      </c>
      <c r="H6" s="20" t="n">
        <f aca="false">IF(OR(D6="",G6=""),"n.s.",D6*G6)</f>
        <v>2460</v>
      </c>
      <c r="I6" s="35" t="n">
        <f aca="false">IF(OR(E6="",G6=""),"n.s.",E6*G6)</f>
        <v>2720.76</v>
      </c>
      <c r="J6" s="20" t="n">
        <f aca="false">IF(OR(F6="",G6=""),"n.s.",F6*G6)</f>
        <v>3116</v>
      </c>
      <c r="K6" s="9" t="s">
        <v>295</v>
      </c>
      <c r="L6" s="3" t="s">
        <v>296</v>
      </c>
    </row>
    <row r="7" customFormat="false" ht="27.75" hidden="false" customHeight="true" outlineLevel="0" collapsed="false">
      <c r="A7" s="45" t="s">
        <v>297</v>
      </c>
      <c r="B7" s="45" t="s">
        <v>298</v>
      </c>
      <c r="C7" s="45" t="s">
        <v>299</v>
      </c>
      <c r="D7" s="33" t="n">
        <v>1500</v>
      </c>
      <c r="E7" s="34" t="n">
        <v>1659</v>
      </c>
      <c r="F7" s="33" t="n">
        <v>1900</v>
      </c>
      <c r="G7" s="47" t="n">
        <f aca="false">0.1225</f>
        <v>0.1225</v>
      </c>
      <c r="H7" s="20" t="n">
        <f aca="false">IF(OR(D7="",G7=""),"n.s.",D7*G7)</f>
        <v>183.75</v>
      </c>
      <c r="I7" s="35" t="n">
        <f aca="false">IF(OR(E7="",G7=""),"n.s.",E7*G7)</f>
        <v>203.2275</v>
      </c>
      <c r="J7" s="20" t="n">
        <f aca="false">IF(OR(F7="",G7=""),"n.s.",F7*G7)</f>
        <v>232.75</v>
      </c>
      <c r="K7" s="9" t="s">
        <v>300</v>
      </c>
      <c r="L7" s="3" t="s">
        <v>301</v>
      </c>
    </row>
    <row r="8" customFormat="false" ht="23.25" hidden="false" customHeight="true" outlineLevel="0" collapsed="false">
      <c r="A8" s="45" t="s">
        <v>302</v>
      </c>
      <c r="B8" s="45" t="s">
        <v>303</v>
      </c>
      <c r="C8" s="45" t="s">
        <v>304</v>
      </c>
      <c r="D8" s="33"/>
      <c r="E8" s="34"/>
      <c r="F8" s="33"/>
      <c r="G8" s="46"/>
      <c r="H8" s="20" t="str">
        <f aca="false">IF(OR(D8="",G8=""),"n.s.",D8*G8)</f>
        <v>n.s.</v>
      </c>
      <c r="I8" s="35" t="str">
        <f aca="false">IF(OR(E8="",G8=""),"n.s.",E8*G8)</f>
        <v>n.s.</v>
      </c>
      <c r="J8" s="20" t="str">
        <f aca="false">IF(OR(F8="",G8=""),"n.s.",F8*G8)</f>
        <v>n.s.</v>
      </c>
      <c r="K8" s="9" t="s">
        <v>305</v>
      </c>
      <c r="L8" s="3" t="s">
        <v>306</v>
      </c>
    </row>
    <row r="9" customFormat="false" ht="15" hidden="false" customHeight="true" outlineLevel="0" collapsed="false">
      <c r="A9" s="31" t="s">
        <v>307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</row>
    <row r="10" customFormat="false" ht="34.5" hidden="false" customHeight="true" outlineLevel="0" collapsed="false">
      <c r="A10" s="45" t="s">
        <v>308</v>
      </c>
      <c r="B10" s="45" t="s">
        <v>309</v>
      </c>
      <c r="C10" s="45" t="s">
        <v>310</v>
      </c>
      <c r="D10" s="20" t="n">
        <f aca="false">E22*0.7</f>
        <v>181.183333333333</v>
      </c>
      <c r="E10" s="48" t="n">
        <f aca="false">E22</f>
        <v>258.833333333333</v>
      </c>
      <c r="F10" s="20" t="n">
        <f aca="false">E22*1.4</f>
        <v>362.366666666667</v>
      </c>
      <c r="G10" s="47" t="n">
        <f aca="false">E21</f>
        <v>0.823448275862069</v>
      </c>
      <c r="H10" s="20" t="n">
        <f aca="false">IF(OR(D10="",G10=""),"n.s.",D10*G10)</f>
        <v>149.195103448276</v>
      </c>
      <c r="I10" s="35" t="n">
        <f aca="false">IF(OR(E10="",G10=""),"n.s.",E10*G10)</f>
        <v>213.135862068965</v>
      </c>
      <c r="J10" s="20" t="n">
        <f aca="false">IF(OR(F10="",G10=""),"n.s.",F10*G10)</f>
        <v>298.390206896552</v>
      </c>
      <c r="K10" s="9" t="s">
        <v>311</v>
      </c>
      <c r="L10" s="3" t="s">
        <v>312</v>
      </c>
    </row>
    <row r="11" customFormat="false" ht="15" hidden="false" customHeight="true" outlineLevel="0" collapsed="false">
      <c r="A11" s="31" t="s">
        <v>313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</row>
    <row r="12" customFormat="false" ht="45.75" hidden="false" customHeight="true" outlineLevel="0" collapsed="false">
      <c r="A12" s="45" t="s">
        <v>314</v>
      </c>
      <c r="B12" s="45" t="s">
        <v>315</v>
      </c>
      <c r="C12" s="45" t="s">
        <v>316</v>
      </c>
      <c r="D12" s="33" t="n">
        <v>80</v>
      </c>
      <c r="E12" s="34" t="n">
        <v>120</v>
      </c>
      <c r="F12" s="33" t="n">
        <v>250</v>
      </c>
      <c r="G12" s="47" t="n">
        <f aca="false">86.546/6</f>
        <v>14.4243333333333</v>
      </c>
      <c r="H12" s="20" t="n">
        <f aca="false">IF(OR(D12="",G12=""),"n.s.",D12*G12)</f>
        <v>1153.94666666667</v>
      </c>
      <c r="I12" s="35" t="n">
        <f aca="false">IF(OR(E12="",G12=""),"n.s.",E12*G12)</f>
        <v>1730.92</v>
      </c>
      <c r="J12" s="20" t="n">
        <f aca="false">IF(OR(F12="",G12=""),"n.s.",F12*G12)</f>
        <v>3606.08333333333</v>
      </c>
      <c r="K12" s="9" t="s">
        <v>317</v>
      </c>
      <c r="L12" s="3" t="s">
        <v>318</v>
      </c>
    </row>
    <row r="13" customFormat="false" ht="15" hidden="false" customHeight="true" outlineLevel="0" collapsed="false">
      <c r="A13" s="31" t="s">
        <v>319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</row>
    <row r="14" customFormat="false" ht="45.75" hidden="false" customHeight="true" outlineLevel="0" collapsed="false">
      <c r="A14" s="45" t="s">
        <v>320</v>
      </c>
      <c r="B14" s="45" t="s">
        <v>321</v>
      </c>
      <c r="C14" s="45" t="s">
        <v>316</v>
      </c>
      <c r="D14" s="33" t="n">
        <v>30</v>
      </c>
      <c r="E14" s="34" t="n">
        <v>60</v>
      </c>
      <c r="F14" s="33" t="n">
        <v>120</v>
      </c>
      <c r="G14" s="46" t="n">
        <v>40</v>
      </c>
      <c r="H14" s="20" t="n">
        <f aca="false">IF(OR(D14="",G14=""),"n.s.",D14*G14)</f>
        <v>1200</v>
      </c>
      <c r="I14" s="35" t="n">
        <f aca="false">IF(OR(E14="",G14=""),"n.s.",E14*G14)</f>
        <v>2400</v>
      </c>
      <c r="J14" s="20" t="n">
        <f aca="false">IF(OR(F14="",G14=""),"n.s.",F14*G14)</f>
        <v>4800</v>
      </c>
      <c r="K14" s="9" t="s">
        <v>322</v>
      </c>
      <c r="L14" s="3" t="s">
        <v>323</v>
      </c>
    </row>
    <row r="15" customFormat="false" ht="34.5" hidden="false" customHeight="true" outlineLevel="0" collapsed="false">
      <c r="A15" s="45" t="s">
        <v>324</v>
      </c>
      <c r="B15" s="45" t="s">
        <v>325</v>
      </c>
      <c r="C15" s="45" t="s">
        <v>304</v>
      </c>
      <c r="D15" s="33"/>
      <c r="E15" s="34"/>
      <c r="F15" s="33"/>
      <c r="G15" s="46"/>
      <c r="H15" s="20" t="str">
        <f aca="false">IF(OR(D15="",G15=""),"n.s.",D15*G15)</f>
        <v>n.s.</v>
      </c>
      <c r="I15" s="35" t="str">
        <f aca="false">IF(OR(E15="",G15=""),"n.s.",E15*G15)</f>
        <v>n.s.</v>
      </c>
      <c r="J15" s="20" t="str">
        <f aca="false">IF(OR(F15="",G15=""),"n.s.",F15*G15)</f>
        <v>n.s.</v>
      </c>
      <c r="K15" s="9" t="s">
        <v>305</v>
      </c>
      <c r="L15" s="3" t="s">
        <v>326</v>
      </c>
    </row>
    <row r="16" customFormat="false" ht="27.75" hidden="false" customHeight="true" outlineLevel="0" collapsed="false">
      <c r="A16" s="45" t="s">
        <v>327</v>
      </c>
      <c r="B16" s="45" t="s">
        <v>328</v>
      </c>
      <c r="C16" s="45" t="s">
        <v>329</v>
      </c>
      <c r="D16" s="33" t="n">
        <v>0</v>
      </c>
      <c r="E16" s="34" t="n">
        <v>100</v>
      </c>
      <c r="F16" s="33" t="n">
        <v>200</v>
      </c>
      <c r="G16" s="46" t="n">
        <v>1.2</v>
      </c>
      <c r="H16" s="20" t="n">
        <f aca="false">IF(OR(D16="",G16=""),"n.s.",D16*G16)</f>
        <v>0</v>
      </c>
      <c r="I16" s="35" t="n">
        <f aca="false">IF(OR(E16="",G16=""),"n.s.",E16*G16)</f>
        <v>120</v>
      </c>
      <c r="J16" s="20" t="n">
        <f aca="false">IF(OR(F16="",G16=""),"n.s.",F16*G16)</f>
        <v>240</v>
      </c>
      <c r="K16" s="9" t="s">
        <v>330</v>
      </c>
      <c r="L16" s="3" t="s">
        <v>331</v>
      </c>
    </row>
    <row r="17" customFormat="false" ht="36.75" hidden="false" customHeight="true" outlineLevel="0" collapsed="false">
      <c r="A17" s="45" t="s">
        <v>332</v>
      </c>
      <c r="B17" s="45" t="s">
        <v>333</v>
      </c>
      <c r="C17" s="45" t="s">
        <v>334</v>
      </c>
      <c r="D17" s="33"/>
      <c r="E17" s="48" t="n">
        <f aca="false">E25</f>
        <v>4032.49</v>
      </c>
      <c r="F17" s="33"/>
      <c r="G17" s="47" t="n">
        <f aca="false">1</f>
        <v>1</v>
      </c>
      <c r="H17" s="20" t="str">
        <f aca="false">IF(OR(D17="",G17=""),"n.s.",D17*G17)</f>
        <v>n.s.</v>
      </c>
      <c r="I17" s="35" t="n">
        <f aca="false">IF(OR(E17="",G17=""),"n.s.",E17*G17)</f>
        <v>4032.49</v>
      </c>
      <c r="J17" s="20" t="str">
        <f aca="false">IF(OR(F17="",G17=""),"n.s.",F17*G17)</f>
        <v>n.s.</v>
      </c>
      <c r="K17" s="9" t="s">
        <v>335</v>
      </c>
      <c r="L17" s="3" t="s">
        <v>336</v>
      </c>
    </row>
    <row r="18" customFormat="false" ht="15" hidden="false" customHeight="true" outlineLevel="0" collapsed="false">
      <c r="A18" s="31" t="s">
        <v>337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</row>
    <row r="19" customFormat="false" ht="15" hidden="false" customHeight="true" outlineLevel="0" collapsed="false">
      <c r="A19" s="6" t="s">
        <v>338</v>
      </c>
      <c r="H19" s="35" t="n">
        <f aca="false">H6+H7+H10</f>
        <v>2792.94510344828</v>
      </c>
      <c r="I19" s="35" t="n">
        <f aca="false">I6+I7+I10</f>
        <v>3137.12336206897</v>
      </c>
      <c r="J19" s="35" t="n">
        <f aca="false">J6+J7+J10</f>
        <v>3647.14020689655</v>
      </c>
      <c r="L19" s="29" t="s">
        <v>339</v>
      </c>
    </row>
    <row r="20" customFormat="false" ht="15" hidden="false" customHeight="true" outlineLevel="0" collapsed="false">
      <c r="A20" s="6" t="s">
        <v>340</v>
      </c>
      <c r="H20" s="35" t="n">
        <f aca="false">H19+H12+H14</f>
        <v>5146.89177011494</v>
      </c>
      <c r="I20" s="35" t="n">
        <f aca="false">I19+I12+I14</f>
        <v>7268.04336206897</v>
      </c>
      <c r="J20" s="35" t="n">
        <f aca="false">J19+J12+J14</f>
        <v>12053.2235402299</v>
      </c>
    </row>
    <row r="21" customFormat="false" ht="15" hidden="false" customHeight="true" outlineLevel="0" collapsed="false">
      <c r="A21" s="6" t="s">
        <v>341</v>
      </c>
      <c r="E21" s="47" t="n">
        <f aca="false">(36+E26*24+E27*12)/100</f>
        <v>0.823448275862069</v>
      </c>
    </row>
    <row r="22" customFormat="false" ht="15" hidden="false" customHeight="true" outlineLevel="0" collapsed="false">
      <c r="A22" s="6" t="s">
        <v>342</v>
      </c>
      <c r="E22" s="20" t="n">
        <f aca="false">E23/E24</f>
        <v>258.833333333333</v>
      </c>
    </row>
    <row r="23" customFormat="false" ht="15" hidden="false" customHeight="true" outlineLevel="0" collapsed="false">
      <c r="A23" s="9" t="s">
        <v>343</v>
      </c>
      <c r="E23" s="20" t="n">
        <f aca="false">ROUND(E28/E29,0)</f>
        <v>1553</v>
      </c>
    </row>
    <row r="24" customFormat="false" ht="15" hidden="false" customHeight="true" outlineLevel="0" collapsed="false">
      <c r="A24" s="9" t="s">
        <v>344</v>
      </c>
      <c r="E24" s="33" t="n">
        <v>6</v>
      </c>
    </row>
    <row r="25" customFormat="false" ht="15" hidden="false" customHeight="true" outlineLevel="0" collapsed="false">
      <c r="A25" s="6" t="s">
        <v>345</v>
      </c>
      <c r="E25" s="20" t="n">
        <f aca="false">E30*E31/10-I6</f>
        <v>4032.49</v>
      </c>
    </row>
    <row r="26" customFormat="false" ht="15" hidden="false" customHeight="true" outlineLevel="0" collapsed="false">
      <c r="A26" s="9" t="s">
        <v>346</v>
      </c>
      <c r="E26" s="47" t="n">
        <f aca="false">33/29</f>
        <v>1.13793103448276</v>
      </c>
    </row>
    <row r="27" customFormat="false" ht="15" hidden="false" customHeight="true" outlineLevel="0" collapsed="false">
      <c r="A27" s="9" t="s">
        <v>347</v>
      </c>
      <c r="E27" s="47" t="n">
        <f aca="false">46/29</f>
        <v>1.58620689655172</v>
      </c>
    </row>
    <row r="28" customFormat="false" ht="15" hidden="false" customHeight="true" outlineLevel="0" collapsed="false">
      <c r="A28" s="9" t="s">
        <v>348</v>
      </c>
      <c r="E28" s="33" t="n">
        <v>69873</v>
      </c>
    </row>
    <row r="29" customFormat="false" ht="15" hidden="false" customHeight="true" outlineLevel="0" collapsed="false">
      <c r="A29" s="9" t="s">
        <v>349</v>
      </c>
      <c r="E29" s="33" t="n">
        <v>45</v>
      </c>
    </row>
    <row r="30" customFormat="false" ht="15" hidden="false" customHeight="true" outlineLevel="0" collapsed="false">
      <c r="A30" s="9" t="s">
        <v>350</v>
      </c>
      <c r="E30" s="11" t="n">
        <v>794.5</v>
      </c>
    </row>
    <row r="31" customFormat="false" ht="15" hidden="false" customHeight="true" outlineLevel="0" collapsed="false">
      <c r="A31" s="9" t="s">
        <v>351</v>
      </c>
      <c r="E31" s="33" t="n">
        <v>85</v>
      </c>
    </row>
    <row r="33" customFormat="false" ht="15" hidden="false" customHeight="true" outlineLevel="0" collapsed="false">
      <c r="A33" s="31" t="s">
        <v>352</v>
      </c>
    </row>
    <row r="34" customFormat="false" ht="15" hidden="false" customHeight="true" outlineLevel="0" collapsed="false">
      <c r="A34" s="4" t="s">
        <v>353</v>
      </c>
      <c r="D34" s="4" t="s">
        <v>329</v>
      </c>
      <c r="E34" s="4" t="s">
        <v>354</v>
      </c>
      <c r="F34" s="4" t="s">
        <v>355</v>
      </c>
    </row>
    <row r="35" customFormat="false" ht="15" hidden="false" customHeight="true" outlineLevel="0" collapsed="false">
      <c r="A35" s="41" t="n">
        <v>0.15</v>
      </c>
      <c r="D35" s="20" t="n">
        <f aca="false">ROUND(A35*$E$6,0)</f>
        <v>249</v>
      </c>
      <c r="E35" s="20" t="n">
        <f aca="false">D35*$G$6</f>
        <v>408.36</v>
      </c>
      <c r="F35" s="28" t="n">
        <f aca="false">E35/'P&amp;L'!H3</f>
        <v>8.26171400825443</v>
      </c>
    </row>
    <row r="36" customFormat="false" ht="15" hidden="false" customHeight="true" outlineLevel="0" collapsed="false">
      <c r="A36" s="41" t="n">
        <v>0.2</v>
      </c>
      <c r="D36" s="20" t="n">
        <f aca="false">ROUND(A36*$E$6,0)</f>
        <v>332</v>
      </c>
      <c r="E36" s="20" t="n">
        <f aca="false">D36*$G$6</f>
        <v>544.48</v>
      </c>
      <c r="F36" s="28" t="n">
        <f aca="false">E36/'P&amp;L'!H3</f>
        <v>11.0156186776726</v>
      </c>
    </row>
    <row r="37" customFormat="false" ht="15" hidden="false" customHeight="true" outlineLevel="0" collapsed="false">
      <c r="A37" s="41" t="n">
        <v>0.25</v>
      </c>
      <c r="D37" s="20" t="n">
        <f aca="false">ROUND(A37*$E$6,0)</f>
        <v>415</v>
      </c>
      <c r="E37" s="20" t="n">
        <f aca="false">D37*$G$6</f>
        <v>680.6</v>
      </c>
      <c r="F37" s="28" t="n">
        <f aca="false">E37/'P&amp;L'!H3</f>
        <v>13.7695233470907</v>
      </c>
    </row>
    <row r="38" customFormat="false" ht="15" hidden="false" customHeight="true" outlineLevel="0" collapsed="false">
      <c r="A38" s="41" t="n">
        <v>0.271</v>
      </c>
      <c r="D38" s="20" t="n">
        <f aca="false">ROUND(A38*$E$6,0)</f>
        <v>450</v>
      </c>
      <c r="E38" s="20" t="n">
        <f aca="false">D38*$G$6</f>
        <v>738</v>
      </c>
      <c r="F38" s="28" t="n">
        <f aca="false">E38/'P&amp;L'!H3</f>
        <v>14.9308084486526</v>
      </c>
      <c r="G38" s="29" t="s">
        <v>356</v>
      </c>
    </row>
    <row r="39" customFormat="false" ht="15" hidden="false" customHeight="true" outlineLevel="0" collapsed="false">
      <c r="A39" s="41" t="n">
        <v>0.3</v>
      </c>
      <c r="D39" s="20" t="n">
        <f aca="false">ROUND(A39*$E$6,0)</f>
        <v>498</v>
      </c>
      <c r="E39" s="20" t="n">
        <f aca="false">D39*$G$6</f>
        <v>816.72</v>
      </c>
      <c r="F39" s="28" t="n">
        <f aca="false">E39/'P&amp;L'!H3</f>
        <v>16.5234280165089</v>
      </c>
    </row>
    <row r="41" customFormat="false" ht="15" hidden="false" customHeight="true" outlineLevel="0" collapsed="false">
      <c r="A41" s="29" t="s">
        <v>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4" min="2" style="1" width="12"/>
  </cols>
  <sheetData>
    <row r="1" customFormat="false" ht="15" hidden="false" customHeight="true" outlineLevel="0" collapsed="false">
      <c r="A1" s="2" t="s">
        <v>358</v>
      </c>
    </row>
    <row r="2" customFormat="false" ht="15" hidden="false" customHeight="true" outlineLevel="0" collapsed="false">
      <c r="A2" s="49" t="s">
        <v>359</v>
      </c>
      <c r="B2" s="5" t="s">
        <v>360</v>
      </c>
      <c r="C2" s="5" t="s">
        <v>361</v>
      </c>
      <c r="D2" s="5" t="s">
        <v>362</v>
      </c>
    </row>
    <row r="3" customFormat="false" ht="15" hidden="false" customHeight="true" outlineLevel="0" collapsed="false">
      <c r="A3" s="9" t="s">
        <v>363</v>
      </c>
      <c r="B3" s="21" t="n">
        <v>13.448</v>
      </c>
      <c r="C3" s="21" t="n">
        <v>14.933</v>
      </c>
      <c r="D3" s="21" t="n">
        <v>12.771</v>
      </c>
    </row>
    <row r="4" customFormat="false" ht="15" hidden="false" customHeight="true" outlineLevel="0" collapsed="false">
      <c r="A4" s="9" t="s">
        <v>364</v>
      </c>
      <c r="B4" s="21" t="n">
        <v>0.065</v>
      </c>
      <c r="C4" s="21" t="n">
        <v>0.121</v>
      </c>
      <c r="D4" s="21" t="n">
        <v>0.026</v>
      </c>
    </row>
    <row r="5" customFormat="false" ht="15" hidden="false" customHeight="true" outlineLevel="0" collapsed="false">
      <c r="A5" s="9" t="s">
        <v>365</v>
      </c>
      <c r="B5" s="21" t="n">
        <v>8.977</v>
      </c>
      <c r="C5" s="21" t="n">
        <v>14.275</v>
      </c>
      <c r="D5" s="21" t="n">
        <v>12.326</v>
      </c>
    </row>
    <row r="6" customFormat="false" ht="15" hidden="false" customHeight="true" outlineLevel="0" collapsed="false">
      <c r="A6" s="9" t="s">
        <v>366</v>
      </c>
      <c r="B6" s="21" t="n">
        <v>3.458</v>
      </c>
      <c r="C6" s="21" t="n">
        <v>-0.451</v>
      </c>
      <c r="D6" s="21" t="n">
        <v>-0.682</v>
      </c>
    </row>
    <row r="7" customFormat="false" ht="15" hidden="false" customHeight="true" outlineLevel="0" collapsed="false">
      <c r="A7" s="9" t="s">
        <v>225</v>
      </c>
      <c r="B7" s="21" t="n">
        <v>2.501</v>
      </c>
      <c r="C7" s="21" t="n">
        <v>3.794</v>
      </c>
      <c r="D7" s="21" t="n">
        <v>4.347</v>
      </c>
    </row>
    <row r="8" customFormat="false" ht="15" hidden="false" customHeight="true" outlineLevel="0" collapsed="false">
      <c r="A8" s="9" t="s">
        <v>231</v>
      </c>
      <c r="B8" s="21" t="n">
        <v>2.002</v>
      </c>
      <c r="C8" s="21" t="n">
        <v>3.166</v>
      </c>
      <c r="D8" s="21" t="n">
        <v>2.155</v>
      </c>
    </row>
    <row r="9" customFormat="false" ht="15" hidden="false" customHeight="true" outlineLevel="0" collapsed="false">
      <c r="A9" s="6" t="s">
        <v>30</v>
      </c>
      <c r="B9" s="24" t="n">
        <f aca="false">B3-B5-B6-B7-B8</f>
        <v>-3.49</v>
      </c>
      <c r="C9" s="24" t="n">
        <f aca="false">C3-C5-C6-C7-C8</f>
        <v>-5.851</v>
      </c>
      <c r="D9" s="24" t="n">
        <f aca="false">D3-D5-D6-D7-D8</f>
        <v>-5.375</v>
      </c>
    </row>
    <row r="10" customFormat="false" ht="15" hidden="false" customHeight="true" outlineLevel="0" collapsed="false">
      <c r="A10" s="9" t="s">
        <v>367</v>
      </c>
      <c r="B10" s="15" t="n">
        <f aca="false">B9/B3</f>
        <v>-0.259518143961927</v>
      </c>
      <c r="C10" s="15" t="n">
        <f aca="false">C9/C3</f>
        <v>-0.39181678162459</v>
      </c>
      <c r="D10" s="15" t="n">
        <f aca="false">D9/D3</f>
        <v>-0.420875420875421</v>
      </c>
    </row>
    <row r="11" customFormat="false" ht="15" hidden="false" customHeight="true" outlineLevel="0" collapsed="false">
      <c r="A11" s="9" t="s">
        <v>33</v>
      </c>
      <c r="B11" s="21" t="n">
        <v>0.743</v>
      </c>
      <c r="C11" s="21" t="n">
        <v>1.063</v>
      </c>
      <c r="D11" s="21" t="n">
        <v>1.512</v>
      </c>
    </row>
    <row r="12" customFormat="false" ht="15" hidden="false" customHeight="true" outlineLevel="0" collapsed="false">
      <c r="A12" s="9" t="s">
        <v>368</v>
      </c>
      <c r="B12" s="21" t="n">
        <v>0.762</v>
      </c>
      <c r="C12" s="21" t="n">
        <v>1.133</v>
      </c>
      <c r="D12" s="21" t="n">
        <v>1.178</v>
      </c>
    </row>
    <row r="13" customFormat="false" ht="15" hidden="false" customHeight="true" outlineLevel="0" collapsed="false">
      <c r="A13" s="6" t="s">
        <v>37</v>
      </c>
      <c r="B13" s="24" t="n">
        <f aca="false">B9+B4-B11-B12</f>
        <v>-4.93</v>
      </c>
      <c r="C13" s="24" t="n">
        <f aca="false">C9+C4-C11-C12</f>
        <v>-7.926</v>
      </c>
      <c r="D13" s="24" t="n">
        <f aca="false">D9+D4-D11-D12</f>
        <v>-8.039</v>
      </c>
    </row>
    <row r="14" customFormat="false" ht="15" hidden="false" customHeight="true" outlineLevel="0" collapsed="false">
      <c r="A14" s="9" t="s">
        <v>369</v>
      </c>
      <c r="B14" s="21" t="n">
        <v>0.804</v>
      </c>
      <c r="C14" s="21" t="n">
        <v>-5.014</v>
      </c>
      <c r="D14" s="21" t="n">
        <v>-1.152</v>
      </c>
    </row>
    <row r="15" customFormat="false" ht="15" hidden="false" customHeight="true" outlineLevel="0" collapsed="false">
      <c r="A15" s="6" t="s">
        <v>40</v>
      </c>
      <c r="B15" s="24" t="n">
        <f aca="false">B13-B14</f>
        <v>-5.734</v>
      </c>
      <c r="C15" s="24" t="n">
        <f aca="false">C13-C14</f>
        <v>-2.912</v>
      </c>
      <c r="D15" s="24" t="n">
        <f aca="false">D13-D14</f>
        <v>-6.887</v>
      </c>
    </row>
    <row r="16" customFormat="false" ht="15" hidden="false" customHeight="true" outlineLevel="0" collapsed="false">
      <c r="A16" s="9" t="s">
        <v>370</v>
      </c>
      <c r="B16" s="15" t="n">
        <f aca="false">B15/B3</f>
        <v>-0.426383105294468</v>
      </c>
      <c r="C16" s="15" t="n">
        <f aca="false">C15/C3</f>
        <v>-0.195004352775732</v>
      </c>
      <c r="D16" s="15" t="n">
        <f aca="false">D15/D3</f>
        <v>-0.539268655547725</v>
      </c>
    </row>
    <row r="17" customFormat="false" ht="15" hidden="false" customHeight="true" outlineLevel="0" collapsed="false">
      <c r="A17" s="9" t="s">
        <v>371</v>
      </c>
      <c r="B17" s="21" t="n">
        <v>-5.733</v>
      </c>
      <c r="C17" s="21" t="n">
        <v>-2.913</v>
      </c>
      <c r="D17" s="21" t="n">
        <v>-6.886</v>
      </c>
    </row>
    <row r="18" customFormat="false" ht="15" hidden="false" customHeight="true" outlineLevel="0" collapsed="false">
      <c r="A18" s="9" t="s">
        <v>372</v>
      </c>
      <c r="B18" s="25" t="n">
        <f aca="false">B15-B17</f>
        <v>-0.00100000000000033</v>
      </c>
      <c r="C18" s="25" t="n">
        <f aca="false">C15-C17</f>
        <v>0.00099999999999989</v>
      </c>
      <c r="D18" s="25" t="n">
        <f aca="false">D15-D17</f>
        <v>-0.00100000000000122</v>
      </c>
    </row>
    <row r="20" customFormat="false" ht="15" hidden="false" customHeight="true" outlineLevel="0" collapsed="false">
      <c r="A20" s="29" t="s">
        <v>373</v>
      </c>
    </row>
    <row r="21" customFormat="false" ht="15" hidden="false" customHeight="true" outlineLevel="0" collapsed="false">
      <c r="A21" s="29" t="s">
        <v>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8" min="2" style="1" width="12"/>
  </cols>
  <sheetData>
    <row r="1" customFormat="false" ht="15" hidden="false" customHeight="true" outlineLevel="0" collapsed="false">
      <c r="A1" s="2" t="s">
        <v>375</v>
      </c>
    </row>
    <row r="3" customFormat="false" ht="15" hidden="false" customHeight="true" outlineLevel="0" collapsed="false">
      <c r="A3" s="49" t="s">
        <v>359</v>
      </c>
      <c r="B3" s="5" t="s">
        <v>376</v>
      </c>
      <c r="C3" s="5" t="s">
        <v>377</v>
      </c>
      <c r="D3" s="5" t="s">
        <v>10</v>
      </c>
      <c r="E3" s="5" t="s">
        <v>11</v>
      </c>
      <c r="F3" s="5" t="s">
        <v>12</v>
      </c>
      <c r="G3" s="5" t="s">
        <v>13</v>
      </c>
    </row>
    <row r="4" customFormat="false" ht="15" hidden="false" customHeight="true" outlineLevel="0" collapsed="false">
      <c r="A4" s="9" t="s">
        <v>378</v>
      </c>
      <c r="B4" s="21" t="n">
        <v>45.7</v>
      </c>
      <c r="C4" s="21" t="n">
        <v>33.214</v>
      </c>
      <c r="D4" s="22" t="n">
        <f aca="false">Drivers!C22*$C4/SUM($C$4:$C$6)</f>
        <v>33.214</v>
      </c>
      <c r="E4" s="22" t="n">
        <f aca="false">Drivers!D22*$C4/SUM($C$4:$C$6)</f>
        <v>33.214</v>
      </c>
      <c r="F4" s="22" t="n">
        <f aca="false">Drivers!E22*$C4/SUM($C$4:$C$6)</f>
        <v>33.214</v>
      </c>
      <c r="G4" s="22" t="n">
        <f aca="false">Drivers!F22*$C4/SUM($C$4:$C$6)</f>
        <v>33.214</v>
      </c>
    </row>
    <row r="5" customFormat="false" ht="15" hidden="false" customHeight="true" outlineLevel="0" collapsed="false">
      <c r="A5" s="9" t="s">
        <v>379</v>
      </c>
      <c r="B5" s="21" t="n">
        <v>16.486</v>
      </c>
      <c r="C5" s="21" t="n">
        <v>7.879</v>
      </c>
      <c r="D5" s="22" t="n">
        <f aca="false">Drivers!C22*$C5/SUM($C$4:$C$6)</f>
        <v>7.879</v>
      </c>
      <c r="E5" s="22" t="n">
        <f aca="false">Drivers!D22*$C5/SUM($C$4:$C$6)</f>
        <v>7.879</v>
      </c>
      <c r="F5" s="22" t="n">
        <f aca="false">Drivers!E22*$C5/SUM($C$4:$C$6)</f>
        <v>7.879</v>
      </c>
      <c r="G5" s="22" t="n">
        <f aca="false">Drivers!F22*$C5/SUM($C$4:$C$6)</f>
        <v>7.879</v>
      </c>
    </row>
    <row r="6" customFormat="false" ht="15" hidden="false" customHeight="true" outlineLevel="0" collapsed="false">
      <c r="A6" s="9" t="s">
        <v>380</v>
      </c>
      <c r="B6" s="21" t="n">
        <v>0.45</v>
      </c>
      <c r="C6" s="21" t="n">
        <v>3.627</v>
      </c>
      <c r="D6" s="22" t="n">
        <f aca="false">Drivers!C22*$C6/SUM($C$4:$C$6)</f>
        <v>3.627</v>
      </c>
      <c r="E6" s="22" t="n">
        <f aca="false">Drivers!D22*$C6/SUM($C$4:$C$6)</f>
        <v>3.627</v>
      </c>
      <c r="F6" s="22" t="n">
        <f aca="false">Drivers!E22*$C6/SUM($C$4:$C$6)</f>
        <v>3.627</v>
      </c>
      <c r="G6" s="22" t="n">
        <f aca="false">Drivers!F22*$C6/SUM($C$4:$C$6)</f>
        <v>3.627</v>
      </c>
    </row>
    <row r="7" customFormat="false" ht="15" hidden="false" customHeight="true" outlineLevel="0" collapsed="false">
      <c r="A7" s="9" t="s">
        <v>381</v>
      </c>
      <c r="B7" s="21" t="n">
        <v>0</v>
      </c>
      <c r="C7" s="21" t="n">
        <v>4.708</v>
      </c>
      <c r="D7" s="22" t="n">
        <f aca="false">Drivers!C12+Drivers!C16+Drivers!C17+Drivers!C19+Drivers!C20</f>
        <v>344.4</v>
      </c>
      <c r="E7" s="22" t="n">
        <f aca="false">Drivers!D12+Drivers!D16+Drivers!D17+Drivers!D19+Drivers!D20</f>
        <v>819.359666666667</v>
      </c>
      <c r="F7" s="22" t="n">
        <f aca="false">Drivers!E12+Drivers!E16+Drivers!E17+Drivers!E19+Drivers!E20</f>
        <v>844.897333333333</v>
      </c>
      <c r="G7" s="22" t="n">
        <f aca="false">Drivers!F12+Drivers!F16+Drivers!F17+Drivers!F19+Drivers!F20</f>
        <v>787.2</v>
      </c>
    </row>
    <row r="8" customFormat="false" ht="15" hidden="false" customHeight="true" outlineLevel="0" collapsed="false">
      <c r="A8" s="6" t="s">
        <v>214</v>
      </c>
      <c r="B8" s="24" t="n">
        <f aca="false">SUM(B4:B7)</f>
        <v>62.636</v>
      </c>
      <c r="C8" s="24" t="n">
        <f aca="false">SUM(C4:C7)</f>
        <v>49.428</v>
      </c>
      <c r="D8" s="24" t="n">
        <f aca="false">SUM(D4:D7)</f>
        <v>389.12</v>
      </c>
      <c r="E8" s="24" t="n">
        <f aca="false">SUM(E4:E7)</f>
        <v>864.079666666667</v>
      </c>
      <c r="F8" s="24" t="n">
        <f aca="false">SUM(F4:F7)</f>
        <v>889.617333333333</v>
      </c>
      <c r="G8" s="24" t="n">
        <f aca="false">SUM(G4:G7)</f>
        <v>831.92</v>
      </c>
    </row>
    <row r="9" customFormat="false" ht="15" hidden="false" customHeight="true" outlineLevel="0" collapsed="false">
      <c r="A9" s="9" t="s">
        <v>382</v>
      </c>
      <c r="B9" s="25" t="n">
        <f aca="false">B8-'P&amp;L'!G3</f>
        <v>-0.000999999999997669</v>
      </c>
      <c r="C9" s="25" t="n">
        <f aca="false">C8-'P&amp;L'!H3</f>
        <v>0</v>
      </c>
    </row>
    <row r="10" customFormat="false" ht="15" hidden="false" customHeight="true" outlineLevel="0" collapsed="false">
      <c r="A10" s="9" t="s">
        <v>383</v>
      </c>
      <c r="B10" s="50" t="n">
        <f aca="false">B7/B8</f>
        <v>0</v>
      </c>
      <c r="C10" s="50" t="n">
        <f aca="false">C7/C8</f>
        <v>0.095249656065388</v>
      </c>
      <c r="D10" s="15" t="n">
        <f aca="false">D7/D8</f>
        <v>0.885074013157895</v>
      </c>
      <c r="E10" s="15" t="n">
        <f aca="false">E7/E8</f>
        <v>0.948245512855875</v>
      </c>
      <c r="F10" s="15" t="n">
        <f aca="false">F7/F8</f>
        <v>0.949731195285464</v>
      </c>
      <c r="G10" s="15" t="n">
        <f aca="false">G7/G8</f>
        <v>0.946244831233773</v>
      </c>
    </row>
    <row r="11" customFormat="false" ht="15" hidden="false" customHeight="true" outlineLevel="0" collapsed="false">
      <c r="A11" s="9" t="s">
        <v>384</v>
      </c>
      <c r="C11" s="50" t="n">
        <f aca="false">SUM(C4:C6)/SUM(B4:B6)-1</f>
        <v>-0.286033590906188</v>
      </c>
    </row>
    <row r="13" customFormat="false" ht="15" hidden="false" customHeight="true" outlineLevel="0" collapsed="false">
      <c r="A13" s="4" t="s">
        <v>385</v>
      </c>
    </row>
    <row r="14" customFormat="false" ht="34.5" hidden="false" customHeight="true" outlineLevel="0" collapsed="false">
      <c r="A14" s="51" t="s">
        <v>386</v>
      </c>
      <c r="B14" s="52" t="s">
        <v>387</v>
      </c>
      <c r="C14" s="52" t="s">
        <v>268</v>
      </c>
      <c r="D14" s="52" t="s">
        <v>388</v>
      </c>
      <c r="E14" s="52" t="s">
        <v>389</v>
      </c>
      <c r="F14" s="52" t="s">
        <v>390</v>
      </c>
      <c r="G14" s="52" t="s">
        <v>391</v>
      </c>
    </row>
    <row r="15" customFormat="false" ht="15" hidden="false" customHeight="true" outlineLevel="0" collapsed="false">
      <c r="A15" s="9" t="s">
        <v>392</v>
      </c>
      <c r="B15" s="53" t="s">
        <v>393</v>
      </c>
      <c r="C15" s="54" t="n">
        <v>200</v>
      </c>
      <c r="D15" s="17" t="n">
        <v>1.64</v>
      </c>
      <c r="E15" s="23" t="n">
        <f aca="false">C15*D15</f>
        <v>328</v>
      </c>
      <c r="F15" s="21" t="n">
        <v>24.6</v>
      </c>
      <c r="G15" s="23" t="n">
        <f aca="false">E15+F15</f>
        <v>352.6</v>
      </c>
    </row>
    <row r="16" customFormat="false" ht="15" hidden="false" customHeight="true" outlineLevel="0" collapsed="false">
      <c r="A16" s="9" t="s">
        <v>394</v>
      </c>
      <c r="B16" s="53" t="s">
        <v>395</v>
      </c>
      <c r="C16" s="54" t="n">
        <v>161</v>
      </c>
      <c r="D16" s="17" t="n">
        <v>1.64</v>
      </c>
      <c r="E16" s="23" t="n">
        <f aca="false">C16*D16</f>
        <v>264.04</v>
      </c>
      <c r="F16" s="21" t="n">
        <v>19.803</v>
      </c>
      <c r="G16" s="23" t="n">
        <f aca="false">E16+F16</f>
        <v>283.843</v>
      </c>
    </row>
    <row r="17" customFormat="false" ht="15" hidden="false" customHeight="true" outlineLevel="0" collapsed="false">
      <c r="A17" s="9" t="s">
        <v>396</v>
      </c>
      <c r="B17" s="53" t="s">
        <v>397</v>
      </c>
      <c r="C17" s="54" t="n">
        <v>76</v>
      </c>
      <c r="D17" s="17" t="n">
        <v>1.65</v>
      </c>
      <c r="E17" s="23" t="n">
        <f aca="false">C17*D17</f>
        <v>125.4</v>
      </c>
      <c r="F17" s="21" t="n">
        <v>9.12</v>
      </c>
      <c r="G17" s="23" t="n">
        <f aca="false">E17+F17</f>
        <v>134.52</v>
      </c>
    </row>
    <row r="18" customFormat="false" ht="15" hidden="false" customHeight="true" outlineLevel="0" collapsed="false">
      <c r="A18" s="9" t="s">
        <v>394</v>
      </c>
      <c r="B18" s="53" t="s">
        <v>398</v>
      </c>
      <c r="C18" s="54" t="n">
        <v>13</v>
      </c>
      <c r="D18" s="17" t="n">
        <v>1.64</v>
      </c>
      <c r="E18" s="23" t="n">
        <f aca="false">C18*D18</f>
        <v>21.32</v>
      </c>
      <c r="F18" s="21" t="n">
        <v>1.599</v>
      </c>
      <c r="G18" s="23" t="n">
        <f aca="false">E18+F18</f>
        <v>22.919</v>
      </c>
    </row>
    <row r="19" customFormat="false" ht="15" hidden="false" customHeight="true" outlineLevel="0" collapsed="false">
      <c r="A19" s="9" t="s">
        <v>399</v>
      </c>
      <c r="B19" s="53" t="s">
        <v>400</v>
      </c>
      <c r="C19" s="54" t="n">
        <v>114</v>
      </c>
      <c r="D19" s="55" t="n">
        <f aca="false">E19/C19</f>
        <v>1.60421052631579</v>
      </c>
      <c r="E19" s="23" t="n">
        <f aca="false">921.64-SUM(E15:E18)</f>
        <v>182.88</v>
      </c>
      <c r="F19" s="23" t="n">
        <f aca="false">67.678-SUM(F15:F18)</f>
        <v>12.556</v>
      </c>
      <c r="G19" s="23" t="n">
        <f aca="false">E19+F19</f>
        <v>195.436</v>
      </c>
    </row>
    <row r="20" customFormat="false" ht="15" hidden="false" customHeight="true" outlineLevel="0" collapsed="false">
      <c r="A20" s="6" t="s">
        <v>401</v>
      </c>
      <c r="C20" s="27" t="n">
        <f aca="false">SUM(C15:C19)</f>
        <v>564</v>
      </c>
      <c r="E20" s="24" t="n">
        <f aca="false">SUM(E15:E19)</f>
        <v>921.64</v>
      </c>
      <c r="F20" s="24" t="n">
        <f aca="false">SUM(F15:F19)</f>
        <v>67.678</v>
      </c>
      <c r="G20" s="24" t="n">
        <f aca="false">SUM(G15:G19)</f>
        <v>989.318</v>
      </c>
    </row>
    <row r="21" customFormat="false" ht="15" hidden="false" customHeight="true" outlineLevel="0" collapsed="false">
      <c r="A21" s="9" t="s">
        <v>402</v>
      </c>
      <c r="C21" s="56" t="n">
        <v>8</v>
      </c>
      <c r="E21" s="21" t="n">
        <v>89.86</v>
      </c>
      <c r="F21" s="21" t="n">
        <v>4.87</v>
      </c>
      <c r="G21" s="57" t="n">
        <f aca="false">E21+F21</f>
        <v>94.73</v>
      </c>
    </row>
    <row r="22" customFormat="false" ht="15" hidden="false" customHeight="true" outlineLevel="0" collapsed="false">
      <c r="A22" s="9" t="s">
        <v>403</v>
      </c>
      <c r="E22" s="21" t="n">
        <v>20</v>
      </c>
      <c r="G22" s="57" t="n">
        <f aca="false">E22</f>
        <v>20</v>
      </c>
    </row>
    <row r="23" customFormat="false" ht="15" hidden="false" customHeight="true" outlineLevel="0" collapsed="false">
      <c r="A23" s="6" t="s">
        <v>404</v>
      </c>
      <c r="E23" s="24" t="n">
        <f aca="false">E20+E21+E22</f>
        <v>1031.5</v>
      </c>
      <c r="G23" s="24" t="n">
        <f aca="false">G20+G21+G22</f>
        <v>1104.048</v>
      </c>
    </row>
    <row r="24" customFormat="false" ht="15" hidden="false" customHeight="true" outlineLevel="0" collapsed="false">
      <c r="A24" s="9" t="s">
        <v>405</v>
      </c>
      <c r="E24" s="58" t="n">
        <f aca="false">E23/'P&amp;L'!H3</f>
        <v>20.8687383669175</v>
      </c>
    </row>
    <row r="25" customFormat="false" ht="15" hidden="false" customHeight="true" outlineLevel="0" collapsed="false">
      <c r="A25" s="29" t="s">
        <v>406</v>
      </c>
    </row>
    <row r="27" customFormat="false" ht="15" hidden="false" customHeight="true" outlineLevel="0" collapsed="false">
      <c r="A27" s="4" t="s">
        <v>407</v>
      </c>
    </row>
    <row r="28" customFormat="false" ht="23.25" hidden="false" customHeight="true" outlineLevel="0" collapsed="false">
      <c r="A28" s="59" t="s">
        <v>408</v>
      </c>
      <c r="B28" s="59" t="s">
        <v>175</v>
      </c>
      <c r="C28" s="59" t="s">
        <v>409</v>
      </c>
      <c r="D28" s="59" t="s">
        <v>410</v>
      </c>
      <c r="E28" s="59" t="s">
        <v>411</v>
      </c>
      <c r="F28" s="59" t="s">
        <v>412</v>
      </c>
      <c r="G28" s="59" t="s">
        <v>413</v>
      </c>
    </row>
    <row r="29" customFormat="false" ht="15" hidden="false" customHeight="true" outlineLevel="0" collapsed="false">
      <c r="A29" s="9" t="s">
        <v>414</v>
      </c>
      <c r="B29" s="9" t="s">
        <v>415</v>
      </c>
      <c r="C29" s="54" t="n">
        <v>1650</v>
      </c>
      <c r="D29" s="54" t="n">
        <v>1650</v>
      </c>
      <c r="E29" s="54" t="n">
        <v>1623</v>
      </c>
      <c r="F29" s="54" t="n">
        <v>1650</v>
      </c>
      <c r="G29" s="15" t="n">
        <f aca="false">F29/C29</f>
        <v>1</v>
      </c>
    </row>
    <row r="30" customFormat="false" ht="15" hidden="false" customHeight="true" outlineLevel="0" collapsed="false">
      <c r="A30" s="9" t="s">
        <v>416</v>
      </c>
      <c r="B30" s="9" t="s">
        <v>417</v>
      </c>
      <c r="C30" s="54" t="n">
        <v>1950000</v>
      </c>
      <c r="D30" s="54" t="n">
        <v>1500000</v>
      </c>
      <c r="E30" s="54" t="n">
        <v>1650000</v>
      </c>
      <c r="F30" s="54" t="n">
        <v>900700</v>
      </c>
      <c r="G30" s="15" t="n">
        <f aca="false">F30/C30</f>
        <v>0.461897435897436</v>
      </c>
    </row>
    <row r="31" customFormat="false" ht="15" hidden="false" customHeight="true" outlineLevel="0" collapsed="false">
      <c r="A31" s="9" t="s">
        <v>418</v>
      </c>
      <c r="B31" s="9" t="s">
        <v>415</v>
      </c>
      <c r="C31" s="54" t="n">
        <v>225000</v>
      </c>
      <c r="D31" s="54" t="n">
        <v>185000</v>
      </c>
      <c r="E31" s="54" t="n">
        <v>210000</v>
      </c>
      <c r="F31" s="54" t="n">
        <v>114632</v>
      </c>
      <c r="G31" s="15" t="n">
        <f aca="false">F31/C31</f>
        <v>0.509475555555556</v>
      </c>
    </row>
    <row r="32" customFormat="false" ht="15" hidden="false" customHeight="true" outlineLevel="0" collapsed="false">
      <c r="A32" s="9" t="s">
        <v>419</v>
      </c>
      <c r="B32" s="9" t="s">
        <v>417</v>
      </c>
      <c r="C32" s="54" t="n">
        <v>660000</v>
      </c>
      <c r="D32" s="54" t="n">
        <v>580000</v>
      </c>
      <c r="E32" s="54" t="n">
        <v>570000</v>
      </c>
      <c r="F32" s="54" t="n">
        <v>472000</v>
      </c>
      <c r="G32" s="15" t="n">
        <f aca="false">F32/C32</f>
        <v>0.715151515151515</v>
      </c>
    </row>
    <row r="33" customFormat="false" ht="15" hidden="false" customHeight="true" outlineLevel="0" collapsed="false">
      <c r="A33" s="9" t="s">
        <v>420</v>
      </c>
      <c r="B33" s="9" t="s">
        <v>179</v>
      </c>
      <c r="C33" s="54" t="n">
        <v>114</v>
      </c>
      <c r="D33" s="54" t="n">
        <v>0</v>
      </c>
      <c r="E33" s="54" t="n">
        <v>0</v>
      </c>
      <c r="F33" s="54" t="n">
        <v>3</v>
      </c>
      <c r="G33" s="15" t="n">
        <f aca="false">F33/C33</f>
        <v>0.0263157894736842</v>
      </c>
    </row>
    <row r="34" customFormat="false" ht="15" hidden="false" customHeight="true" outlineLevel="0" collapsed="false">
      <c r="A34" s="29" t="s">
        <v>421</v>
      </c>
    </row>
    <row r="35" customFormat="false" ht="15" hidden="false" customHeight="true" outlineLevel="0" collapsed="false">
      <c r="A35" s="29" t="s">
        <v>422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2"/>
    <col collapsed="false" customWidth="true" hidden="false" outlineLevel="0" max="8" min="3" style="1" width="13"/>
  </cols>
  <sheetData>
    <row r="2" customFormat="false" ht="15" hidden="false" customHeight="true" outlineLevel="0" collapsed="false">
      <c r="B2" s="60" t="s">
        <v>423</v>
      </c>
      <c r="C2" s="61" t="n">
        <v>788</v>
      </c>
    </row>
    <row r="3" customFormat="false" ht="15" hidden="false" customHeight="true" outlineLevel="0" collapsed="false">
      <c r="B3" s="60" t="s">
        <v>424</v>
      </c>
      <c r="C3" s="42" t="n">
        <v>2.7283</v>
      </c>
    </row>
    <row r="4" customFormat="false" ht="15" hidden="false" customHeight="true" outlineLevel="0" collapsed="false">
      <c r="B4" s="60" t="s">
        <v>425</v>
      </c>
      <c r="C4" s="62" t="n">
        <f aca="false">C2*C3</f>
        <v>2149.9004</v>
      </c>
    </row>
    <row r="5" customFormat="false" ht="15" hidden="false" customHeight="true" outlineLevel="0" collapsed="false">
      <c r="B5" s="60" t="s">
        <v>426</v>
      </c>
      <c r="C5" s="56" t="n">
        <v>425</v>
      </c>
    </row>
    <row r="6" customFormat="false" ht="15" hidden="false" customHeight="true" outlineLevel="0" collapsed="false">
      <c r="B6" s="60" t="s">
        <v>427</v>
      </c>
      <c r="C6" s="63" t="n">
        <v>273.5</v>
      </c>
    </row>
    <row r="7" customFormat="false" ht="15" hidden="false" customHeight="true" outlineLevel="0" collapsed="false">
      <c r="B7" s="60" t="s">
        <v>428</v>
      </c>
      <c r="C7" s="22" t="n">
        <f aca="false">'P&amp;L'!H180</f>
        <v>49.715</v>
      </c>
    </row>
    <row r="8" customFormat="false" ht="15" hidden="false" customHeight="true" outlineLevel="0" collapsed="false">
      <c r="B8" s="60" t="s">
        <v>429</v>
      </c>
      <c r="C8" s="56" t="n">
        <v>290</v>
      </c>
    </row>
    <row r="9" customFormat="false" ht="15" hidden="false" customHeight="true" outlineLevel="0" collapsed="false">
      <c r="B9" s="60" t="s">
        <v>430</v>
      </c>
      <c r="C9" s="13" t="n">
        <f aca="false">Drivers!C41</f>
        <v>35.541</v>
      </c>
    </row>
    <row r="10" customFormat="false" ht="15" hidden="false" customHeight="true" outlineLevel="0" collapsed="false">
      <c r="B10" s="60" t="s">
        <v>431</v>
      </c>
      <c r="C10" s="57" t="n">
        <f aca="false">C8-C9-C7</f>
        <v>204.744</v>
      </c>
    </row>
    <row r="11" customFormat="false" ht="15" hidden="false" customHeight="true" outlineLevel="0" collapsed="false">
      <c r="B11" s="60" t="s">
        <v>432</v>
      </c>
      <c r="C11" s="62" t="n">
        <f aca="false">C4-C10</f>
        <v>1945.1564</v>
      </c>
    </row>
    <row r="13" customFormat="false" ht="15" hidden="false" customHeight="true" outlineLevel="0" collapsed="false">
      <c r="B13" s="4" t="s">
        <v>433</v>
      </c>
    </row>
    <row r="14" customFormat="false" ht="15" hidden="false" customHeight="true" outlineLevel="0" collapsed="false">
      <c r="B14" s="60" t="s">
        <v>434</v>
      </c>
      <c r="C14" s="58" t="n">
        <f aca="false">C11/'P&amp;L'!H3</f>
        <v>39.3533300963017</v>
      </c>
    </row>
    <row r="15" customFormat="false" ht="15" hidden="false" customHeight="true" outlineLevel="0" collapsed="false">
      <c r="B15" s="60" t="s">
        <v>435</v>
      </c>
      <c r="C15" s="58" t="n">
        <f aca="false">C2/129.23</f>
        <v>6.09765534318657</v>
      </c>
    </row>
    <row r="16" customFormat="false" ht="15" hidden="false" customHeight="true" outlineLevel="0" collapsed="false">
      <c r="B16" s="60" t="s">
        <v>436</v>
      </c>
      <c r="C16" s="64" t="s">
        <v>437</v>
      </c>
    </row>
    <row r="18" customFormat="false" ht="15" hidden="false" customHeight="true" outlineLevel="0" collapsed="false">
      <c r="B18" s="4" t="s">
        <v>438</v>
      </c>
    </row>
    <row r="19" customFormat="false" ht="15" hidden="false" customHeight="true" outlineLevel="0" collapsed="false">
      <c r="B19" s="60" t="s">
        <v>439</v>
      </c>
      <c r="C19" s="65" t="n">
        <v>40</v>
      </c>
    </row>
    <row r="20" customFormat="false" ht="15" hidden="false" customHeight="true" outlineLevel="0" collapsed="false">
      <c r="B20" s="60" t="s">
        <v>440</v>
      </c>
      <c r="C20" s="65" t="n">
        <v>1.64</v>
      </c>
    </row>
    <row r="21" customFormat="false" ht="15" hidden="false" customHeight="true" outlineLevel="0" collapsed="false">
      <c r="B21" s="60" t="s">
        <v>441</v>
      </c>
      <c r="C21" s="62" t="n">
        <f aca="false">C19*12*C20</f>
        <v>787.2</v>
      </c>
    </row>
    <row r="22" customFormat="false" ht="15" hidden="false" customHeight="true" outlineLevel="0" collapsed="false">
      <c r="B22" s="60" t="s">
        <v>442</v>
      </c>
      <c r="C22" s="66" t="n">
        <f aca="false">SUM(Segments!C4:C6)</f>
        <v>44.72</v>
      </c>
    </row>
    <row r="23" customFormat="false" ht="15" hidden="false" customHeight="true" outlineLevel="0" collapsed="false">
      <c r="B23" s="60" t="s">
        <v>443</v>
      </c>
      <c r="C23" s="62" t="n">
        <f aca="false">C21+C22</f>
        <v>831.92</v>
      </c>
    </row>
    <row r="24" customFormat="false" ht="15" hidden="false" customHeight="true" outlineLevel="0" collapsed="false">
      <c r="B24" s="60" t="s">
        <v>444</v>
      </c>
      <c r="C24" s="38" t="n">
        <v>0.1</v>
      </c>
    </row>
    <row r="25" customFormat="false" ht="15" hidden="false" customHeight="true" outlineLevel="0" collapsed="false">
      <c r="B25" s="60" t="s">
        <v>445</v>
      </c>
      <c r="C25" s="62" t="n">
        <f aca="false">C23*C24</f>
        <v>83.192</v>
      </c>
    </row>
    <row r="26" customFormat="false" ht="15" hidden="false" customHeight="true" outlineLevel="0" collapsed="false">
      <c r="B26" s="60" t="s">
        <v>446</v>
      </c>
      <c r="C26" s="58" t="n">
        <f aca="false">C4/C25</f>
        <v>25.8426339071065</v>
      </c>
    </row>
    <row r="27" customFormat="false" ht="15" hidden="false" customHeight="true" outlineLevel="0" collapsed="false">
      <c r="B27" s="60" t="s">
        <v>447</v>
      </c>
      <c r="C27" s="62" t="n">
        <f aca="false">C19*12</f>
        <v>480</v>
      </c>
    </row>
    <row r="28" customFormat="false" ht="15" hidden="false" customHeight="true" outlineLevel="0" collapsed="false">
      <c r="B28" s="60" t="s">
        <v>448</v>
      </c>
      <c r="C28" s="67" t="n">
        <f aca="false">Segments!C20/C27*12</f>
        <v>14.1</v>
      </c>
    </row>
    <row r="29" customFormat="false" ht="15" hidden="false" customHeight="true" outlineLevel="0" collapsed="false">
      <c r="B29" s="60" t="s">
        <v>449</v>
      </c>
      <c r="C29" s="68" t="n">
        <f aca="false">450/C27</f>
        <v>0.9375</v>
      </c>
    </row>
    <row r="31" customFormat="false" ht="15" hidden="false" customHeight="true" outlineLevel="0" collapsed="false">
      <c r="B31" s="29" t="s">
        <v>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0"/>
  </cols>
  <sheetData>
    <row r="1" customFormat="false" ht="15" hidden="false" customHeight="true" outlineLevel="0" collapsed="false">
      <c r="A1" s="6" t="s">
        <v>451</v>
      </c>
      <c r="B1" s="45" t="s">
        <v>452</v>
      </c>
    </row>
    <row r="2" customFormat="false" ht="15" hidden="false" customHeight="true" outlineLevel="0" collapsed="false">
      <c r="A2" s="6" t="s">
        <v>453</v>
      </c>
      <c r="B2" s="45" t="s">
        <v>454</v>
      </c>
    </row>
    <row r="3" customFormat="false" ht="34.5" hidden="false" customHeight="true" outlineLevel="0" collapsed="false">
      <c r="A3" s="6" t="s">
        <v>455</v>
      </c>
      <c r="B3" s="45" t="s">
        <v>456</v>
      </c>
    </row>
    <row r="4" customFormat="false" ht="23.25" hidden="false" customHeight="true" outlineLevel="0" collapsed="false">
      <c r="A4" s="6" t="s">
        <v>457</v>
      </c>
      <c r="B4" s="45" t="s">
        <v>458</v>
      </c>
    </row>
    <row r="5" customFormat="false" ht="23.25" hidden="false" customHeight="true" outlineLevel="0" collapsed="false">
      <c r="A5" s="6" t="s">
        <v>459</v>
      </c>
      <c r="B5" s="45" t="s">
        <v>460</v>
      </c>
    </row>
    <row r="6" customFormat="false" ht="15" hidden="false" customHeight="true" outlineLevel="0" collapsed="false">
      <c r="A6" s="6" t="s">
        <v>461</v>
      </c>
      <c r="B6" s="45" t="s">
        <v>462</v>
      </c>
    </row>
    <row r="7" customFormat="false" ht="23.25" hidden="false" customHeight="true" outlineLevel="0" collapsed="false">
      <c r="A7" s="6" t="s">
        <v>463</v>
      </c>
      <c r="B7" s="45" t="s">
        <v>464</v>
      </c>
    </row>
    <row r="8" customFormat="false" ht="15" hidden="false" customHeight="true" outlineLevel="0" collapsed="false">
      <c r="A8" s="6" t="s">
        <v>465</v>
      </c>
      <c r="B8" s="45" t="s">
        <v>466</v>
      </c>
    </row>
    <row r="9" customFormat="false" ht="57" hidden="false" customHeight="true" outlineLevel="0" collapsed="false">
      <c r="A9" s="6" t="s">
        <v>467</v>
      </c>
      <c r="B9" s="45" t="s">
        <v>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2026-10-25T13:01:21Z</dcterms:created>
  <dc:creator>openpyxl</dc:creator>
  <dc:description/>
  <dc:language>en-US</dc:language>
  <cp:lastModifiedBy/>
  <dcterms:modified xsi:type="dcterms:W3CDTF">2026-10-25T14:21:39Z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