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tewise Lates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<sst xmlns="http://schemas.openxmlformats.org/spreadsheetml/2006/main" count="25" uniqueCount="25">
  <si>
    <t xml:space="preserve">State-wise Smart Meters, mn nos — latest available (as on Aug-2026)</t>
  </si>
  <si>
    <t xml:space="preserve">State</t>
  </si>
  <si>
    <t xml:space="preserve">Sanctioned</t>
  </si>
  <si>
    <t xml:space="preserve">Awarded</t>
  </si>
  <si>
    <t xml:space="preserve">Deployed</t>
  </si>
  <si>
    <t xml:space="preserve">Yet to be awarded</t>
  </si>
  <si>
    <t xml:space="preserve">Tamil Nadu</t>
  </si>
  <si>
    <t xml:space="preserve">Uttar Pradesh</t>
  </si>
  <si>
    <t xml:space="preserve">Maharashtra</t>
  </si>
  <si>
    <t xml:space="preserve">West Bengal</t>
  </si>
  <si>
    <t xml:space="preserve">Bihar*</t>
  </si>
  <si>
    <t xml:space="preserve">Gujarat</t>
  </si>
  <si>
    <t xml:space="preserve">Rajasthan</t>
  </si>
  <si>
    <t xml:space="preserve">Madhya Pradesh</t>
  </si>
  <si>
    <t xml:space="preserve">Kerala</t>
  </si>
  <si>
    <t xml:space="preserve">Punjab</t>
  </si>
  <si>
    <t xml:space="preserve">Assam</t>
  </si>
  <si>
    <t xml:space="preserve">Chhattisgarh</t>
  </si>
  <si>
    <t xml:space="preserve">Andhra Pradesh</t>
  </si>
  <si>
    <t xml:space="preserve">Total (13 states)</t>
  </si>
  <si>
    <t xml:space="preserve">Sanctioned &amp; Awarded: official RDSS state table, Rajya Sabha reply 10-Feb-2025 (via data.gov.in API) — the latest full official filing; no newer state-wise award filing exists publicly.</t>
  </si>
  <si>
    <t xml:space="preserve">Deployed (latest reported): Maharashtra 12.5 (Jul-26, MSEDCL &gt;1.25 crore); Bihar 9.2 (01-Jul-26); UP 8.5 (Jun-26, ~85 lakh); Gujarat 2.09 (15-Jul-26, 20.94 lakh); Assam 3.28 (Mar-25); all others as per 10-Feb-2025 official reply — no newer public figure found.</t>
  </si>
  <si>
    <t xml:space="preserve">* Bihar: all schemes (state scheme + RDSS); its RDSS-only sanction is 2.61 mn. Sanction/award 17.21 mn per Mar-25 reporting (172.09 lakh, fully awarded).</t>
  </si>
  <si>
    <t xml:space="preserve">Tamil Nadu: tender live (Genus call, 19-May-26), award pending. Punjab: LoA issued to TCIL 30-Jan-26 but agreement unsigned (Jul-26) — shown as not awarded.</t>
  </si>
  <si>
    <t xml:space="preserve">Yet to be awarded = MAX(0, Sanctioned - Awarded). All-India context: sanctioned 203.4 (RDSS), tendered ~156 (Genus 19-May-26), installed 72.4 (30-Jun-26, Parliament).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</si>
</sst>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8.5"/>
      <color rgb="FF555555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5" min="3" style="0" width="12"/>
    <col collapsed="false" customWidth="true" hidden="false" outlineLevel="0" max="6" min="6" style="0" width="17"/>
  </cols>
  <sheetData>
    <row r="1" customFormat="false" ht="15" hidden="false" customHeight="false" outlineLevel="0" collapsed="false">
      <c r="B1" s="1" t="s">
        <v>0</v>
      </c>
    </row>
    <row r="3" customFormat="false" ht="15" hidden="false" customHeight="false" outlineLevel="0" collapsed="false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</row>
    <row r="4" customFormat="false" ht="15" hidden="false" customHeight="false" outlineLevel="0" collapsed="false">
      <c r="B4" s="3" t="s">
        <v>6</v>
      </c>
      <c r="C4" s="4" t="n">
        <v>30.49</v>
      </c>
      <c r="D4" s="4" t="n">
        <v>0</v>
      </c>
      <c r="E4" s="4" t="n">
        <v>0.13</v>
      </c>
      <c r="F4" s="5" t="n">
        <f aca="false">MAX(0,C4-D4)</f>
        <v>30.49</v>
      </c>
    </row>
    <row r="5" customFormat="false" ht="15" hidden="false" customHeight="false" outlineLevel="0" collapsed="false">
      <c r="B5" s="3" t="s">
        <v>7</v>
      </c>
      <c r="C5" s="4" t="n">
        <v>28.53</v>
      </c>
      <c r="D5" s="4" t="n">
        <v>28.53</v>
      </c>
      <c r="E5" s="4" t="n">
        <v>8.5</v>
      </c>
      <c r="F5" s="5" t="n">
        <f aca="false">MAX(0,C5-D5)</f>
        <v>0</v>
      </c>
    </row>
    <row r="6" customFormat="false" ht="15" hidden="false" customHeight="false" outlineLevel="0" collapsed="false">
      <c r="B6" s="3" t="s">
        <v>8</v>
      </c>
      <c r="C6" s="4" t="n">
        <v>24</v>
      </c>
      <c r="D6" s="4" t="n">
        <v>25.27</v>
      </c>
      <c r="E6" s="4" t="n">
        <v>12.5</v>
      </c>
      <c r="F6" s="5" t="n">
        <f aca="false">MAX(0,C6-D6)</f>
        <v>0</v>
      </c>
    </row>
    <row r="7" customFormat="false" ht="15" hidden="false" customHeight="false" outlineLevel="0" collapsed="false">
      <c r="B7" s="3" t="s">
        <v>9</v>
      </c>
      <c r="C7" s="4" t="n">
        <v>21.04</v>
      </c>
      <c r="D7" s="4" t="n">
        <v>4.03</v>
      </c>
      <c r="E7" s="4" t="n">
        <v>0.18</v>
      </c>
      <c r="F7" s="5" t="n">
        <f aca="false">MAX(0,C7-D7)</f>
        <v>17.01</v>
      </c>
    </row>
    <row r="8" customFormat="false" ht="15" hidden="false" customHeight="false" outlineLevel="0" collapsed="false">
      <c r="B8" s="3" t="s">
        <v>10</v>
      </c>
      <c r="C8" s="4" t="n">
        <v>17.21</v>
      </c>
      <c r="D8" s="4" t="n">
        <v>17.21</v>
      </c>
      <c r="E8" s="4" t="n">
        <v>9.2</v>
      </c>
      <c r="F8" s="5" t="n">
        <f aca="false">MAX(0,C8-D8)</f>
        <v>0</v>
      </c>
    </row>
    <row r="9" customFormat="false" ht="15" hidden="false" customHeight="false" outlineLevel="0" collapsed="false">
      <c r="B9" s="3" t="s">
        <v>11</v>
      </c>
      <c r="C9" s="4" t="n">
        <v>16.79</v>
      </c>
      <c r="D9" s="4" t="n">
        <v>11.07</v>
      </c>
      <c r="E9" s="4" t="n">
        <v>2.09</v>
      </c>
      <c r="F9" s="5" t="n">
        <f aca="false">MAX(0,C9-D9)</f>
        <v>5.72</v>
      </c>
    </row>
    <row r="10" customFormat="false" ht="15" hidden="false" customHeight="false" outlineLevel="0" collapsed="false">
      <c r="B10" s="3" t="s">
        <v>12</v>
      </c>
      <c r="C10" s="4" t="n">
        <v>14.74</v>
      </c>
      <c r="D10" s="4" t="n">
        <v>14.75</v>
      </c>
      <c r="E10" s="4" t="n">
        <v>0.01</v>
      </c>
      <c r="F10" s="5" t="n">
        <f aca="false">MAX(0,C10-D10)</f>
        <v>0</v>
      </c>
    </row>
    <row r="11" customFormat="false" ht="15" hidden="false" customHeight="false" outlineLevel="0" collapsed="false">
      <c r="B11" s="3" t="s">
        <v>13</v>
      </c>
      <c r="C11" s="4" t="n">
        <v>13.43</v>
      </c>
      <c r="D11" s="4" t="n">
        <v>5.49</v>
      </c>
      <c r="E11" s="4" t="n">
        <v>1.37</v>
      </c>
      <c r="F11" s="5" t="n">
        <f aca="false">MAX(0,C11-D11)</f>
        <v>7.94</v>
      </c>
    </row>
    <row r="12" customFormat="false" ht="15" hidden="false" customHeight="false" outlineLevel="0" collapsed="false">
      <c r="B12" s="3" t="s">
        <v>14</v>
      </c>
      <c r="C12" s="4" t="n">
        <v>13.38</v>
      </c>
      <c r="D12" s="4" t="n">
        <v>0.29</v>
      </c>
      <c r="E12" s="4" t="n">
        <v>0</v>
      </c>
      <c r="F12" s="5" t="n">
        <f aca="false">MAX(0,C12-D12)</f>
        <v>13.09</v>
      </c>
    </row>
    <row r="13" customFormat="false" ht="15" hidden="false" customHeight="false" outlineLevel="0" collapsed="false">
      <c r="B13" s="3" t="s">
        <v>15</v>
      </c>
      <c r="C13" s="4" t="n">
        <v>8.98</v>
      </c>
      <c r="D13" s="4" t="n">
        <v>0</v>
      </c>
      <c r="E13" s="4" t="n">
        <v>0</v>
      </c>
      <c r="F13" s="5" t="n">
        <f aca="false">MAX(0,C13-D13)</f>
        <v>8.98</v>
      </c>
    </row>
    <row r="14" customFormat="false" ht="15" hidden="false" customHeight="false" outlineLevel="0" collapsed="false">
      <c r="B14" s="3" t="s">
        <v>16</v>
      </c>
      <c r="C14" s="4" t="n">
        <v>6.45</v>
      </c>
      <c r="D14" s="4" t="n">
        <v>6.56</v>
      </c>
      <c r="E14" s="4" t="n">
        <v>3.28</v>
      </c>
      <c r="F14" s="5" t="n">
        <f aca="false">MAX(0,C14-D14)</f>
        <v>0</v>
      </c>
    </row>
    <row r="15" customFormat="false" ht="15" hidden="false" customHeight="false" outlineLevel="0" collapsed="false">
      <c r="B15" s="3" t="s">
        <v>17</v>
      </c>
      <c r="C15" s="4" t="n">
        <v>6.18</v>
      </c>
      <c r="D15" s="4" t="n">
        <v>7.35</v>
      </c>
      <c r="E15" s="4" t="n">
        <v>1.05</v>
      </c>
      <c r="F15" s="5" t="n">
        <f aca="false">MAX(0,C15-D15)</f>
        <v>0</v>
      </c>
    </row>
    <row r="16" customFormat="false" ht="15" hidden="false" customHeight="false" outlineLevel="0" collapsed="false">
      <c r="B16" s="3" t="s">
        <v>18</v>
      </c>
      <c r="C16" s="4" t="n">
        <v>5.92</v>
      </c>
      <c r="D16" s="4" t="n">
        <v>5.98</v>
      </c>
      <c r="E16" s="4" t="n">
        <v>0.82</v>
      </c>
      <c r="F16" s="5" t="n">
        <f aca="false">MAX(0,C16-D16)</f>
        <v>0</v>
      </c>
    </row>
    <row r="17" customFormat="false" ht="15" hidden="false" customHeight="false" outlineLevel="0" collapsed="false">
      <c r="B17" s="6" t="s">
        <v>19</v>
      </c>
      <c r="C17" s="7" t="n">
        <f aca="false">SUM(C4:C16)</f>
        <v>207.14</v>
      </c>
      <c r="D17" s="7" t="n">
        <f aca="false">SUM(D4:D16)</f>
        <v>126.53</v>
      </c>
      <c r="E17" s="7" t="n">
        <f aca="false">SUM(E4:E16)</f>
        <v>39.13</v>
      </c>
      <c r="F17" s="7" t="n">
        <f aca="false">SUM(F4:F16)</f>
        <v>83.23</v>
      </c>
    </row>
    <row r="19" customFormat="false" ht="24" hidden="false" customHeight="true" outlineLevel="0" collapsed="false">
      <c r="B19" s="8" t="s">
        <v>20</v>
      </c>
      <c r="C19" s="8"/>
      <c r="D19" s="8"/>
      <c r="E19" s="8"/>
      <c r="F19" s="8"/>
    </row>
    <row r="20" customFormat="false" ht="24" hidden="false" customHeight="true" outlineLevel="0" collapsed="false">
      <c r="B20" s="8" t="s">
        <v>21</v>
      </c>
      <c r="C20" s="8"/>
      <c r="D20" s="8"/>
      <c r="E20" s="8"/>
      <c r="F20" s="8"/>
    </row>
    <row r="21" customFormat="false" ht="24" hidden="false" customHeight="true" outlineLevel="0" collapsed="false">
      <c r="B21" s="8" t="s">
        <v>22</v>
      </c>
      <c r="C21" s="8"/>
      <c r="D21" s="8"/>
      <c r="E21" s="8"/>
      <c r="F21" s="8"/>
    </row>
    <row r="22" customFormat="false" ht="24" hidden="false" customHeight="true" outlineLevel="0" collapsed="false">
      <c r="B22" s="8" t="s">
        <v>23</v>
      </c>
      <c r="C22" s="8"/>
      <c r="D22" s="8"/>
      <c r="E22" s="8"/>
      <c r="F22" s="8"/>
    </row>
    <row r="23" customFormat="false" ht="24" hidden="false" customHeight="true" outlineLevel="0" collapsed="false">
      <c r="B23" s="8" t="s">
        <v>24</v>
      </c>
      <c r="C23" s="8"/>
      <c r="D23" s="8"/>
      <c r="E23" s="8"/>
      <c r="F23" s="8"/>
    </row>
  </sheetData>
  <mergeCells count="5">
    <mergeCell ref="B19:F19"/>
    <mergeCell ref="B20:F20"/>
    <mergeCell ref="B21:F21"/>
    <mergeCell ref="B22:F22"/>
    <mergeCell ref="B23:F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2026-08-20T14:49:56Z</dcterms:created>
  <dc:creator>openpyxl</dc:creator>
  <dc:description/>
  <dc:language>en-US</dc:language>
  <cp:lastModifiedBy/>
  <dcterms:modified xsi:type="dcterms:W3CDTF">2026-08-20T14:49:56Z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