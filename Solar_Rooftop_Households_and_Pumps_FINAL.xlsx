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ftop households (PMSG)" sheetId="1" state="visible" r:id="rId1"/>
    <sheet name="Solar pumps (PM-KUSU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dindia.co.in/2026/08/pm-surya-ghar-scheme-crosses-50-lakh-rooftop-solar-installations/" TargetMode="External" Id="rId1" /><Relationship Type="http://schemas.openxmlformats.org/officeDocument/2006/relationships/hyperlink" Target="https://www.pib.gov.in/PressReleasePage.aspx?PRID=2244670" TargetMode="External" Id="rId2" /><Relationship Type="http://schemas.openxmlformats.org/officeDocument/2006/relationships/hyperlink" Target="https://www.pib.gov.in/PressReleasePage.aspx?PRID=2244670" TargetMode="External" Id="rId3" /><Relationship Type="http://schemas.openxmlformats.org/officeDocument/2006/relationships/hyperlink" Target="https://www.pib.gov.in/PressReleasePage.aspx?PRID=2244670" TargetMode="External" Id="rId4" /><Relationship Type="http://schemas.openxmlformats.org/officeDocument/2006/relationships/hyperlink" Target="https://www.pib.gov.in/PressReleasePage.aspx?PRID=2110283" TargetMode="External" Id="rId5" /><Relationship Type="http://schemas.openxmlformats.org/officeDocument/2006/relationships/hyperlink" Target="https://www.pib.gov.in/PressReleasePage.aspx?PRID=2290402" TargetMode="External" Id="rId6" /><Relationship Type="http://schemas.openxmlformats.org/officeDocument/2006/relationships/hyperlink" Target="https://www.pib.gov.in/PressReleasePage.aspx?PRID=2290402" TargetMode="External" Id="rId7" /><Relationship Type="http://schemas.openxmlformats.org/officeDocument/2006/relationships/hyperlink" Target="https://ddindia.co.in/2026/08/pm-surya-ghar-scheme-crosses-50-lakh-rooftop-solar-installations/" TargetMode="External" Id="rId8" /><Relationship Type="http://schemas.openxmlformats.org/officeDocument/2006/relationships/hyperlink" Target="https://www.thehansindia.com/amp/business/pm-surya-ghar-scheme-receives-777-million-applications-installs-419-million-solar-systems-1108246" TargetMode="External" Id="rId9" /><Relationship Type="http://schemas.openxmlformats.org/officeDocument/2006/relationships/hyperlink" Target="https://urbanacres.in/pm-surya-ghars-rooftop-solar-push-reveals-a-scale-up-gap/" TargetMode="External" Id="rId10" /><Relationship Type="http://schemas.openxmlformats.org/officeDocument/2006/relationships/hyperlink" Target="https://sansad.in/getFile/lsapps/loksabhaquestions/annex/188/AS59_dKLc7G.pdf" TargetMode="External" Id="rId11" /><Relationship Type="http://schemas.openxmlformats.org/officeDocument/2006/relationships/hyperlink" Target="https://www.pib.gov.in/PressReleasePage.aspx?PRID=2268992" TargetMode="External" Id="rId12" /><Relationship Type="http://schemas.openxmlformats.org/officeDocument/2006/relationships/hyperlink" Target="https://www.pib.gov.in/PressReleasePage.aspx?PRID=2200441" TargetMode="External" Id="rId13" /><Relationship Type="http://schemas.openxmlformats.org/officeDocument/2006/relationships/hyperlink" Target="https://www.energetica-india.net/news/pm-surya-ghar-scheme-crosses-50-lakh-rooftop-solar-installations-14-8-gw-capacity-commissioned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anoramayearbook.in/current-affairs/india/2021/01/05/ministry-of-new-and-renewable-energy-mnre-year-end-review.html" TargetMode="External" Id="rId1" /><Relationship Type="http://schemas.openxmlformats.org/officeDocument/2006/relationships/hyperlink" Target="https://mnre.gov.in/en/pradhan-mantri-kisan-urja-suraksha-evam-utthaan-mahabhiyaan-pm-kusum/" TargetMode="External" Id="rId2" /><Relationship Type="http://schemas.openxmlformats.org/officeDocument/2006/relationships/hyperlink" Target="https://www.pib.gov.in/PressReleasePage.aspx?PRID=1907703" TargetMode="External" Id="rId3" /><Relationship Type="http://schemas.openxmlformats.org/officeDocument/2006/relationships/hyperlink" Target="https://www.pib.gov.in/PressReleasePage.aspx?PRID=1947138" TargetMode="External" Id="rId4" /><Relationship Type="http://schemas.openxmlformats.org/officeDocument/2006/relationships/hyperlink" Target="https://www.pib.gov.in/PressReleasePage.aspx?PRID=2004183" TargetMode="External" Id="rId5" /><Relationship Type="http://schemas.openxmlformats.org/officeDocument/2006/relationships/hyperlink" Target="https://sansad.in/getFile/lsscommittee/Energy/18_Energy_5.pdf?source=loksabhadocs" TargetMode="External" Id="rId6" /><Relationship Type="http://schemas.openxmlformats.org/officeDocument/2006/relationships/hyperlink" Target="https://sansad.in/getFile/lsscommittee/Energy/18_Energy_10.pdf?source=loksabhadocs" TargetMode="External" Id="rId7" /><Relationship Type="http://schemas.openxmlformats.org/officeDocument/2006/relationships/hyperlink" Target="https://www.pib.gov.in/PressReleasePage.aspx?PRID=2201309" TargetMode="External" Id="rId8" /><Relationship Type="http://schemas.openxmlformats.org/officeDocument/2006/relationships/hyperlink" Target="https://www.thehawk.in/news/science/over-10-lakh-standalone-solar-pumps-installed-13-lakh-grid-connected-pumps-solarised" TargetMode="External" Id="rId9" /><Relationship Type="http://schemas.openxmlformats.org/officeDocument/2006/relationships/hyperlink" Target="https://www.saurenergy.com/solar-energy-news/pm-kusums-missing-link-why-indias-solar-pump-success-isnt-yet-an-agricultural-energy-revolution-12183450" TargetMode="External" Id="rId10" /><Relationship Type="http://schemas.openxmlformats.org/officeDocument/2006/relationships/hyperlink" Target="https://www.franchiseindia.com/insights/en/article/pm-kusum-component-b-guide-2026-subsidy-tender-vendor-selection-and-allocation-process.59738" TargetMode="External" Id="rId11" /><Relationship Type="http://schemas.openxmlformats.org/officeDocument/2006/relationships/hyperlink" Target="https://sansad.in/getFile/lsscommittee/Estimates/18_Estimates_7.pdf?source=loksabhadocs" TargetMode="External" Id="rId12" /><Relationship Type="http://schemas.openxmlformats.org/officeDocument/2006/relationships/hyperlink" Target="https://www.pib.gov.in/FactsheetDetails.aspx?Id=149232&amp;reg=3&amp;lang=1" TargetMode="External" Id="rId13" /><Relationship Type="http://schemas.openxmlformats.org/officeDocument/2006/relationships/hyperlink" Target="https://www.pib.gov.in/PressReleasePage.aspx?PRID=2201309" TargetMode="External" Id="rId14" /><Relationship Type="http://schemas.openxmlformats.org/officeDocument/2006/relationships/hyperlink" Target="https://aninews.in/news/business/over-51-lakh-households-benefit-under-pm-surya-ghar-284-lakh-farm-pumps-solarised-govt20260812131651/" TargetMode="External" Id="rId15" /><Relationship Type="http://schemas.openxmlformats.org/officeDocument/2006/relationships/hyperlink" Target="https://mnre.gov.in/en/pradhan-mantri-kisan-urja-suraksha-evam-utthaan-mahabhiyaan-pm-kusum/" TargetMode="External" Id="rId16" /><Relationship Type="http://schemas.openxmlformats.org/officeDocument/2006/relationships/hyperlink" Target="https://sansad.in/getFile/lsscommittee/Estimates/18_Estimates_7.pdf?source=loksabhadocs" TargetMode="External" Id="rId17" /><Relationship Type="http://schemas.openxmlformats.org/officeDocument/2006/relationships/hyperlink" Target="https://www.energetica-india.net/news/mnre-extends-pm-kusum-project-completion-deadline-to-march-31-2027" TargetMode="External" Id="rId18" /><Relationship Type="http://schemas.openxmlformats.org/officeDocument/2006/relationships/hyperlink" Target="https://sansad.in/getFile/lsscommittee/Energy/18_Energy_5.pdf?source=loksabhadocs" TargetMode="External" Id="rId19" /><Relationship Type="http://schemas.openxmlformats.org/officeDocument/2006/relationships/hyperlink" Target="https://www.downtoearth.org.in/energy/centre-readies-pm-kusum-20-as-focus-shifts-to-feeder-level-solarisation" TargetMode="External" Id="rId20" /><Relationship Type="http://schemas.openxmlformats.org/officeDocument/2006/relationships/hyperlink" Target="https://www.reslink.org/blogs/pm-kusum-2-0-is-coming-india-s-rs-50-000-crore-agricultural-solar-push/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34" customWidth="1" min="6" max="6"/>
    <col width="60" customWidth="1" min="7" max="7"/>
    <col width="70" customWidth="1" min="8" max="8"/>
  </cols>
  <sheetData>
    <row r="1">
      <c r="A1" s="1" t="inlineStr">
        <is>
          <t>Period</t>
        </is>
      </c>
      <c r="B1" s="1" t="inlineStr">
        <is>
          <t>Rooftop systems installed in period (nos.)</t>
        </is>
      </c>
      <c r="C1" s="1" t="inlineStr">
        <is>
          <t>Households benefitted in period (nos.)</t>
        </is>
      </c>
      <c r="D1" s="1" t="inlineStr">
        <is>
          <t>Cumulative systems at period end (nos.)</t>
        </is>
      </c>
      <c r="E1" s="1" t="inlineStr">
        <is>
          <t>Cumulative households at period end (nos.)</t>
        </is>
      </c>
      <c r="F1" s="1" t="inlineStr">
        <is>
          <t>Status</t>
        </is>
      </c>
      <c r="G1" s="1" t="inlineStr">
        <is>
          <t>Source document</t>
        </is>
      </c>
      <c r="H1" s="1" t="inlineStr">
        <is>
          <t>Source link</t>
        </is>
      </c>
    </row>
    <row r="2">
      <c r="A2" s="2" t="inlineStr">
        <is>
          <t>Decade before the scheme (2014 to Feb 2024)</t>
        </is>
      </c>
      <c r="B2" s="3" t="n">
        <v>794000</v>
      </c>
      <c r="C2" s="2" t="n"/>
      <c r="D2" s="3" t="n">
        <v>794000</v>
      </c>
      <c r="E2" s="2" t="n"/>
      <c r="F2" s="2" t="inlineStr">
        <is>
          <t>Official</t>
        </is>
      </c>
      <c r="G2" s="2" t="inlineStr">
        <is>
          <t>MNRE release, 4 Aug 2026 (via DD India): 7.94 lakh rooftop installations in the preceding decade</t>
        </is>
      </c>
      <c r="H2" s="4" t="inlineStr">
        <is>
          <t>https://ddindia.co.in/2026/08/pm-surya-ghar-scheme-crosses-50-lakh-rooftop-solar-installations/</t>
        </is>
      </c>
    </row>
    <row r="3">
      <c r="A3" s="2" t="inlineStr">
        <is>
          <t>13 Feb 2024 to 31 Dec 2024 (scheme launch to end-2024)</t>
        </is>
      </c>
      <c r="B3" s="3" t="n">
        <v>583953</v>
      </c>
      <c r="C3" s="2" t="n"/>
      <c r="D3" s="3" t="n">
        <v>583953</v>
      </c>
      <c r="E3" s="2" t="n"/>
      <c r="F3" s="2" t="inlineStr">
        <is>
          <t>Official (calendar-year table)</t>
        </is>
      </c>
      <c r="G3" s="2" t="inlineStr">
        <is>
          <t>PIB 2244670, Rajya Sabha reply 24 Mar 2026, year-wise annexure as on 19.03.2026</t>
        </is>
      </c>
      <c r="H3" s="4" t="inlineStr">
        <is>
          <t>https://www.pib.gov.in/PressReleasePage.aspx?PRID=2244670</t>
        </is>
      </c>
    </row>
    <row r="4">
      <c r="A4" s="2" t="inlineStr">
        <is>
          <t>1 Jan 2025 to 31 Dec 2025</t>
        </is>
      </c>
      <c r="B4" s="3" t="n">
        <v>1501550</v>
      </c>
      <c r="C4" s="2" t="n"/>
      <c r="D4" s="2">
        <f>D3+B4</f>
        <v/>
      </c>
      <c r="E4" s="3" t="n">
        <v>2614446</v>
      </c>
      <c r="F4" s="2" t="inlineStr">
        <is>
          <t>Official (calendar-year table)</t>
        </is>
      </c>
      <c r="G4" s="2" t="inlineStr">
        <is>
          <t>PIB 2244670 (installations); Rajya Sabha reply Feb 2026 (cumulative 20,85,514 systems / 26,14,446 households as on 31.12.2025)</t>
        </is>
      </c>
      <c r="H4" s="4" t="inlineStr">
        <is>
          <t>https://www.pib.gov.in/PressReleasePage.aspx?PRID=2244670</t>
        </is>
      </c>
    </row>
    <row r="5">
      <c r="A5" s="2" t="inlineStr">
        <is>
          <t>1 Jan 2026 to 19 Mar 2026</t>
        </is>
      </c>
      <c r="B5" s="3" t="n">
        <v>534376</v>
      </c>
      <c r="C5" s="2" t="n"/>
      <c r="D5" s="3" t="n">
        <v>2619879</v>
      </c>
      <c r="E5" s="3" t="n">
        <v>3240000</v>
      </c>
      <c r="F5" s="2" t="inlineStr">
        <is>
          <t>Official (calendar-year table)</t>
        </is>
      </c>
      <c r="G5" s="2" t="inlineStr">
        <is>
          <t>PIB 2244670; households 32.4 lakh per MoS reply 20 Mar 2026</t>
        </is>
      </c>
      <c r="H5" s="4" t="inlineStr">
        <is>
          <t>https://www.pib.gov.in/PressReleasePage.aspx?PRID=2244670</t>
        </is>
      </c>
    </row>
    <row r="6">
      <c r="A6" s="2" t="inlineStr">
        <is>
          <t>FY 2024-25 (13 Feb 2024 to 31 Mar 2025)</t>
        </is>
      </c>
      <c r="B6" s="3" t="n">
        <v>1009000</v>
      </c>
      <c r="C6" s="2" t="n"/>
      <c r="D6" s="3" t="n">
        <v>1009000</v>
      </c>
      <c r="E6" s="2" t="n"/>
      <c r="F6" s="2" t="inlineStr">
        <is>
          <t>Official milestone (as on 10 Mar 2025, 3 weeks before FY end)</t>
        </is>
      </c>
      <c r="G6" s="2" t="inlineStr">
        <is>
          <t>PIB 2110283, 13 Mar 2025: 10.09 lakh installations; 47.3 lakh applications; 3 GW</t>
        </is>
      </c>
      <c r="H6" s="4" t="inlineStr">
        <is>
          <t>https://www.pib.gov.in/PressReleasePage.aspx?PRID=2110283</t>
        </is>
      </c>
    </row>
    <row r="7">
      <c r="A7" s="2" t="inlineStr">
        <is>
          <t>FY 2025-26 (1 Apr 2025 to 31 Mar 2026)</t>
        </is>
      </c>
      <c r="B7" s="3" t="n">
        <v>1871000</v>
      </c>
      <c r="C7" s="3" t="n">
        <v>2271000</v>
      </c>
      <c r="D7" s="2" t="n"/>
      <c r="E7" s="2" t="n"/>
      <c r="F7" s="2" t="inlineStr">
        <is>
          <t>Official (stated 'during the year 2025-26'; 6.7 GW)</t>
        </is>
      </c>
      <c r="G7" s="2" t="inlineStr">
        <is>
          <t>PIB 2290402, Rajya Sabha written reply, 28 Jul 2026</t>
        </is>
      </c>
      <c r="H7" s="4" t="inlineStr">
        <is>
          <t>https://www.pib.gov.in/PressReleasePage.aspx?PRID=2290402</t>
        </is>
      </c>
    </row>
    <row r="8">
      <c r="A8" s="2" t="inlineStr">
        <is>
          <t>FY 2026-27 to 22 Jul 2026 (cumulative snapshot)</t>
        </is>
      </c>
      <c r="B8" s="2" t="n"/>
      <c r="C8" s="2" t="n"/>
      <c r="D8" s="3" t="n">
        <v>3972447</v>
      </c>
      <c r="E8" s="3" t="n">
        <v>4802717</v>
      </c>
      <c r="F8" s="2" t="inlineStr">
        <is>
          <t>Official</t>
        </is>
      </c>
      <c r="G8" s="2" t="inlineStr">
        <is>
          <t>PIB 2290402, Rajya Sabha reply 28 Jul 2026; same figures in Lok Sabha Unstarred Q.580 of 22 Jul 2026 (as on 20.07.2026: 39,38,805 / 47,47,341)</t>
        </is>
      </c>
      <c r="H8" s="4" t="inlineStr">
        <is>
          <t>https://www.pib.gov.in/PressReleasePage.aspx?PRID=2290402</t>
        </is>
      </c>
    </row>
    <row r="9">
      <c r="A9" s="2" t="inlineStr">
        <is>
          <t>July 2026 (single month, record)</t>
        </is>
      </c>
      <c r="B9" s="2" t="n"/>
      <c r="C9" s="3" t="n">
        <v>506000</v>
      </c>
      <c r="D9" s="2" t="n"/>
      <c r="E9" s="3" t="n">
        <v>5006000</v>
      </c>
      <c r="F9" s="2" t="inlineStr">
        <is>
          <t>Official</t>
        </is>
      </c>
      <c r="G9" s="2" t="inlineStr">
        <is>
          <t>MNRE release 4 Aug 2026 (via DD India): July 2026 added 5.06 lakh households; 50.06 lakh cumulative; 14.8 GW</t>
        </is>
      </c>
      <c r="H9" s="4" t="inlineStr">
        <is>
          <t>https://ddindia.co.in/2026/08/pm-surya-ghar-scheme-crosses-50-lakh-rooftop-solar-installations/</t>
        </is>
      </c>
    </row>
    <row r="10">
      <c r="A10" s="2" t="inlineStr">
        <is>
          <t>FY 2026-27 to ~10 Aug 2026 (cumulative snapshot)</t>
        </is>
      </c>
      <c r="B10" s="2" t="n"/>
      <c r="C10" s="2" t="n"/>
      <c r="D10" s="3" t="n">
        <v>4190000</v>
      </c>
      <c r="E10" s="3" t="n">
        <v>5040000</v>
      </c>
      <c r="F10" s="2" t="inlineStr">
        <is>
          <t>Official (Rajya Sabha reply, reported by press)</t>
        </is>
      </c>
      <c r="G10" s="2" t="inlineStr">
        <is>
          <t>MoS Naik, Rajya Sabha reply Aug 2026: 41.9 lakh systems, 50.4 lakh households, 14,894.95 MW, Rs 28,390.50 cr CFA</t>
        </is>
      </c>
      <c r="H10" s="4" t="inlineStr">
        <is>
          <t>https://www.thehansindia.com/amp/business/pm-surya-ghar-scheme-receives-777-million-applications-installs-419-million-solar-systems-1108246</t>
        </is>
      </c>
    </row>
    <row r="11">
      <c r="A11" s="5" t="inlineStr">
        <is>
          <t>End Aug 2026 (cumulative, portal data)</t>
        </is>
      </c>
      <c r="B11" s="5" t="n"/>
      <c r="C11" s="5" t="n"/>
      <c r="D11" s="6" t="n">
        <v>4644000</v>
      </c>
      <c r="E11" s="6" t="n">
        <v>5528000</v>
      </c>
      <c r="F11" s="5" t="inlineStr">
        <is>
          <t>Portal via secondary (JMK Research), not a government document</t>
        </is>
      </c>
      <c r="G11" s="2" t="inlineStr">
        <is>
          <t>PM Surya Ghar portal data compiled by JMK Research, reported 5 Sep 2026</t>
        </is>
      </c>
      <c r="H11" s="4" t="inlineStr">
        <is>
          <t>https://urbanacres.in/pm-surya-ghars-rooftop-solar-push-reveals-a-scale-up-gap/</t>
        </is>
      </c>
    </row>
    <row r="12">
      <c r="A12" s="7" t="inlineStr">
        <is>
          <t>TARGET: scheme target</t>
        </is>
      </c>
      <c r="B12" s="7" t="n"/>
      <c r="C12" s="7" t="n"/>
      <c r="D12" s="7" t="n"/>
      <c r="E12" s="8" t="n">
        <v>10000000</v>
      </c>
      <c r="F12" s="7" t="inlineStr">
        <is>
          <t>1 crore households by FY 2026-27 (31 Mar 2027); outlay Rs 75,021 cr</t>
        </is>
      </c>
      <c r="G12" s="7" t="inlineStr">
        <is>
          <t>Lok Sabha Starred Q.59 answered 22 Jul 2026 (reaffirms target); Cabinet approval PIB 2010133, 29 Feb 2024</t>
        </is>
      </c>
      <c r="H12" s="9" t="inlineStr">
        <is>
          <t>https://sansad.in/getFile/lsapps/loksabhaquestions/annex/188/AS59_dKLc7G.pdf</t>
        </is>
      </c>
    </row>
    <row r="13">
      <c r="A13" s="7" t="inlineStr">
        <is>
          <t>TARGET: interim (Minister)</t>
        </is>
      </c>
      <c r="B13" s="7" t="n"/>
      <c r="C13" s="7" t="n"/>
      <c r="D13" s="7" t="n"/>
      <c r="E13" s="8" t="n">
        <v>7500000</v>
      </c>
      <c r="F13" s="7" t="inlineStr">
        <is>
          <t>75 lakh households by December 2026</t>
        </is>
      </c>
      <c r="G13" s="7" t="inlineStr">
        <is>
          <t>Minister Pralhad Joshi, PIB 2268992, 4 Jun 2026</t>
        </is>
      </c>
      <c r="H13" s="9" t="inlineStr">
        <is>
          <t>https://www.pib.gov.in/PressReleasePage.aspx?PRID=2268992</t>
        </is>
      </c>
    </row>
    <row r="14">
      <c r="A14" s="7" t="inlineStr">
        <is>
          <t>TARGET: annual target FY 2025-26</t>
        </is>
      </c>
      <c r="B14" s="7" t="n"/>
      <c r="C14" s="8" t="n">
        <v>3500000</v>
      </c>
      <c r="D14" s="7" t="n"/>
      <c r="E14" s="7" t="n"/>
      <c r="F14" s="7" t="inlineStr">
        <is>
          <t>35 lakh households targeted for FY 2025-26 (actual 22.71 lakh)</t>
        </is>
      </c>
      <c r="G14" s="7" t="inlineStr">
        <is>
          <t>PIB 2200441, Rajya Sabha reply 8 Dec 2025</t>
        </is>
      </c>
      <c r="H14" s="9" t="inlineStr">
        <is>
          <t>https://www.pib.gov.in/PressReleasePage.aspx?PRID=2200441</t>
        </is>
      </c>
    </row>
    <row r="15">
      <c r="A15" s="7" t="inlineStr">
        <is>
          <t>TARGET: Ministry's latest expectation</t>
        </is>
      </c>
      <c r="B15" s="7" t="n"/>
      <c r="C15" s="7" t="n"/>
      <c r="D15" s="7" t="n"/>
      <c r="E15" s="8" t="n">
        <v>8750000</v>
      </c>
      <c r="F15" s="7" t="inlineStr">
        <is>
          <t>85-90 lakh households likely by March 2027 (MNRE Secretary, 15 Sep 2026); no official revision of the 1 crore target</t>
        </is>
      </c>
      <c r="G15" s="7" t="inlineStr">
        <is>
          <t>Energetica India, 15 Sep 2026</t>
        </is>
      </c>
      <c r="H15" s="9" t="inlineStr">
        <is>
          <t>https://www.energetica-india.net/news/pm-surya-ghar-scheme-crosses-50-lakh-rooftop-solar-installations-14-8-gw-capacity-commissioned</t>
        </is>
      </c>
    </row>
    <row r="17">
      <c r="A17" s="10" t="inlineStr">
        <is>
          <t>Scheme: PM Surya Ghar: Muft Bijli Yojana (MNRE), launched 13 Feb 2024. 'Systems' = rooftop plants; 'households' is higher because one group-housing plant serves many households. The target is in households.</t>
        </is>
      </c>
    </row>
    <row r="18">
      <c r="A18" s="10" t="inlineStr">
        <is>
          <t>MNRE publishes cumulative 'as on' figures and, so far, only one FY-wise statement (FY 2025-26, row 7). Calendar-year splits (rows 3-5) are from the official annexure. Rows 12-15 are targets.</t>
        </is>
      </c>
    </row>
    <row r="19">
      <c r="A19" s="10" t="inlineStr">
        <is>
          <t>Caution: the official FY 2025-26 figure (18.71 lakh systems) plus the 10.09 lakh reached by 10 Mar 2025 exceeds the 26.2 lakh cumulative reported on 19 Mar 2026 by ~2.6 lakh. The Ministry's own figures do not fully reconcile; both are shown as published.</t>
        </is>
      </c>
    </row>
    <row r="20">
      <c r="A20" s="10" t="inlineStr">
        <is>
          <t>Compiled 1 Oct 2026. Yellow = portal data reported second-hand; every other value is as published in the linked government document.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  <col width="55" customWidth="1" min="7" max="7"/>
    <col width="60" customWidth="1" min="8" max="8"/>
    <col width="60" customWidth="1" min="9" max="9"/>
  </cols>
  <sheetData>
    <row r="1">
      <c r="A1" s="1" t="inlineStr">
        <is>
          <t>Financial year / period</t>
        </is>
      </c>
      <c r="B1" s="1" t="inlineStr">
        <is>
          <t>Comp-B standalone pumps added in period (nos.)</t>
        </is>
      </c>
      <c r="C1" s="1" t="inlineStr">
        <is>
          <t>Comp-C grid pumps solarised in period (nos.)</t>
        </is>
      </c>
      <c r="D1" s="1" t="inlineStr">
        <is>
          <t>Cumulative Comp-B at period end (nos.)</t>
        </is>
      </c>
      <c r="E1" s="1" t="inlineStr">
        <is>
          <t>Cumulative Comp-C at period end (nos.)</t>
        </is>
      </c>
      <c r="F1" s="1" t="inlineStr">
        <is>
          <t>Status</t>
        </is>
      </c>
      <c r="G1" s="1" t="inlineStr">
        <is>
          <t>Source document(s)</t>
        </is>
      </c>
      <c r="H1" s="1" t="inlineStr">
        <is>
          <t>Source link</t>
        </is>
      </c>
      <c r="I1" s="1" t="inlineStr">
        <is>
          <t>Second source link (for derived rows)</t>
        </is>
      </c>
    </row>
    <row r="2">
      <c r="A2" s="2" t="inlineStr">
        <is>
          <t>FY 2019-20 (scheme launched 8 Mar 2019)</t>
        </is>
      </c>
      <c r="B2" s="3" t="n">
        <v>8954</v>
      </c>
      <c r="C2" s="3" t="n">
        <v>0</v>
      </c>
      <c r="D2" s="3" t="n">
        <v>8954</v>
      </c>
      <c r="E2" s="3" t="n">
        <v>0</v>
      </c>
      <c r="F2" s="2" t="inlineStr">
        <is>
          <t>Official (MNRE Year-End Review 2020, via secondary page)</t>
        </is>
      </c>
      <c r="G2" s="2" t="inlineStr">
        <is>
          <t>MNRE Year End Review 2020: 8,954 standalone pumps installed in 2019-20</t>
        </is>
      </c>
      <c r="H2" s="4" t="inlineStr">
        <is>
          <t>https://www.manoramayearbook.in/current-affairs/india/2021/01/05/ministry-of-new-and-renewable-energy-mnre-year-end-review.html</t>
        </is>
      </c>
      <c r="I2" s="2" t="n"/>
    </row>
    <row r="3">
      <c r="A3" s="2" t="inlineStr">
        <is>
          <t>FY 2020-21</t>
        </is>
      </c>
      <c r="B3" s="2">
        <f>D3-D2</f>
        <v/>
      </c>
      <c r="C3" s="3" t="n">
        <v>0</v>
      </c>
      <c r="D3" s="3" t="n">
        <v>40000</v>
      </c>
      <c r="E3" s="3" t="n">
        <v>0</v>
      </c>
      <c r="F3" s="2" t="inlineStr">
        <is>
          <t>Official (rounded 'over 40,000')</t>
        </is>
      </c>
      <c r="G3" s="2" t="inlineStr">
        <is>
          <t>MNRE PM-KUSUM scheme page: over 40,000 pumps installed up to 31.03.2021</t>
        </is>
      </c>
      <c r="H3" s="4" t="inlineStr">
        <is>
          <t>https://mnre.gov.in/en/pradhan-mantri-kisan-urja-suraksha-evam-utthaan-mahabhiyaan-pm-kusum/</t>
        </is>
      </c>
      <c r="I3" s="2" t="n"/>
    </row>
    <row r="4">
      <c r="A4" s="2" t="inlineStr">
        <is>
          <t>FY 2021-22 and FY 2022-23 (two years combined; no 31.03.2022 figure published)</t>
        </is>
      </c>
      <c r="B4" s="2">
        <f>D4-D3</f>
        <v/>
      </c>
      <c r="C4" s="3" t="n">
        <v>1519</v>
      </c>
      <c r="D4" s="3" t="n">
        <v>218539</v>
      </c>
      <c r="E4" s="3" t="n">
        <v>1519</v>
      </c>
      <c r="F4" s="2" t="inlineStr">
        <is>
          <t>Official anchors (2,08,648 total pumps on 28.02.2023 per PIB; 2,18,539 on 31.03.2023 per MNRE report cited by Mongabay; first 1,519 Comp-C by 30.06.2023)</t>
        </is>
      </c>
      <c r="G4" s="2" t="inlineStr">
        <is>
          <t>PIB 1907703 (LS reply, Mar 2023); PIB 1947138 (RS reply 8 Aug 2023: 2,44,373 B / 1,519 C as on 30.06.2023)</t>
        </is>
      </c>
      <c r="H4" s="4" t="inlineStr">
        <is>
          <t>https://www.pib.gov.in/PressReleasePage.aspx?PRID=1907703</t>
        </is>
      </c>
      <c r="I4" s="4" t="inlineStr">
        <is>
          <t>https://www.pib.gov.in/PressReleasePage.aspx?PRID=1947138</t>
        </is>
      </c>
    </row>
    <row r="5">
      <c r="A5" s="5" t="inlineStr">
        <is>
          <t>FY 2023-24</t>
        </is>
      </c>
      <c r="B5" s="5">
        <f>D5-D4</f>
        <v/>
      </c>
      <c r="C5" s="5">
        <f>E5-E4</f>
        <v/>
      </c>
      <c r="D5" s="6" t="n">
        <v>310000</v>
      </c>
      <c r="E5" s="6" t="n">
        <v>8000</v>
      </c>
      <c r="F5" s="5" t="inlineStr">
        <is>
          <t>ESTIMATE: official 31.01.2024 = 2,95,823 B / 7,384 C; extrapolated two months at ~7,000/month</t>
        </is>
      </c>
      <c r="G5" s="2" t="inlineStr">
        <is>
          <t>PIB 2004183, LS reply 8 Feb 2024 (state-wise table as on 31.01.2024)</t>
        </is>
      </c>
      <c r="H5" s="4" t="inlineStr">
        <is>
          <t>https://www.pib.gov.in/PressReleasePage.aspx?PRID=2004183</t>
        </is>
      </c>
      <c r="I5" s="2" t="n"/>
    </row>
    <row r="6">
      <c r="A6" s="5" t="inlineStr">
        <is>
          <t>FY 2024-25</t>
        </is>
      </c>
      <c r="B6" s="5">
        <f>D6-D5</f>
        <v/>
      </c>
      <c r="C6" s="5">
        <f>E6-E5</f>
        <v/>
      </c>
      <c r="D6" s="6" t="n">
        <v>740000</v>
      </c>
      <c r="E6" s="6" t="n">
        <v>260000</v>
      </c>
      <c r="F6" s="5" t="inlineStr">
        <is>
          <t>ESTIMATE: official 31.01.2025 = 6,69,484 B / 1,92,905 C; 30.06.2025 = 8.4 lakh B / 5.9 lakh C; interpolated to 31.03.2025</t>
        </is>
      </c>
      <c r="G6" s="2" t="inlineStr">
        <is>
          <t>Standing Committee on Energy, 5th Report (DfG 2025-26), para 4.18; 10th Report (Sep 2025), para 3.11</t>
        </is>
      </c>
      <c r="H6" s="4" t="inlineStr">
        <is>
          <t>https://sansad.in/getFile/lsscommittee/Energy/18_Energy_5.pdf?source=loksabhadocs</t>
        </is>
      </c>
      <c r="I6" s="4" t="inlineStr">
        <is>
          <t>https://sansad.in/getFile/lsscommittee/Energy/18_Energy_10.pdf?source=loksabhadocs</t>
        </is>
      </c>
    </row>
    <row r="7">
      <c r="A7" s="5" t="inlineStr">
        <is>
          <t>FY 2025-26</t>
        </is>
      </c>
      <c r="B7" s="5">
        <f>D7-D6</f>
        <v/>
      </c>
      <c r="C7" s="5">
        <f>E7-E6</f>
        <v/>
      </c>
      <c r="D7" s="6" t="n">
        <v>1060000</v>
      </c>
      <c r="E7" s="6" t="n">
        <v>1400000</v>
      </c>
      <c r="F7" s="5" t="inlineStr">
        <is>
          <t>ESTIMATE: official 30.11.2025 = 9,42,189 B / 10,99,699 C; Minister 11 Mar 2026: '&gt;10 lakh B, &gt;13 lakh C'; portal 30.04.2026 = 10,90,815 B / 15,87,009 C; interpolated to 31.03.2026</t>
        </is>
      </c>
      <c r="G7" s="2" t="inlineStr">
        <is>
          <t>PIB 2201309, LS Unstarred Q.1770 of 10 Dec 2025 (state-wise annexure as on 30.11.2025); Minister's statement 11 Mar 2026</t>
        </is>
      </c>
      <c r="H7" s="4" t="inlineStr">
        <is>
          <t>https://www.pib.gov.in/PressReleasePage.aspx?PRID=2201309</t>
        </is>
      </c>
      <c r="I7" s="4" t="inlineStr">
        <is>
          <t>https://www.thehawk.in/news/science/over-10-lakh-standalone-solar-pumps-installed-13-lakh-grid-connected-pumps-solarised</t>
        </is>
      </c>
    </row>
    <row r="8">
      <c r="A8" s="5" t="inlineStr">
        <is>
          <t>FY 2026-27 to Jun/Aug 2026 (year to date)</t>
        </is>
      </c>
      <c r="B8" s="5">
        <f>D8-D7</f>
        <v/>
      </c>
      <c r="C8" s="5">
        <f>E8-E7</f>
        <v/>
      </c>
      <c r="D8" s="6" t="n">
        <v>1180474</v>
      </c>
      <c r="E8" s="6" t="n">
        <v>1632880</v>
      </c>
      <c r="F8" s="5" t="inlineStr">
        <is>
          <t>Portal via secondary: 30.06.2026 = 11,49,988 B / 16,32,880 C / 1,726.92 MW A; Aug 2026 = 11,80,474 B</t>
        </is>
      </c>
      <c r="G8" s="2" t="inlineStr">
        <is>
          <t>MNRE PM-KUSUM dashboard figures reported by Saur Energy (21 Jul 2026) and Franchise India (Aug 2026)</t>
        </is>
      </c>
      <c r="H8" s="4" t="inlineStr">
        <is>
          <t>https://www.saurenergy.com/solar-energy-news/pm-kusums-missing-link-why-indias-solar-pump-success-isnt-yet-an-agricultural-energy-revolution-12183450</t>
        </is>
      </c>
      <c r="I8" s="4" t="inlineStr">
        <is>
          <t>https://www.franchiseindia.com/insights/en/article/pm-kusum-component-b-guide-2026-subsidy-tender-vendor-selection-and-allocation-process.59738</t>
        </is>
      </c>
    </row>
    <row r="9">
      <c r="A9" s="2" t="inlineStr">
        <is>
          <t>Latest official cumulative snapshot: 31 Jul 2025</t>
        </is>
      </c>
      <c r="B9" s="2" t="n"/>
      <c r="C9" s="2" t="n"/>
      <c r="D9" s="3" t="n">
        <v>853349</v>
      </c>
      <c r="E9" s="3" t="n">
        <v>654941</v>
      </c>
      <c r="F9" s="2" t="inlineStr">
        <is>
          <t>Official: B 8,53,349 of 12,72,758 sanctioned; C 6,54,941 (IPS 8,966 + FLS 6,45,975); A 640.99 MW</t>
        </is>
      </c>
      <c r="G9" s="2" t="inlineStr">
        <is>
          <t>Committee on Estimates, 7th Report (4 Dec 2025), table as on 31.07.2025; PIB factsheet 149232 (as of 14 Aug 2025) gives the same B figure</t>
        </is>
      </c>
      <c r="H9" s="4" t="inlineStr">
        <is>
          <t>https://sansad.in/getFile/lsscommittee/Estimates/18_Estimates_7.pdf?source=loksabhadocs</t>
        </is>
      </c>
      <c r="I9" s="4" t="inlineStr">
        <is>
          <t>https://www.pib.gov.in/FactsheetDetails.aspx?Id=149232&amp;reg=3&amp;lang=1</t>
        </is>
      </c>
    </row>
    <row r="10">
      <c r="A10" s="2" t="inlineStr">
        <is>
          <t>Latest official cumulative snapshot: 30 Nov 2025</t>
        </is>
      </c>
      <c r="B10" s="2" t="n"/>
      <c r="C10" s="2" t="n"/>
      <c r="D10" s="3" t="n">
        <v>942189</v>
      </c>
      <c r="E10" s="3" t="n">
        <v>1099699</v>
      </c>
      <c r="F10" s="2" t="inlineStr">
        <is>
          <t>Official: B 9,42,189 of 13,08,644 sanctioned; C 10,99,699 of 35,83,320; A 667.31 of 9,964 MW; 10,203 MW total; Rs 7,106 cr released</t>
        </is>
      </c>
      <c r="G10" s="2" t="inlineStr">
        <is>
          <t>PIB 2201309, Lok Sabha reply 10 Dec 2025</t>
        </is>
      </c>
      <c r="H10" s="4" t="inlineStr">
        <is>
          <t>https://www.pib.gov.in/PressReleasePage.aspx?PRID=2201309</t>
        </is>
      </c>
      <c r="I10" s="2" t="n"/>
    </row>
    <row r="11">
      <c r="A11" s="2" t="inlineStr">
        <is>
          <t>Latest official cumulative snapshot: 31 Jul 2026 (all pumps B + C)</t>
        </is>
      </c>
      <c r="B11" s="2" t="n"/>
      <c r="C11" s="2" t="n"/>
      <c r="D11" s="2" t="n"/>
      <c r="E11" s="2" t="n"/>
      <c r="F11" s="2" t="inlineStr">
        <is>
          <t>Official: 28,38,970 pumps solarised under PM-KUSUM; Rs 10,850.8 cr CFA released 2023-24 to Jul 2026</t>
        </is>
      </c>
      <c r="G11" s="2" t="inlineStr">
        <is>
          <t>Lok Sabha reply 12 Aug 2026 (reported by ANI)</t>
        </is>
      </c>
      <c r="H11" s="4" t="inlineStr">
        <is>
          <t>https://aninews.in/news/business/over-51-lakh-households-benefit-under-pm-surya-ghar-284-lakh-farm-pumps-solarised-govt20260812131651/</t>
        </is>
      </c>
      <c r="I11" s="2" t="n"/>
    </row>
    <row r="12">
      <c r="A12" s="7" t="inlineStr">
        <is>
          <t>TARGET: scheme target (pumps)</t>
        </is>
      </c>
      <c r="B12" s="7" t="n"/>
      <c r="C12" s="7" t="n"/>
      <c r="D12" s="8" t="n">
        <v>1400000</v>
      </c>
      <c r="E12" s="8" t="n">
        <v>3500000</v>
      </c>
      <c r="F12" s="7" t="inlineStr">
        <is>
          <t>Comp-B 14 lakh standalone pumps; Comp-C 35 lakh grid pumps (1.5 lakh individual + 33.5 lakh feeder-level); total 49 lakh pumps. Plus Comp-A 10,000 MW; 34.8 GW overall; outlay Rs 34,422 cr. Scheme period to 31 Mar 2026</t>
        </is>
      </c>
      <c r="G12" s="7" t="inlineStr">
        <is>
          <t>MNRE PM-KUSUM scheme page; target split per DoE OM 06.09.2023 quoted in Committee on Estimates 7th Report, para 2.53</t>
        </is>
      </c>
      <c r="H12" s="9" t="inlineStr">
        <is>
          <t>https://mnre.gov.in/en/pradhan-mantri-kisan-urja-suraksha-evam-utthaan-mahabhiyaan-pm-kusum/</t>
        </is>
      </c>
      <c r="I12" s="9" t="inlineStr">
        <is>
          <t>https://sansad.in/getFile/lsscommittee/Estimates/18_Estimates_7.pdf?source=loksabhadocs</t>
        </is>
      </c>
    </row>
    <row r="13">
      <c r="A13" s="7" t="inlineStr">
        <is>
          <t>TARGET: deadline extension</t>
        </is>
      </c>
      <c r="B13" s="7" t="n"/>
      <c r="C13" s="7" t="n"/>
      <c r="D13" s="7" t="n"/>
      <c r="E13" s="7" t="n"/>
      <c r="F13" s="7" t="inlineStr">
        <is>
          <t>Projects with PPA / NTP / LoA issued by 31 Dec 2025 may be completed by 31 Mar 2027 (MNRE OM 28 Mar 2026). No new sanctions after 31 Mar 2026</t>
        </is>
      </c>
      <c r="G13" s="7" t="inlineStr">
        <is>
          <t>MNRE OM 28 Mar 2026 (reported by Energetica India)</t>
        </is>
      </c>
      <c r="H13" s="9" t="inlineStr">
        <is>
          <t>https://www.energetica-india.net/news/mnre-extends-pm-kusum-project-completion-deadline-to-march-31-2027</t>
        </is>
      </c>
      <c r="I13" s="7" t="n"/>
    </row>
    <row r="14">
      <c r="A14" s="7" t="inlineStr">
        <is>
          <t>TARGET: annual target FY 2025-26</t>
        </is>
      </c>
      <c r="B14" s="8" t="n">
        <v>500000</v>
      </c>
      <c r="C14" s="8" t="n">
        <v>300000</v>
      </c>
      <c r="D14" s="7" t="n"/>
      <c r="E14" s="7" t="n"/>
      <c r="F14" s="7" t="inlineStr">
        <is>
          <t>MNRE annual physical target: Comp-B 5,00,000 pumps; Comp-C 3,00,000 pumps; Comp-A 1,000 MW (actual: B ~3.2 lakh, C ~11 lakh)</t>
        </is>
      </c>
      <c r="G14" s="7" t="inlineStr">
        <is>
          <t>Standing Committee on Energy, 5th Report, Demands for Grants 2025-26 (MNRE), table under para 2.7</t>
        </is>
      </c>
      <c r="H14" s="9" t="inlineStr">
        <is>
          <t>https://sansad.in/getFile/lsscommittee/Energy/18_Energy_5.pdf?source=loksabhadocs</t>
        </is>
      </c>
      <c r="I14" s="7" t="n"/>
    </row>
    <row r="15">
      <c r="A15" s="7" t="inlineStr">
        <is>
          <t>TARGET: PM-KUSUM 2.0 (successor, not yet approved)</t>
        </is>
      </c>
      <c r="B15" s="7" t="n"/>
      <c r="C15" s="7" t="n"/>
      <c r="D15" s="7" t="n"/>
      <c r="E15" s="7" t="n"/>
      <c r="F15" s="7" t="inlineStr">
        <is>
          <t>~Rs 50,000 cr outlay with a 10 GW agrivoltaics component; cleared by Expenditure Finance Committee (Dec 2025); Minister said 'set to be announced anytime' (9 Sep 2026); no Cabinet approval or pump target as of Sep 2026</t>
        </is>
      </c>
      <c r="G15" s="7" t="inlineStr">
        <is>
          <t>Down To Earth, 30 Dec 2025; Reslink (Minister's 9 Sep 2026 remark)</t>
        </is>
      </c>
      <c r="H15" s="9" t="inlineStr">
        <is>
          <t>https://www.downtoearth.org.in/energy/centre-readies-pm-kusum-20-as-focus-shifts-to-feeder-level-solarisation</t>
        </is>
      </c>
      <c r="I15" s="9" t="inlineStr">
        <is>
          <t>https://www.reslink.org/blogs/pm-kusum-2-0-is-coming-india-s-rs-50-000-crore-agricultural-solar-push/</t>
        </is>
      </c>
    </row>
    <row r="17">
      <c r="A17" s="10" t="inlineStr">
        <is>
          <t>Scheme: PM-KUSUM (MNRE), launched Mar 2019. Comp-B = new standalone off-grid solar pumps. Comp-C = existing grid-connected pumps solarised, counting pumps covered by feeder-level solarisation (FLS) plus individually solarised pumps (IPS). Comp-A = small farmer-owned plants (MW).</t>
        </is>
      </c>
    </row>
    <row r="18">
      <c r="A18" s="10" t="inlineStr">
        <is>
          <t>MNRE publishes cumulative 'as on' figures only. Yellow rows: year-end cumulatives are interpolated between the nearest official datapoints named in the Status column; 'added in period' is the difference between consecutive year-end rows (formulas).</t>
        </is>
      </c>
    </row>
    <row r="19">
      <c r="A19" s="10" t="inlineStr">
        <is>
          <t>Rows 9-11 are the latest fully official snapshots. Rows 12-15 are targets. Compiled 1 Oct 2026.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H6" r:id="rId6"/>
    <hyperlink xmlns:r="http://schemas.openxmlformats.org/officeDocument/2006/relationships" ref="I6" r:id="rId7"/>
    <hyperlink xmlns:r="http://schemas.openxmlformats.org/officeDocument/2006/relationships" ref="H7" r:id="rId8"/>
    <hyperlink xmlns:r="http://schemas.openxmlformats.org/officeDocument/2006/relationships" ref="I7" r:id="rId9"/>
    <hyperlink xmlns:r="http://schemas.openxmlformats.org/officeDocument/2006/relationships" ref="H8" r:id="rId10"/>
    <hyperlink xmlns:r="http://schemas.openxmlformats.org/officeDocument/2006/relationships" ref="I8" r:id="rId11"/>
    <hyperlink xmlns:r="http://schemas.openxmlformats.org/officeDocument/2006/relationships" ref="H9" r:id="rId12"/>
    <hyperlink xmlns:r="http://schemas.openxmlformats.org/officeDocument/2006/relationships" ref="I9" r:id="rId13"/>
    <hyperlink xmlns:r="http://schemas.openxmlformats.org/officeDocument/2006/relationships" ref="H10" r:id="rId14"/>
    <hyperlink xmlns:r="http://schemas.openxmlformats.org/officeDocument/2006/relationships" ref="H11" r:id="rId15"/>
    <hyperlink xmlns:r="http://schemas.openxmlformats.org/officeDocument/2006/relationships" ref="H12" r:id="rId16"/>
    <hyperlink xmlns:r="http://schemas.openxmlformats.org/officeDocument/2006/relationships" ref="I12" r:id="rId17"/>
    <hyperlink xmlns:r="http://schemas.openxmlformats.org/officeDocument/2006/relationships" ref="H13" r:id="rId18"/>
    <hyperlink xmlns:r="http://schemas.openxmlformats.org/officeDocument/2006/relationships" ref="H14" r:id="rId19"/>
    <hyperlink xmlns:r="http://schemas.openxmlformats.org/officeDocument/2006/relationships" ref="H15" r:id="rId20"/>
    <hyperlink xmlns:r="http://schemas.openxmlformats.org/officeDocument/2006/relationships" ref="I15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2026-10-01T06:52:40Z</dcterms:created>
  <dcterms:modified xsi:type="dcterms:W3CDTF">2026-10-01T06:52:40Z</dcterms:modified>
</cp:coreProperties>
</file>