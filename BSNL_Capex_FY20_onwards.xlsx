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ex Summary" sheetId="1" state="visible" r:id="rId1"/>
    <sheet name="Source Data (INR lakh)" sheetId="2" state="visible" r:id="rId2"/>
    <sheet name="Notes &amp; Sources" sheetId="3" state="visible" r:id="rId3"/>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0.0%);-"/>
  </numFmts>
  <fonts count="7">
    <font>
      <name val="Calibri"/>
      <family val="2"/>
      <color theme="1"/>
      <sz val="11"/>
      <scheme val="minor"/>
    </font>
    <font>
      <name val="Arial"/>
      <b val="1"/>
      <sz val="14"/>
    </font>
    <font>
      <name val="Arial"/>
      <i val="1"/>
      <color rgb="00595959"/>
      <sz val="10"/>
    </font>
    <font>
      <name val="Arial"/>
      <b val="1"/>
      <sz val="10"/>
    </font>
    <font>
      <name val="Arial"/>
      <sz val="10"/>
    </font>
    <font>
      <name val="Arial"/>
      <color rgb="000000FF"/>
      <sz val="10"/>
    </font>
    <font>
      <name val="Arial"/>
      <color rgb="00008000"/>
      <sz val="10"/>
    </font>
  </fonts>
  <fills count="5">
    <fill>
      <patternFill/>
    </fill>
    <fill>
      <patternFill patternType="gray125"/>
    </fill>
    <fill>
      <patternFill patternType="solid">
        <fgColor rgb="00D9E1F2"/>
      </patternFill>
    </fill>
    <fill>
      <patternFill patternType="solid">
        <fgColor rgb="00F2F2F2"/>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3" fillId="2" borderId="1" applyAlignment="1" pivotButton="0" quotePrefix="0" xfId="0">
      <alignment horizontal="center"/>
    </xf>
    <xf numFmtId="0" fontId="3" fillId="3" borderId="0" pivotButton="0" quotePrefix="0" xfId="0"/>
    <xf numFmtId="0" fontId="0" fillId="3" borderId="0" pivotButton="0" quotePrefix="0" xfId="0"/>
    <xf numFmtId="0" fontId="4" fillId="0" borderId="0" applyAlignment="1" pivotButton="0" quotePrefix="0" xfId="0">
      <alignment vertical="center" wrapText="1"/>
    </xf>
    <xf numFmtId="165" fontId="6" fillId="0" borderId="1" pivotButton="0" quotePrefix="0" xfId="0"/>
    <xf numFmtId="0" fontId="3" fillId="0" borderId="0" applyAlignment="1" pivotButton="0" quotePrefix="0" xfId="0">
      <alignment vertical="center" wrapText="1"/>
    </xf>
    <xf numFmtId="165" fontId="3" fillId="0" borderId="1" pivotButton="0" quotePrefix="0" xfId="0"/>
    <xf numFmtId="166" fontId="4" fillId="0" borderId="1" pivotButton="0" quotePrefix="0" xfId="0"/>
    <xf numFmtId="0" fontId="3" fillId="4"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0" applyAlignment="1" pivotButton="0" quotePrefix="0" xfId="0">
      <alignment vertical="top" wrapText="1"/>
    </xf>
    <xf numFmtId="164" fontId="5" fillId="0" borderId="1" pivotButton="0" quotePrefix="0" xfId="0"/>
    <xf numFmtId="164" fontId="0" fillId="0" borderId="1" pivotButton="0" quotePrefix="0" xfId="0"/>
    <xf numFmtId="0" fontId="3" fillId="0" borderId="0" pivotButton="0" quotePrefix="0" xfId="0"/>
    <xf numFmtId="0" fontId="2" fillId="0" borderId="0" applyAlignment="1" pivotButton="0" quotePrefix="0" xfId="0">
      <alignment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s>
  <sheetData>
    <row r="1">
      <c r="A1" s="1" t="inlineStr">
        <is>
          <t>BSNL - annual capital expenditure, FY2019-20 to FY2023-24</t>
        </is>
      </c>
    </row>
    <row r="2">
      <c r="A2" s="2" t="inlineStr">
        <is>
          <t>Standalone figures extracted from Bharat Sanchar Nigam Limited's annual reports. All amounts in INR crore (source figures are in INR lakh; 100 lakh = 1 crore).</t>
        </is>
      </c>
    </row>
    <row r="3">
      <c r="A3" s="2" t="inlineStr">
        <is>
          <t>Green = converted from the 'Source Data (INR lakh)' sheet.  Black = calculated.  Every figure traces to a printed line item; see 'Notes &amp; Sources'.</t>
        </is>
      </c>
    </row>
    <row r="5">
      <c r="A5" s="3" t="inlineStr">
        <is>
          <t>INR crore</t>
        </is>
      </c>
      <c r="B5" s="4" t="inlineStr">
        <is>
          <t>FY2019-20</t>
        </is>
      </c>
      <c r="C5" s="4" t="inlineStr">
        <is>
          <t>FY2020-21</t>
        </is>
      </c>
      <c r="D5" s="4" t="inlineStr">
        <is>
          <t>FY2021-22</t>
        </is>
      </c>
      <c r="E5" s="4" t="inlineStr">
        <is>
          <t>FY2022-23</t>
        </is>
      </c>
      <c r="F5" s="4" t="inlineStr">
        <is>
          <t>FY2023-24</t>
        </is>
      </c>
    </row>
    <row r="6">
      <c r="A6" s="5" t="inlineStr">
        <is>
          <t>A. Cash capex (Statement of Cash Flows - investing activities)</t>
        </is>
      </c>
      <c r="B6" s="6" t="n"/>
      <c r="C6" s="6" t="n"/>
      <c r="D6" s="6" t="n"/>
      <c r="E6" s="6" t="n"/>
      <c r="F6" s="6" t="n"/>
    </row>
    <row r="7">
      <c r="A7" s="7" t="inlineStr">
        <is>
          <t>Acquisition of property, plant and equipment (and CWIP)</t>
        </is>
      </c>
      <c r="B7" s="8">
        <f>'Source Data (INR lakh)'!B5/100</f>
        <v>7198.88</v>
      </c>
      <c r="C7" s="8">
        <f>'Source Data (INR lakh)'!C5/100</f>
        <v>815.33</v>
      </c>
      <c r="D7" s="8">
        <f>'Source Data (INR lakh)'!D5/100</f>
        <v>3985.52</v>
      </c>
      <c r="E7" s="8">
        <f>'Source Data (INR lakh)'!E5/100</f>
        <v>2197.89</v>
      </c>
      <c r="F7" s="8">
        <f>'Source Data (INR lakh)'!F5/100</f>
        <v>11124.84</v>
      </c>
    </row>
    <row r="8">
      <c r="A8" s="7" t="inlineStr">
        <is>
          <t>Acquisition of intangible assets (spectrum, software)</t>
        </is>
      </c>
      <c r="B8" s="8">
        <f>N('Source Data (INR lakh)'!B6)/100</f>
        <v>0.0</v>
      </c>
      <c r="C8" s="8">
        <f>N('Source Data (INR lakh)'!C6)/100</f>
        <v>0.0</v>
      </c>
      <c r="D8" s="8">
        <f>N('Source Data (INR lakh)'!D6)/100</f>
        <v>0.0</v>
      </c>
      <c r="E8" s="8">
        <f>N('Source Data (INR lakh)'!E6)/100</f>
        <v>19964.11</v>
      </c>
      <c r="F8" s="8">
        <f>N('Source Data (INR lakh)'!F6)/100</f>
        <v>10320.59</v>
      </c>
    </row>
    <row r="9">
      <c r="A9" s="9" t="inlineStr">
        <is>
          <t>Total cash capex</t>
        </is>
      </c>
      <c r="B9" s="10">
        <f>SUM(B7:B8)</f>
        <v>7198.88</v>
      </c>
      <c r="C9" s="10">
        <f>SUM(C7:C8)</f>
        <v>815.33</v>
      </c>
      <c r="D9" s="10">
        <f>SUM(D7:D8)</f>
        <v>3985.52</v>
      </c>
      <c r="E9" s="10">
        <f>SUM(E7:E8)</f>
        <v>22162.0</v>
      </c>
      <c r="F9" s="10">
        <f>SUM(F7:F8)</f>
        <v>21445.43</v>
      </c>
    </row>
    <row r="11">
      <c r="A11" s="5" t="inlineStr">
        <is>
          <t>B. Accrual capex (additions to gross block per the asset notes)</t>
        </is>
      </c>
      <c r="B11" s="6" t="n"/>
      <c r="C11" s="6" t="n"/>
      <c r="D11" s="6" t="n"/>
      <c r="E11" s="6" t="n"/>
      <c r="F11" s="6" t="n"/>
    </row>
    <row r="12">
      <c r="A12" s="7" t="inlineStr">
        <is>
          <t>Additions to property, plant and equipment</t>
        </is>
      </c>
      <c r="B12" s="8">
        <f>'Source Data (INR lakh)'!B7/100</f>
        <v>5567.87</v>
      </c>
      <c r="C12" s="8">
        <f>'Source Data (INR lakh)'!C7/100</f>
        <v>1991.41</v>
      </c>
      <c r="D12" s="8">
        <f>'Source Data (INR lakh)'!D7/100</f>
        <v>1219.23</v>
      </c>
      <c r="E12" s="8">
        <f>'Source Data (INR lakh)'!E7/100</f>
        <v>1159.79</v>
      </c>
      <c r="F12" s="8">
        <f>'Source Data (INR lakh)'!F7/100</f>
        <v>1817.07</v>
      </c>
    </row>
    <row r="13">
      <c r="A13" s="7" t="inlineStr">
        <is>
          <t>Additions to capital work-in-progress (net of provisions)</t>
        </is>
      </c>
      <c r="B13" s="8">
        <f>'Source Data (INR lakh)'!B8/100</f>
        <v>8275.58</v>
      </c>
      <c r="C13" s="8">
        <f>'Source Data (INR lakh)'!C8/100</f>
        <v>3493.36</v>
      </c>
      <c r="D13" s="8">
        <f>'Source Data (INR lakh)'!D8/100</f>
        <v>2572.37</v>
      </c>
      <c r="E13" s="8">
        <f>'Source Data (INR lakh)'!E8/100</f>
        <v>2088.36</v>
      </c>
      <c r="F13" s="8">
        <f>'Source Data (INR lakh)'!F8/100</f>
        <v>9413.1</v>
      </c>
    </row>
    <row r="14">
      <c r="A14" s="7" t="inlineStr">
        <is>
          <t>Additions to intangible assets</t>
        </is>
      </c>
      <c r="B14" s="8">
        <f>'Source Data (INR lakh)'!B9/100</f>
        <v>25.84</v>
      </c>
      <c r="C14" s="8">
        <f>'Source Data (INR lakh)'!C9/100</f>
        <v>26.1</v>
      </c>
      <c r="D14" s="8">
        <f>'Source Data (INR lakh)'!D9/100</f>
        <v>6.0</v>
      </c>
      <c r="E14" s="8">
        <f>'Source Data (INR lakh)'!E9/100</f>
        <v>19964.11</v>
      </c>
      <c r="F14" s="8">
        <f>'Source Data (INR lakh)'!F9/100</f>
        <v>10329.71</v>
      </c>
    </row>
    <row r="15">
      <c r="A15" s="7" t="inlineStr">
        <is>
          <t xml:space="preserve">     of which: spectrum capitalised</t>
        </is>
      </c>
      <c r="B15" s="8">
        <f>N('Source Data (INR lakh)'!B10)/100</f>
        <v>0.0</v>
      </c>
      <c r="C15" s="8">
        <f>N('Source Data (INR lakh)'!C10)/100</f>
        <v>0.0</v>
      </c>
      <c r="D15" s="8">
        <f>N('Source Data (INR lakh)'!D10)/100</f>
        <v>0.0</v>
      </c>
      <c r="E15" s="8">
        <f>N('Source Data (INR lakh)'!E10)/100</f>
        <v>19808.0</v>
      </c>
      <c r="F15" s="8">
        <f>N('Source Data (INR lakh)'!F10)/100</f>
        <v>10253.31</v>
      </c>
    </row>
    <row r="16">
      <c r="A16" s="9" t="inlineStr">
        <is>
          <t>Memo: total additions (PPE + CWIP + intangibles)</t>
        </is>
      </c>
      <c r="B16" s="10">
        <f>B12+B13+B14</f>
        <v>13869.29</v>
      </c>
      <c r="C16" s="10">
        <f>C12+C13+C14</f>
        <v>5510.87</v>
      </c>
      <c r="D16" s="10">
        <f>D12+D13+D14</f>
        <v>3797.6</v>
      </c>
      <c r="E16" s="10">
        <f>E12+E13+E14</f>
        <v>23212.26</v>
      </c>
      <c r="F16" s="10">
        <f>F12+F13+F14</f>
        <v>21559.88</v>
      </c>
    </row>
    <row r="17">
      <c r="A17" s="2" t="inlineStr">
        <is>
          <t xml:space="preserve">     Not a clean total - assets transferred out of CWIP into PPE during the year appear in both the PPE and the CWIP additions columns.</t>
        </is>
      </c>
    </row>
    <row r="19">
      <c r="A19" s="5" t="inlineStr">
        <is>
          <t>C. Context</t>
        </is>
      </c>
      <c r="B19" s="6" t="n"/>
      <c r="C19" s="6" t="n"/>
      <c r="D19" s="6" t="n"/>
      <c r="E19" s="6" t="n"/>
      <c r="F19" s="6" t="n"/>
    </row>
    <row r="20">
      <c r="A20" s="7" t="inlineStr">
        <is>
          <t>Revenue from operations</t>
        </is>
      </c>
      <c r="B20" s="8">
        <f>'Source Data (INR lakh)'!B11/100</f>
        <v>17886.09</v>
      </c>
      <c r="C20" s="8">
        <f>'Source Data (INR lakh)'!C11/100</f>
        <v>17451.8</v>
      </c>
      <c r="D20" s="8">
        <f>'Source Data (INR lakh)'!D11/100</f>
        <v>16809.22</v>
      </c>
      <c r="E20" s="8">
        <f>'Source Data (INR lakh)'!E11/100</f>
        <v>19127.79</v>
      </c>
      <c r="F20" s="8">
        <f>'Source Data (INR lakh)'!F11/100</f>
        <v>19330.71</v>
      </c>
    </row>
    <row r="21">
      <c r="A21" s="7" t="inlineStr">
        <is>
          <t>Total cash capex as % of revenue</t>
        </is>
      </c>
      <c r="B21" s="11">
        <f>IF(B20=0,"",B9/B20)</f>
        <v>0.402484835981</v>
      </c>
      <c r="C21" s="11">
        <f>IF(C20=0,"",C9/C20)</f>
        <v>0.046718963087</v>
      </c>
      <c r="D21" s="11">
        <f>IF(D20=0,"",D9/D20)</f>
        <v>0.237103208834</v>
      </c>
      <c r="E21" s="11">
        <f>IF(E20=0,"",E9/E20)</f>
        <v>1.158628362189</v>
      </c>
      <c r="F21" s="11">
        <f>IF(F20=0,"",F9/F20)</f>
        <v>1.109396912995</v>
      </c>
    </row>
    <row r="24">
      <c r="A24" s="12" t="inlineStr">
        <is>
          <t>FY2024-25 (25th Annual Report) - not included above</t>
        </is>
      </c>
    </row>
    <row r="25">
      <c r="A25" s="13" t="inlineStr">
        <is>
          <t>BSNL's FY2024-25 annual report is not published on bsnl.co.in in a form reachable from this environment and has no Internet Archive capture, so no FY25 figure is extracted here. For reference only, PIB press release PRID 2131702 (27 May 2025) reports FY25 capex of INR 26,022 crore, comprising INR 15,324 crore of equipment/towers and INR 10,698 crore of spectrum. That is a government press figure, not an audited annual-report line item, and is not comparable to the rows above.</t>
        </is>
      </c>
    </row>
    <row r="26"/>
    <row r="27"/>
    <row r="28"/>
  </sheetData>
  <mergeCells count="1">
    <mergeCell ref="A25:F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70" customWidth="1" min="7" max="7"/>
  </cols>
  <sheetData>
    <row r="1">
      <c r="A1" s="1" t="inlineStr">
        <is>
          <t>BSNL - capex source figures as printed in the annual reports</t>
        </is>
      </c>
    </row>
    <row r="2">
      <c r="A2" s="2" t="inlineStr">
        <is>
          <t>Standalone financial statements. All amounts in INR lakh, exactly as printed. Blue = hardcoded from the report; blank = not disclosed as a separate line.</t>
        </is>
      </c>
    </row>
    <row r="4" ht="30" customHeight="1">
      <c r="A4" s="14" t="inlineStr">
        <is>
          <t>Line item (as printed)</t>
        </is>
      </c>
      <c r="B4" s="14" t="inlineStr">
        <is>
          <t>FY2019-20</t>
        </is>
      </c>
      <c r="C4" s="14" t="inlineStr">
        <is>
          <t>FY2020-21</t>
        </is>
      </c>
      <c r="D4" s="14" t="inlineStr">
        <is>
          <t>FY2021-22</t>
        </is>
      </c>
      <c r="E4" s="14" t="inlineStr">
        <is>
          <t>FY2022-23</t>
        </is>
      </c>
      <c r="F4" s="14" t="inlineStr">
        <is>
          <t>FY2023-24</t>
        </is>
      </c>
      <c r="G4" s="14" t="inlineStr">
        <is>
          <t>Where in the report</t>
        </is>
      </c>
    </row>
    <row r="5">
      <c r="A5" s="15" t="inlineStr">
        <is>
          <t>Cash flow: acquisition of property, plant and equipment (and CWIP)</t>
        </is>
      </c>
      <c r="B5" s="16" t="n">
        <v>719888</v>
      </c>
      <c r="C5" s="16" t="n">
        <v>81533</v>
      </c>
      <c r="D5" s="16" t="n">
        <v>398552</v>
      </c>
      <c r="E5" s="16" t="n">
        <v>219789</v>
      </c>
      <c r="F5" s="16" t="n">
        <v>1112484</v>
      </c>
      <c r="G5" s="13" t="inlineStr">
        <is>
          <t>Standalone Statement of Cash Flows, 'B. Cash flows from investing activities'. FY20-FY22 line reads 'Acquisition of property, plant and equipment'; FY23-FY24 line reads 'Acquisition of property, plant and equipment and CWIP'.</t>
        </is>
      </c>
    </row>
    <row r="6">
      <c r="A6" s="15" t="inlineStr">
        <is>
          <t>Cash flow: acquisition of intangible assets</t>
        </is>
      </c>
      <c r="B6" s="17" t="n"/>
      <c r="C6" s="17" t="n"/>
      <c r="D6" s="17" t="n"/>
      <c r="E6" s="16" t="n">
        <v>1996411</v>
      </c>
      <c r="F6" s="16" t="n">
        <v>1032059</v>
      </c>
      <c r="G6" s="13" t="inlineStr">
        <is>
          <t>Standalone Statement of Cash Flows, investing activities. No separate intangibles line was presented in the FY20, FY21 and FY22 cash flow statements.</t>
        </is>
      </c>
    </row>
    <row r="7">
      <c r="A7" s="15" t="inlineStr">
        <is>
          <t>Note 3(i) PPE: additions to gross block</t>
        </is>
      </c>
      <c r="B7" s="16" t="n">
        <v>556787</v>
      </c>
      <c r="C7" s="16" t="n">
        <v>199141</v>
      </c>
      <c r="D7" s="16" t="n">
        <v>121923</v>
      </c>
      <c r="E7" s="16" t="n">
        <v>115979</v>
      </c>
      <c r="F7" s="16" t="n">
        <v>181707</v>
      </c>
      <c r="G7" s="13" t="inlineStr">
        <is>
          <t>Note 3(i) Tangible assets, 'Additions' column of the gross block table (Total row). FY23 figure taken from the comparative column of the 24th AR.</t>
        </is>
      </c>
    </row>
    <row r="8">
      <c r="A8" s="15" t="inlineStr">
        <is>
          <t>Note 3(ii) CWIP: additions (net of provisions)</t>
        </is>
      </c>
      <c r="B8" s="16" t="n">
        <v>827558</v>
      </c>
      <c r="C8" s="16" t="n">
        <v>349336</v>
      </c>
      <c r="D8" s="16" t="n">
        <v>257237</v>
      </c>
      <c r="E8" s="16" t="n">
        <v>208836</v>
      </c>
      <c r="F8" s="16" t="n">
        <v>941310</v>
      </c>
      <c r="G8" s="13" t="inlineStr">
        <is>
          <t>Note 3(ii) Capital work-in-progress, 'Additions' column, Total row (CWIP + CWIP in store, less movements in the related provisions).</t>
        </is>
      </c>
    </row>
    <row r="9">
      <c r="A9" s="15" t="inlineStr">
        <is>
          <t>Note 4 Intangible assets: additions to gross block</t>
        </is>
      </c>
      <c r="B9" s="16" t="n">
        <v>2584</v>
      </c>
      <c r="C9" s="16" t="n">
        <v>2610</v>
      </c>
      <c r="D9" s="16" t="n">
        <v>600</v>
      </c>
      <c r="E9" s="16" t="n">
        <v>1996411</v>
      </c>
      <c r="F9" s="16" t="n">
        <v>1032971</v>
      </c>
      <c r="G9" s="13" t="inlineStr">
        <is>
          <t>Note 4 Intangible assets, 'Additions' column of the gross block table (Total row). FY23/FY24 additions are dominated by spectrum capitalised under 'Entry license fees'.</t>
        </is>
      </c>
    </row>
    <row r="10">
      <c r="A10" s="15" t="inlineStr">
        <is>
          <t>of which: spectrum capitalised</t>
        </is>
      </c>
      <c r="B10" s="17" t="n"/>
      <c r="C10" s="17" t="n"/>
      <c r="D10" s="17" t="n"/>
      <c r="E10" s="16" t="n">
        <v>1980800</v>
      </c>
      <c r="F10" s="16" t="n">
        <v>1025331</v>
      </c>
      <c r="G10" s="13" t="inlineStr">
        <is>
          <t>Note 4 Intangible assets, 'Entry license fees' row and notes (a)-(c) thereunder. FY23: 900/1800 MHz allotment INR 19,80,800 lakh. FY24: 700 MHz INR 8,20,918 lakh + 2100 MHz INR 1,49,182 lakh + spectrum fee INR 55,230 lakh.</t>
        </is>
      </c>
    </row>
    <row r="11">
      <c r="A11" s="15" t="inlineStr">
        <is>
          <t>Revenue from operations (for capex intensity)</t>
        </is>
      </c>
      <c r="B11" s="16" t="n">
        <v>1788609</v>
      </c>
      <c r="C11" s="16" t="n">
        <v>1745180</v>
      </c>
      <c r="D11" s="16" t="n">
        <v>1680922</v>
      </c>
      <c r="E11" s="16" t="n">
        <v>1912779</v>
      </c>
      <c r="F11" s="16" t="n">
        <v>1933071</v>
      </c>
      <c r="G11" s="13" t="inlineStr">
        <is>
          <t>Standalone Statement of Profit and Loss, 'Revenue from operations'. FY23 figure taken from the comparative column of the 24th AR.</t>
        </is>
      </c>
    </row>
    <row r="13">
      <c r="A13" s="18" t="inlineStr">
        <is>
          <t>Annual report used for each column</t>
        </is>
      </c>
      <c r="B13" s="19" t="inlineStr">
        <is>
          <t>20th AR</t>
        </is>
      </c>
      <c r="C13" s="19" t="inlineStr">
        <is>
          <t>21st AR</t>
        </is>
      </c>
      <c r="D13" s="19" t="inlineStr">
        <is>
          <t>22nd AR</t>
        </is>
      </c>
      <c r="E13" s="19" t="inlineStr">
        <is>
          <t>23rd AR (via 24th AR)</t>
        </is>
      </c>
      <c r="F13" s="19" t="inlineStr">
        <is>
          <t>24th 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0" customWidth="1" min="1" max="1"/>
    <col width="22" customWidth="1" min="2" max="2"/>
    <col width="78" customWidth="1" min="3" max="3"/>
    <col width="22" customWidth="1" min="4" max="4"/>
    <col width="22" customWidth="1" min="5" max="5"/>
    <col width="22" customWidth="1" min="6" max="6"/>
  </cols>
  <sheetData>
    <row r="1">
      <c r="A1" s="1" t="inlineStr">
        <is>
          <t>Notes, sources and caveats</t>
        </is>
      </c>
    </row>
    <row r="3">
      <c r="A3" s="18" t="inlineStr">
        <is>
          <t>Reports used</t>
        </is>
      </c>
    </row>
    <row r="4">
      <c r="A4" s="3" t="inlineStr">
        <is>
          <t>Financial year</t>
        </is>
      </c>
      <c r="B4" s="3" t="inlineStr">
        <is>
          <t>Report</t>
        </is>
      </c>
      <c r="C4" s="3" t="inlineStr">
        <is>
          <t>Source URL</t>
        </is>
      </c>
      <c r="D4" s="3" t="inlineStr">
        <is>
          <t>Pages</t>
        </is>
      </c>
    </row>
    <row r="5">
      <c r="A5" s="20" t="inlineStr">
        <is>
          <t>FY2019-20</t>
        </is>
      </c>
      <c r="B5" s="20" t="inlineStr">
        <is>
          <t>20th Annual Report</t>
        </is>
      </c>
      <c r="C5" s="20" t="inlineStr">
        <is>
          <t>https://tender.bsnl.co.in/bsnltenders/pdf/BSNL _Annual Report 2019-20.pdf</t>
        </is>
      </c>
      <c r="D5" s="20" t="inlineStr">
        <is>
          <t>480</t>
        </is>
      </c>
    </row>
    <row r="6">
      <c r="A6" s="20" t="inlineStr">
        <is>
          <t>FY2020-21</t>
        </is>
      </c>
      <c r="B6" s="20" t="inlineStr">
        <is>
          <t>21st Annual Report</t>
        </is>
      </c>
      <c r="C6" s="20" t="inlineStr">
        <is>
          <t>https://bsnl.co.in/opencms/export/finresult/21ST_ENGLISH_BSNL_ANNUAL_REPORT.pdf</t>
        </is>
      </c>
      <c r="D6" s="20" t="inlineStr">
        <is>
          <t>480</t>
        </is>
      </c>
    </row>
    <row r="7">
      <c r="A7" s="20" t="inlineStr">
        <is>
          <t>FY2021-22</t>
        </is>
      </c>
      <c r="B7" s="20" t="inlineStr">
        <is>
          <t>22nd Annual Report</t>
        </is>
      </c>
      <c r="C7" s="20" t="inlineStr">
        <is>
          <t>https://bsnl.co.in/opencms/export/sites/default/BSNL/investors/pdf/BSNL_AR_2021-22.pdf</t>
        </is>
      </c>
      <c r="D7" s="20" t="inlineStr">
        <is>
          <t>516</t>
        </is>
      </c>
    </row>
    <row r="8">
      <c r="A8" s="20" t="inlineStr">
        <is>
          <t>FY2022-23</t>
        </is>
      </c>
      <c r="B8" s="20" t="inlineStr">
        <is>
          <t>23rd Annual Report</t>
        </is>
      </c>
      <c r="C8" s="20" t="inlineStr">
        <is>
          <t>https://bsnl.co.in/opencms/export/sites/default/BSNL/investors/pdf/Annual_Report_2022-23.pdf</t>
        </is>
      </c>
      <c r="D8" s="20" t="inlineStr">
        <is>
          <t>544</t>
        </is>
      </c>
    </row>
    <row r="9">
      <c r="A9" s="20" t="inlineStr">
        <is>
          <t>FY2023-24</t>
        </is>
      </c>
      <c r="B9" s="20" t="inlineStr">
        <is>
          <t>24th Annual Report</t>
        </is>
      </c>
      <c r="C9" s="20" t="inlineStr">
        <is>
          <t>https://bsnl.co.in/opencms/export/sites/default/BSNL/investors/pdf/Annual_Report_2023_24.pdf</t>
        </is>
      </c>
      <c r="D9" s="20" t="inlineStr">
        <is>
          <t>556</t>
        </is>
      </c>
    </row>
    <row r="11">
      <c r="A11" s="18" t="inlineStr">
        <is>
          <t>Which number is 'capex'</t>
        </is>
      </c>
    </row>
    <row r="12" ht="15" customHeight="1">
      <c r="A12" s="15" t="inlineStr">
        <is>
          <t>BSNL does not print a single 'capital expenditure' total in its financial statements. Two defensible measures are given: (A) cash actually paid for fixed assets, from the investing section of the cash flow statement, and (B) accrual additions to the gross block of PPE, CWIP and intangibles from the asset notes. They differ because of creditor timing, non-cash additions and spectrum allotted against equity infusion.</t>
        </is>
      </c>
    </row>
    <row r="13"/>
    <row r="14"/>
    <row r="16">
      <c r="A16" s="18" t="inlineStr">
        <is>
          <t>Spectrum dominates FY2022-23 and FY2023-24</t>
        </is>
      </c>
    </row>
    <row r="17" ht="15" customHeight="1">
      <c r="A17" s="15" t="inlineStr">
        <is>
          <t>The step-up in FY23 and FY24 is spectrum administratively allotted by DoT under the BSNL revival packages and capitalised under 'Entry license fees': INR 19,808 crore in FY23 (900/1800 MHz) and INR 10,253 crore in FY24 (700 MHz INR 8,209 crore, 2100 MHz INR 1,492 crore, regularisation fee INR 552 crore). Excluding spectrum, capex is far smaller and much flatter across all five years.</t>
        </is>
      </c>
    </row>
    <row r="18"/>
    <row r="19"/>
    <row r="21">
      <c r="A21" s="18" t="inlineStr">
        <is>
          <t>FY2020-21 cash capex looks anomalously low</t>
        </is>
      </c>
    </row>
    <row r="22" ht="15" customHeight="1">
      <c r="A22" s="15" t="inlineStr">
        <is>
          <t>The FY21 cash flow statement shows only INR 815 crore of PPE acquisition against INR 1,991 crore of gross-block additions and INR 3,493 crore of CWIP additions. This is a cash-timing effect (capital creditors), not an error in extraction - the FY22 report reprints the same INR 81,533 lakh comparative.</t>
        </is>
      </c>
    </row>
    <row r="23"/>
    <row r="24"/>
    <row r="26">
      <c r="A26" s="18" t="inlineStr">
        <is>
          <t>Segment note 'Capital expenditure during the year' is unreliable in the 24th AR</t>
        </is>
      </c>
    </row>
    <row r="27" ht="15" customHeight="1">
      <c r="A27" s="15" t="inlineStr">
        <is>
          <t>In the 20th to 22nd annual reports this segment row exactly equals additions to the PPE gross block (FY20 5,56,787 lakh; FY21 1,99,141 lakh; FY22 1,21,923 lakh). In the 24th AR the FY23 row (5,65,863 lakh) instead reproduces that year's depreciation and amortisation figures line for line, and the FY24 row totals 2,63,71,771 lakh - larger than the company's entire segment asset base. Both are misprints, so this row is not used and the asset notes are used instead.</t>
        </is>
      </c>
    </row>
    <row r="28"/>
    <row r="29"/>
    <row r="31">
      <c r="A31" s="18" t="inlineStr">
        <is>
          <t>FY2022-23 figures were read from the 24th Annual Report</t>
        </is>
      </c>
    </row>
    <row r="32" ht="15" customHeight="1">
      <c r="A32" s="15" t="inlineStr">
        <is>
          <t>The 23rd Annual Report PDF stores its financial statements with subset fonts that carry no Unicode mapping, so the numbers cannot be reliably read from that file by text extraction. The FY23 column therefore uses the comparative (prior-year) columns printed in the 24th Annual Report, which are the same audited figures.</t>
        </is>
      </c>
    </row>
    <row r="33"/>
    <row r="34"/>
    <row r="36">
      <c r="A36" s="18" t="inlineStr">
        <is>
          <t>Standalone, not consolidated</t>
        </is>
      </c>
    </row>
    <row r="37" ht="15" customHeight="1">
      <c r="A37" s="15" t="inlineStr">
        <is>
          <t>All figures are standalone. The 24th AR's consolidated cash flow shows a marginally different PPE/CWIP acquisition (INR 11,124.84 crore standalone vs the same figure consolidated for FY24; FY23 219,789 lakh standalone vs 222,862 lakh consolidated).</t>
        </is>
      </c>
    </row>
    <row r="38"/>
    <row r="39"/>
    <row r="41">
      <c r="A41" s="18" t="inlineStr">
        <is>
          <t>Retrieval note</t>
        </is>
      </c>
    </row>
    <row r="42" ht="15" customHeight="1">
      <c r="A42" s="15" t="inlineStr">
        <is>
          <t>bsnl.co.in refuses connections from this environment, so the report PDFs were retrieved from Internet Archive captures of the URLs listed above. Page counts were checked against the originals (480/480/516/544/556 pages).</t>
        </is>
      </c>
    </row>
    <row r="43"/>
    <row r="44"/>
  </sheetData>
  <mergeCells count="7">
    <mergeCell ref="A37:F39"/>
    <mergeCell ref="A32:F34"/>
    <mergeCell ref="A27:F29"/>
    <mergeCell ref="A22:F24"/>
    <mergeCell ref="A42:F44"/>
    <mergeCell ref="A12:F14"/>
    <mergeCell ref="A17:F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2026-08-04T11:25:38Z</dcterms:created>
  <dcterms:modified xsi:type="dcterms:W3CDTF">2026-08-04T11:25:38Z</dcterms:modified>
</cp:coreProperties>
</file>