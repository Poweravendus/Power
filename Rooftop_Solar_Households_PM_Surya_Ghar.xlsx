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imeline" sheetId="2" state="visible" r:id="rId2"/>
    <sheet name="Annual_Additions" sheetId="3" state="visible" r:id="rId3"/>
    <sheet name="Targets" sheetId="4" state="visible" r:id="rId4"/>
    <sheet name="Monthly_RunRate" sheetId="5" state="visible" r:id="rId5"/>
    <sheet name="State_wise_Dec2025" sheetId="6" state="visible" r:id="rId6"/>
    <sheet name="State_wise_Jan2026" sheetId="7" state="visible" r:id="rId7"/>
    <sheet name="Pre_Scheme_Baseline" sheetId="8" state="visible" r:id="rId8"/>
    <sheet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4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9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India residential rooftop solar: households added annually and current target</t>
        </is>
      </c>
    </row>
    <row r="2">
      <c r="A2" s="2" t="inlineStr">
        <is>
          <t>Scheme: PM Surya Ghar: Muft Bijli Yojana (PMSG:MBY), Ministry of New &amp; Renewable Energy (MNRE). Launched 13 Feb 2024, Cabinet approved 29 Feb 2024, outlay Rs 75,021 crore.</t>
        </is>
      </c>
    </row>
    <row r="3">
      <c r="A3" s="2" t="inlineStr">
        <is>
          <t>Compiled 1 Oct 2026 from Parliament answers (Lok Sabha / Rajya Sabha), PIB press releases, MNRE, PRS and the scheme's National Portal. Every number carries its source and 'as on' date in the Timeline sheet.</t>
        </is>
      </c>
    </row>
    <row r="4">
      <c r="A4" s="2" t="inlineStr"/>
    </row>
    <row r="5">
      <c r="A5" s="3" t="inlineStr">
        <is>
          <t>CURRENT TARGET (official, unchanged since Feb 2024): 1 crore (10 million) residential households with rooftop solar by FY 2026-27, i.e. by 31 March 2027. Reaffirmed in Lok Sabha Starred Q.59 answered 22 Jul 2026.</t>
        </is>
      </c>
    </row>
    <row r="6">
      <c r="A6" s="2" t="inlineStr">
        <is>
          <t>Interim target stated by Minister Pralhad Joshi (PIB, 4 Jun 2026): 75 lakh households by December 2026. Annual target for FY 2025-26 (Rajya Sabha, 8 Dec 2025): 35 lakh households. MNRE Secretary (press, 15 Sep 2026): likely 85-90 lakh by March 2027, i.e. a shortfall vs 1 crore.</t>
        </is>
      </c>
    </row>
    <row r="7">
      <c r="A7" s="2" t="inlineStr"/>
    </row>
    <row r="8">
      <c r="A8" s="3" t="inlineStr">
        <is>
          <t>HOW TO READ 'ANNUAL ADDITIONS': MNRE does not publish a financial-year-wise series of households added. It publishes cumulative figures with an 'as on' date. The Annual_Additions sheet derives yearly additions as the difference between the nearest official cumulative datapoints to each year-end. Yellow cells are derived/approximate; the anchor dates are shown so you can judge the gap to the actual year-end.</t>
        </is>
      </c>
    </row>
    <row r="9">
      <c r="A9" s="2" t="inlineStr">
        <is>
          <t>TWO COUNTS: 'RTS systems installed' (one rooftop plant) vs 'households benefitted' (a group-housing-society plant counts many households). Official statements switch between the two; the 'target' is in households. Both are tracked here.</t>
        </is>
      </c>
    </row>
    <row r="10">
      <c r="A10" s="2" t="inlineStr">
        <is>
          <t>PRE-SCHEME BASELINE: 7.94 lakh residential rooftop installations in the entire decade before Feb 2024 (MNRE, Aug 2026), i.e. roughly 7,000 per month (Minister Joshi, Jun 2026). PM Surya Ghar is now running at 3-5 lakh per month.</t>
        </is>
      </c>
    </row>
    <row r="11">
      <c r="A11" s="2" t="inlineStr"/>
    </row>
    <row r="12">
      <c r="A12" s="2" t="inlineStr">
        <is>
          <t>Sheets: Annual_Additions | Timeline (all official datapoints) | Targets | Monthly_RunRate | State_wise_Dec2025 (Rajya Sabha annexure) | State_wise_Jan2026 (PRS from portal) | Pre_Scheme_Baseline | Sources</t>
        </is>
      </c>
    </row>
    <row r="13">
      <c r="A13" s="2" t="inlineStr">
        <is>
          <t>Caveat on sourcing: pmsuryaghar.gov.in blocks automated access, so portal-dashboard figures (Aug 2026 rows) are taken as reported second-hand by JMK Research / Urban Acres and are marked 'portal via secondary'. Everything else is from a primary government document.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8" customWidth="1" min="8" max="8"/>
    <col width="40" customWidth="1" min="9" max="9"/>
    <col width="55" customWidth="1" min="10" max="10"/>
    <col width="50" customWidth="1" min="11" max="11"/>
  </cols>
  <sheetData>
    <row r="1">
      <c r="A1" s="4" t="inlineStr">
        <is>
          <t>As on date</t>
        </is>
      </c>
      <c r="B1" s="4" t="inlineStr">
        <is>
          <t>RTS systems installed (nos.)</t>
        </is>
      </c>
      <c r="C1" s="4" t="inlineStr">
        <is>
          <t>Households benefitted (nos.)</t>
        </is>
      </c>
      <c r="D1" s="4" t="inlineStr">
        <is>
          <t>Applications received (nos.)</t>
        </is>
      </c>
      <c r="E1" s="4" t="inlineStr">
        <is>
          <t>Capacity installed (MW)</t>
        </is>
      </c>
      <c r="F1" s="4" t="inlineStr">
        <is>
          <t>CFA / subsidy released (Rs crore)</t>
        </is>
      </c>
      <c r="G1" s="4" t="inlineStr">
        <is>
          <t>Zero-bill households (nos.)</t>
        </is>
      </c>
      <c r="H1" s="4" t="inlineStr">
        <is>
          <t>Source type</t>
        </is>
      </c>
      <c r="I1" s="4" t="inlineStr">
        <is>
          <t>Who / document</t>
        </is>
      </c>
      <c r="J1" s="4" t="inlineStr">
        <is>
          <t>Source URL</t>
        </is>
      </c>
      <c r="K1" s="4" t="inlineStr">
        <is>
          <t>Notes</t>
        </is>
      </c>
    </row>
    <row r="2">
      <c r="A2" s="5" t="n">
        <v>45335</v>
      </c>
      <c r="B2" s="6" t="n"/>
      <c r="C2" s="6" t="n"/>
      <c r="D2" s="6" t="n"/>
      <c r="E2" s="6" t="n"/>
      <c r="F2" s="6" t="n"/>
      <c r="G2" s="6" t="n"/>
      <c r="H2" s="6" t="inlineStr">
        <is>
          <t>PIB</t>
        </is>
      </c>
      <c r="I2" s="6" t="inlineStr">
        <is>
          <t>Scheme launch by PM; Cabinet approval 29 Feb 2024 (PIB 2010133)</t>
        </is>
      </c>
      <c r="J2" s="6" t="inlineStr">
        <is>
          <t>https://www.pib.gov.in/PressReleasePage.aspx?PRID=2010133</t>
        </is>
      </c>
      <c r="K2" s="6" t="inlineStr">
        <is>
          <t>Target: 1 crore households; outlay Rs 75,021 cr; 30 GW residential rooftop</t>
        </is>
      </c>
    </row>
    <row r="3">
      <c r="A3" s="5" t="n">
        <v>45626</v>
      </c>
      <c r="B3" s="7" t="n">
        <v>400000</v>
      </c>
      <c r="C3" s="6" t="n"/>
      <c r="D3" s="6" t="n"/>
      <c r="E3" s="6" t="n"/>
      <c r="F3" s="7" t="n">
        <v>3100</v>
      </c>
      <c r="G3" s="6" t="n"/>
      <c r="H3" s="6" t="inlineStr">
        <is>
          <t>PIB</t>
        </is>
      </c>
      <c r="I3" s="6" t="inlineStr">
        <is>
          <t>PIB 2080833, 5 Dec 2024 (subsidy disbursed to &gt;4 lakh consumers by Nov 2024)</t>
        </is>
      </c>
      <c r="J3" s="6" t="inlineStr">
        <is>
          <t>https://www.pib.gov.in/PressReleasePage.aspx?PRID=2080833</t>
        </is>
      </c>
      <c r="K3" s="6" t="inlineStr">
        <is>
          <t>Column B here = consumers who received subsidy, not installations</t>
        </is>
      </c>
    </row>
    <row r="4">
      <c r="A4" s="5" t="n">
        <v>45629</v>
      </c>
      <c r="B4" s="7" t="n">
        <v>630000</v>
      </c>
      <c r="C4" s="6" t="n"/>
      <c r="D4" s="7" t="n">
        <v>2638000</v>
      </c>
      <c r="E4" s="6" t="n"/>
      <c r="F4" s="6" t="n"/>
      <c r="G4" s="6" t="n"/>
      <c r="H4" s="6" t="inlineStr">
        <is>
          <t>PIB</t>
        </is>
      </c>
      <c r="I4" s="6" t="inlineStr">
        <is>
          <t>PIB 2080833 / 2081250, 5 Dec 2024: 6.3 lakh installations in 9 months, avg 70,000/month; 1.45 crore registrations</t>
        </is>
      </c>
      <c r="J4" s="6" t="inlineStr">
        <is>
          <t>https://www.pib.gov.in/PressReleasePage.aspx?PRID=2081250</t>
        </is>
      </c>
      <c r="K4" s="6" t="inlineStr">
        <is>
          <t>Roadmap stated: 10 lakh by Mar 2025, 20 lakh by Oct 2025, 40 lakh by Mar 2026, 1 crore by Mar 2027</t>
        </is>
      </c>
    </row>
    <row r="5">
      <c r="A5" s="5" t="n">
        <v>45726</v>
      </c>
      <c r="B5" s="7" t="n">
        <v>1009000</v>
      </c>
      <c r="C5" s="6" t="n"/>
      <c r="D5" s="7" t="n">
        <v>4730000</v>
      </c>
      <c r="E5" s="7" t="n">
        <v>3000</v>
      </c>
      <c r="F5" s="7" t="n">
        <v>4770</v>
      </c>
      <c r="G5" s="6" t="n"/>
      <c r="H5" s="6" t="inlineStr">
        <is>
          <t>PIB</t>
        </is>
      </c>
      <c r="I5" s="6" t="inlineStr">
        <is>
          <t>PIB 2110283, 13 Mar 2025: 10.09 lakh installations; 6.13 lakh subsidies paid; &gt;3 GW</t>
        </is>
      </c>
      <c r="J5" s="6" t="inlineStr">
        <is>
          <t>https://www.pib.gov.in/PressReleasePage.aspx?PRID=2110283</t>
        </is>
      </c>
      <c r="K5" s="6" t="inlineStr">
        <is>
          <t>Closest official datapoint to FY2024-25 year-end</t>
        </is>
      </c>
    </row>
    <row r="6">
      <c r="A6" s="5" t="n">
        <v>45923</v>
      </c>
      <c r="B6" s="6" t="n"/>
      <c r="C6" s="7" t="n">
        <v>2000000</v>
      </c>
      <c r="D6" s="6" t="n"/>
      <c r="E6" s="6" t="n"/>
      <c r="F6" s="6" t="n"/>
      <c r="G6" s="6" t="n"/>
      <c r="H6" s="6" t="inlineStr">
        <is>
          <t>Press (MNRE Secretary)</t>
        </is>
      </c>
      <c r="I6" s="6" t="inlineStr">
        <is>
          <t>Tribune, 23 Sep 2025: ~20 lakh households covered; 15-20 lakh to be added in FY26, 30-40 lakh next year</t>
        </is>
      </c>
      <c r="J6" s="6" t="inlineStr">
        <is>
          <t>https://www.tribuneindia.com/news/business/mnre-secretary-hopeful-of-achieving-one-crore-rooftop-solar-installations-under-pm-suryaghar-in-quick-time/amp</t>
        </is>
      </c>
      <c r="K6" s="6" t="inlineStr">
        <is>
          <t>Rounded figure</t>
        </is>
      </c>
    </row>
    <row r="7">
      <c r="A7" s="5" t="n">
        <v>45994</v>
      </c>
      <c r="B7" s="7" t="n">
        <v>1917698</v>
      </c>
      <c r="C7" s="7" t="n">
        <v>2396497</v>
      </c>
      <c r="D7" s="7" t="n">
        <v>5354099</v>
      </c>
      <c r="E7" s="6" t="n"/>
      <c r="F7" s="6" t="n"/>
      <c r="G7" s="6" t="n"/>
      <c r="H7" s="6" t="inlineStr">
        <is>
          <t>Rajya Sabha / PIB</t>
        </is>
      </c>
      <c r="I7" s="6" t="inlineStr">
        <is>
          <t>PIB 2200441, MoS Shripad Naik, RS written reply 8 Dec 2025; 23.96% of target; FY26 target 35 lakh households</t>
        </is>
      </c>
      <c r="J7" s="6" t="inlineStr">
        <is>
          <t>https://www.pib.gov.in/PressReleasePage.aspx?PRID=2200441</t>
        </is>
      </c>
      <c r="K7" s="6" t="inlineStr"/>
    </row>
    <row r="8">
      <c r="A8" s="5" t="n">
        <v>46000</v>
      </c>
      <c r="B8" s="7" t="n">
        <v>1945758</v>
      </c>
      <c r="C8" s="7" t="n">
        <v>2435196</v>
      </c>
      <c r="D8" s="6" t="n"/>
      <c r="E8" s="8" t="n">
        <v>7075.78</v>
      </c>
      <c r="F8" s="8" t="n">
        <v>13926.25</v>
      </c>
      <c r="G8" s="7" t="n">
        <v>771580</v>
      </c>
      <c r="H8" s="6" t="inlineStr">
        <is>
          <t>Rajya Sabha / PIB</t>
        </is>
      </c>
      <c r="I8" s="6" t="inlineStr">
        <is>
          <t>PIB 2204466, MoS Naik, RS written reply 16 Dec 2025, state-wise annexure; 7,075.78 MW per AIR 9 Dec 2025</t>
        </is>
      </c>
      <c r="J8" s="6" t="inlineStr">
        <is>
          <t>https://www.pib.gov.in/PressReleasePage.aspx?PRID=2204466</t>
        </is>
      </c>
      <c r="K8" s="6" t="inlineStr">
        <is>
          <t>Full state-wise table in State_wise_Dec2025 sheet</t>
        </is>
      </c>
    </row>
    <row r="9">
      <c r="A9" s="5" t="n">
        <v>46022</v>
      </c>
      <c r="B9" s="7" t="n">
        <v>2085514</v>
      </c>
      <c r="C9" s="7" t="n">
        <v>2614446</v>
      </c>
      <c r="D9" s="6" t="n"/>
      <c r="E9" s="6" t="n"/>
      <c r="F9" s="8" t="n">
        <v>14771.82</v>
      </c>
      <c r="G9" s="6" t="n"/>
      <c r="H9" s="6" t="inlineStr">
        <is>
          <t>Rajya Sabha</t>
        </is>
      </c>
      <c r="I9" s="6" t="inlineStr">
        <is>
          <t>MoS Naik, RS written reply, Feb 2026 (reported SolarQuarter 4 Feb 2026)</t>
        </is>
      </c>
      <c r="J9" s="6" t="inlineStr">
        <is>
          <t>https://solarquarter.com/2026/02/04/india-expands-distributed-solar-footprint-under-pm-surya-ghar-with-20-85-lakh-installations-and-26-lakh-beneficiaries/</t>
        </is>
      </c>
      <c r="K9" s="6" t="inlineStr">
        <is>
          <t>Calendar-year 2025 end anchor</t>
        </is>
      </c>
    </row>
    <row r="10">
      <c r="A10" s="5" t="n">
        <v>46032</v>
      </c>
      <c r="B10" s="7" t="n">
        <v>2143149</v>
      </c>
      <c r="C10" s="7" t="n">
        <v>2684400</v>
      </c>
      <c r="D10" s="7" t="n">
        <v>5561902</v>
      </c>
      <c r="E10" s="6" t="n"/>
      <c r="F10" s="6" t="n"/>
      <c r="G10" s="6" t="n"/>
      <c r="H10" s="6" t="inlineStr">
        <is>
          <t>National Portal via PRS</t>
        </is>
      </c>
      <c r="I10" s="6" t="inlineStr">
        <is>
          <t>PRS Demand for Grants 2026-27 analysis, Table 7 (portal data as on 10 Jan 2026)</t>
        </is>
      </c>
      <c r="J10" s="6" t="inlineStr">
        <is>
          <t>https://prsindia.org/files/budget/budget_parliament/2026/DfG_Analysis_2026-27-Power.pdf</t>
        </is>
      </c>
      <c r="K10" s="6" t="inlineStr">
        <is>
          <t>State-wise in State_wise_Jan2026 sheet</t>
        </is>
      </c>
    </row>
    <row r="11">
      <c r="A11" s="5" t="n">
        <v>46086</v>
      </c>
      <c r="B11" s="7" t="n">
        <v>2502217</v>
      </c>
      <c r="C11" s="6" t="n"/>
      <c r="D11" s="6" t="n"/>
      <c r="E11" s="6" t="n"/>
      <c r="F11" s="6" t="n"/>
      <c r="G11" s="6" t="n"/>
      <c r="H11" s="6" t="inlineStr">
        <is>
          <t>Rajya Sabha</t>
        </is>
      </c>
      <c r="I11" s="6" t="inlineStr">
        <is>
          <t>MoS Power, RS reply, Mar 2026</t>
        </is>
      </c>
      <c r="J11" s="6" t="inlineStr">
        <is>
          <t>https://www.socialnews.xyz/2026/03/10/over-25-lakh-rooftop-solar-systems-installed-under-pm-surya-ghar-yojana</t>
        </is>
      </c>
      <c r="K11" s="6" t="inlineStr"/>
    </row>
    <row r="12">
      <c r="A12" s="5" t="n">
        <v>46097</v>
      </c>
      <c r="B12" s="7" t="n">
        <v>2587685</v>
      </c>
      <c r="C12" s="7" t="n">
        <v>3202697</v>
      </c>
      <c r="D12" s="6" t="n"/>
      <c r="E12" s="6" t="n"/>
      <c r="F12" s="6" t="n"/>
      <c r="G12" s="6" t="n"/>
      <c r="H12" s="6" t="inlineStr">
        <is>
          <t>Lok Sabha</t>
        </is>
      </c>
      <c r="I12" s="6" t="inlineStr">
        <is>
          <t>Minister Pralhad Joshi, LS reply 18 Mar 2026 (Down To Earth 'As told to Parliament')</t>
        </is>
      </c>
      <c r="J12" s="6" t="inlineStr">
        <is>
          <t>https://www.downtoearth.org.in/governance/as-told-to-parliament-march-18-2026-surya-ghar-yojana-benefitting-3202697-households-says-centre</t>
        </is>
      </c>
      <c r="K12" s="6" t="inlineStr"/>
    </row>
    <row r="13">
      <c r="A13" s="5" t="n">
        <v>46100</v>
      </c>
      <c r="B13" s="7" t="n">
        <v>2619879</v>
      </c>
      <c r="C13" s="7" t="n">
        <v>3240000</v>
      </c>
      <c r="D13" s="6" t="n"/>
      <c r="E13" s="7" t="n">
        <v>9560</v>
      </c>
      <c r="F13" s="8" t="n">
        <v>17967.53</v>
      </c>
      <c r="G13" s="6" t="n"/>
      <c r="H13" s="6" t="inlineStr">
        <is>
          <t>Parliament / PIB</t>
        </is>
      </c>
      <c r="I13" s="6" t="inlineStr">
        <is>
          <t>MoS Naik reply 24-25 Mar 2026: 26,19,879 systems, 9.56 GW, 32.4 lakh households, CFA Rs 17,967.53 cr</t>
        </is>
      </c>
      <c r="J13" s="6" t="inlineStr">
        <is>
          <t>https://solarquarter.com/2026/03/25/pm-surya-ghar-yojana-updates-2026-26-lakh-rooftop-solar-installations-across-india-with-%E2%82%B917967-crore-central-financial-assistance/</t>
        </is>
      </c>
      <c r="K13" s="6" t="inlineStr">
        <is>
          <t>Closest official datapoint to FY2025-26 year-end</t>
        </is>
      </c>
    </row>
    <row r="14">
      <c r="A14" s="5" t="n">
        <v>46173</v>
      </c>
      <c r="B14" s="7" t="n">
        <v>3300000</v>
      </c>
      <c r="C14" s="7" t="n">
        <v>4000000</v>
      </c>
      <c r="D14" s="7" t="n">
        <v>6500000</v>
      </c>
      <c r="E14" s="7" t="n">
        <v>12000</v>
      </c>
      <c r="F14" s="7" t="n">
        <v>22750</v>
      </c>
      <c r="G14" s="7" t="n">
        <v>1700000</v>
      </c>
      <c r="H14" s="6" t="inlineStr">
        <is>
          <t>PIB</t>
        </is>
      </c>
      <c r="I14" s="6" t="inlineStr">
        <is>
          <t>PIB 2268992, 4 Jun 2026: &gt;33 lakh systems, &gt;40 lakh households, &gt;12 GW, Rs 22,750 cr; May 2026 record 3.16 lakh installations; 75 lakh target by Dec 2026</t>
        </is>
      </c>
      <c r="J14" s="6" t="inlineStr">
        <is>
          <t>https://www.pib.gov.in/PressReleasePage.aspx?PRID=2268992</t>
        </is>
      </c>
      <c r="K14" s="6" t="inlineStr">
        <is>
          <t>Rounded ('more than')</t>
        </is>
      </c>
    </row>
    <row r="15">
      <c r="A15" s="5" t="n">
        <v>46223</v>
      </c>
      <c r="B15" s="7" t="n">
        <v>3938805</v>
      </c>
      <c r="C15" s="7" t="n">
        <v>4747341</v>
      </c>
      <c r="D15" s="7" t="n">
        <v>7647000</v>
      </c>
      <c r="E15" s="7" t="n">
        <v>14070</v>
      </c>
      <c r="F15" s="8" t="n">
        <v>27323.55</v>
      </c>
      <c r="G15" s="7" t="n">
        <v>1893000</v>
      </c>
      <c r="H15" s="6" t="inlineStr">
        <is>
          <t>Lok Sabha</t>
        </is>
      </c>
      <c r="I15" s="6" t="inlineStr">
        <is>
          <t>LS Unstarred Q.580 answered 22 Jul 2026 (MoS Naik) + LS reply reported Energetica 24 Jul 2026</t>
        </is>
      </c>
      <c r="J15" s="6" t="inlineStr">
        <is>
          <t>https://sansad.in/getFile/lsapps/loksabhaquestions/annex/188/AU580_5TGlZa.pdf</t>
        </is>
      </c>
      <c r="K15" s="6" t="inlineStr">
        <is>
          <t>LS Starred Q.59 same day reaffirms 1 crore by FY2026-27; Tamil Nadu district-wise annexure</t>
        </is>
      </c>
    </row>
    <row r="16">
      <c r="A16" s="5" t="n">
        <v>46225</v>
      </c>
      <c r="B16" s="7" t="n">
        <v>3972447</v>
      </c>
      <c r="C16" s="7" t="n">
        <v>4802717</v>
      </c>
      <c r="D16" s="6" t="n"/>
      <c r="E16" s="6" t="n"/>
      <c r="F16" s="6" t="n"/>
      <c r="G16" s="7" t="n">
        <v>1890000</v>
      </c>
      <c r="H16" s="6" t="inlineStr">
        <is>
          <t>Rajya Sabha</t>
        </is>
      </c>
      <c r="I16" s="6" t="inlineStr">
        <is>
          <t>MoS Naik, RS written reply 29 Jul 2026 (SolarQuarter)</t>
        </is>
      </c>
      <c r="J16" s="6" t="inlineStr">
        <is>
          <t>https://solarquarter.com/2026/07/29/pm-surya-ghar-scheme-nears-4-million-rooftop-solar-installations-over-1-89-million-households-report-zero-power-bills/</t>
        </is>
      </c>
      <c r="K16" s="6" t="inlineStr">
        <is>
          <t>Budget spend: FY25 Rs 7,822.92 cr; FY26 Rs 16,166.23 cr; FY27 BE Rs 22,000 cr (Rs 10,392 cr spent to 22 Jul 2026)</t>
        </is>
      </c>
    </row>
    <row r="17">
      <c r="A17" s="5" t="n">
        <v>46234</v>
      </c>
      <c r="B17" s="6" t="n"/>
      <c r="C17" s="7" t="n">
        <v>5006000</v>
      </c>
      <c r="D17" s="6" t="n"/>
      <c r="E17" s="7" t="n">
        <v>14800</v>
      </c>
      <c r="F17" s="7" t="n">
        <v>28024</v>
      </c>
      <c r="G17" s="7" t="n">
        <v>1900000</v>
      </c>
      <c r="H17" s="6" t="inlineStr">
        <is>
          <t>MNRE / PIB</t>
        </is>
      </c>
      <c r="I17" s="6" t="inlineStr">
        <is>
          <t>MNRE release 4 Aug 2026 (DD India / pv magazine): 50.06 lakh households; July 2026 record 5.06 lakh; 14.8 GW; vs 7.94 lakh in prior decade</t>
        </is>
      </c>
      <c r="J17" s="6" t="inlineStr">
        <is>
          <t>https://ddindia.co.in/2026/08/pm-surya-ghar-scheme-crosses-50-lakh-rooftop-solar-installations/</t>
        </is>
      </c>
      <c r="K17" s="6" t="inlineStr">
        <is>
          <t>Households, not systems</t>
        </is>
      </c>
    </row>
    <row r="18">
      <c r="A18" s="5" t="n">
        <v>46244</v>
      </c>
      <c r="B18" s="7" t="n">
        <v>4190000</v>
      </c>
      <c r="C18" s="7" t="n">
        <v>5040000</v>
      </c>
      <c r="D18" s="7" t="n">
        <v>7770000</v>
      </c>
      <c r="E18" s="8" t="n">
        <v>14894.95</v>
      </c>
      <c r="F18" s="8" t="n">
        <v>28390.5</v>
      </c>
      <c r="G18" s="6" t="n"/>
      <c r="H18" s="6" t="inlineStr">
        <is>
          <t>Rajya Sabha</t>
        </is>
      </c>
      <c r="I18" s="6" t="inlineStr">
        <is>
          <t>MoS Naik, RS reply ~11 Aug 2026 (Hans India): 41.9 lakh systems, 50.4 lakh households, 14,894.95 MW, Rs 28,390.50 cr</t>
        </is>
      </c>
      <c r="J18" s="6" t="inlineStr">
        <is>
          <t>https://www.thehansindia.com/amp/business/pm-surya-ghar-scheme-receives-777-million-applications-installs-419-million-solar-systems-1108246</t>
        </is>
      </c>
      <c r="K18" s="6" t="inlineStr">
        <is>
          <t>Latest Parliament datapoint; FY2026-27 YTD anchor (official)</t>
        </is>
      </c>
    </row>
    <row r="19">
      <c r="A19" s="9" t="n">
        <v>46265</v>
      </c>
      <c r="B19" s="10" t="n">
        <v>4644000</v>
      </c>
      <c r="C19" s="10" t="n">
        <v>5528000</v>
      </c>
      <c r="D19" s="10" t="n">
        <v>8062000</v>
      </c>
      <c r="E19" s="10" t="n">
        <v>16369</v>
      </c>
      <c r="F19" s="10" t="n">
        <v>30885</v>
      </c>
      <c r="G19" s="11" t="n"/>
      <c r="H19" s="11" t="inlineStr">
        <is>
          <t>Portal via secondary</t>
        </is>
      </c>
      <c r="I19" s="11" t="inlineStr">
        <is>
          <t>PMSG:MBY portal data compiled by JMK Research, reported Urban Acres 5 Sep 2026: 46.44 lakh installations, 55.28 lakh households, 16,369 MW; alt snapshot 54,65,417 hh / 16,185.48 MW</t>
        </is>
      </c>
      <c r="J19" s="11" t="inlineStr">
        <is>
          <t>https://urbanacres.in/pm-surya-ghars-rooftop-solar-push-reveals-a-scale-up-gap/</t>
        </is>
      </c>
      <c r="K19" s="11" t="inlineStr">
        <is>
          <t>NOT a primary government document; portal blocks automated access so could not be verified directly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  <col width="14" customWidth="1" min="8" max="8"/>
    <col width="70" customWidth="1" min="9" max="9"/>
  </cols>
  <sheetData>
    <row r="1">
      <c r="A1" s="4" t="inlineStr">
        <is>
          <t>Period</t>
        </is>
      </c>
      <c r="B1" s="4" t="inlineStr">
        <is>
          <t>Anchor date used (end of period)</t>
        </is>
      </c>
      <c r="C1" s="4" t="inlineStr">
        <is>
          <t>Cumulative RTS systems at anchor</t>
        </is>
      </c>
      <c r="D1" s="4" t="inlineStr">
        <is>
          <t>Cumulative households at anchor</t>
        </is>
      </c>
      <c r="E1" s="4" t="inlineStr">
        <is>
          <t>Systems added in period</t>
        </is>
      </c>
      <c r="F1" s="4" t="inlineStr">
        <is>
          <t>Households added in period</t>
        </is>
      </c>
      <c r="G1" s="4" t="inlineStr">
        <is>
          <t>Official target for the period (households)</t>
        </is>
      </c>
      <c r="H1" s="4" t="inlineStr">
        <is>
          <t>Achievement vs target</t>
        </is>
      </c>
      <c r="I1" s="4" t="inlineStr">
        <is>
          <t>Basis / caveat</t>
        </is>
      </c>
    </row>
    <row r="2">
      <c r="A2" s="6" t="inlineStr">
        <is>
          <t>Pre-scheme decade (2014 to Feb 2024)</t>
        </is>
      </c>
      <c r="B2" s="5" t="n"/>
      <c r="C2" s="7" t="n">
        <v>794000</v>
      </c>
      <c r="D2" s="7" t="n"/>
      <c r="E2" s="10" t="n">
        <v>794000</v>
      </c>
      <c r="F2" s="10" t="n"/>
      <c r="G2" s="7" t="n"/>
      <c r="H2" s="12" t="n"/>
      <c r="I2" s="6" t="inlineStr">
        <is>
          <t>MNRE, Aug 2026: 7.94 lakh residential rooftop installations in the decade before the scheme (~80,000/yr; ~7,000/month per Minister Joshi, Jun 2026)</t>
        </is>
      </c>
    </row>
    <row r="3">
      <c r="A3" s="6" t="inlineStr">
        <is>
          <t>FY 2023-24 (13 Feb - 31 Mar 2024)</t>
        </is>
      </c>
      <c r="B3" s="5" t="n">
        <v>45382</v>
      </c>
      <c r="C3" s="7" t="n"/>
      <c r="D3" s="7" t="n"/>
      <c r="E3" s="10" t="n"/>
      <c r="F3" s="10" t="n"/>
      <c r="G3" s="7" t="n"/>
      <c r="H3" s="12" t="n"/>
      <c r="I3" s="6" t="inlineStr">
        <is>
          <t>Negligible; scheme launched 13 Feb 2024, subsidy disbursal only began Jun 2024 after elections. No official figure published.</t>
        </is>
      </c>
    </row>
    <row r="4">
      <c r="A4" s="6" t="inlineStr">
        <is>
          <t>FY 2024-25</t>
        </is>
      </c>
      <c r="B4" s="5">
        <f>Timeline!A5</f>
        <v/>
      </c>
      <c r="C4" s="7">
        <f>Timeline!B5</f>
        <v/>
      </c>
      <c r="D4" s="7" t="n"/>
      <c r="E4" s="10">
        <f>C4</f>
        <v/>
      </c>
      <c r="F4" s="10" t="n"/>
      <c r="G4" s="7" t="n"/>
      <c r="H4" s="12" t="n"/>
      <c r="I4" s="6" t="inlineStr">
        <is>
          <t>Anchor = 10 Mar 2025 (10.09 lakh systems). True 31 Mar 2025 figure not published; at the then run-rate (~1 lakh/month) FY25 close is ~10.7-11 lakh systems.</t>
        </is>
      </c>
    </row>
    <row r="5">
      <c r="A5" s="6" t="inlineStr">
        <is>
          <t>FY 2025-26</t>
        </is>
      </c>
      <c r="B5" s="5">
        <f>Timeline!A13</f>
        <v/>
      </c>
      <c r="C5" s="7">
        <f>Timeline!B13</f>
        <v/>
      </c>
      <c r="D5" s="7">
        <f>Timeline!C13</f>
        <v/>
      </c>
      <c r="E5" s="10">
        <f>C5-C4</f>
        <v/>
      </c>
      <c r="F5" s="10" t="n"/>
      <c r="G5" s="7" t="n">
        <v>3500000</v>
      </c>
      <c r="H5" s="12">
        <f>E5/G5</f>
        <v/>
      </c>
      <c r="I5" s="6" t="inlineStr">
        <is>
          <t>Achievement = systems added / household target (slightly understates, since households &gt; systems). Anchor = 19 Mar 2026 (26,19,879 systems / 32.4 lakh households). Target 35 lakh households for FY26 (RS, 8 Dec 2025). Households added in FY26 ~ 19-20 lakh if FY25-end households were ~13 lakh (not published).</t>
        </is>
      </c>
    </row>
    <row r="6">
      <c r="A6" s="6" t="inlineStr">
        <is>
          <t>FY 2026-27 YTD (Apr - ~10 Aug 2026), official</t>
        </is>
      </c>
      <c r="B6" s="5">
        <f>Timeline!A18</f>
        <v/>
      </c>
      <c r="C6" s="7">
        <f>Timeline!B18</f>
        <v/>
      </c>
      <c r="D6" s="7">
        <f>Timeline!C18</f>
        <v/>
      </c>
      <c r="E6" s="10">
        <f>C6-C5</f>
        <v/>
      </c>
      <c r="F6" s="10">
        <f>D6-D5</f>
        <v/>
      </c>
      <c r="G6" s="7" t="n"/>
      <c r="H6" s="12" t="n"/>
      <c r="I6" s="6" t="inlineStr">
        <is>
          <t>Anchor = Rajya Sabha reply ~10 Aug 2026 (41.9 lakh systems / 50.4 lakh households). About 4.5 months of FY27.</t>
        </is>
      </c>
    </row>
    <row r="7">
      <c r="A7" s="6" t="inlineStr">
        <is>
          <t>FY 2026-27 YTD (Apr - Aug 2026), portal</t>
        </is>
      </c>
      <c r="B7" s="5">
        <f>Timeline!A19</f>
        <v/>
      </c>
      <c r="C7" s="7">
        <f>Timeline!B19</f>
        <v/>
      </c>
      <c r="D7" s="7">
        <f>Timeline!C19</f>
        <v/>
      </c>
      <c r="E7" s="10">
        <f>C7-C5</f>
        <v/>
      </c>
      <c r="F7" s="10">
        <f>D7-D5</f>
        <v/>
      </c>
      <c r="G7" s="7" t="n"/>
      <c r="H7" s="12" t="n"/>
      <c r="I7" s="6" t="inlineStr">
        <is>
          <t>Anchor = portal snapshot end-Aug 2026 via JMK/Urban Acres (46.44 lakh systems / 55.28 lakh households). Secondary source.</t>
        </is>
      </c>
    </row>
    <row r="8">
      <c r="A8" s="6" t="inlineStr">
        <is>
          <t>Calendar 2024 (13 Feb - 3 Dec 2024)</t>
        </is>
      </c>
      <c r="B8" s="5">
        <f>Timeline!A4</f>
        <v/>
      </c>
      <c r="C8" s="7">
        <f>Timeline!B4</f>
        <v/>
      </c>
      <c r="D8" s="7" t="n"/>
      <c r="E8" s="10">
        <f>C8</f>
        <v/>
      </c>
      <c r="F8" s="10" t="n"/>
      <c r="G8" s="7" t="n"/>
      <c r="H8" s="12" t="n"/>
      <c r="I8" s="6" t="inlineStr">
        <is>
          <t>PIB 5 Dec 2024: 6.3 lakh installations in first 9 months. CY2024 close likely ~7 lakh.</t>
        </is>
      </c>
    </row>
    <row r="9">
      <c r="A9" s="6" t="inlineStr">
        <is>
          <t>Calendar 2025</t>
        </is>
      </c>
      <c r="B9" s="5">
        <f>Timeline!A9</f>
        <v/>
      </c>
      <c r="C9" s="7">
        <f>Timeline!B9</f>
        <v/>
      </c>
      <c r="D9" s="7">
        <f>Timeline!C9</f>
        <v/>
      </c>
      <c r="E9" s="10">
        <f>C9-C8</f>
        <v/>
      </c>
      <c r="F9" s="10" t="n"/>
      <c r="G9" s="7" t="n"/>
      <c r="H9" s="12" t="n"/>
      <c r="I9" s="6" t="inlineStr">
        <is>
          <t>31 Dec 2025 official: 20,85,514 systems / 26,14,446 households (RS reply). Households added in CY2025 ~ 18-19 lakh (CY2024-end households not published).</t>
        </is>
      </c>
    </row>
    <row r="10">
      <c r="A10" s="6" t="inlineStr">
        <is>
          <t>Calendar 2026 YTD (Jan - ~10 Aug 2026), official</t>
        </is>
      </c>
      <c r="B10" s="5">
        <f>Timeline!A18</f>
        <v/>
      </c>
      <c r="C10" s="7">
        <f>Timeline!B18</f>
        <v/>
      </c>
      <c r="D10" s="7">
        <f>Timeline!C18</f>
        <v/>
      </c>
      <c r="E10" s="10">
        <f>C10-C9</f>
        <v/>
      </c>
      <c r="F10" s="10">
        <f>D10-D9</f>
        <v/>
      </c>
      <c r="G10" s="7" t="n">
        <v>7500000</v>
      </c>
      <c r="H10" s="12">
        <f>D10/G10</f>
        <v/>
      </c>
      <c r="I10" s="6" t="inlineStr">
        <is>
          <t>Target column = Minister's stated 75 lakh households by Dec 2026 (PIB 4 Jun 2026); achievement = cumulative households at anchor / 75 lakh. Households added Jan-Aug 2026 ~ 24 lakh.</t>
        </is>
      </c>
    </row>
    <row r="11">
      <c r="A11" s="6" t="inlineStr">
        <is>
          <t>Cumulative since launch to ~10 Aug 2026</t>
        </is>
      </c>
      <c r="B11" s="5">
        <f>Timeline!A18</f>
        <v/>
      </c>
      <c r="C11" s="7">
        <f>Timeline!B18</f>
        <v/>
      </c>
      <c r="D11" s="7">
        <f>Timeline!C18</f>
        <v/>
      </c>
      <c r="E11" s="10" t="n"/>
      <c r="F11" s="10" t="n"/>
      <c r="G11" s="7" t="n">
        <v>10000000</v>
      </c>
      <c r="H11" s="12">
        <f>D11/G11</f>
        <v/>
      </c>
      <c r="I11" s="6" t="inlineStr">
        <is>
          <t>Scheme target: 1 crore households by FY 2026-27 (31 Mar 2027). ~50% reached with ~7.5 months left; MNRE Secretary (15 Sep 2026) expects 85-90 lakh by Mar 2027.</t>
        </is>
      </c>
    </row>
    <row r="13">
      <c r="A13" s="13" t="inlineStr">
        <is>
          <t>Yellow = derived by subtraction between nearest official cumulative datapoints; anchors are not exact year-ends. Formulas link to the Timeline 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40" customWidth="1" min="4" max="4"/>
    <col width="14" customWidth="1" min="5" max="5"/>
    <col width="45" customWidth="1" min="6" max="6"/>
    <col width="55" customWidth="1" min="7" max="7"/>
  </cols>
  <sheetData>
    <row r="1">
      <c r="A1" s="4" t="inlineStr">
        <is>
          <t>Target / milestone</t>
        </is>
      </c>
      <c r="B1" s="4" t="inlineStr">
        <is>
          <t>Value</t>
        </is>
      </c>
      <c r="C1" s="4" t="inlineStr">
        <is>
          <t>Deadline</t>
        </is>
      </c>
      <c r="D1" s="4" t="inlineStr">
        <is>
          <t>Set by / stated in</t>
        </is>
      </c>
      <c r="E1" s="4" t="inlineStr">
        <is>
          <t>Date stated</t>
        </is>
      </c>
      <c r="F1" s="4" t="inlineStr">
        <is>
          <t>Status as of Sep 2026</t>
        </is>
      </c>
      <c r="G1" s="4" t="inlineStr">
        <is>
          <t>Source URL</t>
        </is>
      </c>
    </row>
    <row r="2">
      <c r="A2" s="6" t="inlineStr">
        <is>
          <t>Scheme target (households)</t>
        </is>
      </c>
      <c r="B2" s="6" t="inlineStr">
        <is>
          <t>1 crore (10,000,000) households</t>
        </is>
      </c>
      <c r="C2" s="6" t="inlineStr">
        <is>
          <t>FY 2026-27 (31 Mar 2027)</t>
        </is>
      </c>
      <c r="D2" s="6" t="inlineStr">
        <is>
          <t>Union Cabinet approval; reaffirmed LS Starred Q.59, 22 Jul 2026</t>
        </is>
      </c>
      <c r="E2" s="5" t="n">
        <v>45351</v>
      </c>
      <c r="F2" s="6" t="inlineStr">
        <is>
          <t>~50.4 lakh households by ~10 Aug 2026 (official); 55.28 lakh end-Aug (portal). MNRE Secretary (15 Sep 2026): 85-90 lakh likely by Mar 2027.</t>
        </is>
      </c>
      <c r="G2" s="6" t="inlineStr">
        <is>
          <t>https://www.pib.gov.in/PressReleasePage.aspx?PRID=2010133</t>
        </is>
      </c>
    </row>
    <row r="3">
      <c r="A3" s="6" t="inlineStr">
        <is>
          <t>Scheme target (capacity)</t>
        </is>
      </c>
      <c r="B3" s="6" t="inlineStr">
        <is>
          <t>30 GW residential rooftop</t>
        </is>
      </c>
      <c r="C3" s="6" t="inlineStr">
        <is>
          <t>Mar 2027</t>
        </is>
      </c>
      <c r="D3" s="6" t="inlineStr">
        <is>
          <t>Cabinet approval; PIB 10-lakh release said '27 GW more by Mar 2027'</t>
        </is>
      </c>
      <c r="E3" s="5" t="n">
        <v>45351</v>
      </c>
      <c r="F3" s="6" t="inlineStr">
        <is>
          <t>14,894.95 MW by Aug 2026 (RS); ~16.4 GW end-Aug (portal). Roughly half.</t>
        </is>
      </c>
      <c r="G3" s="6" t="inlineStr">
        <is>
          <t>https://www.pib.gov.in/PressReleasePage.aspx?PRID=2110283</t>
        </is>
      </c>
    </row>
    <row r="4">
      <c r="A4" s="6" t="inlineStr">
        <is>
          <t>Financial outlay</t>
        </is>
      </c>
      <c r="B4" s="6" t="inlineStr">
        <is>
          <t>Rs 75,021 crore</t>
        </is>
      </c>
      <c r="C4" s="6" t="inlineStr">
        <is>
          <t>FY 2026-27</t>
        </is>
      </c>
      <c r="D4" s="6" t="inlineStr">
        <is>
          <t>Cabinet</t>
        </is>
      </c>
      <c r="E4" s="5" t="n">
        <v>45351</v>
      </c>
      <c r="F4" s="6" t="inlineStr">
        <is>
          <t>Rs 28,390.50 cr CFA released to Aug 2026 (RS). Budget: FY25 actual 7,822.92 cr; FY26 actual 16,166.23 cr (BE 20,000); FY27 BE 22,000 cr.</t>
        </is>
      </c>
      <c r="G4" s="6" t="inlineStr">
        <is>
          <t>https://www.pib.gov.in/PressReleasePage.aspx?PRID=2010133</t>
        </is>
      </c>
    </row>
    <row r="5">
      <c r="A5" s="6" t="inlineStr">
        <is>
          <t>Interim roadmap (PIB, Dec 2024)</t>
        </is>
      </c>
      <c r="B5" s="6" t="inlineStr">
        <is>
          <t>10 lakh by Mar 2025; 20 lakh by Oct 2025; 40 lakh by Mar 2026; 1 crore by Mar 2027</t>
        </is>
      </c>
      <c r="C5" s="6" t="inlineStr">
        <is>
          <t>see value</t>
        </is>
      </c>
      <c r="D5" s="6" t="inlineStr">
        <is>
          <t>PIB 2080833 / 2081250</t>
        </is>
      </c>
      <c r="E5" s="5" t="n">
        <v>45631</v>
      </c>
      <c r="F5" s="6" t="inlineStr">
        <is>
          <t>10 lakh: met (10 Mar 2025). 20 lakh by Oct 2025: ~20 lakh households by Sep 2025 (met on households, not systems). 40 lakh by Mar 2026: MISSED (26.2 lakh systems / 32.4 lakh households).</t>
        </is>
      </c>
      <c r="G5" s="6" t="inlineStr">
        <is>
          <t>https://www.pib.gov.in/PressReleasePage.aspx?PRID=2081250</t>
        </is>
      </c>
    </row>
    <row r="6">
      <c r="A6" s="6" t="inlineStr">
        <is>
          <t>Annual target FY 2025-26</t>
        </is>
      </c>
      <c r="B6" s="6" t="inlineStr">
        <is>
          <t>35 lakh households</t>
        </is>
      </c>
      <c r="C6" s="6" t="inlineStr">
        <is>
          <t>31 Mar 2026</t>
        </is>
      </c>
      <c r="D6" s="6" t="inlineStr">
        <is>
          <t>MoS Shripad Naik, Rajya Sabha written reply</t>
        </is>
      </c>
      <c r="E6" s="5" t="n">
        <v>45999</v>
      </c>
      <c r="F6" s="6" t="inlineStr">
        <is>
          <t>MISSED: ~16 lakh systems / ~19-20 lakh households added in FY26 (derived).</t>
        </is>
      </c>
      <c r="G6" s="6" t="inlineStr">
        <is>
          <t>https://www.pib.gov.in/PressReleasePage.aspx?PRID=2200441</t>
        </is>
      </c>
    </row>
    <row r="7">
      <c r="A7" s="6" t="inlineStr">
        <is>
          <t>MNRE Secretary projection FY26 / FY27</t>
        </is>
      </c>
      <c r="B7" s="6" t="inlineStr">
        <is>
          <t>15-20 lakh added in FY 2025-26; 30-40 lakh in FY 2026-27</t>
        </is>
      </c>
      <c r="C7" s="6" t="inlineStr">
        <is>
          <t>Mar 2027</t>
        </is>
      </c>
      <c r="D7" s="6" t="inlineStr">
        <is>
          <t>Secretary Santosh Kumar Sarangi (press)</t>
        </is>
      </c>
      <c r="E7" s="5" t="n">
        <v>45923</v>
      </c>
      <c r="F7" s="6" t="inlineStr">
        <is>
          <t>FY26 landed inside the 15-20 lakh range. FY27 pace (Apr-Aug ~18-21 lakh households in 5 months) is ahead of the 30-40 lakh projection.</t>
        </is>
      </c>
      <c r="G7" s="6" t="inlineStr">
        <is>
          <t>https://www.tribuneindia.com/news/business/mnre-secretary-hopeful-of-achieving-one-crore-rooftop-solar-installations-under-pm-suryaghar-in-quick-time/amp</t>
        </is>
      </c>
    </row>
    <row r="8">
      <c r="A8" s="6" t="inlineStr">
        <is>
          <t>Interim target (Minister)</t>
        </is>
      </c>
      <c r="B8" s="6" t="inlineStr">
        <is>
          <t>75 lakh households</t>
        </is>
      </c>
      <c r="C8" s="6" t="inlineStr">
        <is>
          <t>Dec 2026</t>
        </is>
      </c>
      <c r="D8" s="6" t="inlineStr">
        <is>
          <t>Minister Pralhad Joshi, 'Two years of PM Surya Ghar' event, PIB 2268992</t>
        </is>
      </c>
      <c r="E8" s="5" t="n">
        <v>46177</v>
      </c>
      <c r="F8" s="6" t="inlineStr">
        <is>
          <t>Needs ~20-25 lakh more households in Sep-Dec 2026, i.e. ~5-6 lakh/month vs July 2026 record 5.06 lakh. Achievable only if the July pace holds.</t>
        </is>
      </c>
      <c r="G8" s="6" t="inlineStr">
        <is>
          <t>https://www.pib.gov.in/PressReleasePage.aspx?PRID=2268992</t>
        </is>
      </c>
    </row>
    <row r="9">
      <c r="A9" s="6" t="inlineStr">
        <is>
          <t>Secretary's revised expectation</t>
        </is>
      </c>
      <c r="B9" s="6" t="inlineStr">
        <is>
          <t>85-90 lakh households</t>
        </is>
      </c>
      <c r="C9" s="6" t="inlineStr">
        <is>
          <t>Mar 2027</t>
        </is>
      </c>
      <c r="D9" s="6" t="inlineStr">
        <is>
          <t>MNRE Secretary Sarangi (press)</t>
        </is>
      </c>
      <c r="E9" s="5" t="n">
        <v>46280</v>
      </c>
      <c r="F9" s="6" t="inlineStr">
        <is>
          <t>Implicit admission that 1 crore by Mar 2027 is unlikely. No official revision of the 1 crore target or of the 31 Mar 2027 scheme end has been notified.</t>
        </is>
      </c>
      <c r="G9" s="6" t="inlineStr">
        <is>
          <t>https://www.energetica-india.net/news/pm-surya-ghar-scheme-crosses-50-lakh-rooftop-solar-installations-14-8-gw-capacity-commissioned</t>
        </is>
      </c>
    </row>
    <row r="10">
      <c r="A10" s="6" t="inlineStr">
        <is>
          <t>Utility-Led Aggregation (ULA) pipeline</t>
        </is>
      </c>
      <c r="B10" s="6" t="inlineStr">
        <is>
          <t>~30 lakh installations planned via DISCOMs</t>
        </is>
      </c>
      <c r="C10" s="6" t="inlineStr">
        <is>
          <t>n/a</t>
        </is>
      </c>
      <c r="D10" s="6" t="inlineStr">
        <is>
          <t>Minister Joshi, PIB 2268992</t>
        </is>
      </c>
      <c r="E10" s="5" t="n">
        <v>46177</v>
      </c>
      <c r="F10" s="6" t="inlineStr">
        <is>
          <t>Pipeline, not achievement.</t>
        </is>
      </c>
      <c r="G10" s="6" t="inlineStr">
        <is>
          <t>https://www.pib.gov.in/PressReleasePage.aspx?PRID=2268992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20" customWidth="1" min="4" max="4"/>
    <col width="70" customWidth="1" min="5" max="5"/>
  </cols>
  <sheetData>
    <row r="1">
      <c r="A1" s="4" t="inlineStr">
        <is>
          <t>Period</t>
        </is>
      </c>
      <c r="B1" s="4" t="inlineStr">
        <is>
          <t>Installations / households per month</t>
        </is>
      </c>
      <c r="C1" s="4" t="inlineStr">
        <is>
          <t>Per day</t>
        </is>
      </c>
      <c r="D1" s="4" t="inlineStr">
        <is>
          <t>Capacity added in month (MW)</t>
        </is>
      </c>
      <c r="E1" s="4" t="inlineStr">
        <is>
          <t>Source</t>
        </is>
      </c>
    </row>
    <row r="2">
      <c r="A2" s="6" t="inlineStr">
        <is>
          <t>Pre-scheme (before Feb 2024)</t>
        </is>
      </c>
      <c r="B2" s="7" t="n">
        <v>7000</v>
      </c>
      <c r="C2" s="6" t="n"/>
      <c r="D2" s="6" t="n"/>
      <c r="E2" s="6" t="inlineStr">
        <is>
          <t>Minister Joshi, PIB 2268992 (4 Jun 2026): 'about 7,000 per month before the scheme'</t>
        </is>
      </c>
    </row>
    <row r="3">
      <c r="A3" s="6" t="inlineStr">
        <is>
          <t>Feb-Nov 2024 average</t>
        </is>
      </c>
      <c r="B3" s="7" t="n">
        <v>70000</v>
      </c>
      <c r="C3" s="6" t="n"/>
      <c r="D3" s="6" t="n"/>
      <c r="E3" s="6" t="inlineStr">
        <is>
          <t>PIB 2080833 (5 Dec 2024): 6.3 lakh in 9 months, ~70,000/month</t>
        </is>
      </c>
    </row>
    <row r="4">
      <c r="A4" s="6" t="inlineStr">
        <is>
          <t>Oct 2025</t>
        </is>
      </c>
      <c r="B4" s="6" t="n"/>
      <c r="C4" s="7" t="n">
        <v>5038</v>
      </c>
      <c r="D4" s="6" t="n"/>
      <c r="E4" s="6" t="inlineStr">
        <is>
          <t>MNRE release 4 Aug 2026: 5,038 installations per day</t>
        </is>
      </c>
    </row>
    <row r="5">
      <c r="A5" s="6" t="inlineStr">
        <is>
          <t>Mar 2026 (5-19 Mar)</t>
        </is>
      </c>
      <c r="B5" s="7" t="n">
        <v>252000</v>
      </c>
      <c r="C5" s="6" t="n"/>
      <c r="D5" s="6" t="n"/>
      <c r="E5" s="6" t="inlineStr">
        <is>
          <t>Derived: 25,02,217 (5 Mar) to 26,19,879 (19 Mar) = 1.18 lakh in 14 days</t>
        </is>
      </c>
    </row>
    <row r="6">
      <c r="A6" s="6" t="inlineStr">
        <is>
          <t>May 2026</t>
        </is>
      </c>
      <c r="B6" s="7" t="n">
        <v>316000</v>
      </c>
      <c r="C6" s="7" t="n">
        <v>15000</v>
      </c>
      <c r="D6" s="6" t="n"/>
      <c r="E6" s="6" t="inlineStr">
        <is>
          <t>PIB 2268992: record 3.16 lakh installations; 15,000 in one day</t>
        </is>
      </c>
    </row>
    <row r="7">
      <c r="A7" s="6" t="inlineStr">
        <is>
          <t>Jul 2026</t>
        </is>
      </c>
      <c r="B7" s="7" t="n">
        <v>506000</v>
      </c>
      <c r="C7" s="7" t="n">
        <v>16328</v>
      </c>
      <c r="D7" s="7" t="n">
        <v>1592</v>
      </c>
      <c r="E7" s="6" t="inlineStr">
        <is>
          <t>MNRE release 4 Aug 2026 (households); JMK/Urban Acres for MW</t>
        </is>
      </c>
    </row>
    <row r="8">
      <c r="A8" s="6" t="inlineStr">
        <is>
          <t>Aug 2026</t>
        </is>
      </c>
      <c r="B8" s="6" t="n"/>
      <c r="C8" s="6" t="n"/>
      <c r="D8" s="7" t="n">
        <v>1407</v>
      </c>
      <c r="E8" s="6" t="inlineStr">
        <is>
          <t>JMK/Urban Acres (portal): ~1,407 MW, 11.6% below July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4" t="inlineStr">
        <is>
          <t>S No.</t>
        </is>
      </c>
      <c r="B1" s="4" t="inlineStr">
        <is>
          <t>State/UT</t>
        </is>
      </c>
      <c r="C1" s="4" t="inlineStr">
        <is>
          <t>RTS installations (nos.)</t>
        </is>
      </c>
      <c r="D1" s="4" t="inlineStr">
        <is>
          <t>Households benefitted (nos.)</t>
        </is>
      </c>
      <c r="E1" s="4" t="inlineStr">
        <is>
          <t>Consumers with zero energy charges (nos.)</t>
        </is>
      </c>
      <c r="F1" s="4" t="inlineStr">
        <is>
          <t>CFA disbursed (nos.)</t>
        </is>
      </c>
      <c r="G1" s="4" t="inlineStr">
        <is>
          <t>CFA amount (Rs crore)</t>
        </is>
      </c>
      <c r="H1" s="4" t="inlineStr">
        <is>
          <t>Loan applications sanctioned (nos.)</t>
        </is>
      </c>
    </row>
    <row r="2">
      <c r="A2" s="7" t="n">
        <v>1</v>
      </c>
      <c r="B2" s="6" t="inlineStr">
        <is>
          <t>Andhra Pradesh</t>
        </is>
      </c>
      <c r="C2" s="7" t="n">
        <v>76617</v>
      </c>
      <c r="D2" s="7" t="n">
        <v>79210</v>
      </c>
      <c r="E2" s="7" t="n">
        <v>36381</v>
      </c>
      <c r="F2" s="7" t="n">
        <v>66070</v>
      </c>
      <c r="G2" s="8" t="n">
        <v>511.11</v>
      </c>
      <c r="H2" s="7" t="n">
        <v>61607</v>
      </c>
    </row>
    <row r="3">
      <c r="A3" s="7" t="n">
        <v>2</v>
      </c>
      <c r="B3" s="6" t="inlineStr">
        <is>
          <t>Arunachal Pradesh</t>
        </is>
      </c>
      <c r="C3" s="7" t="n">
        <v>1</v>
      </c>
      <c r="D3" s="7" t="n">
        <v>1</v>
      </c>
      <c r="E3" s="7" t="n">
        <v>0</v>
      </c>
      <c r="F3" s="7" t="n">
        <v>1</v>
      </c>
      <c r="G3" s="8" t="n">
        <v>0.01</v>
      </c>
      <c r="H3" s="7" t="n">
        <v>74</v>
      </c>
    </row>
    <row r="4">
      <c r="A4" s="7" t="n">
        <v>3</v>
      </c>
      <c r="B4" s="6" t="inlineStr">
        <is>
          <t>Assam</t>
        </is>
      </c>
      <c r="C4" s="7" t="n">
        <v>63887</v>
      </c>
      <c r="D4" s="7" t="n">
        <v>64525</v>
      </c>
      <c r="E4" s="7" t="n">
        <v>4973</v>
      </c>
      <c r="F4" s="7" t="n">
        <v>51894</v>
      </c>
      <c r="G4" s="8" t="n">
        <v>442.26</v>
      </c>
      <c r="H4" s="7" t="n">
        <v>69883</v>
      </c>
    </row>
    <row r="5">
      <c r="A5" s="7" t="n">
        <v>4</v>
      </c>
      <c r="B5" s="6" t="inlineStr">
        <is>
          <t>Bihar</t>
        </is>
      </c>
      <c r="C5" s="7" t="n">
        <v>13649</v>
      </c>
      <c r="D5" s="7" t="n">
        <v>14096</v>
      </c>
      <c r="E5" s="7" t="n">
        <v>0</v>
      </c>
      <c r="F5" s="7" t="n">
        <v>12640</v>
      </c>
      <c r="G5" s="8" t="n">
        <v>97.5</v>
      </c>
      <c r="H5" s="7" t="n">
        <v>9204</v>
      </c>
    </row>
    <row r="6">
      <c r="A6" s="7" t="n">
        <v>5</v>
      </c>
      <c r="B6" s="6" t="inlineStr">
        <is>
          <t>Chhattisgarh</t>
        </is>
      </c>
      <c r="C6" s="7" t="n">
        <v>16498</v>
      </c>
      <c r="D6" s="7" t="n">
        <v>17847</v>
      </c>
      <c r="E6" s="7" t="n">
        <v>987</v>
      </c>
      <c r="F6" s="7" t="n">
        <v>10900</v>
      </c>
      <c r="G6" s="8" t="n">
        <v>84.42</v>
      </c>
      <c r="H6" s="7" t="n">
        <v>16121</v>
      </c>
    </row>
    <row r="7">
      <c r="A7" s="7" t="n">
        <v>6</v>
      </c>
      <c r="B7" s="6" t="inlineStr">
        <is>
          <t>Goa</t>
        </is>
      </c>
      <c r="C7" s="7" t="n">
        <v>1304</v>
      </c>
      <c r="D7" s="7" t="n">
        <v>1596</v>
      </c>
      <c r="E7" s="7" t="n">
        <v>798</v>
      </c>
      <c r="F7" s="7" t="n">
        <v>1110</v>
      </c>
      <c r="G7" s="8" t="n">
        <v>8.779999999999999</v>
      </c>
      <c r="H7" s="7" t="n">
        <v>264</v>
      </c>
    </row>
    <row r="8">
      <c r="A8" s="7" t="n">
        <v>7</v>
      </c>
      <c r="B8" s="6" t="inlineStr">
        <is>
          <t>Gujarat</t>
        </is>
      </c>
      <c r="C8" s="7" t="n">
        <v>493161</v>
      </c>
      <c r="D8" s="7" t="n">
        <v>710102</v>
      </c>
      <c r="E8" s="7" t="n">
        <v>362675</v>
      </c>
      <c r="F8" s="7" t="n">
        <v>474051</v>
      </c>
      <c r="G8" s="8" t="n">
        <v>3714.47</v>
      </c>
      <c r="H8" s="7" t="n">
        <v>42408</v>
      </c>
    </row>
    <row r="9">
      <c r="A9" s="7" t="n">
        <v>8</v>
      </c>
      <c r="B9" s="6" t="inlineStr">
        <is>
          <t>Haryana</t>
        </is>
      </c>
      <c r="C9" s="7" t="n">
        <v>44937</v>
      </c>
      <c r="D9" s="7" t="n">
        <v>50434</v>
      </c>
      <c r="E9" s="7" t="n">
        <v>1575</v>
      </c>
      <c r="F9" s="7" t="n">
        <v>41921</v>
      </c>
      <c r="G9" s="8" t="n">
        <v>310.16</v>
      </c>
      <c r="H9" s="7" t="n">
        <v>18717</v>
      </c>
    </row>
    <row r="10">
      <c r="A10" s="7" t="n">
        <v>9</v>
      </c>
      <c r="B10" s="6" t="inlineStr">
        <is>
          <t>Himachal Pradesh</t>
        </is>
      </c>
      <c r="C10" s="7" t="n">
        <v>5556</v>
      </c>
      <c r="D10" s="7" t="n">
        <v>5679</v>
      </c>
      <c r="E10" s="7" t="n">
        <v>502</v>
      </c>
      <c r="F10" s="7" t="n">
        <v>5018</v>
      </c>
      <c r="G10" s="8" t="n">
        <v>42.94</v>
      </c>
      <c r="H10" s="7" t="n">
        <v>2994</v>
      </c>
    </row>
    <row r="11">
      <c r="A11" s="7" t="n">
        <v>10</v>
      </c>
      <c r="B11" s="6" t="inlineStr">
        <is>
          <t>Jharkhand</t>
        </is>
      </c>
      <c r="C11" s="7" t="n">
        <v>1308</v>
      </c>
      <c r="D11" s="7" t="n">
        <v>1310</v>
      </c>
      <c r="E11" s="7" t="n">
        <v>357</v>
      </c>
      <c r="F11" s="7" t="n">
        <v>1146</v>
      </c>
      <c r="G11" s="8" t="n">
        <v>8.890000000000001</v>
      </c>
      <c r="H11" s="7" t="n">
        <v>997</v>
      </c>
    </row>
    <row r="12">
      <c r="A12" s="7" t="n">
        <v>11</v>
      </c>
      <c r="B12" s="6" t="inlineStr">
        <is>
          <t>Karnataka</t>
        </is>
      </c>
      <c r="C12" s="7" t="n">
        <v>14471</v>
      </c>
      <c r="D12" s="7" t="n">
        <v>22833</v>
      </c>
      <c r="E12" s="7" t="n">
        <v>245</v>
      </c>
      <c r="F12" s="7" t="n">
        <v>13456</v>
      </c>
      <c r="G12" s="8" t="n">
        <v>108.68</v>
      </c>
      <c r="H12" s="7" t="n">
        <v>4426</v>
      </c>
    </row>
    <row r="13">
      <c r="A13" s="7" t="n">
        <v>12</v>
      </c>
      <c r="B13" s="6" t="inlineStr">
        <is>
          <t>Kerala</t>
        </is>
      </c>
      <c r="C13" s="7" t="n">
        <v>169227</v>
      </c>
      <c r="D13" s="7" t="n">
        <v>174097</v>
      </c>
      <c r="E13" s="7" t="n">
        <v>117697</v>
      </c>
      <c r="F13" s="7" t="n">
        <v>155907</v>
      </c>
      <c r="G13" s="8" t="n">
        <v>1216.82</v>
      </c>
      <c r="H13" s="7" t="n">
        <v>76421</v>
      </c>
    </row>
    <row r="14">
      <c r="A14" s="7" t="n">
        <v>13</v>
      </c>
      <c r="B14" s="6" t="inlineStr">
        <is>
          <t>Madhya Pradesh</t>
        </is>
      </c>
      <c r="C14" s="7" t="n">
        <v>78062</v>
      </c>
      <c r="D14" s="7" t="n">
        <v>81361</v>
      </c>
      <c r="E14" s="7" t="n">
        <v>40594</v>
      </c>
      <c r="F14" s="7" t="n">
        <v>73299</v>
      </c>
      <c r="G14" s="8" t="n">
        <v>570.24</v>
      </c>
      <c r="H14" s="7" t="n">
        <v>37602</v>
      </c>
    </row>
    <row r="15">
      <c r="A15" s="7" t="n">
        <v>14</v>
      </c>
      <c r="B15" s="6" t="inlineStr">
        <is>
          <t>Maharashtra</t>
        </is>
      </c>
      <c r="C15" s="7" t="n">
        <v>363811</v>
      </c>
      <c r="D15" s="7" t="n">
        <v>580271</v>
      </c>
      <c r="E15" s="7" t="n">
        <v>105003</v>
      </c>
      <c r="F15" s="7" t="n">
        <v>328640</v>
      </c>
      <c r="G15" s="8" t="n">
        <v>2613.21</v>
      </c>
      <c r="H15" s="7" t="n">
        <v>138592</v>
      </c>
    </row>
    <row r="16">
      <c r="A16" s="7" t="n">
        <v>15</v>
      </c>
      <c r="B16" s="6" t="inlineStr">
        <is>
          <t>Manipur</t>
        </is>
      </c>
      <c r="C16" s="7" t="n">
        <v>680</v>
      </c>
      <c r="D16" s="7" t="n">
        <v>680</v>
      </c>
      <c r="E16" s="7" t="n">
        <v>139</v>
      </c>
      <c r="F16" s="7" t="n">
        <v>629</v>
      </c>
      <c r="G16" s="8" t="n">
        <v>5.37</v>
      </c>
      <c r="H16" s="7" t="n">
        <v>296</v>
      </c>
    </row>
    <row r="17">
      <c r="A17" s="7" t="n">
        <v>16</v>
      </c>
      <c r="B17" s="6" t="inlineStr">
        <is>
          <t>Meghalaya</t>
        </is>
      </c>
      <c r="C17" s="7" t="n">
        <v>32</v>
      </c>
      <c r="D17" s="7" t="n">
        <v>32</v>
      </c>
      <c r="E17" s="7" t="n">
        <v>2</v>
      </c>
      <c r="F17" s="7" t="n">
        <v>26</v>
      </c>
      <c r="G17" s="8" t="n">
        <v>0.15</v>
      </c>
      <c r="H17" s="7" t="n">
        <v>692</v>
      </c>
    </row>
    <row r="18">
      <c r="A18" s="7" t="n">
        <v>17</v>
      </c>
      <c r="B18" s="6" t="inlineStr">
        <is>
          <t>Mizoram</t>
        </is>
      </c>
      <c r="C18" s="7" t="n">
        <v>727</v>
      </c>
      <c r="D18" s="7" t="n">
        <v>729</v>
      </c>
      <c r="E18" s="7" t="n">
        <v>156</v>
      </c>
      <c r="F18" s="7" t="n">
        <v>649</v>
      </c>
      <c r="G18" s="8" t="n">
        <v>5.49</v>
      </c>
      <c r="H18" s="7" t="n">
        <v>4</v>
      </c>
    </row>
    <row r="19">
      <c r="A19" s="7" t="n">
        <v>18</v>
      </c>
      <c r="B19" s="6" t="inlineStr">
        <is>
          <t>Nagaland</t>
        </is>
      </c>
      <c r="C19" s="7" t="n">
        <v>129</v>
      </c>
      <c r="D19" s="7" t="n">
        <v>129</v>
      </c>
      <c r="E19" s="7" t="n">
        <v>0</v>
      </c>
      <c r="F19" s="7" t="n">
        <v>121</v>
      </c>
      <c r="G19" s="8" t="n">
        <v>1.01</v>
      </c>
      <c r="H19" s="7" t="n">
        <v>28</v>
      </c>
    </row>
    <row r="20">
      <c r="A20" s="7" t="n">
        <v>19</v>
      </c>
      <c r="B20" s="6" t="inlineStr">
        <is>
          <t>Odisha</t>
        </is>
      </c>
      <c r="C20" s="7" t="n">
        <v>23774</v>
      </c>
      <c r="D20" s="7" t="n">
        <v>24125</v>
      </c>
      <c r="E20" s="7" t="n">
        <v>3949</v>
      </c>
      <c r="F20" s="7" t="n">
        <v>19763</v>
      </c>
      <c r="G20" s="8" t="n">
        <v>151.2</v>
      </c>
      <c r="H20" s="7" t="n">
        <v>22324</v>
      </c>
    </row>
    <row r="21">
      <c r="A21" s="7" t="n">
        <v>20</v>
      </c>
      <c r="B21" s="6" t="inlineStr">
        <is>
          <t>Punjab</t>
        </is>
      </c>
      <c r="C21" s="7" t="n">
        <v>10456</v>
      </c>
      <c r="D21" s="7" t="n">
        <v>10566</v>
      </c>
      <c r="E21" s="7" t="n">
        <v>0</v>
      </c>
      <c r="F21" s="7" t="n">
        <v>9488</v>
      </c>
      <c r="G21" s="8" t="n">
        <v>73.84999999999999</v>
      </c>
      <c r="H21" s="7" t="n">
        <v>4140</v>
      </c>
    </row>
    <row r="22">
      <c r="A22" s="7" t="n">
        <v>21</v>
      </c>
      <c r="B22" s="6" t="inlineStr">
        <is>
          <t>Rajasthan</t>
        </is>
      </c>
      <c r="C22" s="7" t="n">
        <v>108584</v>
      </c>
      <c r="D22" s="7" t="n">
        <v>111521</v>
      </c>
      <c r="E22" s="7" t="n">
        <v>8472</v>
      </c>
      <c r="F22" s="7" t="n">
        <v>98064</v>
      </c>
      <c r="G22" s="8" t="n">
        <v>763.8</v>
      </c>
      <c r="H22" s="7" t="n">
        <v>65455</v>
      </c>
    </row>
    <row r="23">
      <c r="A23" s="7" t="n">
        <v>22</v>
      </c>
      <c r="B23" s="6" t="inlineStr">
        <is>
          <t>Sikkim</t>
        </is>
      </c>
      <c r="C23" s="7" t="n">
        <v>23</v>
      </c>
      <c r="D23" s="7" t="n">
        <v>23</v>
      </c>
      <c r="E23" s="7" t="n">
        <v>0</v>
      </c>
      <c r="F23" s="7" t="n">
        <v>14</v>
      </c>
      <c r="G23" s="8" t="n">
        <v>0.12</v>
      </c>
      <c r="H23" s="7" t="n">
        <v>12</v>
      </c>
    </row>
    <row r="24">
      <c r="A24" s="7" t="n">
        <v>23</v>
      </c>
      <c r="B24" s="6" t="inlineStr">
        <is>
          <t>Tamil Nadu</t>
        </is>
      </c>
      <c r="C24" s="7" t="n">
        <v>48652</v>
      </c>
      <c r="D24" s="7" t="n">
        <v>56258</v>
      </c>
      <c r="E24" s="7" t="n">
        <v>0</v>
      </c>
      <c r="F24" s="7" t="n">
        <v>44355</v>
      </c>
      <c r="G24" s="8" t="n">
        <v>334.85</v>
      </c>
      <c r="H24" s="7" t="n">
        <v>11801</v>
      </c>
    </row>
    <row r="25">
      <c r="A25" s="7" t="n">
        <v>24</v>
      </c>
      <c r="B25" s="6" t="inlineStr">
        <is>
          <t>Telangana</t>
        </is>
      </c>
      <c r="C25" s="7" t="n">
        <v>23675</v>
      </c>
      <c r="D25" s="7" t="n">
        <v>34110</v>
      </c>
      <c r="E25" s="7" t="n">
        <v>10234</v>
      </c>
      <c r="F25" s="7" t="n">
        <v>21215</v>
      </c>
      <c r="G25" s="8" t="n">
        <v>168.51</v>
      </c>
      <c r="H25" s="7" t="n">
        <v>12060</v>
      </c>
    </row>
    <row r="26">
      <c r="A26" s="7" t="n">
        <v>25</v>
      </c>
      <c r="B26" s="6" t="inlineStr">
        <is>
          <t>Tripura</t>
        </is>
      </c>
      <c r="C26" s="7" t="n">
        <v>1603</v>
      </c>
      <c r="D26" s="7" t="n">
        <v>1614</v>
      </c>
      <c r="E26" s="7" t="n">
        <v>178</v>
      </c>
      <c r="F26" s="7" t="n">
        <v>1344</v>
      </c>
      <c r="G26" s="8" t="n">
        <v>11.28</v>
      </c>
      <c r="H26" s="7" t="n">
        <v>1366</v>
      </c>
    </row>
    <row r="27">
      <c r="A27" s="7" t="n">
        <v>26</v>
      </c>
      <c r="B27" s="6" t="inlineStr">
        <is>
          <t>Uttarakhand</t>
        </is>
      </c>
      <c r="C27" s="7" t="n">
        <v>55229</v>
      </c>
      <c r="D27" s="7" t="n">
        <v>55391</v>
      </c>
      <c r="E27" s="7" t="n">
        <v>23367</v>
      </c>
      <c r="F27" s="7" t="n">
        <v>48214</v>
      </c>
      <c r="G27" s="8" t="n">
        <v>413.5</v>
      </c>
      <c r="H27" s="7" t="n">
        <v>32016</v>
      </c>
    </row>
    <row r="28">
      <c r="A28" s="7" t="n">
        <v>27</v>
      </c>
      <c r="B28" s="6" t="inlineStr">
        <is>
          <t>Uttar Pradesh</t>
        </is>
      </c>
      <c r="C28" s="7" t="n">
        <v>302140</v>
      </c>
      <c r="D28" s="7" t="n">
        <v>305397</v>
      </c>
      <c r="E28" s="7" t="n">
        <v>42707</v>
      </c>
      <c r="F28" s="7" t="n">
        <v>271181</v>
      </c>
      <c r="G28" s="8" t="n">
        <v>2074.53</v>
      </c>
      <c r="H28" s="7" t="n">
        <v>186297</v>
      </c>
    </row>
    <row r="29">
      <c r="A29" s="7" t="n">
        <v>28</v>
      </c>
      <c r="B29" s="6" t="inlineStr">
        <is>
          <t>West Bengal</t>
        </is>
      </c>
      <c r="C29" s="7" t="n">
        <v>1107</v>
      </c>
      <c r="D29" s="7" t="n">
        <v>1170</v>
      </c>
      <c r="E29" s="7" t="n">
        <v>20</v>
      </c>
      <c r="F29" s="7" t="n">
        <v>330</v>
      </c>
      <c r="G29" s="8" t="n">
        <v>2.46</v>
      </c>
      <c r="H29" s="7" t="n">
        <v>1006</v>
      </c>
    </row>
    <row r="30">
      <c r="A30" s="7" t="n">
        <v>29</v>
      </c>
      <c r="B30" s="6" t="inlineStr">
        <is>
          <t>Andaman and Nicobar Islands</t>
        </is>
      </c>
      <c r="C30" s="7" t="n">
        <v>147</v>
      </c>
      <c r="D30" s="7" t="n">
        <v>166</v>
      </c>
      <c r="E30" s="7" t="n">
        <v>24</v>
      </c>
      <c r="F30" s="7" t="n">
        <v>128</v>
      </c>
      <c r="G30" s="8" t="n">
        <v>1.08</v>
      </c>
      <c r="H30" s="7" t="n">
        <v>93</v>
      </c>
    </row>
    <row r="31">
      <c r="A31" s="7" t="n">
        <v>30</v>
      </c>
      <c r="B31" s="6" t="inlineStr">
        <is>
          <t>Chandigarh</t>
        </is>
      </c>
      <c r="C31" s="7" t="n">
        <v>957</v>
      </c>
      <c r="D31" s="7" t="n">
        <v>957</v>
      </c>
      <c r="E31" s="7" t="n">
        <v>148</v>
      </c>
      <c r="F31" s="7" t="n">
        <v>695</v>
      </c>
      <c r="G31" s="8" t="n">
        <v>5.31</v>
      </c>
      <c r="H31" s="7" t="n">
        <v>121</v>
      </c>
    </row>
    <row r="32">
      <c r="A32" s="7" t="n">
        <v>31</v>
      </c>
      <c r="B32" s="6" t="inlineStr">
        <is>
          <t>Jammu and Kashmir</t>
        </is>
      </c>
      <c r="C32" s="7" t="n">
        <v>15985</v>
      </c>
      <c r="D32" s="7" t="n">
        <v>15985</v>
      </c>
      <c r="E32" s="7" t="n">
        <v>3958</v>
      </c>
      <c r="F32" s="7" t="n">
        <v>13616</v>
      </c>
      <c r="G32" s="8" t="n">
        <v>116.55</v>
      </c>
      <c r="H32" s="7" t="n">
        <v>10993</v>
      </c>
    </row>
    <row r="33">
      <c r="A33" s="7" t="n">
        <v>32</v>
      </c>
      <c r="B33" s="6" t="inlineStr">
        <is>
          <t>Ladakh</t>
        </is>
      </c>
      <c r="C33" s="7" t="n">
        <v>1077</v>
      </c>
      <c r="D33" s="7" t="n">
        <v>1077</v>
      </c>
      <c r="E33" s="7" t="n">
        <v>2744</v>
      </c>
      <c r="F33" s="7" t="n">
        <v>944</v>
      </c>
      <c r="G33" s="8" t="n">
        <v>8.1</v>
      </c>
      <c r="H33" s="7" t="n">
        <v>26</v>
      </c>
    </row>
    <row r="34">
      <c r="A34" s="7" t="n">
        <v>33</v>
      </c>
      <c r="B34" s="6" t="inlineStr">
        <is>
          <t>Lakshadweep</t>
        </is>
      </c>
      <c r="C34" s="7" t="n">
        <v>685</v>
      </c>
      <c r="D34" s="7" t="n">
        <v>685</v>
      </c>
      <c r="E34" s="7" t="n">
        <v>1126</v>
      </c>
      <c r="F34" s="7" t="n">
        <v>651</v>
      </c>
      <c r="G34" s="8" t="n">
        <v>5.59</v>
      </c>
      <c r="H34" s="7" t="n">
        <v>260</v>
      </c>
    </row>
    <row r="35">
      <c r="A35" s="7" t="n">
        <v>34</v>
      </c>
      <c r="B35" s="6" t="inlineStr">
        <is>
          <t>NCT of Delhi</t>
        </is>
      </c>
      <c r="C35" s="7" t="n">
        <v>5059</v>
      </c>
      <c r="D35" s="7" t="n">
        <v>8671</v>
      </c>
      <c r="E35" s="7" t="n">
        <v>1733</v>
      </c>
      <c r="F35" s="7" t="n">
        <v>4349</v>
      </c>
      <c r="G35" s="8" t="n">
        <v>36.27</v>
      </c>
      <c r="H35" s="7" t="n">
        <v>1228</v>
      </c>
    </row>
    <row r="36">
      <c r="A36" s="7" t="n">
        <v>35</v>
      </c>
      <c r="B36" s="6" t="inlineStr">
        <is>
          <t>Puducherry</t>
        </is>
      </c>
      <c r="C36" s="7" t="n">
        <v>2066</v>
      </c>
      <c r="D36" s="7" t="n">
        <v>2066</v>
      </c>
      <c r="E36" s="7" t="n">
        <v>785</v>
      </c>
      <c r="F36" s="7" t="n">
        <v>1849</v>
      </c>
      <c r="G36" s="8" t="n">
        <v>14.22</v>
      </c>
      <c r="H36" s="7" t="n">
        <v>961</v>
      </c>
    </row>
    <row r="37">
      <c r="A37" s="7" t="n">
        <v>36</v>
      </c>
      <c r="B37" s="6" t="inlineStr">
        <is>
          <t>DNH&amp;DD</t>
        </is>
      </c>
      <c r="C37" s="7" t="n">
        <v>482</v>
      </c>
      <c r="D37" s="7" t="n">
        <v>482</v>
      </c>
      <c r="E37" s="7" t="n">
        <v>51</v>
      </c>
      <c r="F37" s="7" t="n">
        <v>453</v>
      </c>
      <c r="G37" s="8" t="n">
        <v>3.52</v>
      </c>
      <c r="H37" s="7" t="n">
        <v>128</v>
      </c>
    </row>
    <row r="38">
      <c r="A38" s="14" t="inlineStr"/>
      <c r="B38" s="14" t="inlineStr">
        <is>
          <t>Total</t>
        </is>
      </c>
      <c r="C38" s="14">
        <f>SUM(C2:C37)</f>
        <v/>
      </c>
      <c r="D38" s="14">
        <f>SUM(D2:D37)</f>
        <v/>
      </c>
      <c r="E38" s="14">
        <f>SUM(E2:E37)</f>
        <v/>
      </c>
      <c r="F38" s="14">
        <f>SUM(F2:F37)</f>
        <v/>
      </c>
      <c r="G38" s="14">
        <f>SUM(G2:G37)</f>
        <v/>
      </c>
      <c r="H38" s="14">
        <f>SUM(H2:H37)</f>
        <v/>
      </c>
    </row>
    <row r="40">
      <c r="A40" s="13" t="inlineStr">
        <is>
          <t>Source: Annexure to Rajya Sabha written reply by MoS Shripad Yesso Naik, 16 Dec 2025, as on 09.12.2025 (PIB Release ID 2204466). Official totals: 19,45,758 systems; 24,35,196 households; 7,71,580 zero-bill; Rs 13,926.25 cr CFA. https://www.pib.gov.in/PressReleasePage.aspx?PRID=2204466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State/UT</t>
        </is>
      </c>
      <c r="B1" s="4" t="inlineStr">
        <is>
          <t>Applications</t>
        </is>
      </c>
      <c r="C1" s="4" t="inlineStr">
        <is>
          <t>Installations (nos.)</t>
        </is>
      </c>
      <c r="D1" s="4" t="inlineStr">
        <is>
          <t>Installations as % of applications</t>
        </is>
      </c>
      <c r="E1" s="4" t="inlineStr">
        <is>
          <t>Households covered</t>
        </is>
      </c>
    </row>
    <row r="2">
      <c r="A2" s="6" t="inlineStr">
        <is>
          <t>Andaman and Nicobar</t>
        </is>
      </c>
      <c r="B2" s="7" t="n">
        <v>654</v>
      </c>
      <c r="C2" s="7" t="n">
        <v>183</v>
      </c>
      <c r="D2" s="15">
        <f>IF(B2=0,0,C2/B2)</f>
        <v/>
      </c>
      <c r="E2" s="7" t="n">
        <v>202</v>
      </c>
    </row>
    <row r="3">
      <c r="A3" s="6" t="inlineStr">
        <is>
          <t>Andhra Pradesh</t>
        </is>
      </c>
      <c r="B3" s="7" t="n">
        <v>1175634</v>
      </c>
      <c r="C3" s="7" t="n">
        <v>87984</v>
      </c>
      <c r="D3" s="15">
        <f>IF(B3=0,0,C3/B3)</f>
        <v/>
      </c>
      <c r="E3" s="7" t="n">
        <v>90864</v>
      </c>
    </row>
    <row r="4">
      <c r="A4" s="6" t="inlineStr">
        <is>
          <t>Arunachal Pradesh</t>
        </is>
      </c>
      <c r="B4" s="7" t="n">
        <v>88</v>
      </c>
      <c r="C4" s="7" t="n">
        <v>1</v>
      </c>
      <c r="D4" s="15">
        <f>IF(B4=0,0,C4/B4)</f>
        <v/>
      </c>
      <c r="E4" s="7" t="n">
        <v>1</v>
      </c>
    </row>
    <row r="5">
      <c r="A5" s="6" t="inlineStr">
        <is>
          <t>Assam</t>
        </is>
      </c>
      <c r="B5" s="7" t="n">
        <v>484444</v>
      </c>
      <c r="C5" s="7" t="n">
        <v>75177</v>
      </c>
      <c r="D5" s="15">
        <f>IF(B5=0,0,C5/B5)</f>
        <v/>
      </c>
      <c r="E5" s="7" t="n">
        <v>75883</v>
      </c>
    </row>
    <row r="6">
      <c r="A6" s="6" t="inlineStr">
        <is>
          <t>Bihar</t>
        </is>
      </c>
      <c r="B6" s="7" t="n">
        <v>55543</v>
      </c>
      <c r="C6" s="7" t="n">
        <v>14500</v>
      </c>
      <c r="D6" s="15">
        <f>IF(B6=0,0,C6/B6)</f>
        <v/>
      </c>
      <c r="E6" s="7" t="n">
        <v>15148</v>
      </c>
    </row>
    <row r="7">
      <c r="A7" s="6" t="inlineStr">
        <is>
          <t>Chandigarh</t>
        </is>
      </c>
      <c r="B7" s="7" t="n">
        <v>1510</v>
      </c>
      <c r="C7" s="7" t="n">
        <v>1001</v>
      </c>
      <c r="D7" s="15">
        <f>IF(B7=0,0,C7/B7)</f>
        <v/>
      </c>
      <c r="E7" s="7" t="n">
        <v>1001</v>
      </c>
    </row>
    <row r="8">
      <c r="A8" s="6" t="inlineStr">
        <is>
          <t>Chhattisgarh</t>
        </is>
      </c>
      <c r="B8" s="7" t="n">
        <v>121687</v>
      </c>
      <c r="C8" s="7" t="n">
        <v>23404</v>
      </c>
      <c r="D8" s="15">
        <f>IF(B8=0,0,C8/B8)</f>
        <v/>
      </c>
      <c r="E8" s="7" t="n">
        <v>24825</v>
      </c>
    </row>
    <row r="9">
      <c r="A9" s="6" t="inlineStr">
        <is>
          <t>Dadra &amp; Nagar Haveli and Daman &amp; Diu</t>
        </is>
      </c>
      <c r="B9" s="7" t="n">
        <v>1949</v>
      </c>
      <c r="C9" s="7" t="n">
        <v>496</v>
      </c>
      <c r="D9" s="15">
        <f>IF(B9=0,0,C9/B9)</f>
        <v/>
      </c>
      <c r="E9" s="7" t="n">
        <v>496</v>
      </c>
    </row>
    <row r="10">
      <c r="A10" s="6" t="inlineStr">
        <is>
          <t>Delhi</t>
        </is>
      </c>
      <c r="B10" s="7" t="n">
        <v>17149</v>
      </c>
      <c r="C10" s="7" t="n">
        <v>5589</v>
      </c>
      <c r="D10" s="15">
        <f>IF(B10=0,0,C10/B10)</f>
        <v/>
      </c>
      <c r="E10" s="7" t="n">
        <v>9471</v>
      </c>
    </row>
    <row r="11">
      <c r="A11" s="6" t="inlineStr">
        <is>
          <t>Goa</t>
        </is>
      </c>
      <c r="B11" s="7" t="n">
        <v>2687</v>
      </c>
      <c r="C11" s="7" t="n">
        <v>1461</v>
      </c>
      <c r="D11" s="15">
        <f>IF(B11=0,0,C11/B11)</f>
        <v/>
      </c>
      <c r="E11" s="7" t="n">
        <v>1814</v>
      </c>
    </row>
    <row r="12">
      <c r="A12" s="6" t="inlineStr">
        <is>
          <t>Gujarat</t>
        </is>
      </c>
      <c r="B12" s="7" t="n">
        <v>617917</v>
      </c>
      <c r="C12" s="7" t="n">
        <v>524808</v>
      </c>
      <c r="D12" s="15">
        <f>IF(B12=0,0,C12/B12)</f>
        <v/>
      </c>
      <c r="E12" s="7" t="n">
        <v>757016</v>
      </c>
    </row>
    <row r="13">
      <c r="A13" s="6" t="inlineStr">
        <is>
          <t>Haryana</t>
        </is>
      </c>
      <c r="B13" s="7" t="n">
        <v>104038</v>
      </c>
      <c r="C13" s="7" t="n">
        <v>49473</v>
      </c>
      <c r="D13" s="15">
        <f>IF(B13=0,0,C13/B13)</f>
        <v/>
      </c>
      <c r="E13" s="7" t="n">
        <v>56562</v>
      </c>
    </row>
    <row r="14">
      <c r="A14" s="6" t="inlineStr">
        <is>
          <t>Himachal Pradesh</t>
        </is>
      </c>
      <c r="B14" s="7" t="n">
        <v>10719</v>
      </c>
      <c r="C14" s="7" t="n">
        <v>6234</v>
      </c>
      <c r="D14" s="15">
        <f>IF(B14=0,0,C14/B14)</f>
        <v/>
      </c>
      <c r="E14" s="7" t="n">
        <v>6235</v>
      </c>
    </row>
    <row r="15">
      <c r="A15" s="6" t="inlineStr">
        <is>
          <t>Jammu and Kashmir</t>
        </is>
      </c>
      <c r="B15" s="7" t="n">
        <v>90917</v>
      </c>
      <c r="C15" s="7" t="n">
        <v>19459</v>
      </c>
      <c r="D15" s="15">
        <f>IF(B15=0,0,C15/B15)</f>
        <v/>
      </c>
      <c r="E15" s="7" t="n">
        <v>19467</v>
      </c>
    </row>
    <row r="16">
      <c r="A16" s="6" t="inlineStr">
        <is>
          <t>Jharkhand</t>
        </is>
      </c>
      <c r="B16" s="7" t="n">
        <v>7886</v>
      </c>
      <c r="C16" s="7" t="n">
        <v>1512</v>
      </c>
      <c r="D16" s="15">
        <f>IF(B16=0,0,C16/B16)</f>
        <v/>
      </c>
      <c r="E16" s="7" t="n">
        <v>1514</v>
      </c>
    </row>
    <row r="17">
      <c r="A17" s="6" t="inlineStr">
        <is>
          <t>Karnataka</t>
        </is>
      </c>
      <c r="B17" s="7" t="n">
        <v>155643</v>
      </c>
      <c r="C17" s="7" t="n">
        <v>15292</v>
      </c>
      <c r="D17" s="15">
        <f>IF(B17=0,0,C17/B17)</f>
        <v/>
      </c>
      <c r="E17" s="7" t="n">
        <v>24168</v>
      </c>
    </row>
    <row r="18">
      <c r="A18" s="6" t="inlineStr">
        <is>
          <t>Kerala</t>
        </is>
      </c>
      <c r="B18" s="7" t="n">
        <v>243706</v>
      </c>
      <c r="C18" s="7" t="n">
        <v>180783</v>
      </c>
      <c r="D18" s="15">
        <f>IF(B18=0,0,C18/B18)</f>
        <v/>
      </c>
      <c r="E18" s="7" t="n">
        <v>185462</v>
      </c>
    </row>
    <row r="19">
      <c r="A19" s="6" t="inlineStr">
        <is>
          <t>Ladakh</t>
        </is>
      </c>
      <c r="B19" s="7" t="n">
        <v>1725</v>
      </c>
      <c r="C19" s="7" t="n">
        <v>1278</v>
      </c>
      <c r="D19" s="15">
        <f>IF(B19=0,0,C19/B19)</f>
        <v/>
      </c>
      <c r="E19" s="7" t="n">
        <v>1278</v>
      </c>
    </row>
    <row r="20">
      <c r="A20" s="6" t="inlineStr">
        <is>
          <t>Lakshadweep</t>
        </is>
      </c>
      <c r="B20" s="7" t="n">
        <v>1144</v>
      </c>
      <c r="C20" s="7" t="n">
        <v>752</v>
      </c>
      <c r="D20" s="15">
        <f>IF(B20=0,0,C20/B20)</f>
        <v/>
      </c>
      <c r="E20" s="7" t="n">
        <v>752</v>
      </c>
    </row>
    <row r="21">
      <c r="A21" s="6" t="inlineStr">
        <is>
          <t>Madhya Pradesh</t>
        </is>
      </c>
      <c r="B21" s="7" t="n">
        <v>139368</v>
      </c>
      <c r="C21" s="7" t="n">
        <v>85955</v>
      </c>
      <c r="D21" s="15">
        <f>IF(B21=0,0,C21/B21)</f>
        <v/>
      </c>
      <c r="E21" s="7" t="n">
        <v>89367</v>
      </c>
    </row>
    <row r="22">
      <c r="A22" s="6" t="inlineStr">
        <is>
          <t>Maharashtra</t>
        </is>
      </c>
      <c r="B22" s="7" t="n">
        <v>589328</v>
      </c>
      <c r="C22" s="7" t="n">
        <v>403698</v>
      </c>
      <c r="D22" s="15">
        <f>IF(B22=0,0,C22/B22)</f>
        <v/>
      </c>
      <c r="E22" s="7" t="n">
        <v>650742</v>
      </c>
    </row>
    <row r="23">
      <c r="A23" s="6" t="inlineStr">
        <is>
          <t>Manipur</t>
        </is>
      </c>
      <c r="B23" s="7" t="n">
        <v>1478</v>
      </c>
      <c r="C23" s="7" t="n">
        <v>729</v>
      </c>
      <c r="D23" s="15">
        <f>IF(B23=0,0,C23/B23)</f>
        <v/>
      </c>
      <c r="E23" s="7" t="n">
        <v>729</v>
      </c>
    </row>
    <row r="24">
      <c r="A24" s="6" t="inlineStr">
        <is>
          <t>Meghalaya</t>
        </is>
      </c>
      <c r="B24" s="7" t="n">
        <v>1933</v>
      </c>
      <c r="C24" s="7" t="n">
        <v>35</v>
      </c>
      <c r="D24" s="15">
        <f>IF(B24=0,0,C24/B24)</f>
        <v/>
      </c>
      <c r="E24" s="7" t="n">
        <v>35</v>
      </c>
    </row>
    <row r="25">
      <c r="A25" s="6" t="inlineStr">
        <is>
          <t>Mizoram</t>
        </is>
      </c>
      <c r="B25" s="7" t="n">
        <v>954</v>
      </c>
      <c r="C25" s="7" t="n">
        <v>787</v>
      </c>
      <c r="D25" s="15">
        <f>IF(B25=0,0,C25/B25)</f>
        <v/>
      </c>
      <c r="E25" s="7" t="n">
        <v>789</v>
      </c>
    </row>
    <row r="26">
      <c r="A26" s="6" t="inlineStr">
        <is>
          <t>Nagaland</t>
        </is>
      </c>
      <c r="B26" s="7" t="n">
        <v>548</v>
      </c>
      <c r="C26" s="7" t="n">
        <v>132</v>
      </c>
      <c r="D26" s="15">
        <f>IF(B26=0,0,C26/B26)</f>
        <v/>
      </c>
      <c r="E26" s="7" t="n">
        <v>132</v>
      </c>
    </row>
    <row r="27">
      <c r="A27" s="6" t="inlineStr">
        <is>
          <t>Odisha</t>
        </is>
      </c>
      <c r="B27" s="7" t="n">
        <v>161517</v>
      </c>
      <c r="C27" s="7" t="n">
        <v>29396</v>
      </c>
      <c r="D27" s="15">
        <f>IF(B27=0,0,C27/B27)</f>
        <v/>
      </c>
      <c r="E27" s="7" t="n">
        <v>29744</v>
      </c>
    </row>
    <row r="28">
      <c r="A28" s="6" t="inlineStr">
        <is>
          <t>Puducherry</t>
        </is>
      </c>
      <c r="B28" s="7" t="n">
        <v>3209</v>
      </c>
      <c r="C28" s="7" t="n">
        <v>2286</v>
      </c>
      <c r="D28" s="15">
        <f>IF(B28=0,0,C28/B28)</f>
        <v/>
      </c>
      <c r="E28" s="7" t="n">
        <v>2286</v>
      </c>
    </row>
    <row r="29">
      <c r="A29" s="6" t="inlineStr">
        <is>
          <t>Punjab</t>
        </is>
      </c>
      <c r="B29" s="7" t="n">
        <v>18866</v>
      </c>
      <c r="C29" s="7" t="n">
        <v>10906</v>
      </c>
      <c r="D29" s="15">
        <f>IF(B29=0,0,C29/B29)</f>
        <v/>
      </c>
      <c r="E29" s="7" t="n">
        <v>11016</v>
      </c>
    </row>
    <row r="30">
      <c r="A30" s="6" t="inlineStr">
        <is>
          <t>Rajasthan</t>
        </is>
      </c>
      <c r="B30" s="7" t="n">
        <v>249987</v>
      </c>
      <c r="C30" s="7" t="n">
        <v>123248</v>
      </c>
      <c r="D30" s="15">
        <f>IF(B30=0,0,C30/B30)</f>
        <v/>
      </c>
      <c r="E30" s="7" t="n">
        <v>127175</v>
      </c>
    </row>
    <row r="31">
      <c r="A31" s="6" t="inlineStr">
        <is>
          <t>Sikkim</t>
        </is>
      </c>
      <c r="B31" s="7" t="n">
        <v>261</v>
      </c>
      <c r="C31" s="7" t="n">
        <v>26</v>
      </c>
      <c r="D31" s="15">
        <f>IF(B31=0,0,C31/B31)</f>
        <v/>
      </c>
      <c r="E31" s="7" t="n">
        <v>26</v>
      </c>
    </row>
    <row r="32">
      <c r="A32" s="6" t="inlineStr">
        <is>
          <t>Tamil Nadu</t>
        </is>
      </c>
      <c r="B32" s="7" t="n">
        <v>65809</v>
      </c>
      <c r="C32" s="7" t="n">
        <v>52224</v>
      </c>
      <c r="D32" s="15">
        <f>IF(B32=0,0,C32/B32)</f>
        <v/>
      </c>
      <c r="E32" s="7" t="n">
        <v>60831</v>
      </c>
    </row>
    <row r="33">
      <c r="A33" s="6" t="inlineStr">
        <is>
          <t>Telangana</t>
        </is>
      </c>
      <c r="B33" s="7" t="n">
        <v>72956</v>
      </c>
      <c r="C33" s="7" t="n">
        <v>26041</v>
      </c>
      <c r="D33" s="15">
        <f>IF(B33=0,0,C33/B33)</f>
        <v/>
      </c>
      <c r="E33" s="7" t="n">
        <v>37155</v>
      </c>
    </row>
    <row r="34">
      <c r="A34" s="6" t="inlineStr">
        <is>
          <t>Tripura</t>
        </is>
      </c>
      <c r="B34" s="7" t="n">
        <v>7871</v>
      </c>
      <c r="C34" s="7" t="n">
        <v>1945</v>
      </c>
      <c r="D34" s="15">
        <f>IF(B34=0,0,C34/B34)</f>
        <v/>
      </c>
      <c r="E34" s="7" t="n">
        <v>1956</v>
      </c>
    </row>
    <row r="35">
      <c r="A35" s="6" t="inlineStr">
        <is>
          <t>Uttar Pradesh</t>
        </is>
      </c>
      <c r="B35" s="7" t="n">
        <v>1045349</v>
      </c>
      <c r="C35" s="7" t="n">
        <v>335182</v>
      </c>
      <c r="D35" s="15">
        <f>IF(B35=0,0,C35/B35)</f>
        <v/>
      </c>
      <c r="E35" s="7" t="n">
        <v>338861</v>
      </c>
    </row>
    <row r="36">
      <c r="A36" s="6" t="inlineStr">
        <is>
          <t>Uttarakhand</t>
        </is>
      </c>
      <c r="B36" s="7" t="n">
        <v>95316</v>
      </c>
      <c r="C36" s="7" t="n">
        <v>60027</v>
      </c>
      <c r="D36" s="15">
        <f>IF(B36=0,0,C36/B36)</f>
        <v/>
      </c>
      <c r="E36" s="7" t="n">
        <v>60189</v>
      </c>
    </row>
    <row r="37">
      <c r="A37" s="6" t="inlineStr">
        <is>
          <t>West Bengal</t>
        </is>
      </c>
      <c r="B37" s="7" t="n">
        <v>12112</v>
      </c>
      <c r="C37" s="7" t="n">
        <v>1145</v>
      </c>
      <c r="D37" s="15">
        <f>IF(B37=0,0,C37/B37)</f>
        <v/>
      </c>
      <c r="E37" s="7" t="n">
        <v>1208</v>
      </c>
    </row>
    <row r="38">
      <c r="A38" s="14" t="inlineStr">
        <is>
          <t>All-India</t>
        </is>
      </c>
      <c r="B38" s="14">
        <f>SUM(B2:B37)</f>
        <v/>
      </c>
      <c r="C38" s="14">
        <f>SUM(C2:C37)</f>
        <v/>
      </c>
      <c r="D38" s="16">
        <f>IF(B38=0,0,C38/B38)</f>
        <v/>
      </c>
      <c r="E38" s="14">
        <f>SUM(E2:E37)</f>
        <v/>
      </c>
    </row>
    <row r="40">
      <c r="A40" s="13" t="inlineStr">
        <is>
          <t>Source: PRS Legislative Research, Demand for Grants 2026-27 Analysis: Power and New &amp; Renewable Energy, Table 7 (PMSG:MBY National Portal, as on 10 Jan 2026). PRS totals: 55,61,902 applications; 21,43,149 installations; 26,84,400 households. https://prsindia.org/files/budget/budget_parliament/2026/DfG_Analysis_2026-27-Power.pdf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4" customWidth="1" min="3" max="3"/>
    <col width="80" customWidth="1" min="4" max="4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As on</t>
        </is>
      </c>
      <c r="D1" s="4" t="inlineStr">
        <is>
          <t>Source</t>
        </is>
      </c>
    </row>
    <row r="2">
      <c r="A2" s="6" t="inlineStr">
        <is>
          <t>Residential rooftop installations in the decade before PM Surya Ghar</t>
        </is>
      </c>
      <c r="B2" s="6" t="inlineStr">
        <is>
          <t>7.94 lakh (794,000)</t>
        </is>
      </c>
      <c r="C2" s="6" t="inlineStr">
        <is>
          <t>Feb 2024</t>
        </is>
      </c>
      <c r="D2" s="6" t="inlineStr">
        <is>
          <t>MNRE release 4 Aug 2026 (DD India / pv magazine): '7.94 lakh in the preceding decade'</t>
        </is>
      </c>
    </row>
    <row r="3">
      <c r="A3" s="6" t="inlineStr">
        <is>
          <t>Pre-scheme monthly installation rate</t>
        </is>
      </c>
      <c r="B3" s="6" t="inlineStr">
        <is>
          <t>~7,000 per month</t>
        </is>
      </c>
      <c r="C3" s="6" t="inlineStr">
        <is>
          <t>2023</t>
        </is>
      </c>
      <c r="D3" s="6" t="inlineStr">
        <is>
          <t>Minister Pralhad Joshi, PIB 2268992, 4 Jun 2026</t>
        </is>
      </c>
    </row>
    <row r="4">
      <c r="A4" s="6" t="inlineStr">
        <is>
          <t>Rooftop Solar Programme Phase-II residential target</t>
        </is>
      </c>
      <c r="B4" s="6" t="inlineStr">
        <is>
          <t>4,000 MW residential capacity under CFA</t>
        </is>
      </c>
      <c r="C4" s="6" t="inlineStr">
        <is>
          <t>Launched 8 Mar 2019</t>
        </is>
      </c>
      <c r="D4" s="6" t="inlineStr">
        <is>
          <t>PIB 1989806, 23 Dec 2023 (LS reply 21 Dec 2023)</t>
        </is>
      </c>
    </row>
    <row r="5">
      <c r="A5" s="6" t="inlineStr">
        <is>
          <t>Phase-II residential capacity installed under subsidy</t>
        </is>
      </c>
      <c r="B5" s="6" t="inlineStr">
        <is>
          <t>2,651.10 MW</t>
        </is>
      </c>
      <c r="C5" s="6" t="inlineStr">
        <is>
          <t>30 Nov 2023</t>
        </is>
      </c>
      <c r="D5" s="6" t="inlineStr">
        <is>
          <t>PIB 1989806 (state-wise table; Gujarat 1,956.85 MW of it)</t>
        </is>
      </c>
    </row>
    <row r="6">
      <c r="A6" s="6" t="inlineStr">
        <is>
          <t>All-sector grid-connected rooftop capacity</t>
        </is>
      </c>
      <c r="B6" s="6" t="inlineStr">
        <is>
          <t>1.8 GW (31 Mar 2019) -&gt; 10.4 GW (30 Nov 2023), CAGR ~46%</t>
        </is>
      </c>
      <c r="C6" s="6" t="inlineStr">
        <is>
          <t>30 Nov 2023</t>
        </is>
      </c>
      <c r="D6" s="6" t="inlineStr">
        <is>
          <t>PIB 1989806</t>
        </is>
      </c>
    </row>
    <row r="7">
      <c r="A7" s="6" t="inlineStr">
        <is>
          <t>All-sector grid-connected rooftop capacity</t>
        </is>
      </c>
      <c r="B7" s="6" t="inlineStr">
        <is>
          <t>22.42 GW</t>
        </is>
      </c>
      <c r="C7" s="6" t="inlineStr">
        <is>
          <t>Oct 2025</t>
        </is>
      </c>
      <c r="D7" s="6" t="inlineStr">
        <is>
          <t>PIB 2199729 (India's Solar Momentum)</t>
        </is>
      </c>
    </row>
    <row r="8">
      <c r="A8" s="6" t="inlineStr">
        <is>
          <t>All-sector grid-connected rooftop capacity</t>
        </is>
      </c>
      <c r="B8" s="6" t="inlineStr">
        <is>
          <t>32.59 GW</t>
        </is>
      </c>
      <c r="C8" s="6" t="inlineStr">
        <is>
          <t>31 Aug 2026</t>
        </is>
      </c>
      <c r="D8" s="6" t="inlineStr">
        <is>
          <t>MNRE Physical Progress page, https://mnre.gov.in/en/physical-progress/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4" customWidth="1" min="3" max="3"/>
    <col width="22" customWidth="1" min="4" max="4"/>
    <col width="80" customWidth="1" min="5" max="5"/>
  </cols>
  <sheetData>
    <row r="1">
      <c r="A1" s="4" t="inlineStr">
        <is>
          <t>#</t>
        </is>
      </c>
      <c r="B1" s="4" t="inlineStr">
        <is>
          <t>Document</t>
        </is>
      </c>
      <c r="C1" s="4" t="inlineStr">
        <is>
          <t>Date</t>
        </is>
      </c>
      <c r="D1" s="4" t="inlineStr">
        <is>
          <t>Type</t>
        </is>
      </c>
      <c r="E1" s="4" t="inlineStr">
        <is>
          <t>URL</t>
        </is>
      </c>
    </row>
    <row r="2">
      <c r="A2" s="7" t="n">
        <v>1</v>
      </c>
      <c r="B2" s="6" t="inlineStr">
        <is>
          <t>Cabinet approves PM-Surya Ghar for 1 crore households (PIB 2010133)</t>
        </is>
      </c>
      <c r="C2" s="5" t="n">
        <v>45351</v>
      </c>
      <c r="D2" s="6" t="inlineStr">
        <is>
          <t>PIB press release</t>
        </is>
      </c>
      <c r="E2" s="6" t="inlineStr">
        <is>
          <t>https://www.pib.gov.in/PressReleasePage.aspx?PRID=2010133</t>
        </is>
      </c>
    </row>
    <row r="3">
      <c r="A3" s="7" t="n">
        <v>2</v>
      </c>
      <c r="B3" s="6" t="inlineStr">
        <is>
          <t>PMSGMBY set to surpass 10 lakh by Mar 2025 (PIB 2080833)</t>
        </is>
      </c>
      <c r="C3" s="5" t="n">
        <v>45631</v>
      </c>
      <c r="D3" s="6" t="inlineStr">
        <is>
          <t>PIB press release</t>
        </is>
      </c>
      <c r="E3" s="6" t="inlineStr">
        <is>
          <t>https://www.pib.gov.in/PressReleasePage.aspx?PRID=2080833</t>
        </is>
      </c>
    </row>
    <row r="4">
      <c r="A4" s="7" t="n">
        <v>3</v>
      </c>
      <c r="B4" s="6" t="inlineStr">
        <is>
          <t>PM Surya Ghar backgrounder, roadmap to 1 crore (PIB 2081250)</t>
        </is>
      </c>
      <c r="C4" s="5" t="n">
        <v>45631</v>
      </c>
      <c r="D4" s="6" t="inlineStr">
        <is>
          <t>PIB backgrounder</t>
        </is>
      </c>
      <c r="E4" s="6" t="inlineStr">
        <is>
          <t>https://www.pib.gov.in/PressReleasePage.aspx?PRID=2081250</t>
        </is>
      </c>
    </row>
    <row r="5">
      <c r="A5" s="7" t="n">
        <v>4</v>
      </c>
      <c r="B5" s="6" t="inlineStr">
        <is>
          <t>Crosses 10 lakh installations (PIB 2110283)</t>
        </is>
      </c>
      <c r="C5" s="5" t="n">
        <v>45729</v>
      </c>
      <c r="D5" s="6" t="inlineStr">
        <is>
          <t>PIB press release</t>
        </is>
      </c>
      <c r="E5" s="6" t="inlineStr">
        <is>
          <t>https://www.pib.gov.in/PressReleasePage.aspx?PRID=2110283</t>
        </is>
      </c>
    </row>
    <row r="6">
      <c r="A6" s="7" t="n">
        <v>5</v>
      </c>
      <c r="B6" s="6" t="inlineStr">
        <is>
          <t>MNRE Secretary: 15-20 lakh in FY26, 30-40 lakh next year (Tribune)</t>
        </is>
      </c>
      <c r="C6" s="5" t="n">
        <v>45923</v>
      </c>
      <c r="D6" s="6" t="inlineStr">
        <is>
          <t>Press</t>
        </is>
      </c>
      <c r="E6" s="6" t="inlineStr">
        <is>
          <t>https://www.tribuneindia.com/news/business/mnre-secretary-hopeful-of-achieving-one-crore-rooftop-solar-installations-under-pm-suryaghar-in-quick-time/amp</t>
        </is>
      </c>
    </row>
    <row r="7">
      <c r="A7" s="7" t="n">
        <v>6</v>
      </c>
      <c r="B7" s="6" t="inlineStr">
        <is>
          <t>23.96 lakh households, 35 lakh FY26 target, RS reply (PIB 2200441)</t>
        </is>
      </c>
      <c r="C7" s="5" t="n">
        <v>45999</v>
      </c>
      <c r="D7" s="6" t="inlineStr">
        <is>
          <t>Rajya Sabha / PIB</t>
        </is>
      </c>
      <c r="E7" s="6" t="inlineStr">
        <is>
          <t>https://www.pib.gov.in/PressReleasePage.aspx?PRID=2200441</t>
        </is>
      </c>
    </row>
    <row r="8">
      <c r="A8" s="7" t="n">
        <v>7</v>
      </c>
      <c r="B8" s="6" t="inlineStr">
        <is>
          <t>7,075.78 MW installed under PMSG:MBY (AIR)</t>
        </is>
      </c>
      <c r="C8" s="5" t="n">
        <v>46000</v>
      </c>
      <c r="D8" s="6" t="inlineStr">
        <is>
          <t>Rajya Sabha / AIR</t>
        </is>
      </c>
      <c r="E8" s="6" t="inlineStr">
        <is>
          <t>https://www.newsonair.gov.in/7075-78-mw-rooftop-solar-installed-under-pm-surya-ghar-muft-bijli-yojana</t>
        </is>
      </c>
    </row>
    <row r="9">
      <c r="A9" s="7" t="n">
        <v>8</v>
      </c>
      <c r="B9" s="6" t="inlineStr">
        <is>
          <t>Zero bills to 7.7 lakh households, state-wise annexure as on 9 Dec 2025 (PIB 2204466)</t>
        </is>
      </c>
      <c r="C9" s="5" t="n">
        <v>46007</v>
      </c>
      <c r="D9" s="6" t="inlineStr">
        <is>
          <t>Rajya Sabha / PIB</t>
        </is>
      </c>
      <c r="E9" s="6" t="inlineStr">
        <is>
          <t>https://www.pib.gov.in/PressReleasePage.aspx?PRID=2204466</t>
        </is>
      </c>
    </row>
    <row r="10">
      <c r="A10" s="7" t="n">
        <v>9</v>
      </c>
      <c r="B10" s="6" t="inlineStr">
        <is>
          <t>India's Solar Momentum: 23.9 lakh households, 7 GW (PIB 2199729)</t>
        </is>
      </c>
      <c r="C10" s="5" t="n">
        <v>46011</v>
      </c>
      <c r="D10" s="6" t="inlineStr">
        <is>
          <t>PIB backgrounder</t>
        </is>
      </c>
      <c r="E10" s="6" t="inlineStr">
        <is>
          <t>https://www.pib.gov.in/PressReleasePage.aspx?PRID=2199729</t>
        </is>
      </c>
    </row>
    <row r="11">
      <c r="A11" s="7" t="n">
        <v>10</v>
      </c>
      <c r="B11" s="6" t="inlineStr">
        <is>
          <t>RS reply: 20,85,514 systems / 26,14,446 households as on 31 Dec 2025 (SolarQuarter)</t>
        </is>
      </c>
      <c r="C11" s="5" t="n">
        <v>46057</v>
      </c>
      <c r="D11" s="6" t="inlineStr">
        <is>
          <t>Rajya Sabha via press</t>
        </is>
      </c>
      <c r="E11" s="6" t="inlineStr">
        <is>
          <t>https://solarquarter.com/2026/02/04/india-expands-distributed-solar-footprint-under-pm-surya-ghar-with-20-85-lakh-installations-and-26-lakh-beneficiaries/</t>
        </is>
      </c>
    </row>
    <row r="12">
      <c r="A12" s="7" t="n">
        <v>11</v>
      </c>
      <c r="B12" s="6" t="inlineStr">
        <is>
          <t>PRS Demand for Grants 2026-27 analysis, Power &amp; MNRE (Table 7 state-wise, 10 Jan 2026)</t>
        </is>
      </c>
      <c r="C12" s="5" t="n">
        <v>46063</v>
      </c>
      <c r="D12" s="6" t="inlineStr">
        <is>
          <t>PRS</t>
        </is>
      </c>
      <c r="E12" s="6" t="inlineStr">
        <is>
          <t>https://prsindia.org/files/budget/budget_parliament/2026/DfG_Analysis_2026-27-Power.pdf</t>
        </is>
      </c>
    </row>
    <row r="13">
      <c r="A13" s="7" t="n">
        <v>12</v>
      </c>
      <c r="B13" s="6" t="inlineStr">
        <is>
          <t>LS reply: 25,87,685 systems / 32,02,697 households as on 16 Mar 2026 (Down To Earth)</t>
        </is>
      </c>
      <c r="C13" s="5" t="n">
        <v>46099</v>
      </c>
      <c r="D13" s="6" t="inlineStr">
        <is>
          <t>Lok Sabha via press</t>
        </is>
      </c>
      <c r="E13" s="6" t="inlineStr">
        <is>
          <t>https://www.downtoearth.org.in/governance/as-told-to-parliament-march-18-2026-surya-ghar-yojana-benefitting-3202697-households-says-centre</t>
        </is>
      </c>
    </row>
    <row r="14">
      <c r="A14" s="7" t="n">
        <v>13</v>
      </c>
      <c r="B14" s="6" t="inlineStr">
        <is>
          <t>26,19,879 systems, Rs 17,967.53 cr CFA as on 19 Mar 2026 (SolarQuarter)</t>
        </is>
      </c>
      <c r="C14" s="5" t="n">
        <v>46106</v>
      </c>
      <c r="D14" s="6" t="inlineStr">
        <is>
          <t>Parliament via press</t>
        </is>
      </c>
      <c r="E14" s="6" t="inlineStr">
        <is>
          <t>https://solarquarter.com/2026/03/25/pm-surya-ghar-yojana-updates-2026-26-lakh-rooftop-solar-installations-across-india-with-%E2%82%B917967-crore-central-financial-assistance/</t>
        </is>
      </c>
    </row>
    <row r="15">
      <c r="A15" s="7" t="n">
        <v>14</v>
      </c>
      <c r="B15" s="6" t="inlineStr">
        <is>
          <t>75 lakh households by Dec 2026, two-year event (PIB 2268992)</t>
        </is>
      </c>
      <c r="C15" s="5" t="n">
        <v>46177</v>
      </c>
      <c r="D15" s="6" t="inlineStr">
        <is>
          <t>PIB press release</t>
        </is>
      </c>
      <c r="E15" s="6" t="inlineStr">
        <is>
          <t>https://www.pib.gov.in/PressReleasePage.aspx?PRID=2268992</t>
        </is>
      </c>
    </row>
    <row r="16">
      <c r="A16" s="7" t="n">
        <v>15</v>
      </c>
      <c r="B16" s="6" t="inlineStr">
        <is>
          <t>LS Starred Q.59, 22 Jul 2026: target 1 crore by FY2026-27; TN district-wise</t>
        </is>
      </c>
      <c r="C16" s="5" t="n">
        <v>46225</v>
      </c>
      <c r="D16" s="6" t="inlineStr">
        <is>
          <t>Lok Sabha (sansad.in PDF)</t>
        </is>
      </c>
      <c r="E16" s="6" t="inlineStr">
        <is>
          <t>https://sansad.in/getFile/lsapps/loksabhaquestions/annex/188/AS59_dKLc7G.pdf</t>
        </is>
      </c>
    </row>
    <row r="17">
      <c r="A17" s="7" t="n">
        <v>16</v>
      </c>
      <c r="B17" s="6" t="inlineStr">
        <is>
          <t>LS Unstarred Q.580, 22 Jul 2026: 39,38,805 systems / 47,47,341 households / Rs 27,323.55 cr</t>
        </is>
      </c>
      <c r="C17" s="5" t="n">
        <v>46225</v>
      </c>
      <c r="D17" s="6" t="inlineStr">
        <is>
          <t>Lok Sabha (sansad.in PDF)</t>
        </is>
      </c>
      <c r="E17" s="6" t="inlineStr">
        <is>
          <t>https://sansad.in/getFile/lsapps/loksabhaquestions/annex/188/AU580_5TGlZa.pdf</t>
        </is>
      </c>
    </row>
    <row r="18">
      <c r="A18" s="7" t="n">
        <v>17</v>
      </c>
      <c r="B18" s="6" t="inlineStr">
        <is>
          <t>LS reply as on 20 Jul 2026: 14.07 GW, 76.47 lakh applications, state leaders (Energetica)</t>
        </is>
      </c>
      <c r="C18" s="5" t="n">
        <v>46227</v>
      </c>
      <c r="D18" s="6" t="inlineStr">
        <is>
          <t>Lok Sabha via press</t>
        </is>
      </c>
      <c r="E18" s="6" t="inlineStr">
        <is>
          <t>https://www.energetica-india.net/news/pm-surya-ghar-crosses-39-38-lakh-rooftop-solar-installations-capacity-reaches-14-07-gw</t>
        </is>
      </c>
    </row>
    <row r="19">
      <c r="A19" s="7" t="n">
        <v>18</v>
      </c>
      <c r="B19" s="6" t="inlineStr">
        <is>
          <t>RS reply as on 22 Jul 2026: 39,72,447 systems / 48,02,717 households; budget spend by FY (SolarQuarter)</t>
        </is>
      </c>
      <c r="C19" s="5" t="n">
        <v>46232</v>
      </c>
      <c r="D19" s="6" t="inlineStr">
        <is>
          <t>Rajya Sabha via press</t>
        </is>
      </c>
      <c r="E19" s="6" t="inlineStr">
        <is>
          <t>https://solarquarter.com/2026/07/29/pm-surya-ghar-scheme-nears-4-million-rooftop-solar-installations-over-1-89-million-households-report-zero-power-bills/</t>
        </is>
      </c>
    </row>
    <row r="20">
      <c r="A20" s="7" t="n">
        <v>19</v>
      </c>
      <c r="B20" s="6" t="inlineStr">
        <is>
          <t>MNRE: crosses 50 lakh households, July record 5.06 lakh, 7.94 lakh in prior decade (DD India)</t>
        </is>
      </c>
      <c r="C20" s="5" t="n">
        <v>46238</v>
      </c>
      <c r="D20" s="6" t="inlineStr">
        <is>
          <t>MNRE via DD India</t>
        </is>
      </c>
      <c r="E20" s="6" t="inlineStr">
        <is>
          <t>https://ddindia.co.in/2026/08/pm-surya-ghar-scheme-crosses-50-lakh-rooftop-solar-installations/</t>
        </is>
      </c>
    </row>
    <row r="21">
      <c r="A21" s="7" t="n">
        <v>20</v>
      </c>
      <c r="B21" s="6" t="inlineStr">
        <is>
          <t>Same MNRE release (pv magazine)</t>
        </is>
      </c>
      <c r="C21" s="5" t="n">
        <v>46239</v>
      </c>
      <c r="D21" s="6" t="inlineStr">
        <is>
          <t>MNRE via press</t>
        </is>
      </c>
      <c r="E21" s="6" t="inlineStr">
        <is>
          <t>https://www.pv-magazine.com/2026/08/05/pm-surya-ghar-rooftop-solar-scheme-surpasses-5-million-households/</t>
        </is>
      </c>
    </row>
    <row r="22">
      <c r="A22" s="7" t="n">
        <v>21</v>
      </c>
      <c r="B22" s="6" t="inlineStr">
        <is>
          <t>RS reply Aug 2026: 7.77 mn applications, 4.19 mn systems, 5.04 mn households, 14,894.95 MW, Rs 28,390.50 cr (Hans India)</t>
        </is>
      </c>
      <c r="C22" s="5" t="n">
        <v>46245</v>
      </c>
      <c r="D22" s="6" t="inlineStr">
        <is>
          <t>Rajya Sabha via press</t>
        </is>
      </c>
      <c r="E22" s="6" t="inlineStr">
        <is>
          <t>https://www.thehansindia.com/amp/business/pm-surya-ghar-scheme-receives-777-million-applications-installs-419-million-solar-systems-1108246</t>
        </is>
      </c>
    </row>
    <row r="23">
      <c r="A23" s="7" t="n">
        <v>22</v>
      </c>
      <c r="B23" s="6" t="inlineStr">
        <is>
          <t>Portal data via JMK Research: 46.44 lakh systems / 55.28 lakh households / 16,369 MW end-Aug 2026 (Urban Acres)</t>
        </is>
      </c>
      <c r="C23" s="5" t="n">
        <v>46270</v>
      </c>
      <c r="D23" s="6" t="inlineStr">
        <is>
          <t>Portal via secondary</t>
        </is>
      </c>
      <c r="E23" s="6" t="inlineStr">
        <is>
          <t>https://urbanacres.in/pm-surya-ghars-rooftop-solar-push-reveals-a-scale-up-gap/</t>
        </is>
      </c>
    </row>
    <row r="24">
      <c r="A24" s="7" t="n">
        <v>23</v>
      </c>
      <c r="B24" s="6" t="inlineStr">
        <is>
          <t>MNRE Secretary: 85-90 lakh by Mar 2027 (Energetica, 50-lakh milestone piece)</t>
        </is>
      </c>
      <c r="C24" s="5" t="n">
        <v>46280</v>
      </c>
      <c r="D24" s="6" t="inlineStr">
        <is>
          <t>Press</t>
        </is>
      </c>
      <c r="E24" s="6" t="inlineStr">
        <is>
          <t>https://www.energetica-india.net/news/pm-surya-ghar-scheme-crosses-50-lakh-rooftop-solar-installations-14-8-gw-capacity-commissioned</t>
        </is>
      </c>
    </row>
    <row r="25">
      <c r="A25" s="7" t="n">
        <v>24</v>
      </c>
      <c r="B25" s="6" t="inlineStr">
        <is>
          <t>MNRE Physical Progress: rooftop 32.59 GW all sectors as on 31 Aug 2026</t>
        </is>
      </c>
      <c r="C25" s="5" t="n">
        <v>46265</v>
      </c>
      <c r="D25" s="6" t="inlineStr">
        <is>
          <t>MNRE</t>
        </is>
      </c>
      <c r="E25" s="6" t="inlineStr">
        <is>
          <t>https://mnre.gov.in/en/physical-progress/</t>
        </is>
      </c>
    </row>
    <row r="26">
      <c r="A26" s="7" t="n">
        <v>25</v>
      </c>
      <c r="B26" s="6" t="inlineStr">
        <is>
          <t>Rooftop Solar Programme Phase-II, pre-scheme state-wise capacity (PIB 1989806)</t>
        </is>
      </c>
      <c r="C26" s="5" t="n">
        <v>45283</v>
      </c>
      <c r="D26" s="6" t="inlineStr">
        <is>
          <t>PIB press release</t>
        </is>
      </c>
      <c r="E26" s="6" t="inlineStr">
        <is>
          <t>https://www.pib.gov.in/PressReleasePage.aspx?PRID=1989806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2026-10-01T06:35:10Z</dcterms:created>
  <dcterms:modified xsi:type="dcterms:W3CDTF">2026-10-01T06:35:10Z</dcterms:modified>
</cp:coreProperties>
</file>