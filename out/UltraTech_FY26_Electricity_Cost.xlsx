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FY26 Build" sheetId="1" state="visible" r:id="rId3"/>
    <sheet name="Q4 YoY" sheetId="2" state="visible" r:id="rId4"/>
    <sheet name="Notes &amp; Sources"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<sst xmlns="http://schemas.openxmlformats.org/spreadsheetml/2006/main" count="296" uniqueCount="166">
  <si>
    <t xml:space="preserve">ULTRATECH CEMENT — ELECTRICITY (POWER) COST: FY26 BUILT UP FROM THE FOUR QUARTERLY DECKS</t>
  </si>
  <si>
    <t xml:space="preserve">Basis: domestic grey cement operations, excluding India Cements (ICL); prior-period numbers restated for Kesoram</t>
  </si>
  <si>
    <t xml:space="preserve">Sources: UltraTech quarterly investor presentations Q1FY26, Q2FY26, Q3FY26 and Q4FY26, all downloaded from ultratechcement.com</t>
  </si>
  <si>
    <t xml:space="preserve">Blue = input from a deck | Black = formula | Green = FY26 result | Column G holds the FY26 figure the Q4 deck discloses, column H the variance</t>
  </si>
  <si>
    <t xml:space="preserve">Particulars</t>
  </si>
  <si>
    <t xml:space="preserve">Q1FY26</t>
  </si>
  <si>
    <t xml:space="preserve">Q2FY26</t>
  </si>
  <si>
    <t xml:space="preserve">Q3FY26</t>
  </si>
  <si>
    <t xml:space="preserve">Q4FY26</t>
  </si>
  <si>
    <t xml:space="preserve">FY26 built up</t>
  </si>
  <si>
    <t xml:space="preserve">FY26 as disclosed</t>
  </si>
  <si>
    <t xml:space="preserve">Variance</t>
  </si>
  <si>
    <t xml:space="preserve">Unit</t>
  </si>
  <si>
    <t xml:space="preserve">Source / note</t>
  </si>
  <si>
    <t xml:space="preserve">A.  DISCLOSED — POWER MIX, RATE AND CONSUMPTION</t>
  </si>
  <si>
    <t xml:space="preserve">   Captive thermal power — power mix</t>
  </si>
  <si>
    <t xml:space="preserve">% of units</t>
  </si>
  <si>
    <t xml:space="preserve">Q1-Q3 decks report the mix to one decimal; the Q4 deck to two</t>
  </si>
  <si>
    <t xml:space="preserve">   Captive thermal power — rate</t>
  </si>
  <si>
    <t xml:space="preserve">Rs./kWh</t>
  </si>
  <si>
    <t xml:space="preserve">Q1-Q3 rates are disclosed to one decimal only</t>
  </si>
  <si>
    <t xml:space="preserve">   State grid and others — power mix</t>
  </si>
  <si>
    <t xml:space="preserve">   State grid and others — rate</t>
  </si>
  <si>
    <t xml:space="preserve">   Renewable energy — power mix</t>
  </si>
  <si>
    <t xml:space="preserve">   Renewable energy — rate</t>
  </si>
  <si>
    <t xml:space="preserve">   Waste heat recovery system — power mix</t>
  </si>
  <si>
    <t xml:space="preserve">   Waste heat recovery system — rate</t>
  </si>
  <si>
    <t xml:space="preserve">   Check: power mix totals</t>
  </si>
  <si>
    <t xml:space="preserve">Must equal 100%</t>
  </si>
  <si>
    <t xml:space="preserve">Blended power cost — as disclosed</t>
  </si>
  <si>
    <t xml:space="preserve">Power cost slide of each deck</t>
  </si>
  <si>
    <t xml:space="preserve">Power consumed per tonne of cement</t>
  </si>
  <si>
    <t xml:space="preserve">kWh/t</t>
  </si>
  <si>
    <t xml:space="preserve">Per-quarter from each deck; FY26 disclosed figure is from Slide 13 of the Q4 deck</t>
  </si>
  <si>
    <t xml:space="preserve">Power cost per tonne of cement</t>
  </si>
  <si>
    <t xml:space="preserve">Rs./t</t>
  </si>
  <si>
    <t xml:space="preserve">B.  DISCLOSED — VOLUME AND REVENUE</t>
  </si>
  <si>
    <t xml:space="preserve">UltraTech grey cement, domestic (excl. ICL)</t>
  </si>
  <si>
    <t xml:space="preserve">MnT</t>
  </si>
  <si>
    <t xml:space="preserve">Q2-Q4 disclosed; Q1 derived as the FY26 total less Q2 to Q4 (the Q1 deck reports only the combined grey volume)</t>
  </si>
  <si>
    <t xml:space="preserve">   India Cements (ICL)</t>
  </si>
  <si>
    <t xml:space="preserve">Q1 derived by subtraction</t>
  </si>
  <si>
    <t xml:space="preserve">   Grey cement, domestic — consolidated</t>
  </si>
  <si>
    <t xml:space="preserve">Disclosed in every deck</t>
  </si>
  <si>
    <t xml:space="preserve">   Inter-company elimination</t>
  </si>
  <si>
    <t xml:space="preserve">ICL cement bought by UltraTech and resold under its own brand</t>
  </si>
  <si>
    <t xml:space="preserve">UltraTech own-manufactured grey cement, domestic</t>
  </si>
  <si>
    <t xml:space="preserve">Reported volume less cement sourced from ICL</t>
  </si>
  <si>
    <t xml:space="preserve">Grey cement revenue, domestic (excl. ICL)</t>
  </si>
  <si>
    <t xml:space="preserve">Rs. Cr</t>
  </si>
  <si>
    <t xml:space="preserve">Q2-Q4 disclosed; Q1 derived as the FY26 total less Q2 to Q4</t>
  </si>
  <si>
    <t xml:space="preserve">Consolidated net sales</t>
  </si>
  <si>
    <t xml:space="preserve">P&amp;L slide of each deck</t>
  </si>
  <si>
    <t xml:space="preserve">C.  ELECTRICITY COST IN ABSOLUTE TERMS  (derived — no deck discloses an absolute power cost line)</t>
  </si>
  <si>
    <t xml:space="preserve">Basis A — on reported sales volume (includes cement sourced from ICL)</t>
  </si>
  <si>
    <t xml:space="preserve">   Units consumed</t>
  </si>
  <si>
    <t xml:space="preserve">mn kWh</t>
  </si>
  <si>
    <t xml:space="preserve">   Electricity cost</t>
  </si>
  <si>
    <t xml:space="preserve">Basis B — on own-manufactured volume (excludes cement sourced from ICL)</t>
  </si>
  <si>
    <t xml:space="preserve">FY26 units consumed — Basis A</t>
  </si>
  <si>
    <t xml:space="preserve">bn kWh</t>
  </si>
  <si>
    <t xml:space="preserve">FY26 units consumed — Basis B</t>
  </si>
  <si>
    <t xml:space="preserve">D.  ELECTRICITY COST AS % OF TOPLINE</t>
  </si>
  <si>
    <t xml:space="preserve">   % of grey cement domestic revenue (excl. ICL) — Basis A</t>
  </si>
  <si>
    <t xml:space="preserve">%</t>
  </si>
  <si>
    <t xml:space="preserve">   % of grey cement domestic revenue (excl. ICL) — Basis B</t>
  </si>
  <si>
    <t xml:space="preserve">   % of consolidated net sales — Basis A (memo)</t>
  </si>
  <si>
    <t xml:space="preserve">Mismatched: numerator is grey cement only, denominator includes ICL, white cement, RMC, chemicals and overseas</t>
  </si>
  <si>
    <t xml:space="preserve">E.  COST PER UNIT — WEIGHTED FY26 RATES</t>
  </si>
  <si>
    <t xml:space="preserve">   Captive thermal power — FY26 weighted mix</t>
  </si>
  <si>
    <t xml:space="preserve">   State grid and others — FY26 weighted mix</t>
  </si>
  <si>
    <t xml:space="preserve">   Renewable energy — FY26 weighted mix</t>
  </si>
  <si>
    <t xml:space="preserve">   Waste heat recovery system — FY26 weighted mix</t>
  </si>
  <si>
    <t xml:space="preserve">   Captive thermal power — FY26 weighted rate</t>
  </si>
  <si>
    <t xml:space="preserve">   State grid and others — FY26 weighted rate</t>
  </si>
  <si>
    <t xml:space="preserve">   Renewable energy — FY26 weighted rate</t>
  </si>
  <si>
    <t xml:space="preserve">   Waste heat recovery system — FY26 weighted rate</t>
  </si>
  <si>
    <t xml:space="preserve">Blended all-in cost of power consumed (incl. WHRS)</t>
  </si>
  <si>
    <t xml:space="preserve">FY26 = total cost / total units. NOT a procurement price: includes waste heat recovered at near-zero cost</t>
  </si>
  <si>
    <t xml:space="preserve">Blended cost of SOURCED power (excl. WHRS)</t>
  </si>
  <si>
    <t xml:space="preserve">HEADLINE: the rate actually paid for power generated or bought</t>
  </si>
  <si>
    <t xml:space="preserve">Power cost per tonne — FY26 weighted</t>
  </si>
  <si>
    <t xml:space="preserve">Power consumed per tonne — FY26 weighted</t>
  </si>
  <si>
    <t xml:space="preserve">Cross-check against the FY26 figure disclosed on Slide 13 of the Q4 deck</t>
  </si>
  <si>
    <t xml:space="preserve">   Renewable + WHRS share of units</t>
  </si>
  <si>
    <t xml:space="preserve">Independent cross-check: the ESG slide of the Q4 deck reports an FY26 green power mix of 41.6%</t>
  </si>
  <si>
    <t xml:space="preserve">F.  RECONCILIATION TO THE REPORTED P&amp;L</t>
  </si>
  <si>
    <t xml:space="preserve">   Fuel cost per tonne — as disclosed</t>
  </si>
  <si>
    <t xml:space="preserve">Fuel cost slide of each deck</t>
  </si>
  <si>
    <t xml:space="preserve">   Power + fuel per tonne</t>
  </si>
  <si>
    <t xml:space="preserve">   Implied power + fuel — Basis A</t>
  </si>
  <si>
    <t xml:space="preserve">   Implied power + fuel — Basis B</t>
  </si>
  <si>
    <t xml:space="preserve">   Power and fuel — standalone P&amp;L, as reported</t>
  </si>
  <si>
    <t xml:space="preserve">Includes white cement, RMC and construction chemicals, none of which are in the Rs./t above</t>
  </si>
  <si>
    <t xml:space="preserve">   Power and fuel — consolidated P&amp;L, as reported</t>
  </si>
  <si>
    <t xml:space="preserve">   Basis A as % of standalone P&amp;L</t>
  </si>
  <si>
    <t xml:space="preserve">Drifts from 95% in Q1 to 106% in Q4 — the per-tonne cost is a production measure, sales volume is not</t>
  </si>
  <si>
    <t xml:space="preserve">   Basis B as % of standalone P&amp;L</t>
  </si>
  <si>
    <t xml:space="preserve">G.  FY26 HEADLINE ANSWERS</t>
  </si>
  <si>
    <t xml:space="preserve">Electricity cost, FY26  (low = Basis B, high = Basis A)</t>
  </si>
  <si>
    <t xml:space="preserve">Electricity as % of grey cement topline, FY26</t>
  </si>
  <si>
    <t xml:space="preserve">Cost per unit procured, FY26 (excl. WHRS)</t>
  </si>
  <si>
    <t xml:space="preserve">Blended all-in cost per unit consumed, FY26</t>
  </si>
  <si>
    <t xml:space="preserve">ULTRATECH — ELECTRICITY COST: Q4FY26 vs Q4FY25</t>
  </si>
  <si>
    <t xml:space="preserve">Same basis as the FY26 Build tab. Q4FY25 volume and segment revenue are derived from the growth rates disclosed in the Q4FY26 deck.</t>
  </si>
  <si>
    <t xml:space="preserve">Q4FY25</t>
  </si>
  <si>
    <t xml:space="preserve">YoY chg</t>
  </si>
  <si>
    <t xml:space="preserve">A.  DISCLOSED — POWER MIX, RATE AND CONSUMPTION  (Slide 27 of the Q4FY26 deck)</t>
  </si>
  <si>
    <t xml:space="preserve">B.  DISCLOSED — VOLUME AND REVENUE  (Slides 10, 20 and 22 of the Q4FY26 deck)</t>
  </si>
  <si>
    <t xml:space="preserve">Q4FY26 disclosed; Q4FY25 derived from the disclosed YoY growth of 15.2%</t>
  </si>
  <si>
    <t xml:space="preserve">Q4FY26 disclosed; Q4FY25 derived from the disclosed YoY growth of 18.0%</t>
  </si>
  <si>
    <t xml:space="preserve">Q4FY26 disclosed; Q4FY25 derived from the disclosed YoY growth of 9.3%</t>
  </si>
  <si>
    <t xml:space="preserve">Q4FY26 disclosed; Q4FY25 derived from the disclosed YoY growth of 15.3%</t>
  </si>
  <si>
    <t xml:space="preserve">   Realisation — derived</t>
  </si>
  <si>
    <t xml:space="preserve">   Realisation — as disclosed</t>
  </si>
  <si>
    <t xml:space="preserve">Slide 22</t>
  </si>
  <si>
    <t xml:space="preserve">   Variance: derived vs disclosed</t>
  </si>
  <si>
    <t xml:space="preserve">Validates the Q4FY25 figures derived from the disclosed growth rates</t>
  </si>
  <si>
    <t xml:space="preserve">C.  ELECTRICITY COST IN ABSOLUTE TERMS</t>
  </si>
  <si>
    <t xml:space="preserve">   Basis A — units consumed</t>
  </si>
  <si>
    <t xml:space="preserve">   Basis A — electricity cost</t>
  </si>
  <si>
    <t xml:space="preserve">   Basis B — units consumed</t>
  </si>
  <si>
    <t xml:space="preserve">   Basis B — electricity cost</t>
  </si>
  <si>
    <t xml:space="preserve">D.  AS % OF TOPLINE  /  E.  COST PER UNIT</t>
  </si>
  <si>
    <t xml:space="preserve">   % of grey cement domestic revenue — Basis A</t>
  </si>
  <si>
    <t xml:space="preserve">   % of grey cement domestic revenue — Basis B</t>
  </si>
  <si>
    <t xml:space="preserve">The rate actually paid for power generated or bought</t>
  </si>
  <si>
    <t xml:space="preserve">F.  RECONCILIATION  /  G.  YoY BRIDGE (Basis B, Rs. Cr)</t>
  </si>
  <si>
    <t xml:space="preserve">   Power and fuel — standalone P&amp;L</t>
  </si>
  <si>
    <t xml:space="preserve">Q4FY25 electricity cost (Basis B)</t>
  </si>
  <si>
    <t xml:space="preserve">   Volume effect</t>
  </si>
  <si>
    <t xml:space="preserve">   Specific consumption effect</t>
  </si>
  <si>
    <t xml:space="preserve">   Blended rate effect</t>
  </si>
  <si>
    <t xml:space="preserve">   Rounding / residual</t>
  </si>
  <si>
    <t xml:space="preserve">Q4FY26 electricity cost (Basis B)</t>
  </si>
  <si>
    <t xml:space="preserve">   Check vs Section C</t>
  </si>
  <si>
    <t xml:space="preserve">NOTES, SOURCES AND CAVEATS</t>
  </si>
  <si>
    <t xml:space="preserve">1.  Source documents</t>
  </si>
  <si>
    <t xml:space="preserve">All four FY26 investor presentations were downloaded from ultratechcement.com (Investor Centre &gt; Financials &gt; Investor Update):</t>
  </si>
  <si>
    <t xml:space="preserve">Q1FY26  /content/dam/ultratechcementwebsite/pdf/financials/investor-update/results-presentation-Q1-FY26.pdf</t>
  </si>
  <si>
    <t xml:space="preserve">Q2FY26  /content/dam/ultratechcementwebsite/pdf/financials/investor-update/result-presentation-q2-fy26.pdf</t>
  </si>
  <si>
    <t xml:space="preserve">Q3FY26  /content/dam/ultratechcementwebsite/pdf/financials/investor-update/result-presentation-Q3-FY26.pdf</t>
  </si>
  <si>
    <t xml:space="preserve">Q4FY26  /content/dam/ultratechcementwebsite/pdf/financials/investor-update/q4fy26-investor-presentation.pdf  (same deck as the BSE filing of 27 April 2026)</t>
  </si>
  <si>
    <t xml:space="preserve">2.  How the build-up was validated</t>
  </si>
  <si>
    <t xml:space="preserve">Summing the four quarters reproduces the FY26 figures the Q4 deck discloses, to the rupee in most cases: consolidated net sales Rs. 87,384 Cr (exact), power and fuel consolidated Rs. 19,597 Cr (exact), power and fuel standalone Rs. 17,135 Cr against Rs. 17,136 Cr disclosed, grey cement domestic volume 145.00 MnT (exact), UltraTech volume 140.00 MnT (exact), ICL 10.33 MnT (exact). Column H on the FY26 Build tab shows every variance.</t>
  </si>
  <si>
    <t xml:space="preserve">The weighted FY26 specific consumption computed from the quarters is 69.0 kWh/t against the 68.9 kWh/t disclosed on Slide 13 of the Q4 deck — a rounding difference.</t>
  </si>
  <si>
    <t xml:space="preserve">3.  Two figures are derived, not disclosed</t>
  </si>
  <si>
    <t xml:space="preserve">The Q1FY26 deck reports only a combined 'Grey Cement - Domestic (Incl. India Cements)' line, so it gives no UltraTech-only volume or revenue. Both are backed out as the FY26 total less Q2, Q3 and Q4. The volume check is self-proving: 33.07 + 2.18 - 0.60 = 34.65 against the 34.64 MnT the Q1 deck discloses.</t>
  </si>
  <si>
    <t xml:space="preserve">The revenue back-out leaves a Rs. 237 Cr gap against the Q1 combined revenue line, which is the inter-company elimination on roughly 0.60 MnT of ICL cement — consistent, but it means the Q1 revenue figure carries more uncertainty than the others.</t>
  </si>
  <si>
    <t xml:space="preserve">4.  The single most important caveat</t>
  </si>
  <si>
    <t xml:space="preserve">No deck discloses electricity cost as an absolute rupee amount. The P&amp;L carries only a combined 'Power and fuel' line. Every absolute figure here is derived as disclosed Rs./t multiplied by volume. What is disclosed directly is the per-unit data: Rs./kWh, kWh/t and Rs./t.</t>
  </si>
  <si>
    <t xml:space="preserve">5.  Basis A versus Basis B, and why the annual number is a range</t>
  </si>
  <si>
    <t xml:space="preserve">Basis A applies the disclosed Rs./t to reported UltraTech grey cement volume. Basis B applies it to own-manufactured volume — reported volume less the ICL cement UltraTech buys and resells under its own brand, on which it burns no power. The gap widened through FY26 as ICL volumes ramped: 0.60 MnT in Q1 to 2.73 MnT in Q4.</t>
  </si>
  <si>
    <t xml:space="preserve">Neither basis ties cleanly quarter by quarter. Basis A runs at 95% of the standalone power-and-fuel line in Q1 and 106% in Q4. That drift is seasonal, not a basis error: the per-tonne cost is a production measure while the P&amp;L records actual consumption, so in the weak monsoon quarter the plants run ahead of sales and in the peak Q4 quarter sales run ahead of production. Over the full year the inventory swing washes out, which is why only the annual reconciliation is meaningful.</t>
  </si>
  <si>
    <t xml:space="preserve">On the full year Basis A implies power and fuel of Rs. 17,195 Cr against Rs. 17,135 Cr reported standalone, or 100.4%. That looks like a clean tie but is not, because the standalone line also carries white cement, ready-mix concrete and construction chemicals, none of which are inside the Rs./t figures. White cement alone is roughly 2.17 MnT of power- and fuel-intensive production. Strip a reasonable Rs. 600 to 750 Cr for those divisions and grey-cement-only standalone power and fuel is about Rs. 16,400 to 16,550 Cr, which Basis A overshoots by 4 to 5% and Basis B lands on almost exactly.</t>
  </si>
  <si>
    <t xml:space="preserve">That is the honest position: Basis B is better supported, but the evidence is not conclusive enough to discard Basis A. Treat FY26 electricity cost as a range of roughly Rs. 4,700 to 4,880 Cr rather than a point estimate, and quote Basis B if you need one number.</t>
  </si>
  <si>
    <t xml:space="preserve">6.  Rs. 5.04/kWh is not a procurement price</t>
  </si>
  <si>
    <t xml:space="preserve">The FY26 blended rate includes waste heat recovery at about Rs. 0.71/kWh, which is recovered process heat rather than purchased or generated energy. The weighted rate actually paid for sourced power — captive thermal, grid and renewables — is about Rs. 6.19/kWh in FY26. Use the sourced rate when the question is what UltraTech pays for a unit, and the blended rate when the question is what a unit consumed costs the P&amp;L.</t>
  </si>
  <si>
    <t xml:space="preserve">7.  Precision limits</t>
  </si>
  <si>
    <t xml:space="preserve">The Q1, Q2 and Q3 decks report power mix percentages and rates to one decimal place only; the Q4 deck moved to two. The FY26 weighted rates are therefore no more precise than roughly plus or minus Rs. 0.05/kWh, and the weighted mix percentages no better than a few tenths of a point.</t>
  </si>
  <si>
    <t xml:space="preserve">The Q3FY26 deck footnotes its power slides only as 'Q3FY25 numbers restated for Kesoram' and does not repeat the 'excluding ICL' wording the other three decks carry. The quarter-on-quarter chain nevertheless matches the Q4 deck exactly (Rs. 349/t to Rs. 325/t is the 7% QoQ decline the Q4 deck reports), so the basis is consistent.</t>
  </si>
  <si>
    <t xml:space="preserve">8.  A better source exists for the annual number</t>
  </si>
  <si>
    <t xml:space="preserve">UltraTech's Integrated and Sustainability Report 2025-26 is published on the same site. Its statutory Conservation of Energy disclosure carries actual units of electricity purchased and the total cost, and the financial statements break out the power and fuel note. That would replace the derivation in Section C with a reported figure and settle the Basis A versus Basis B question outright.</t>
  </si>
  <si>
    <t xml:space="preserve">URL: /content/dam/ultratechcementwebsite/pdf/financials/annual-reports/integrated-and-sustainability-report-2025-26-single-page.pdf</t>
  </si>
  <si>
    <t xml:space="preserve">9.  Extending to FY25</t>
  </si>
  <si>
    <t xml:space="preserve">The FY25 quarterly decks are on the same page and carry the same slides. Known FY25 per-tonne power costs are Q1 Rs. 389, Q2 Rs. 403, Q3 Rs. 409 and Q4 Rs. 358, with rates of Rs. 5.6/kWh in Q2, Rs. 5.8 in Q3 and Rs. 5.19 in Q4, so an FY25 column can be built the same way once the FY25 volumes are pulled.</t>
  </si>
</sst>
</file>

<file path=xl/styles.xml><?xml version="1.0" encoding="utf-8"?>
<styleSheet xmlns="http://schemas.openxmlformats.org/spreadsheetml/2006/main">
  <numFmts count="6">
    <numFmt numFmtId="164" formatCode="General"/>
    <numFmt numFmtId="165" formatCode="0.0%"/>
    <numFmt numFmtId="166" formatCode="0.00"/>
    <numFmt numFmtId="167" formatCode="#,##0"/>
    <numFmt numFmtId="168" formatCode="#,##0.00;\(#,##0.00\);\-"/>
    <numFmt numFmtId="169" formatCode="#,##0;\(#,##0\);\-"/>
  </numFmts>
  <fonts count="11">
    <font>
      <sz val="11"/>
      <color theme="1"/>
      <name val="Calibri"/>
      <family val="2"/>
      <charset val="1"/>
    </font>
    <font>
      <sz val="10"/>
      <name val="Arial"/>
      <family val="0"/>
    </font>
    <font>
      <sz val="10"/>
      <name val="Arial"/>
      <family val="0"/>
    </font>
    <font>
      <sz val="10"/>
      <name val="Arial"/>
      <family val="0"/>
    </font>
    <font>
      <b val="true"/>
      <sz val="13"/>
      <color rgb="FF1F4E79"/>
      <name val="Arial"/>
      <family val="0"/>
      <charset val="1"/>
    </font>
    <font>
      <i val="true"/>
      <sz val="9"/>
      <color rgb="FF595959"/>
      <name val="Arial"/>
      <family val="0"/>
      <charset val="1"/>
    </font>
    <font>
      <b val="true"/>
      <sz val="10"/>
      <color rgb="FFFFFFFF"/>
      <name val="Arial"/>
      <family val="0"/>
      <charset val="1"/>
    </font>
    <font>
      <sz val="10"/>
      <name val="Arial"/>
      <family val="0"/>
      <charset val="1"/>
    </font>
    <font>
      <sz val="10"/>
      <color rgb="FF0000FF"/>
      <name val="Arial"/>
      <family val="0"/>
      <charset val="1"/>
    </font>
    <font>
      <b val="true"/>
      <sz val="10"/>
      <name val="Arial"/>
      <family val="0"/>
      <charset val="1"/>
    </font>
    <font>
      <b val="true"/>
      <sz val="11"/>
      <color rgb="FF1F4E79"/>
      <name val="Arial"/>
      <family val="0"/>
      <charset val="1"/>
    </font>
  </fonts>
  <fills count="6">
    <fill>
      <patternFill patternType="none"/>
    </fill>
    <fill>
      <patternFill patternType="gray125"/>
    </fill>
    <fill>
      <patternFill patternType="solid">
        <fgColor rgb="FF2E75B6"/>
        <bgColor rgb="FF0066CC"/>
      </patternFill>
    </fill>
    <fill>
      <patternFill patternType="solid">
        <fgColor rgb="FF1F4E79"/>
        <bgColor rgb="FF003366"/>
      </patternFill>
    </fill>
    <fill>
      <patternFill patternType="solid">
        <fgColor rgb="FFE2EFDA"/>
        <bgColor rgb="FFDDEBF7"/>
      </patternFill>
    </fill>
    <fill>
      <patternFill patternType="solid">
        <fgColor rgb="FFDDEBF7"/>
        <bgColor rgb="FFE2EFDA"/>
      </patternFill>
    </fill>
  </fills>
  <borders count="2">
    <border diagonalUp="false" diagonalDown="false">
      <left/>
      <right/>
      <top/>
      <bottom/>
      <diagonal/>
    </border>
    <border diagonalUp="false" diagonalDown="false">
      <left/>
      <right/>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left" vertical="center" textRotation="0" wrapText="false" indent="0" shrinkToFit="false"/>
      <protection locked="true" hidden="false"/>
    </xf>
    <xf numFmtId="164" fontId="5" fillId="0" borderId="0" xfId="0" applyFont="true" applyBorder="false" applyAlignment="true" applyProtection="false">
      <alignment horizontal="left" vertical="center" textRotation="0" wrapText="false" indent="0" shrinkToFit="false"/>
      <protection locked="true" hidden="false"/>
    </xf>
    <xf numFmtId="164" fontId="6" fillId="2" borderId="1" xfId="0" applyFont="true" applyBorder="true" applyAlignment="true" applyProtection="false">
      <alignment horizontal="left" vertical="center" textRotation="0" wrapText="false" indent="0" shrinkToFit="false"/>
      <protection locked="true" hidden="false"/>
    </xf>
    <xf numFmtId="164" fontId="6" fillId="2" borderId="1" xfId="0" applyFont="true" applyBorder="true" applyAlignment="true" applyProtection="false">
      <alignment horizontal="center" vertical="center" textRotation="0" wrapText="fals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6" fillId="3" borderId="0" xfId="0" applyFont="true" applyBorder="false" applyAlignment="true" applyProtection="false">
      <alignment horizontal="left" vertical="center" textRotation="0" wrapText="false" indent="0" shrinkToFit="false"/>
      <protection locked="true" hidden="false"/>
    </xf>
    <xf numFmtId="164" fontId="6" fillId="3" borderId="0" xfId="0" applyFont="true" applyBorder="false" applyAlignment="true" applyProtection="false">
      <alignment horizontal="right" vertical="center" textRotation="0" wrapText="false" indent="0" shrinkToFit="false"/>
      <protection locked="true" hidden="false"/>
    </xf>
    <xf numFmtId="164" fontId="7" fillId="0" borderId="1" xfId="0" applyFont="true" applyBorder="true" applyAlignment="true" applyProtection="false">
      <alignment horizontal="left" vertical="center" textRotation="0" wrapText="false" indent="0" shrinkToFit="false"/>
      <protection locked="true" hidden="false"/>
    </xf>
    <xf numFmtId="165" fontId="8" fillId="0" borderId="1" xfId="0" applyFont="true" applyBorder="true" applyAlignment="true" applyProtection="false">
      <alignment horizontal="right" vertical="center"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left" vertical="center" textRotation="0" wrapText="false" indent="0" shrinkToFit="false"/>
      <protection locked="true" hidden="false"/>
    </xf>
    <xf numFmtId="164" fontId="5" fillId="0" borderId="1" xfId="0" applyFont="true" applyBorder="true" applyAlignment="true" applyProtection="false">
      <alignment horizontal="left" vertical="center" textRotation="0" wrapText="true" indent="0" shrinkToFit="false"/>
      <protection locked="true" hidden="false"/>
    </xf>
    <xf numFmtId="166" fontId="8" fillId="0" borderId="1" xfId="0" applyFont="true" applyBorder="true" applyAlignment="true" applyProtection="false">
      <alignment horizontal="right" vertical="center" textRotation="0" wrapText="false" indent="0" shrinkToFit="false"/>
      <protection locked="true" hidden="false"/>
    </xf>
    <xf numFmtId="165" fontId="7" fillId="0" borderId="1" xfId="0" applyFont="true" applyBorder="true" applyAlignment="true" applyProtection="false">
      <alignment horizontal="right" vertical="center" textRotation="0" wrapText="false" indent="0" shrinkToFit="false"/>
      <protection locked="true" hidden="false"/>
    </xf>
    <xf numFmtId="164" fontId="9" fillId="0" borderId="1" xfId="0" applyFont="true" applyBorder="true" applyAlignment="true" applyProtection="false">
      <alignment horizontal="left" vertical="center" textRotation="0" wrapText="false" indent="0" shrinkToFit="false"/>
      <protection locked="true" hidden="false"/>
    </xf>
    <xf numFmtId="167" fontId="8" fillId="0" borderId="1" xfId="0" applyFont="true" applyBorder="true" applyAlignment="true" applyProtection="false">
      <alignment horizontal="right" vertical="center" textRotation="0" wrapText="false" indent="0" shrinkToFit="false"/>
      <protection locked="true" hidden="false"/>
    </xf>
    <xf numFmtId="166" fontId="7" fillId="4" borderId="1" xfId="0" applyFont="true" applyBorder="true" applyAlignment="true" applyProtection="false">
      <alignment horizontal="right" vertical="center" textRotation="0" wrapText="false" indent="0" shrinkToFit="false"/>
      <protection locked="true" hidden="false"/>
    </xf>
    <xf numFmtId="168" fontId="7" fillId="0" borderId="1" xfId="0" applyFont="true" applyBorder="true" applyAlignment="true" applyProtection="false">
      <alignment horizontal="right" vertical="center" textRotation="0" wrapText="false" indent="0" shrinkToFit="false"/>
      <protection locked="true" hidden="false"/>
    </xf>
    <xf numFmtId="168" fontId="7" fillId="4" borderId="1" xfId="0" applyFont="true" applyBorder="true" applyAlignment="true" applyProtection="false">
      <alignment horizontal="right" vertical="center" textRotation="0" wrapText="false" indent="0" shrinkToFit="false"/>
      <protection locked="true" hidden="false"/>
    </xf>
    <xf numFmtId="168" fontId="8" fillId="0" borderId="1" xfId="0" applyFont="true" applyBorder="true" applyAlignment="true" applyProtection="false">
      <alignment horizontal="right" vertical="center" textRotation="0" wrapText="false" indent="0" shrinkToFit="false"/>
      <protection locked="true" hidden="false"/>
    </xf>
    <xf numFmtId="166" fontId="9" fillId="0" borderId="1" xfId="0" applyFont="true" applyBorder="true" applyAlignment="true" applyProtection="false">
      <alignment horizontal="right" vertical="center" textRotation="0" wrapText="false" indent="0" shrinkToFit="false"/>
      <protection locked="true" hidden="false"/>
    </xf>
    <xf numFmtId="166" fontId="9" fillId="4" borderId="1" xfId="0" applyFont="true" applyBorder="true" applyAlignment="true" applyProtection="false">
      <alignment horizontal="right" vertical="center" textRotation="0" wrapText="false" indent="0" shrinkToFit="false"/>
      <protection locked="true" hidden="false"/>
    </xf>
    <xf numFmtId="167" fontId="7" fillId="4" borderId="1" xfId="0" applyFont="true" applyBorder="true" applyAlignment="true" applyProtection="false">
      <alignment horizontal="right" vertical="center" textRotation="0" wrapText="false" indent="0" shrinkToFit="false"/>
      <protection locked="true" hidden="false"/>
    </xf>
    <xf numFmtId="167" fontId="7" fillId="0" borderId="1" xfId="0" applyFont="true" applyBorder="true" applyAlignment="true" applyProtection="false">
      <alignment horizontal="right" vertical="center" textRotation="0" wrapText="false" indent="0" shrinkToFit="false"/>
      <protection locked="true" hidden="false"/>
    </xf>
    <xf numFmtId="167" fontId="9" fillId="0" borderId="1" xfId="0" applyFont="true" applyBorder="true" applyAlignment="true" applyProtection="false">
      <alignment horizontal="right" vertical="center" textRotation="0" wrapText="false" indent="0" shrinkToFit="false"/>
      <protection locked="true" hidden="false"/>
    </xf>
    <xf numFmtId="167" fontId="9" fillId="4" borderId="1" xfId="0" applyFont="true" applyBorder="true" applyAlignment="true" applyProtection="false">
      <alignment horizontal="right" vertical="center" textRotation="0" wrapText="false" indent="0" shrinkToFit="false"/>
      <protection locked="true" hidden="false"/>
    </xf>
    <xf numFmtId="166" fontId="8" fillId="5" borderId="1" xfId="0" applyFont="true" applyBorder="true" applyAlignment="true" applyProtection="false">
      <alignment horizontal="right" vertical="center" textRotation="0" wrapText="false" indent="0" shrinkToFit="false"/>
      <protection locked="true" hidden="false"/>
    </xf>
    <xf numFmtId="166" fontId="9" fillId="5" borderId="1" xfId="0" applyFont="true" applyBorder="true" applyAlignment="true" applyProtection="false">
      <alignment horizontal="right" vertical="center" textRotation="0" wrapText="false" indent="0" shrinkToFit="false"/>
      <protection locked="true" hidden="false"/>
    </xf>
    <xf numFmtId="165" fontId="7" fillId="4" borderId="1" xfId="0" applyFont="true" applyBorder="true" applyAlignment="true" applyProtection="false">
      <alignment horizontal="right" vertical="center" textRotation="0" wrapText="false" indent="0" shrinkToFit="false"/>
      <protection locked="true" hidden="false"/>
    </xf>
    <xf numFmtId="164" fontId="8" fillId="5" borderId="1" xfId="0" applyFont="true" applyBorder="true" applyAlignment="true" applyProtection="false">
      <alignment horizontal="right" vertical="center" textRotation="0" wrapText="false" indent="0" shrinkToFit="false"/>
      <protection locked="true" hidden="false"/>
    </xf>
    <xf numFmtId="164" fontId="9" fillId="5" borderId="1" xfId="0" applyFont="true" applyBorder="true" applyAlignment="true" applyProtection="false">
      <alignment horizontal="right" vertical="center" textRotation="0" wrapText="false" indent="0" shrinkToFit="false"/>
      <protection locked="true" hidden="false"/>
    </xf>
    <xf numFmtId="166" fontId="7" fillId="0" borderId="1" xfId="0" applyFont="true" applyBorder="true" applyAlignment="true" applyProtection="false">
      <alignment horizontal="right" vertical="center" textRotation="0" wrapText="false" indent="0" shrinkToFit="false"/>
      <protection locked="true" hidden="false"/>
    </xf>
    <xf numFmtId="165" fontId="9" fillId="0" borderId="1" xfId="0" applyFont="true" applyBorder="true" applyAlignment="true" applyProtection="false">
      <alignment horizontal="right" vertical="center" textRotation="0" wrapText="false" indent="0" shrinkToFit="false"/>
      <protection locked="true" hidden="false"/>
    </xf>
    <xf numFmtId="169" fontId="7" fillId="0" borderId="1" xfId="0" applyFont="true" applyBorder="true" applyAlignment="true" applyProtection="false">
      <alignment horizontal="right" vertical="center" textRotation="0" wrapText="false" indent="0" shrinkToFit="false"/>
      <protection locked="true" hidden="false"/>
    </xf>
    <xf numFmtId="169" fontId="8" fillId="0" borderId="1" xfId="0" applyFont="true" applyBorder="true" applyAlignment="true" applyProtection="false">
      <alignment horizontal="right" vertical="center" textRotation="0" wrapText="false" indent="0" shrinkToFit="false"/>
      <protection locked="true" hidden="false"/>
    </xf>
    <xf numFmtId="164" fontId="7" fillId="0" borderId="1" xfId="0" applyFont="true" applyBorder="true" applyAlignment="true" applyProtection="false">
      <alignment horizontal="right" vertical="center" textRotation="0" wrapText="false" indent="0" shrinkToFit="false"/>
      <protection locked="true" hidden="false"/>
    </xf>
    <xf numFmtId="164" fontId="8" fillId="0" borderId="1" xfId="0" applyFont="true" applyBorder="true" applyAlignment="true" applyProtection="false">
      <alignment horizontal="right" vertical="center"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10"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DD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2E75B6"/>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1F4E7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79"/>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1" ySplit="6" topLeftCell="B7" activePane="bottomRight" state="frozen"/>
      <selection pane="topLeft" activeCell="A1" activeCellId="0" sqref="A1"/>
      <selection pane="topRight" activeCell="B1" activeCellId="0" sqref="B1"/>
      <selection pane="bottomLeft" activeCell="A7" activeCellId="0" sqref="A7"/>
      <selection pane="bottomRight" activeCell="A1" activeCellId="0" sqref="A1"/>
    </sheetView>
  </sheetViews>
  <sheetFormatPr defaultColWidth="8.5390625" defaultRowHeight="15" zeroHeight="false" outlineLevelRow="0" outlineLevelCol="0"/>
  <cols>
    <col collapsed="false" customWidth="true" hidden="false" outlineLevel="0" max="1" min="1" style="0" width="58"/>
    <col collapsed="false" customWidth="true" hidden="false" outlineLevel="0" max="5" min="2" style="0" width="11"/>
    <col collapsed="false" customWidth="true" hidden="false" outlineLevel="0" max="7" min="6" style="0" width="14"/>
    <col collapsed="false" customWidth="true" hidden="false" outlineLevel="0" max="9" min="8" style="0" width="10"/>
    <col collapsed="false" customWidth="true" hidden="false" outlineLevel="0" max="10" min="10" style="0" width="62"/>
  </cols>
  <sheetData>
    <row r="1" customFormat="false" ht="16.15" hidden="false" customHeight="false" outlineLevel="0" collapsed="false">
      <c r="A1" s="1" t="s">
        <v>0</v>
      </c>
    </row>
    <row r="2" customFormat="false" ht="15" hidden="false" customHeight="false" outlineLevel="0" collapsed="false">
      <c r="A2" s="2" t="s">
        <v>1</v>
      </c>
    </row>
    <row r="3" customFormat="false" ht="15" hidden="false" customHeight="false" outlineLevel="0" collapsed="false">
      <c r="A3" s="2" t="s">
        <v>2</v>
      </c>
    </row>
    <row r="4" customFormat="false" ht="15" hidden="false" customHeight="false" outlineLevel="0" collapsed="false">
      <c r="A4" s="2" t="s">
        <v>3</v>
      </c>
    </row>
    <row r="6" customFormat="false" ht="31.5" hidden="false" customHeight="true" outlineLevel="0" collapsed="false">
      <c r="A6" s="3" t="s">
        <v>4</v>
      </c>
      <c r="B6" s="4" t="s">
        <v>5</v>
      </c>
      <c r="C6" s="4" t="s">
        <v>6</v>
      </c>
      <c r="D6" s="4" t="s">
        <v>7</v>
      </c>
      <c r="E6" s="4" t="s">
        <v>8</v>
      </c>
      <c r="F6" s="5" t="s">
        <v>9</v>
      </c>
      <c r="G6" s="5" t="s">
        <v>10</v>
      </c>
      <c r="H6" s="5" t="s">
        <v>11</v>
      </c>
      <c r="I6" s="4" t="s">
        <v>12</v>
      </c>
      <c r="J6" s="4" t="s">
        <v>13</v>
      </c>
    </row>
    <row r="7" customFormat="false" ht="15" hidden="false" customHeight="false" outlineLevel="0" collapsed="false">
      <c r="A7" s="6" t="s">
        <v>14</v>
      </c>
      <c r="B7" s="7"/>
      <c r="C7" s="7"/>
      <c r="D7" s="7"/>
      <c r="E7" s="7"/>
      <c r="F7" s="7"/>
      <c r="G7" s="7"/>
      <c r="H7" s="7"/>
      <c r="I7" s="6"/>
      <c r="J7" s="6"/>
    </row>
    <row r="8" customFormat="false" ht="15" hidden="false" customHeight="false" outlineLevel="0" collapsed="false">
      <c r="A8" s="8" t="s">
        <v>15</v>
      </c>
      <c r="B8" s="9" t="n">
        <v>0.384</v>
      </c>
      <c r="C8" s="9" t="n">
        <v>0.381</v>
      </c>
      <c r="D8" s="9" t="n">
        <v>0.358</v>
      </c>
      <c r="E8" s="9" t="n">
        <v>0.364</v>
      </c>
      <c r="F8" s="10"/>
      <c r="G8" s="10"/>
      <c r="H8" s="10"/>
      <c r="I8" s="11" t="s">
        <v>16</v>
      </c>
      <c r="J8" s="12" t="s">
        <v>17</v>
      </c>
    </row>
    <row r="9" customFormat="false" ht="15" hidden="false" customHeight="false" outlineLevel="0" collapsed="false">
      <c r="A9" s="8" t="s">
        <v>18</v>
      </c>
      <c r="B9" s="13" t="n">
        <v>6.7</v>
      </c>
      <c r="C9" s="13" t="n">
        <v>6.9</v>
      </c>
      <c r="D9" s="13" t="n">
        <v>6.5</v>
      </c>
      <c r="E9" s="13" t="n">
        <v>5.99</v>
      </c>
      <c r="F9" s="10"/>
      <c r="G9" s="10"/>
      <c r="H9" s="10"/>
      <c r="I9" s="11" t="s">
        <v>19</v>
      </c>
      <c r="J9" s="12" t="s">
        <v>20</v>
      </c>
    </row>
    <row r="10" customFormat="false" ht="15" hidden="false" customHeight="false" outlineLevel="0" collapsed="false">
      <c r="A10" s="8" t="s">
        <v>21</v>
      </c>
      <c r="B10" s="9" t="n">
        <v>0.221</v>
      </c>
      <c r="C10" s="9" t="n">
        <v>0.203</v>
      </c>
      <c r="D10" s="9" t="n">
        <v>0.22</v>
      </c>
      <c r="E10" s="9" t="n">
        <v>0.206</v>
      </c>
      <c r="F10" s="10"/>
      <c r="G10" s="10"/>
      <c r="H10" s="10"/>
      <c r="I10" s="11" t="s">
        <v>16</v>
      </c>
      <c r="J10" s="12" t="s">
        <v>17</v>
      </c>
    </row>
    <row r="11" customFormat="false" ht="15" hidden="false" customHeight="false" outlineLevel="0" collapsed="false">
      <c r="A11" s="8" t="s">
        <v>22</v>
      </c>
      <c r="B11" s="13" t="n">
        <v>7.1</v>
      </c>
      <c r="C11" s="13" t="n">
        <v>7.1</v>
      </c>
      <c r="D11" s="13" t="n">
        <v>7.4</v>
      </c>
      <c r="E11" s="13" t="n">
        <v>7.62</v>
      </c>
      <c r="F11" s="10"/>
      <c r="G11" s="10"/>
      <c r="H11" s="10"/>
      <c r="I11" s="11" t="s">
        <v>19</v>
      </c>
      <c r="J11" s="12" t="s">
        <v>20</v>
      </c>
    </row>
    <row r="12" customFormat="false" ht="15" hidden="false" customHeight="false" outlineLevel="0" collapsed="false">
      <c r="A12" s="8" t="s">
        <v>23</v>
      </c>
      <c r="B12" s="9" t="n">
        <v>0.191</v>
      </c>
      <c r="C12" s="9" t="n">
        <v>0.223</v>
      </c>
      <c r="D12" s="9" t="n">
        <v>0.206</v>
      </c>
      <c r="E12" s="9" t="n">
        <v>0.204</v>
      </c>
      <c r="F12" s="10"/>
      <c r="G12" s="10"/>
      <c r="H12" s="10"/>
      <c r="I12" s="11" t="s">
        <v>16</v>
      </c>
      <c r="J12" s="12" t="s">
        <v>17</v>
      </c>
    </row>
    <row r="13" customFormat="false" ht="15" hidden="false" customHeight="false" outlineLevel="0" collapsed="false">
      <c r="A13" s="8" t="s">
        <v>24</v>
      </c>
      <c r="B13" s="13" t="n">
        <v>4.5</v>
      </c>
      <c r="C13" s="13" t="n">
        <v>4.6</v>
      </c>
      <c r="D13" s="13" t="n">
        <v>4.4</v>
      </c>
      <c r="E13" s="13" t="n">
        <v>4.45</v>
      </c>
      <c r="F13" s="10"/>
      <c r="G13" s="10"/>
      <c r="H13" s="10"/>
      <c r="I13" s="11" t="s">
        <v>19</v>
      </c>
      <c r="J13" s="12" t="s">
        <v>20</v>
      </c>
    </row>
    <row r="14" customFormat="false" ht="15" hidden="false" customHeight="false" outlineLevel="0" collapsed="false">
      <c r="A14" s="8" t="s">
        <v>25</v>
      </c>
      <c r="B14" s="9" t="n">
        <v>0.204</v>
      </c>
      <c r="C14" s="9" t="n">
        <v>0.192</v>
      </c>
      <c r="D14" s="9" t="n">
        <v>0.215</v>
      </c>
      <c r="E14" s="9" t="n">
        <v>0.226</v>
      </c>
      <c r="F14" s="10"/>
      <c r="G14" s="10"/>
      <c r="H14" s="10"/>
      <c r="I14" s="11" t="s">
        <v>16</v>
      </c>
      <c r="J14" s="12" t="s">
        <v>17</v>
      </c>
    </row>
    <row r="15" customFormat="false" ht="15" hidden="false" customHeight="false" outlineLevel="0" collapsed="false">
      <c r="A15" s="8" t="s">
        <v>26</v>
      </c>
      <c r="B15" s="13" t="n">
        <v>0.8</v>
      </c>
      <c r="C15" s="13" t="n">
        <v>0.8</v>
      </c>
      <c r="D15" s="13" t="n">
        <v>0.7</v>
      </c>
      <c r="E15" s="13" t="n">
        <v>0.6</v>
      </c>
      <c r="F15" s="10"/>
      <c r="G15" s="10"/>
      <c r="H15" s="10"/>
      <c r="I15" s="11" t="s">
        <v>19</v>
      </c>
      <c r="J15" s="12" t="s">
        <v>20</v>
      </c>
    </row>
    <row r="16" customFormat="false" ht="15" hidden="false" customHeight="false" outlineLevel="0" collapsed="false">
      <c r="A16" s="8" t="s">
        <v>27</v>
      </c>
      <c r="B16" s="14" t="n">
        <f aca="false">IF(B8="","",B8+B10+B12+B14)</f>
        <v>1</v>
      </c>
      <c r="C16" s="14" t="n">
        <f aca="false">IF(C8="","",C8+C10+C12+C14)</f>
        <v>0.999</v>
      </c>
      <c r="D16" s="14" t="n">
        <f aca="false">IF(D8="","",D8+D10+D12+D14)</f>
        <v>0.999</v>
      </c>
      <c r="E16" s="14" t="n">
        <f aca="false">IF(E8="","",E8+E10+E12+E14)</f>
        <v>1</v>
      </c>
      <c r="F16" s="10"/>
      <c r="G16" s="10"/>
      <c r="H16" s="10"/>
      <c r="I16" s="11" t="s">
        <v>16</v>
      </c>
      <c r="J16" s="12" t="s">
        <v>28</v>
      </c>
    </row>
    <row r="17" customFormat="false" ht="15" hidden="false" customHeight="false" outlineLevel="0" collapsed="false">
      <c r="A17" s="10"/>
      <c r="B17" s="10"/>
      <c r="C17" s="10"/>
      <c r="D17" s="10"/>
      <c r="E17" s="10"/>
      <c r="F17" s="10"/>
      <c r="G17" s="10"/>
      <c r="H17" s="10"/>
      <c r="I17" s="10"/>
      <c r="J17" s="10"/>
    </row>
    <row r="18" customFormat="false" ht="15" hidden="false" customHeight="false" outlineLevel="0" collapsed="false">
      <c r="A18" s="15" t="s">
        <v>29</v>
      </c>
      <c r="B18" s="13" t="n">
        <v>5.1</v>
      </c>
      <c r="C18" s="13" t="n">
        <v>5.3</v>
      </c>
      <c r="D18" s="13" t="n">
        <v>5.1</v>
      </c>
      <c r="E18" s="13" t="n">
        <v>4.81</v>
      </c>
      <c r="F18" s="10"/>
      <c r="G18" s="10"/>
      <c r="H18" s="10"/>
      <c r="I18" s="11" t="s">
        <v>19</v>
      </c>
      <c r="J18" s="12" t="s">
        <v>30</v>
      </c>
    </row>
    <row r="19" customFormat="false" ht="15" hidden="false" customHeight="false" outlineLevel="0" collapsed="false">
      <c r="A19" s="15" t="s">
        <v>31</v>
      </c>
      <c r="B19" s="13" t="n">
        <v>69.3</v>
      </c>
      <c r="C19" s="13" t="n">
        <v>70.7</v>
      </c>
      <c r="D19" s="13" t="n">
        <v>69</v>
      </c>
      <c r="E19" s="13" t="n">
        <v>67.54</v>
      </c>
      <c r="F19" s="10"/>
      <c r="G19" s="13" t="n">
        <v>68.9</v>
      </c>
      <c r="H19" s="14" t="str">
        <f aca="false">IF(OR(F19="",G19="",G19=0),"",F19/G19-1)</f>
        <v/>
      </c>
      <c r="I19" s="11" t="s">
        <v>32</v>
      </c>
      <c r="J19" s="12" t="s">
        <v>33</v>
      </c>
    </row>
    <row r="20" customFormat="false" ht="15" hidden="false" customHeight="false" outlineLevel="0" collapsed="false">
      <c r="A20" s="15" t="s">
        <v>34</v>
      </c>
      <c r="B20" s="16" t="n">
        <v>356</v>
      </c>
      <c r="C20" s="16" t="n">
        <v>372</v>
      </c>
      <c r="D20" s="16" t="n">
        <v>349</v>
      </c>
      <c r="E20" s="16" t="n">
        <v>325</v>
      </c>
      <c r="F20" s="10"/>
      <c r="G20" s="10"/>
      <c r="H20" s="10"/>
      <c r="I20" s="11" t="s">
        <v>35</v>
      </c>
      <c r="J20" s="12" t="s">
        <v>30</v>
      </c>
    </row>
    <row r="21" customFormat="false" ht="15" hidden="false" customHeight="false" outlineLevel="0" collapsed="false">
      <c r="A21" s="10"/>
      <c r="B21" s="10"/>
      <c r="C21" s="10"/>
      <c r="D21" s="10"/>
      <c r="E21" s="10"/>
      <c r="F21" s="10"/>
      <c r="G21" s="10"/>
      <c r="H21" s="10"/>
      <c r="I21" s="10"/>
      <c r="J21" s="10"/>
    </row>
    <row r="22" customFormat="false" ht="15" hidden="false" customHeight="false" outlineLevel="0" collapsed="false">
      <c r="A22" s="6" t="s">
        <v>36</v>
      </c>
      <c r="B22" s="7"/>
      <c r="C22" s="7"/>
      <c r="D22" s="7"/>
      <c r="E22" s="7"/>
      <c r="F22" s="7"/>
      <c r="G22" s="7"/>
      <c r="H22" s="7"/>
      <c r="I22" s="6"/>
      <c r="J22" s="6"/>
    </row>
    <row r="23" customFormat="false" ht="22.35" hidden="false" customHeight="false" outlineLevel="0" collapsed="false">
      <c r="A23" s="8" t="s">
        <v>37</v>
      </c>
      <c r="B23" s="13" t="n">
        <v>33.07</v>
      </c>
      <c r="C23" s="13" t="n">
        <v>29.9</v>
      </c>
      <c r="D23" s="13" t="n">
        <v>35.02</v>
      </c>
      <c r="E23" s="13" t="n">
        <v>42.01</v>
      </c>
      <c r="F23" s="17" t="n">
        <f aca="false">SUM(B23:E23)</f>
        <v>140</v>
      </c>
      <c r="G23" s="13" t="n">
        <v>140</v>
      </c>
      <c r="H23" s="14" t="n">
        <f aca="false">IF(OR(F23="",G23="",G23=0),"",F23/G23-1)</f>
        <v>0</v>
      </c>
      <c r="I23" s="11" t="s">
        <v>38</v>
      </c>
      <c r="J23" s="12" t="s">
        <v>39</v>
      </c>
    </row>
    <row r="24" customFormat="false" ht="15" hidden="false" customHeight="false" outlineLevel="0" collapsed="false">
      <c r="A24" s="8" t="s">
        <v>40</v>
      </c>
      <c r="B24" s="13" t="n">
        <v>2.18</v>
      </c>
      <c r="C24" s="13" t="n">
        <v>2.44</v>
      </c>
      <c r="D24" s="13" t="n">
        <v>2.59</v>
      </c>
      <c r="E24" s="13" t="n">
        <v>3.12</v>
      </c>
      <c r="F24" s="17" t="n">
        <f aca="false">SUM(B24:E24)</f>
        <v>10.33</v>
      </c>
      <c r="G24" s="13" t="n">
        <v>10.33</v>
      </c>
      <c r="H24" s="14" t="n">
        <f aca="false">IF(OR(F24="",G24="",G24=0),"",F24/G24-1)</f>
        <v>0</v>
      </c>
      <c r="I24" s="11" t="s">
        <v>38</v>
      </c>
      <c r="J24" s="12" t="s">
        <v>41</v>
      </c>
    </row>
    <row r="25" customFormat="false" ht="15" hidden="false" customHeight="false" outlineLevel="0" collapsed="false">
      <c r="A25" s="8" t="s">
        <v>42</v>
      </c>
      <c r="B25" s="13" t="n">
        <v>34.64</v>
      </c>
      <c r="C25" s="13" t="n">
        <v>31.58</v>
      </c>
      <c r="D25" s="13" t="n">
        <v>36.37</v>
      </c>
      <c r="E25" s="13" t="n">
        <v>42.41</v>
      </c>
      <c r="F25" s="17" t="n">
        <f aca="false">SUM(B25:E25)</f>
        <v>145</v>
      </c>
      <c r="G25" s="13" t="n">
        <v>145</v>
      </c>
      <c r="H25" s="14" t="n">
        <f aca="false">IF(OR(F25="",G25="",G25=0),"",F25/G25-1)</f>
        <v>0</v>
      </c>
      <c r="I25" s="11" t="s">
        <v>38</v>
      </c>
      <c r="J25" s="12" t="s">
        <v>43</v>
      </c>
    </row>
    <row r="26" customFormat="false" ht="15" hidden="false" customHeight="false" outlineLevel="0" collapsed="false">
      <c r="A26" s="8" t="s">
        <v>44</v>
      </c>
      <c r="B26" s="18" t="n">
        <f aca="false">IF(B25="","",B25-B23-B24)</f>
        <v>-0.61</v>
      </c>
      <c r="C26" s="18" t="n">
        <f aca="false">IF(C25="","",C25-C23-C24)</f>
        <v>-0.76</v>
      </c>
      <c r="D26" s="18" t="n">
        <f aca="false">IF(D25="","",D25-D23-D24)</f>
        <v>-1.24000000000001</v>
      </c>
      <c r="E26" s="18" t="n">
        <f aca="false">IF(E25="","",E25-E23-E24)</f>
        <v>-2.72</v>
      </c>
      <c r="F26" s="19" t="n">
        <f aca="false">SUM(B25:E25)-SUM(B23:E23)-SUM(B24:E24)</f>
        <v>-5.33</v>
      </c>
      <c r="G26" s="20" t="n">
        <v>-5.33</v>
      </c>
      <c r="H26" s="14" t="n">
        <f aca="false">IF(OR(F26="",G26="",G26=0),"",F26/G26-1)</f>
        <v>0</v>
      </c>
      <c r="I26" s="11" t="s">
        <v>38</v>
      </c>
      <c r="J26" s="12" t="s">
        <v>45</v>
      </c>
    </row>
    <row r="27" customFormat="false" ht="15" hidden="false" customHeight="false" outlineLevel="0" collapsed="false">
      <c r="A27" s="15" t="s">
        <v>46</v>
      </c>
      <c r="B27" s="21" t="n">
        <f aca="false">IF(B23="","",B23+B26)</f>
        <v>32.46</v>
      </c>
      <c r="C27" s="21" t="n">
        <f aca="false">IF(C23="","",C23+C26)</f>
        <v>29.14</v>
      </c>
      <c r="D27" s="21" t="n">
        <f aca="false">IF(D23="","",D23+D26)</f>
        <v>33.78</v>
      </c>
      <c r="E27" s="21" t="n">
        <f aca="false">IF(E23="","",E23+E26)</f>
        <v>39.29</v>
      </c>
      <c r="F27" s="22" t="n">
        <f aca="false">SUM(B23:E23)+(F26)</f>
        <v>134.67</v>
      </c>
      <c r="G27" s="10"/>
      <c r="H27" s="10"/>
      <c r="I27" s="11" t="s">
        <v>38</v>
      </c>
      <c r="J27" s="12" t="s">
        <v>47</v>
      </c>
    </row>
    <row r="28" customFormat="false" ht="15" hidden="false" customHeight="false" outlineLevel="0" collapsed="false">
      <c r="A28" s="10"/>
      <c r="B28" s="10"/>
      <c r="C28" s="10"/>
      <c r="D28" s="10"/>
      <c r="E28" s="10"/>
      <c r="F28" s="10"/>
      <c r="G28" s="10"/>
      <c r="H28" s="10"/>
      <c r="I28" s="10"/>
      <c r="J28" s="10"/>
    </row>
    <row r="29" customFormat="false" ht="15" hidden="false" customHeight="false" outlineLevel="0" collapsed="false">
      <c r="A29" s="8" t="s">
        <v>48</v>
      </c>
      <c r="B29" s="16" t="n">
        <v>17072</v>
      </c>
      <c r="C29" s="16" t="n">
        <v>15217</v>
      </c>
      <c r="D29" s="16" t="n">
        <v>17229</v>
      </c>
      <c r="E29" s="16" t="n">
        <v>21148</v>
      </c>
      <c r="F29" s="23" t="n">
        <f aca="false">SUM(B29:E29)</f>
        <v>70666</v>
      </c>
      <c r="G29" s="16" t="n">
        <v>70666</v>
      </c>
      <c r="H29" s="14" t="n">
        <f aca="false">IF(OR(F29="",G29="",G29=0),"",F29/G29-1)</f>
        <v>0</v>
      </c>
      <c r="I29" s="11" t="s">
        <v>49</v>
      </c>
      <c r="J29" s="12" t="s">
        <v>50</v>
      </c>
    </row>
    <row r="30" customFormat="false" ht="15" hidden="false" customHeight="false" outlineLevel="0" collapsed="false">
      <c r="A30" s="8" t="s">
        <v>51</v>
      </c>
      <c r="B30" s="16" t="n">
        <v>21040</v>
      </c>
      <c r="C30" s="16" t="n">
        <v>19371</v>
      </c>
      <c r="D30" s="16" t="n">
        <v>21506</v>
      </c>
      <c r="E30" s="16" t="n">
        <v>25467</v>
      </c>
      <c r="F30" s="23" t="n">
        <f aca="false">SUM(B30:E30)</f>
        <v>87384</v>
      </c>
      <c r="G30" s="16" t="n">
        <v>87384</v>
      </c>
      <c r="H30" s="14" t="n">
        <f aca="false">IF(OR(F30="",G30="",G30=0),"",F30/G30-1)</f>
        <v>0</v>
      </c>
      <c r="I30" s="11" t="s">
        <v>49</v>
      </c>
      <c r="J30" s="12" t="s">
        <v>52</v>
      </c>
    </row>
    <row r="31" customFormat="false" ht="15" hidden="false" customHeight="false" outlineLevel="0" collapsed="false">
      <c r="A31" s="10"/>
      <c r="B31" s="10"/>
      <c r="C31" s="10"/>
      <c r="D31" s="10"/>
      <c r="E31" s="10"/>
      <c r="F31" s="10"/>
      <c r="G31" s="10"/>
      <c r="H31" s="10"/>
      <c r="I31" s="10"/>
      <c r="J31" s="10"/>
    </row>
    <row r="32" customFormat="false" ht="15" hidden="false" customHeight="false" outlineLevel="0" collapsed="false">
      <c r="A32" s="6" t="s">
        <v>53</v>
      </c>
      <c r="B32" s="7"/>
      <c r="C32" s="7"/>
      <c r="D32" s="7"/>
      <c r="E32" s="7"/>
      <c r="F32" s="7"/>
      <c r="G32" s="7"/>
      <c r="H32" s="7"/>
      <c r="I32" s="6"/>
      <c r="J32" s="6"/>
    </row>
    <row r="33" customFormat="false" ht="15" hidden="false" customHeight="false" outlineLevel="0" collapsed="false">
      <c r="A33" s="15" t="s">
        <v>54</v>
      </c>
      <c r="B33" s="16"/>
      <c r="C33" s="16"/>
      <c r="D33" s="16"/>
      <c r="E33" s="16"/>
      <c r="F33" s="10"/>
      <c r="G33" s="10"/>
      <c r="H33" s="10"/>
      <c r="I33" s="11"/>
      <c r="J33" s="12"/>
    </row>
    <row r="34" customFormat="false" ht="15" hidden="false" customHeight="false" outlineLevel="0" collapsed="false">
      <c r="A34" s="8" t="s">
        <v>55</v>
      </c>
      <c r="B34" s="24" t="n">
        <f aca="false">IF(B23="","",B23*B19)</f>
        <v>2291.751</v>
      </c>
      <c r="C34" s="24" t="n">
        <f aca="false">IF(C23="","",C23*C19)</f>
        <v>2113.93</v>
      </c>
      <c r="D34" s="24" t="n">
        <f aca="false">IF(D23="","",D23*D19)</f>
        <v>2416.38</v>
      </c>
      <c r="E34" s="24" t="n">
        <f aca="false">IF(E23="","",E23*E19)</f>
        <v>2837.3554</v>
      </c>
      <c r="F34" s="23" t="n">
        <f aca="false">SUM(B34:E34)</f>
        <v>9659.4164</v>
      </c>
      <c r="G34" s="10"/>
      <c r="H34" s="10"/>
      <c r="I34" s="11" t="s">
        <v>56</v>
      </c>
      <c r="J34" s="12"/>
    </row>
    <row r="35" customFormat="false" ht="15" hidden="false" customHeight="false" outlineLevel="0" collapsed="false">
      <c r="A35" s="15" t="s">
        <v>57</v>
      </c>
      <c r="B35" s="25" t="n">
        <f aca="false">IF(B23="","",B23*B20/10)</f>
        <v>1177.292</v>
      </c>
      <c r="C35" s="25" t="n">
        <f aca="false">IF(C23="","",C23*C20/10)</f>
        <v>1112.28</v>
      </c>
      <c r="D35" s="25" t="n">
        <f aca="false">IF(D23="","",D23*D20/10)</f>
        <v>1222.198</v>
      </c>
      <c r="E35" s="25" t="n">
        <f aca="false">IF(E23="","",E23*E20/10)</f>
        <v>1365.325</v>
      </c>
      <c r="F35" s="26" t="n">
        <f aca="false">SUM(B35:E35)</f>
        <v>4877.095</v>
      </c>
      <c r="G35" s="10"/>
      <c r="H35" s="10"/>
      <c r="I35" s="11" t="s">
        <v>49</v>
      </c>
      <c r="J35" s="12"/>
    </row>
    <row r="36" customFormat="false" ht="15" hidden="false" customHeight="false" outlineLevel="0" collapsed="false">
      <c r="A36" s="10"/>
      <c r="B36" s="10"/>
      <c r="C36" s="10"/>
      <c r="D36" s="10"/>
      <c r="E36" s="10"/>
      <c r="F36" s="10"/>
      <c r="G36" s="10"/>
      <c r="H36" s="10"/>
      <c r="I36" s="10"/>
      <c r="J36" s="10"/>
    </row>
    <row r="37" customFormat="false" ht="15" hidden="false" customHeight="false" outlineLevel="0" collapsed="false">
      <c r="A37" s="15" t="s">
        <v>58</v>
      </c>
      <c r="B37" s="16"/>
      <c r="C37" s="16"/>
      <c r="D37" s="16"/>
      <c r="E37" s="16"/>
      <c r="F37" s="10"/>
      <c r="G37" s="10"/>
      <c r="H37" s="10"/>
      <c r="I37" s="11"/>
      <c r="J37" s="12"/>
    </row>
    <row r="38" customFormat="false" ht="15" hidden="false" customHeight="false" outlineLevel="0" collapsed="false">
      <c r="A38" s="8" t="s">
        <v>55</v>
      </c>
      <c r="B38" s="24" t="n">
        <f aca="false">IF(B27="","",B27*B19)</f>
        <v>2249.478</v>
      </c>
      <c r="C38" s="24" t="n">
        <f aca="false">IF(C27="","",C27*C19)</f>
        <v>2060.198</v>
      </c>
      <c r="D38" s="24" t="n">
        <f aca="false">IF(D27="","",D27*D19)</f>
        <v>2330.82</v>
      </c>
      <c r="E38" s="24" t="n">
        <f aca="false">IF(E27="","",E27*E19)</f>
        <v>2653.6466</v>
      </c>
      <c r="F38" s="23" t="n">
        <f aca="false">SUM(B38:E38)</f>
        <v>9294.1426</v>
      </c>
      <c r="G38" s="10"/>
      <c r="H38" s="10"/>
      <c r="I38" s="11" t="s">
        <v>56</v>
      </c>
      <c r="J38" s="12"/>
    </row>
    <row r="39" customFormat="false" ht="15" hidden="false" customHeight="false" outlineLevel="0" collapsed="false">
      <c r="A39" s="15" t="s">
        <v>57</v>
      </c>
      <c r="B39" s="25" t="n">
        <f aca="false">IF(B27="","",B27*B20/10)</f>
        <v>1155.576</v>
      </c>
      <c r="C39" s="25" t="n">
        <f aca="false">IF(C27="","",C27*C20/10)</f>
        <v>1084.008</v>
      </c>
      <c r="D39" s="25" t="n">
        <f aca="false">IF(D27="","",D27*D20/10)</f>
        <v>1178.922</v>
      </c>
      <c r="E39" s="25" t="n">
        <f aca="false">IF(E27="","",E27*E20/10)</f>
        <v>1276.925</v>
      </c>
      <c r="F39" s="26" t="n">
        <f aca="false">SUM(B39:E39)</f>
        <v>4695.431</v>
      </c>
      <c r="G39" s="10"/>
      <c r="H39" s="10"/>
      <c r="I39" s="11" t="s">
        <v>49</v>
      </c>
      <c r="J39" s="12"/>
    </row>
    <row r="40" customFormat="false" ht="15" hidden="false" customHeight="false" outlineLevel="0" collapsed="false">
      <c r="A40" s="10"/>
      <c r="B40" s="10"/>
      <c r="C40" s="10"/>
      <c r="D40" s="10"/>
      <c r="E40" s="10"/>
      <c r="F40" s="10"/>
      <c r="G40" s="10"/>
      <c r="H40" s="10"/>
      <c r="I40" s="10"/>
      <c r="J40" s="10"/>
    </row>
    <row r="41" customFormat="false" ht="15" hidden="false" customHeight="false" outlineLevel="0" collapsed="false">
      <c r="A41" s="15" t="s">
        <v>59</v>
      </c>
      <c r="B41" s="27"/>
      <c r="C41" s="27"/>
      <c r="D41" s="27"/>
      <c r="E41" s="27"/>
      <c r="F41" s="28" t="n">
        <f aca="false">F34/1000</f>
        <v>9.6594164</v>
      </c>
      <c r="G41" s="10"/>
      <c r="H41" s="10"/>
      <c r="I41" s="11" t="s">
        <v>60</v>
      </c>
      <c r="J41" s="12"/>
    </row>
    <row r="42" customFormat="false" ht="15" hidden="false" customHeight="false" outlineLevel="0" collapsed="false">
      <c r="A42" s="15" t="s">
        <v>61</v>
      </c>
      <c r="B42" s="27"/>
      <c r="C42" s="27"/>
      <c r="D42" s="27"/>
      <c r="E42" s="27"/>
      <c r="F42" s="28" t="n">
        <f aca="false">F38/1000</f>
        <v>9.2941426</v>
      </c>
      <c r="G42" s="10"/>
      <c r="H42" s="10"/>
      <c r="I42" s="11" t="s">
        <v>60</v>
      </c>
      <c r="J42" s="12"/>
    </row>
    <row r="43" customFormat="false" ht="15" hidden="false" customHeight="false" outlineLevel="0" collapsed="false">
      <c r="A43" s="10"/>
      <c r="B43" s="10"/>
      <c r="C43" s="10"/>
      <c r="D43" s="10"/>
      <c r="E43" s="10"/>
      <c r="F43" s="10"/>
      <c r="G43" s="10"/>
      <c r="H43" s="10"/>
      <c r="I43" s="10"/>
      <c r="J43" s="10"/>
    </row>
    <row r="44" customFormat="false" ht="15" hidden="false" customHeight="false" outlineLevel="0" collapsed="false">
      <c r="A44" s="6" t="s">
        <v>62</v>
      </c>
      <c r="B44" s="7"/>
      <c r="C44" s="7"/>
      <c r="D44" s="7"/>
      <c r="E44" s="7"/>
      <c r="F44" s="7"/>
      <c r="G44" s="7"/>
      <c r="H44" s="7"/>
      <c r="I44" s="6"/>
      <c r="J44" s="6"/>
    </row>
    <row r="45" customFormat="false" ht="15" hidden="false" customHeight="false" outlineLevel="0" collapsed="false">
      <c r="A45" s="8" t="s">
        <v>63</v>
      </c>
      <c r="B45" s="14" t="n">
        <f aca="false">IF(B35="","",B35/B29)</f>
        <v>0.0689604029990628</v>
      </c>
      <c r="C45" s="14" t="n">
        <f aca="false">IF(C35="","",C35/C29)</f>
        <v>0.0730945652888217</v>
      </c>
      <c r="D45" s="14" t="n">
        <f aca="false">IF(D35="","",D35/D29)</f>
        <v>0.0709384177839689</v>
      </c>
      <c r="E45" s="14" t="n">
        <f aca="false">IF(E35="","",E35/E29)</f>
        <v>0.0645604785322489</v>
      </c>
      <c r="F45" s="29" t="n">
        <f aca="false">F35/F29</f>
        <v>0.0690161463787394</v>
      </c>
      <c r="G45" s="10"/>
      <c r="H45" s="10"/>
      <c r="I45" s="11" t="s">
        <v>64</v>
      </c>
      <c r="J45" s="12"/>
    </row>
    <row r="46" customFormat="false" ht="15" hidden="false" customHeight="false" outlineLevel="0" collapsed="false">
      <c r="A46" s="8" t="s">
        <v>65</v>
      </c>
      <c r="B46" s="14" t="n">
        <f aca="false">IF(B39="","",B39/B29)</f>
        <v>0.0676883786316776</v>
      </c>
      <c r="C46" s="14" t="n">
        <f aca="false">IF(C39="","",C39/C29)</f>
        <v>0.0712366432279687</v>
      </c>
      <c r="D46" s="14" t="n">
        <f aca="false">IF(D39="","",D39/D29)</f>
        <v>0.0684266063033258</v>
      </c>
      <c r="E46" s="14" t="n">
        <f aca="false">IF(E39="","",E39/E29)</f>
        <v>0.0603804142235672</v>
      </c>
      <c r="F46" s="29" t="n">
        <f aca="false">F39/F29</f>
        <v>0.0664454051453316</v>
      </c>
      <c r="G46" s="10"/>
      <c r="H46" s="10"/>
      <c r="I46" s="11" t="s">
        <v>64</v>
      </c>
      <c r="J46" s="12"/>
    </row>
    <row r="47" customFormat="false" ht="22.35" hidden="false" customHeight="false" outlineLevel="0" collapsed="false">
      <c r="A47" s="8" t="s">
        <v>66</v>
      </c>
      <c r="B47" s="14" t="n">
        <f aca="false">IF(B35="","",B35/B30)</f>
        <v>0.0559549429657795</v>
      </c>
      <c r="C47" s="14" t="n">
        <f aca="false">IF(C35="","",C35/C30)</f>
        <v>0.057419854421558</v>
      </c>
      <c r="D47" s="14" t="n">
        <f aca="false">IF(D35="","",D35/D30)</f>
        <v>0.0568305589137915</v>
      </c>
      <c r="E47" s="14" t="n">
        <f aca="false">IF(E35="","",E35/E30)</f>
        <v>0.0536115364982134</v>
      </c>
      <c r="F47" s="29" t="n">
        <f aca="false">F35/F30</f>
        <v>0.0558122196283072</v>
      </c>
      <c r="G47" s="10"/>
      <c r="H47" s="10"/>
      <c r="I47" s="11" t="s">
        <v>64</v>
      </c>
      <c r="J47" s="12" t="s">
        <v>67</v>
      </c>
    </row>
    <row r="48" customFormat="false" ht="15" hidden="false" customHeight="false" outlineLevel="0" collapsed="false">
      <c r="A48" s="10"/>
      <c r="B48" s="10"/>
      <c r="C48" s="10"/>
      <c r="D48" s="10"/>
      <c r="E48" s="10"/>
      <c r="F48" s="10"/>
      <c r="G48" s="10"/>
      <c r="H48" s="10"/>
      <c r="I48" s="10"/>
      <c r="J48" s="10"/>
    </row>
    <row r="49" customFormat="false" ht="15" hidden="false" customHeight="false" outlineLevel="0" collapsed="false">
      <c r="A49" s="6" t="s">
        <v>68</v>
      </c>
      <c r="B49" s="7"/>
      <c r="C49" s="7"/>
      <c r="D49" s="7"/>
      <c r="E49" s="7"/>
      <c r="F49" s="7"/>
      <c r="G49" s="7"/>
      <c r="H49" s="7"/>
      <c r="I49" s="6"/>
      <c r="J49" s="6"/>
    </row>
    <row r="50" customFormat="false" ht="15" hidden="false" customHeight="false" outlineLevel="0" collapsed="false">
      <c r="A50" s="8" t="s">
        <v>69</v>
      </c>
      <c r="B50" s="9"/>
      <c r="C50" s="9"/>
      <c r="D50" s="9"/>
      <c r="E50" s="9"/>
      <c r="F50" s="29" t="n">
        <f aca="false">SUMPRODUCT(B8:E8,B34:E34)/SUM(B34:E34)</f>
        <v>0.370964556368022</v>
      </c>
      <c r="G50" s="10"/>
      <c r="H50" s="10"/>
      <c r="I50" s="11" t="s">
        <v>16</v>
      </c>
      <c r="J50" s="12"/>
    </row>
    <row r="51" customFormat="false" ht="15" hidden="false" customHeight="false" outlineLevel="0" collapsed="false">
      <c r="A51" s="8" t="s">
        <v>70</v>
      </c>
      <c r="B51" s="9"/>
      <c r="C51" s="9"/>
      <c r="D51" s="9"/>
      <c r="E51" s="9"/>
      <c r="F51" s="29" t="n">
        <f aca="false">SUMPRODUCT(B10:E10,B34:E34)/SUM(B34:E34)</f>
        <v>0.212404506487576</v>
      </c>
      <c r="G51" s="10"/>
      <c r="H51" s="10"/>
      <c r="I51" s="11" t="s">
        <v>16</v>
      </c>
      <c r="J51" s="12"/>
    </row>
    <row r="52" customFormat="false" ht="15" hidden="false" customHeight="false" outlineLevel="0" collapsed="false">
      <c r="A52" s="8" t="s">
        <v>71</v>
      </c>
      <c r="B52" s="9"/>
      <c r="C52" s="9"/>
      <c r="D52" s="9"/>
      <c r="E52" s="9"/>
      <c r="F52" s="29" t="n">
        <f aca="false">SUMPRODUCT(B12:E12,B34:E34)/SUM(B34:E34)</f>
        <v>0.20557407718752</v>
      </c>
      <c r="G52" s="10"/>
      <c r="H52" s="10"/>
      <c r="I52" s="11" t="s">
        <v>16</v>
      </c>
      <c r="J52" s="12"/>
    </row>
    <row r="53" customFormat="false" ht="15" hidden="false" customHeight="false" outlineLevel="0" collapsed="false">
      <c r="A53" s="8" t="s">
        <v>72</v>
      </c>
      <c r="B53" s="9"/>
      <c r="C53" s="9"/>
      <c r="D53" s="9"/>
      <c r="E53" s="9"/>
      <c r="F53" s="29" t="n">
        <f aca="false">SUMPRODUCT(B14:E14,B34:E34)/SUM(B34:E34)</f>
        <v>0.210587855431929</v>
      </c>
      <c r="G53" s="10"/>
      <c r="H53" s="10"/>
      <c r="I53" s="11" t="s">
        <v>16</v>
      </c>
      <c r="J53" s="12"/>
    </row>
    <row r="54" customFormat="false" ht="15" hidden="false" customHeight="false" outlineLevel="0" collapsed="false">
      <c r="A54" s="8" t="s">
        <v>73</v>
      </c>
      <c r="B54" s="13"/>
      <c r="C54" s="13"/>
      <c r="D54" s="13"/>
      <c r="E54" s="13"/>
      <c r="F54" s="17" t="n">
        <f aca="false">SUMPRODUCT(B8:E8,B34:E34,B9:E9)/SUMPRODUCT(B8:E8,B34:E34)</f>
        <v>6.4920304638927</v>
      </c>
      <c r="G54" s="10"/>
      <c r="H54" s="10"/>
      <c r="I54" s="11" t="s">
        <v>19</v>
      </c>
      <c r="J54" s="12"/>
    </row>
    <row r="55" customFormat="false" ht="15" hidden="false" customHeight="false" outlineLevel="0" collapsed="false">
      <c r="A55" s="8" t="s">
        <v>74</v>
      </c>
      <c r="B55" s="13"/>
      <c r="C55" s="13"/>
      <c r="D55" s="13"/>
      <c r="E55" s="13"/>
      <c r="F55" s="17" t="n">
        <f aca="false">SUMPRODUCT(B10:E10,B34:E34,B11:E11)/SUMPRODUCT(B10:E10,B34:E34)</f>
        <v>7.32587014832754</v>
      </c>
      <c r="G55" s="10"/>
      <c r="H55" s="10"/>
      <c r="I55" s="11" t="s">
        <v>19</v>
      </c>
      <c r="J55" s="12"/>
    </row>
    <row r="56" customFormat="false" ht="15" hidden="false" customHeight="false" outlineLevel="0" collapsed="false">
      <c r="A56" s="8" t="s">
        <v>75</v>
      </c>
      <c r="B56" s="13"/>
      <c r="C56" s="13"/>
      <c r="D56" s="13"/>
      <c r="E56" s="13"/>
      <c r="F56" s="17" t="n">
        <f aca="false">SUMPRODUCT(B12:E12,B34:E34,B13:E13)/SUMPRODUCT(B12:E12,B34:E34)</f>
        <v>4.48409759441102</v>
      </c>
      <c r="G56" s="10"/>
      <c r="H56" s="10"/>
      <c r="I56" s="11" t="s">
        <v>19</v>
      </c>
      <c r="J56" s="12"/>
    </row>
    <row r="57" customFormat="false" ht="15" hidden="false" customHeight="false" outlineLevel="0" collapsed="false">
      <c r="A57" s="8" t="s">
        <v>76</v>
      </c>
      <c r="B57" s="13"/>
      <c r="C57" s="13"/>
      <c r="D57" s="13"/>
      <c r="E57" s="13"/>
      <c r="F57" s="17" t="n">
        <f aca="false">SUMPRODUCT(B14:E14,B34:E34,B15:E15)/SUMPRODUCT(B14:E14,B34:E34)</f>
        <v>0.711412569547542</v>
      </c>
      <c r="G57" s="10"/>
      <c r="H57" s="10"/>
      <c r="I57" s="11" t="s">
        <v>19</v>
      </c>
      <c r="J57" s="12"/>
    </row>
    <row r="58" customFormat="false" ht="15" hidden="false" customHeight="false" outlineLevel="0" collapsed="false">
      <c r="A58" s="10"/>
      <c r="B58" s="10"/>
      <c r="C58" s="10"/>
      <c r="D58" s="10"/>
      <c r="E58" s="10"/>
      <c r="F58" s="10"/>
      <c r="G58" s="10"/>
      <c r="H58" s="10"/>
      <c r="I58" s="10"/>
      <c r="J58" s="10"/>
    </row>
    <row r="59" customFormat="false" ht="15" hidden="false" customHeight="false" outlineLevel="0" collapsed="false">
      <c r="A59" s="15" t="s">
        <v>77</v>
      </c>
      <c r="B59" s="28" t="n">
        <f aca="false">IF(B18="","",B18)</f>
        <v>5.1</v>
      </c>
      <c r="C59" s="28" t="n">
        <f aca="false">IF(C18="","",C18)</f>
        <v>5.3</v>
      </c>
      <c r="D59" s="28" t="n">
        <f aca="false">IF(D18="","",D18)</f>
        <v>5.1</v>
      </c>
      <c r="E59" s="28" t="n">
        <f aca="false">IF(E18="","",E18)</f>
        <v>4.81</v>
      </c>
      <c r="F59" s="28" t="n">
        <f aca="false">F35/F34*10</f>
        <v>5.04905762215614</v>
      </c>
      <c r="G59" s="10"/>
      <c r="H59" s="10"/>
      <c r="I59" s="11" t="s">
        <v>19</v>
      </c>
      <c r="J59" s="12" t="s">
        <v>78</v>
      </c>
    </row>
    <row r="60" customFormat="false" ht="15" hidden="false" customHeight="false" outlineLevel="0" collapsed="false">
      <c r="A60" s="15" t="s">
        <v>79</v>
      </c>
      <c r="B60" s="28" t="n">
        <f aca="false">IF(B8="","",(B8*B9+B10*B11+B12*B13)/(B8+B10+B12))</f>
        <v>6.28316582914573</v>
      </c>
      <c r="C60" s="28" t="n">
        <f aca="false">IF(C8="","",(C8*C9+C10*C11+C12*C13)/(C8+C10+C12))</f>
        <v>6.31474597273854</v>
      </c>
      <c r="D60" s="28" t="n">
        <f aca="false">IF(D8="","",(D8*D9+D10*D11+D12*D13)/(D8+D10+D12))</f>
        <v>6.20076530612245</v>
      </c>
      <c r="E60" s="28" t="n">
        <f aca="false">IF(E8="","",(E8*E9+E10*E11+E12*E13)/(E8+E10+E12))</f>
        <v>6.01793281653747</v>
      </c>
      <c r="F60" s="28" t="n">
        <f aca="false">(SUMPRODUCT(B8:E8,B34:E34,B9:E9)+SUMPRODUCT(B10:E10,B34:E34,B11:E11)+SUMPRODUCT(B12:E12,B34:E34,B13:E13))/(SUMPRODUCT(B8:E8,B34:E34)+SUMPRODUCT(B10:E10,B34:E34)+SUMPRODUCT(B12:E12,B34:E34))</f>
        <v>6.19331737789873</v>
      </c>
      <c r="G60" s="10"/>
      <c r="H60" s="10"/>
      <c r="I60" s="11" t="s">
        <v>19</v>
      </c>
      <c r="J60" s="12" t="s">
        <v>80</v>
      </c>
    </row>
    <row r="61" customFormat="false" ht="15" hidden="false" customHeight="false" outlineLevel="0" collapsed="false">
      <c r="A61" s="8" t="s">
        <v>81</v>
      </c>
      <c r="B61" s="16"/>
      <c r="C61" s="16"/>
      <c r="D61" s="16"/>
      <c r="E61" s="16"/>
      <c r="F61" s="23" t="n">
        <f aca="false">F35/F23*10</f>
        <v>348.363928571429</v>
      </c>
      <c r="G61" s="10"/>
      <c r="H61" s="10"/>
      <c r="I61" s="11" t="s">
        <v>35</v>
      </c>
      <c r="J61" s="12"/>
    </row>
    <row r="62" customFormat="false" ht="15" hidden="false" customHeight="false" outlineLevel="0" collapsed="false">
      <c r="A62" s="8" t="s">
        <v>82</v>
      </c>
      <c r="B62" s="13"/>
      <c r="C62" s="13"/>
      <c r="D62" s="13"/>
      <c r="E62" s="13"/>
      <c r="F62" s="17" t="n">
        <f aca="false">F34/F23</f>
        <v>68.9958314285714</v>
      </c>
      <c r="G62" s="13" t="n">
        <v>68.9</v>
      </c>
      <c r="H62" s="14" t="n">
        <f aca="false">IF(OR(F62="",G62="",G62=0),"",F62/G62-1)</f>
        <v>0.00139087704748087</v>
      </c>
      <c r="I62" s="11" t="s">
        <v>32</v>
      </c>
      <c r="J62" s="12" t="s">
        <v>83</v>
      </c>
    </row>
    <row r="63" customFormat="false" ht="15" hidden="false" customHeight="false" outlineLevel="0" collapsed="false">
      <c r="A63" s="8" t="s">
        <v>84</v>
      </c>
      <c r="B63" s="14" t="n">
        <f aca="false">IF(B12="","",B12+B14)</f>
        <v>0.395</v>
      </c>
      <c r="C63" s="14" t="n">
        <f aca="false">IF(C12="","",C12+C14)</f>
        <v>0.415</v>
      </c>
      <c r="D63" s="14" t="n">
        <f aca="false">IF(D12="","",D12+D14)</f>
        <v>0.421</v>
      </c>
      <c r="E63" s="14" t="n">
        <f aca="false">IF(E12="","",E12+E14)</f>
        <v>0.43</v>
      </c>
      <c r="F63" s="29" t="n">
        <f aca="false">SUMPRODUCT(B12:E12+B14:E14,B34:E34)/SUM(B34:E34)</f>
        <v>0.416161932619449</v>
      </c>
      <c r="G63" s="9" t="n">
        <v>0.416</v>
      </c>
      <c r="H63" s="14" t="n">
        <f aca="false">IF(OR(F63="",G63="",G63=0),"",F63/G63-1)</f>
        <v>0.000389261104444483</v>
      </c>
      <c r="I63" s="11" t="s">
        <v>64</v>
      </c>
      <c r="J63" s="12" t="s">
        <v>85</v>
      </c>
    </row>
    <row r="64" customFormat="false" ht="15" hidden="false" customHeight="false" outlineLevel="0" collapsed="false">
      <c r="A64" s="10"/>
      <c r="B64" s="10"/>
      <c r="C64" s="10"/>
      <c r="D64" s="10"/>
      <c r="E64" s="10"/>
      <c r="F64" s="10"/>
      <c r="G64" s="10"/>
      <c r="H64" s="10"/>
      <c r="I64" s="10"/>
      <c r="J64" s="10"/>
    </row>
    <row r="65" customFormat="false" ht="15" hidden="false" customHeight="false" outlineLevel="0" collapsed="false">
      <c r="A65" s="6" t="s">
        <v>86</v>
      </c>
      <c r="B65" s="7"/>
      <c r="C65" s="7"/>
      <c r="D65" s="7"/>
      <c r="E65" s="7"/>
      <c r="F65" s="7"/>
      <c r="G65" s="7"/>
      <c r="H65" s="7"/>
      <c r="I65" s="6"/>
      <c r="J65" s="6"/>
    </row>
    <row r="66" customFormat="false" ht="15" hidden="false" customHeight="false" outlineLevel="0" collapsed="false">
      <c r="A66" s="8" t="s">
        <v>87</v>
      </c>
      <c r="B66" s="16" t="n">
        <v>871</v>
      </c>
      <c r="C66" s="16" t="n">
        <v>893</v>
      </c>
      <c r="D66" s="16" t="n">
        <v>884</v>
      </c>
      <c r="E66" s="16" t="n">
        <v>874</v>
      </c>
      <c r="F66" s="10"/>
      <c r="G66" s="10"/>
      <c r="H66" s="10"/>
      <c r="I66" s="11" t="s">
        <v>35</v>
      </c>
      <c r="J66" s="12" t="s">
        <v>88</v>
      </c>
    </row>
    <row r="67" customFormat="false" ht="15" hidden="false" customHeight="false" outlineLevel="0" collapsed="false">
      <c r="A67" s="8" t="s">
        <v>89</v>
      </c>
      <c r="B67" s="24" t="n">
        <f aca="false">IF(B20="","",B20+B66)</f>
        <v>1227</v>
      </c>
      <c r="C67" s="24" t="n">
        <f aca="false">IF(C20="","",C20+C66)</f>
        <v>1265</v>
      </c>
      <c r="D67" s="24" t="n">
        <f aca="false">IF(D20="","",D20+D66)</f>
        <v>1233</v>
      </c>
      <c r="E67" s="24" t="n">
        <f aca="false">IF(E20="","",E20+E66)</f>
        <v>1199</v>
      </c>
      <c r="F67" s="10"/>
      <c r="G67" s="10"/>
      <c r="H67" s="10"/>
      <c r="I67" s="11" t="s">
        <v>35</v>
      </c>
      <c r="J67" s="12"/>
    </row>
    <row r="68" customFormat="false" ht="15" hidden="false" customHeight="false" outlineLevel="0" collapsed="false">
      <c r="A68" s="8" t="s">
        <v>90</v>
      </c>
      <c r="B68" s="24" t="n">
        <f aca="false">IF(B23="","",B23*B67/10)</f>
        <v>4057.689</v>
      </c>
      <c r="C68" s="24" t="n">
        <f aca="false">IF(C23="","",C23*C67/10)</f>
        <v>3782.35</v>
      </c>
      <c r="D68" s="24" t="n">
        <f aca="false">IF(D23="","",D23*D67/10)</f>
        <v>4317.966</v>
      </c>
      <c r="E68" s="24" t="n">
        <f aca="false">IF(E23="","",E23*E67/10)</f>
        <v>5036.999</v>
      </c>
      <c r="F68" s="23" t="n">
        <f aca="false">SUM(B68:E68)</f>
        <v>17195.004</v>
      </c>
      <c r="G68" s="10"/>
      <c r="H68" s="10"/>
      <c r="I68" s="11" t="s">
        <v>49</v>
      </c>
      <c r="J68" s="12"/>
    </row>
    <row r="69" customFormat="false" ht="15" hidden="false" customHeight="false" outlineLevel="0" collapsed="false">
      <c r="A69" s="8" t="s">
        <v>91</v>
      </c>
      <c r="B69" s="24" t="n">
        <f aca="false">IF(B27="","",B27*B67/10)</f>
        <v>3982.842</v>
      </c>
      <c r="C69" s="24" t="n">
        <f aca="false">IF(C27="","",C27*C67/10)</f>
        <v>3686.21</v>
      </c>
      <c r="D69" s="24" t="n">
        <f aca="false">IF(D27="","",D27*D67/10)</f>
        <v>4165.074</v>
      </c>
      <c r="E69" s="24" t="n">
        <f aca="false">IF(E27="","",E27*E67/10)</f>
        <v>4710.871</v>
      </c>
      <c r="F69" s="23" t="n">
        <f aca="false">SUM(B69:E69)</f>
        <v>16544.997</v>
      </c>
      <c r="G69" s="10"/>
      <c r="H69" s="10"/>
      <c r="I69" s="11" t="s">
        <v>49</v>
      </c>
      <c r="J69" s="12"/>
    </row>
    <row r="70" customFormat="false" ht="15" hidden="false" customHeight="false" outlineLevel="0" collapsed="false">
      <c r="A70" s="8" t="s">
        <v>92</v>
      </c>
      <c r="B70" s="16" t="n">
        <v>4293</v>
      </c>
      <c r="C70" s="16" t="n">
        <v>3866</v>
      </c>
      <c r="D70" s="16" t="n">
        <v>4243</v>
      </c>
      <c r="E70" s="16" t="n">
        <v>4733</v>
      </c>
      <c r="F70" s="23" t="n">
        <f aca="false">SUM(B70:E70)</f>
        <v>17135</v>
      </c>
      <c r="G70" s="16" t="n">
        <v>17136</v>
      </c>
      <c r="H70" s="14" t="n">
        <f aca="false">IF(OR(F70="",G70="",G70=0),"",F70/G70-1)</f>
        <v>-5.83566760037346E-005</v>
      </c>
      <c r="I70" s="11" t="s">
        <v>49</v>
      </c>
      <c r="J70" s="12" t="s">
        <v>93</v>
      </c>
    </row>
    <row r="71" customFormat="false" ht="15" hidden="false" customHeight="false" outlineLevel="0" collapsed="false">
      <c r="A71" s="8" t="s">
        <v>94</v>
      </c>
      <c r="B71" s="16" t="n">
        <v>4862</v>
      </c>
      <c r="C71" s="16" t="n">
        <v>4444</v>
      </c>
      <c r="D71" s="16" t="n">
        <v>4875</v>
      </c>
      <c r="E71" s="16" t="n">
        <v>5416</v>
      </c>
      <c r="F71" s="23" t="n">
        <f aca="false">SUM(B71:E71)</f>
        <v>19597</v>
      </c>
      <c r="G71" s="16" t="n">
        <v>19597</v>
      </c>
      <c r="H71" s="14" t="n">
        <f aca="false">IF(OR(F71="",G71="",G71=0),"",F71/G71-1)</f>
        <v>0</v>
      </c>
      <c r="I71" s="11" t="s">
        <v>49</v>
      </c>
      <c r="J71" s="12"/>
    </row>
    <row r="72" customFormat="false" ht="15" hidden="false" customHeight="false" outlineLevel="0" collapsed="false">
      <c r="A72" s="8" t="s">
        <v>95</v>
      </c>
      <c r="B72" s="14" t="n">
        <f aca="false">IF(B68="","",B68/B70)</f>
        <v>0.945187281621244</v>
      </c>
      <c r="C72" s="14" t="n">
        <f aca="false">IF(C68="","",C68/C70)</f>
        <v>0.97836264873254</v>
      </c>
      <c r="D72" s="14" t="n">
        <f aca="false">IF(D68="","",D68/D70)</f>
        <v>1.01766815932124</v>
      </c>
      <c r="E72" s="14" t="n">
        <f aca="false">IF(E68="","",E68/E70)</f>
        <v>1.06422966406085</v>
      </c>
      <c r="F72" s="29" t="n">
        <f aca="false">F68/F70</f>
        <v>1.00350183834257</v>
      </c>
      <c r="G72" s="10"/>
      <c r="H72" s="10"/>
      <c r="I72" s="11" t="s">
        <v>64</v>
      </c>
      <c r="J72" s="12" t="s">
        <v>96</v>
      </c>
    </row>
    <row r="73" customFormat="false" ht="15" hidden="false" customHeight="false" outlineLevel="0" collapsed="false">
      <c r="A73" s="8" t="s">
        <v>97</v>
      </c>
      <c r="B73" s="14" t="n">
        <f aca="false">IF(B69="","",B69/B70)</f>
        <v>0.927752620545073</v>
      </c>
      <c r="C73" s="14" t="n">
        <f aca="false">IF(C69="","",C69/C70)</f>
        <v>0.953494568028971</v>
      </c>
      <c r="D73" s="14" t="n">
        <f aca="false">IF(D69="","",D69/D70)</f>
        <v>0.981634221069998</v>
      </c>
      <c r="E73" s="14" t="n">
        <f aca="false">IF(E69="","",E69/E70)</f>
        <v>0.995324529896472</v>
      </c>
      <c r="F73" s="29" t="n">
        <f aca="false">F69/F70</f>
        <v>0.965567376714327</v>
      </c>
      <c r="G73" s="10"/>
      <c r="H73" s="10"/>
      <c r="I73" s="11" t="s">
        <v>64</v>
      </c>
      <c r="J73" s="12"/>
    </row>
    <row r="74" customFormat="false" ht="15" hidden="false" customHeight="false" outlineLevel="0" collapsed="false">
      <c r="A74" s="10"/>
      <c r="B74" s="10"/>
      <c r="C74" s="10"/>
      <c r="D74" s="10"/>
      <c r="E74" s="10"/>
      <c r="F74" s="10"/>
      <c r="G74" s="10"/>
      <c r="H74" s="10"/>
      <c r="I74" s="10"/>
      <c r="J74" s="10"/>
    </row>
    <row r="75" customFormat="false" ht="15" hidden="false" customHeight="false" outlineLevel="0" collapsed="false">
      <c r="A75" s="6" t="s">
        <v>98</v>
      </c>
      <c r="B75" s="7"/>
      <c r="C75" s="7"/>
      <c r="D75" s="7"/>
      <c r="E75" s="7"/>
      <c r="F75" s="7"/>
      <c r="G75" s="7"/>
      <c r="H75" s="7"/>
      <c r="I75" s="6"/>
      <c r="J75" s="6"/>
    </row>
    <row r="76" customFormat="false" ht="15" hidden="false" customHeight="false" outlineLevel="0" collapsed="false">
      <c r="A76" s="15" t="s">
        <v>99</v>
      </c>
      <c r="B76" s="30"/>
      <c r="C76" s="30"/>
      <c r="D76" s="30"/>
      <c r="E76" s="30"/>
      <c r="F76" s="31" t="str">
        <f aca="false">_xlfn.CONCAT("Rs. ",TEXT(F39,"#,##0")," Cr  to  Rs. ",TEXT(F35,"#,##0")," Cr")</f>
        <v>Rs. 4,695 Cr  to  Rs. 4,877 Cr</v>
      </c>
      <c r="G76" s="10"/>
      <c r="H76" s="10"/>
      <c r="I76" s="11" t="s">
        <v>49</v>
      </c>
      <c r="J76" s="12"/>
    </row>
    <row r="77" customFormat="false" ht="15" hidden="false" customHeight="false" outlineLevel="0" collapsed="false">
      <c r="A77" s="15" t="s">
        <v>100</v>
      </c>
      <c r="B77" s="30"/>
      <c r="C77" s="30"/>
      <c r="D77" s="30"/>
      <c r="E77" s="30"/>
      <c r="F77" s="31" t="str">
        <f aca="false">_xlfn.CONCAT(TEXT(F46,"0.0%")," to ",TEXT(F45,"0.0%"))</f>
        <v>6.6% to 6.9%</v>
      </c>
      <c r="G77" s="10"/>
      <c r="H77" s="10"/>
      <c r="I77" s="11" t="s">
        <v>64</v>
      </c>
      <c r="J77" s="12"/>
    </row>
    <row r="78" customFormat="false" ht="15" hidden="false" customHeight="false" outlineLevel="0" collapsed="false">
      <c r="A78" s="15" t="s">
        <v>101</v>
      </c>
      <c r="B78" s="27"/>
      <c r="C78" s="27"/>
      <c r="D78" s="27"/>
      <c r="E78" s="27"/>
      <c r="F78" s="28" t="n">
        <f aca="false">F60</f>
        <v>6.19331737789873</v>
      </c>
      <c r="G78" s="10"/>
      <c r="H78" s="10"/>
      <c r="I78" s="11" t="s">
        <v>19</v>
      </c>
      <c r="J78" s="12"/>
    </row>
    <row r="79" customFormat="false" ht="15" hidden="false" customHeight="false" outlineLevel="0" collapsed="false">
      <c r="A79" s="15" t="s">
        <v>102</v>
      </c>
      <c r="B79" s="27"/>
      <c r="C79" s="27"/>
      <c r="D79" s="27"/>
      <c r="E79" s="27"/>
      <c r="F79" s="28" t="n">
        <f aca="false">F59</f>
        <v>5.04905762215614</v>
      </c>
      <c r="G79" s="10"/>
      <c r="H79" s="10"/>
      <c r="I79" s="11" t="s">
        <v>19</v>
      </c>
      <c r="J79" s="12"/>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5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5390625" defaultRowHeight="15" zeroHeight="false" outlineLevelRow="0" outlineLevelCol="0"/>
  <cols>
    <col collapsed="false" customWidth="true" hidden="false" outlineLevel="0" max="1" min="1" style="0" width="56"/>
    <col collapsed="false" customWidth="true" hidden="false" outlineLevel="0" max="3" min="2" style="0" width="12"/>
    <col collapsed="false" customWidth="true" hidden="false" outlineLevel="0" max="4" min="4" style="0" width="11"/>
    <col collapsed="false" customWidth="true" hidden="false" outlineLevel="0" max="5" min="5" style="0" width="10"/>
    <col collapsed="false" customWidth="true" hidden="false" outlineLevel="0" max="6" min="6" style="0" width="60"/>
  </cols>
  <sheetData>
    <row r="1" customFormat="false" ht="16.15" hidden="false" customHeight="false" outlineLevel="0" collapsed="false">
      <c r="A1" s="1" t="s">
        <v>103</v>
      </c>
    </row>
    <row r="2" customFormat="false" ht="15" hidden="false" customHeight="false" outlineLevel="0" collapsed="false">
      <c r="A2" s="2" t="s">
        <v>104</v>
      </c>
    </row>
    <row r="4" customFormat="false" ht="15" hidden="false" customHeight="false" outlineLevel="0" collapsed="false">
      <c r="A4" s="3" t="s">
        <v>4</v>
      </c>
      <c r="B4" s="4" t="s">
        <v>105</v>
      </c>
      <c r="C4" s="4" t="s">
        <v>8</v>
      </c>
      <c r="D4" s="4" t="s">
        <v>106</v>
      </c>
      <c r="E4" s="4" t="s">
        <v>12</v>
      </c>
      <c r="F4" s="4" t="s">
        <v>13</v>
      </c>
    </row>
    <row r="5" customFormat="false" ht="15" hidden="false" customHeight="false" outlineLevel="0" collapsed="false">
      <c r="A5" s="6" t="s">
        <v>107</v>
      </c>
      <c r="B5" s="7"/>
      <c r="C5" s="7"/>
      <c r="D5" s="7"/>
      <c r="E5" s="6"/>
      <c r="F5" s="6"/>
    </row>
    <row r="6" customFormat="false" ht="15" hidden="false" customHeight="false" outlineLevel="0" collapsed="false">
      <c r="A6" s="8" t="s">
        <v>15</v>
      </c>
      <c r="B6" s="9" t="n">
        <v>0.42</v>
      </c>
      <c r="C6" s="9" t="n">
        <v>0.364</v>
      </c>
      <c r="D6" s="14" t="n">
        <f aca="false">IF(OR(B6="",C6=""),"",C6-B6)</f>
        <v>-0.056</v>
      </c>
      <c r="E6" s="11" t="s">
        <v>16</v>
      </c>
      <c r="F6" s="12"/>
    </row>
    <row r="7" customFormat="false" ht="15" hidden="false" customHeight="false" outlineLevel="0" collapsed="false">
      <c r="A7" s="8" t="s">
        <v>18</v>
      </c>
      <c r="B7" s="13" t="n">
        <v>6.48</v>
      </c>
      <c r="C7" s="13" t="n">
        <v>5.99</v>
      </c>
      <c r="D7" s="32" t="n">
        <f aca="false">IF(OR(B7="",C7=""),"",C7-B7)</f>
        <v>-0.49</v>
      </c>
      <c r="E7" s="11" t="s">
        <v>19</v>
      </c>
      <c r="F7" s="12"/>
    </row>
    <row r="8" customFormat="false" ht="15" hidden="false" customHeight="false" outlineLevel="0" collapsed="false">
      <c r="A8" s="8" t="s">
        <v>21</v>
      </c>
      <c r="B8" s="9" t="n">
        <v>0.236</v>
      </c>
      <c r="C8" s="9" t="n">
        <v>0.206</v>
      </c>
      <c r="D8" s="14" t="n">
        <f aca="false">IF(OR(B8="",C8=""),"",C8-B8)</f>
        <v>-0.03</v>
      </c>
      <c r="E8" s="11" t="s">
        <v>16</v>
      </c>
      <c r="F8" s="12"/>
    </row>
    <row r="9" customFormat="false" ht="15" hidden="false" customHeight="false" outlineLevel="0" collapsed="false">
      <c r="A9" s="8" t="s">
        <v>22</v>
      </c>
      <c r="B9" s="13" t="n">
        <v>6.97</v>
      </c>
      <c r="C9" s="13" t="n">
        <v>7.62</v>
      </c>
      <c r="D9" s="32" t="n">
        <f aca="false">IF(OR(B9="",C9=""),"",C9-B9)</f>
        <v>0.65</v>
      </c>
      <c r="E9" s="11" t="s">
        <v>19</v>
      </c>
      <c r="F9" s="12"/>
    </row>
    <row r="10" customFormat="false" ht="15" hidden="false" customHeight="false" outlineLevel="0" collapsed="false">
      <c r="A10" s="8" t="s">
        <v>23</v>
      </c>
      <c r="B10" s="9" t="n">
        <v>0.139</v>
      </c>
      <c r="C10" s="9" t="n">
        <v>0.204</v>
      </c>
      <c r="D10" s="14" t="n">
        <f aca="false">IF(OR(B10="",C10=""),"",C10-B10)</f>
        <v>0.065</v>
      </c>
      <c r="E10" s="11" t="s">
        <v>16</v>
      </c>
      <c r="F10" s="12"/>
    </row>
    <row r="11" customFormat="false" ht="15" hidden="false" customHeight="false" outlineLevel="0" collapsed="false">
      <c r="A11" s="8" t="s">
        <v>24</v>
      </c>
      <c r="B11" s="13" t="n">
        <v>4.36</v>
      </c>
      <c r="C11" s="13" t="n">
        <v>4.45</v>
      </c>
      <c r="D11" s="32" t="n">
        <f aca="false">IF(OR(B11="",C11=""),"",C11-B11)</f>
        <v>0.0899999999999999</v>
      </c>
      <c r="E11" s="11" t="s">
        <v>19</v>
      </c>
      <c r="F11" s="12"/>
    </row>
    <row r="12" customFormat="false" ht="15" hidden="false" customHeight="false" outlineLevel="0" collapsed="false">
      <c r="A12" s="8" t="s">
        <v>25</v>
      </c>
      <c r="B12" s="9" t="n">
        <v>0.205</v>
      </c>
      <c r="C12" s="9" t="n">
        <v>0.226</v>
      </c>
      <c r="D12" s="14" t="n">
        <f aca="false">IF(OR(B12="",C12=""),"",C12-B12)</f>
        <v>0.021</v>
      </c>
      <c r="E12" s="11" t="s">
        <v>16</v>
      </c>
      <c r="F12" s="12"/>
    </row>
    <row r="13" customFormat="false" ht="15" hidden="false" customHeight="false" outlineLevel="0" collapsed="false">
      <c r="A13" s="8" t="s">
        <v>26</v>
      </c>
      <c r="B13" s="13" t="n">
        <v>0.71</v>
      </c>
      <c r="C13" s="13" t="n">
        <v>0.6</v>
      </c>
      <c r="D13" s="32" t="n">
        <f aca="false">IF(OR(B13="",C13=""),"",C13-B13)</f>
        <v>-0.11</v>
      </c>
      <c r="E13" s="11" t="s">
        <v>19</v>
      </c>
      <c r="F13" s="12"/>
    </row>
    <row r="14" customFormat="false" ht="15" hidden="false" customHeight="false" outlineLevel="0" collapsed="false">
      <c r="A14" s="8" t="s">
        <v>27</v>
      </c>
      <c r="B14" s="14" t="n">
        <f aca="false">IF(B6="","",B6+B8+B10+B12)</f>
        <v>1</v>
      </c>
      <c r="C14" s="14" t="n">
        <f aca="false">IF(C6="","",C6+C8+C10+C12)</f>
        <v>1</v>
      </c>
      <c r="D14" s="10"/>
      <c r="E14" s="11" t="s">
        <v>16</v>
      </c>
      <c r="F14" s="12" t="s">
        <v>28</v>
      </c>
    </row>
    <row r="15" customFormat="false" ht="15" hidden="false" customHeight="false" outlineLevel="0" collapsed="false">
      <c r="A15" s="15" t="s">
        <v>29</v>
      </c>
      <c r="B15" s="13" t="n">
        <v>5.19</v>
      </c>
      <c r="C15" s="13" t="n">
        <v>4.81</v>
      </c>
      <c r="D15" s="33" t="n">
        <f aca="false">IF(OR(B15="",C15="",B15=0),"",C15/B15-1)</f>
        <v>-0.0732177263969173</v>
      </c>
      <c r="E15" s="11" t="s">
        <v>19</v>
      </c>
      <c r="F15" s="12"/>
    </row>
    <row r="16" customFormat="false" ht="15" hidden="false" customHeight="false" outlineLevel="0" collapsed="false">
      <c r="A16" s="15" t="s">
        <v>31</v>
      </c>
      <c r="B16" s="13" t="n">
        <v>69.04</v>
      </c>
      <c r="C16" s="13" t="n">
        <v>67.54</v>
      </c>
      <c r="D16" s="33" t="n">
        <f aca="false">IF(OR(B16="",C16="",B16=0),"",C16/B16-1)</f>
        <v>-0.0217265353418308</v>
      </c>
      <c r="E16" s="11" t="s">
        <v>32</v>
      </c>
      <c r="F16" s="12"/>
    </row>
    <row r="17" customFormat="false" ht="15" hidden="false" customHeight="false" outlineLevel="0" collapsed="false">
      <c r="A17" s="15" t="s">
        <v>34</v>
      </c>
      <c r="B17" s="16" t="n">
        <v>358</v>
      </c>
      <c r="C17" s="16" t="n">
        <v>325</v>
      </c>
      <c r="D17" s="33" t="n">
        <f aca="false">IF(OR(B17="",C17="",B17=0),"",C17/B17-1)</f>
        <v>-0.0921787709497207</v>
      </c>
      <c r="E17" s="11" t="s">
        <v>35</v>
      </c>
      <c r="F17" s="12"/>
    </row>
    <row r="18" customFormat="false" ht="15" hidden="false" customHeight="false" outlineLevel="0" collapsed="false">
      <c r="A18" s="10"/>
      <c r="B18" s="10"/>
      <c r="C18" s="10"/>
      <c r="D18" s="10"/>
      <c r="E18" s="10"/>
      <c r="F18" s="10"/>
    </row>
    <row r="19" customFormat="false" ht="15" hidden="false" customHeight="false" outlineLevel="0" collapsed="false">
      <c r="A19" s="6" t="s">
        <v>108</v>
      </c>
      <c r="B19" s="7"/>
      <c r="C19" s="7"/>
      <c r="D19" s="7"/>
      <c r="E19" s="6"/>
      <c r="F19" s="6"/>
    </row>
    <row r="20" customFormat="false" ht="15" hidden="false" customHeight="false" outlineLevel="0" collapsed="false">
      <c r="A20" s="8" t="s">
        <v>37</v>
      </c>
      <c r="B20" s="32" t="n">
        <f aca="false">C20/(1+0.152)</f>
        <v>36.4670138888889</v>
      </c>
      <c r="C20" s="13" t="n">
        <v>42.01</v>
      </c>
      <c r="D20" s="14" t="n">
        <f aca="false">IF(OR(B20="",C20="",B20=0),"",C20/B20-1)</f>
        <v>0.152</v>
      </c>
      <c r="E20" s="11" t="s">
        <v>38</v>
      </c>
      <c r="F20" s="12" t="s">
        <v>109</v>
      </c>
    </row>
    <row r="21" customFormat="false" ht="15" hidden="false" customHeight="false" outlineLevel="0" collapsed="false">
      <c r="A21" s="8" t="s">
        <v>40</v>
      </c>
      <c r="B21" s="32" t="n">
        <f aca="false">C21/(1+0.18)</f>
        <v>2.64406779661017</v>
      </c>
      <c r="C21" s="13" t="n">
        <v>3.12</v>
      </c>
      <c r="D21" s="14" t="n">
        <f aca="false">IF(OR(B21="",C21="",B21=0),"",C21/B21-1)</f>
        <v>0.18</v>
      </c>
      <c r="E21" s="11" t="s">
        <v>38</v>
      </c>
      <c r="F21" s="12" t="s">
        <v>110</v>
      </c>
    </row>
    <row r="22" customFormat="false" ht="15" hidden="false" customHeight="false" outlineLevel="0" collapsed="false">
      <c r="A22" s="8" t="s">
        <v>42</v>
      </c>
      <c r="B22" s="32" t="n">
        <f aca="false">C22/(1+0.093)</f>
        <v>38.8014638609332</v>
      </c>
      <c r="C22" s="13" t="n">
        <v>42.41</v>
      </c>
      <c r="D22" s="14" t="n">
        <f aca="false">IF(OR(B22="",C22="",B22=0),"",C22/B22-1)</f>
        <v>0.093</v>
      </c>
      <c r="E22" s="11" t="s">
        <v>38</v>
      </c>
      <c r="F22" s="12" t="s">
        <v>111</v>
      </c>
    </row>
    <row r="23" customFormat="false" ht="15" hidden="false" customHeight="false" outlineLevel="0" collapsed="false">
      <c r="A23" s="8" t="s">
        <v>44</v>
      </c>
      <c r="B23" s="18" t="n">
        <f aca="false">IF(B22="","",B22-B20-B21)</f>
        <v>-0.309617824565851</v>
      </c>
      <c r="C23" s="18" t="n">
        <f aca="false">IF(C22="","",C22-C20-C21)</f>
        <v>-2.72</v>
      </c>
      <c r="D23" s="32" t="n">
        <f aca="false">IF(OR(B23="",C23=""),"",C23-B23)</f>
        <v>-2.41038217543415</v>
      </c>
      <c r="E23" s="11" t="s">
        <v>38</v>
      </c>
      <c r="F23" s="12"/>
    </row>
    <row r="24" customFormat="false" ht="15" hidden="false" customHeight="false" outlineLevel="0" collapsed="false">
      <c r="A24" s="15" t="s">
        <v>46</v>
      </c>
      <c r="B24" s="21" t="n">
        <f aca="false">IF(B20="","",B20+B23)</f>
        <v>36.157396064323</v>
      </c>
      <c r="C24" s="21" t="n">
        <f aca="false">IF(C20="","",C20+C23)</f>
        <v>39.29</v>
      </c>
      <c r="D24" s="33" t="n">
        <f aca="false">IF(OR(B24="",C24="",B24=0),"",C24/B24-1)</f>
        <v>0.0866379849396273</v>
      </c>
      <c r="E24" s="11" t="s">
        <v>38</v>
      </c>
      <c r="F24" s="12"/>
    </row>
    <row r="25" customFormat="false" ht="15" hidden="false" customHeight="false" outlineLevel="0" collapsed="false">
      <c r="A25" s="8" t="s">
        <v>48</v>
      </c>
      <c r="B25" s="24" t="n">
        <f aca="false">C25/(1+0.153)</f>
        <v>18341.7172593235</v>
      </c>
      <c r="C25" s="16" t="n">
        <v>21148</v>
      </c>
      <c r="D25" s="14" t="n">
        <f aca="false">IF(OR(B25="",C25="",B25=0),"",C25/B25-1)</f>
        <v>0.153</v>
      </c>
      <c r="E25" s="11" t="s">
        <v>49</v>
      </c>
      <c r="F25" s="12" t="s">
        <v>112</v>
      </c>
    </row>
    <row r="26" customFormat="false" ht="15" hidden="false" customHeight="false" outlineLevel="0" collapsed="false">
      <c r="A26" s="8" t="s">
        <v>51</v>
      </c>
      <c r="B26" s="16" t="n">
        <v>22788</v>
      </c>
      <c r="C26" s="16" t="n">
        <v>25467</v>
      </c>
      <c r="D26" s="14" t="n">
        <f aca="false">IF(OR(B26="",C26="",B26=0),"",C26/B26-1)</f>
        <v>0.117561874670879</v>
      </c>
      <c r="E26" s="11" t="s">
        <v>49</v>
      </c>
      <c r="F26" s="12"/>
    </row>
    <row r="27" customFormat="false" ht="15" hidden="false" customHeight="false" outlineLevel="0" collapsed="false">
      <c r="A27" s="8" t="s">
        <v>113</v>
      </c>
      <c r="B27" s="24" t="n">
        <f aca="false">IF(B20="","",B25/B20*10)</f>
        <v>5029.67347839578</v>
      </c>
      <c r="C27" s="24" t="n">
        <f aca="false">IF(C20="","",C25/C20*10)</f>
        <v>5034.03951440133</v>
      </c>
      <c r="D27" s="14" t="n">
        <f aca="false">IF(OR(B27="",C27="",B27=0),"",C27/B27-1)</f>
        <v>0.00086805555555558</v>
      </c>
      <c r="E27" s="11" t="s">
        <v>35</v>
      </c>
      <c r="F27" s="12"/>
    </row>
    <row r="28" customFormat="false" ht="15" hidden="false" customHeight="false" outlineLevel="0" collapsed="false">
      <c r="A28" s="8" t="s">
        <v>114</v>
      </c>
      <c r="B28" s="16" t="n">
        <v>5032</v>
      </c>
      <c r="C28" s="16" t="n">
        <v>5034</v>
      </c>
      <c r="D28" s="14" t="n">
        <f aca="false">IF(OR(B28="",C28="",B28=0),"",C28/B28-1)</f>
        <v>0.00039745627980925</v>
      </c>
      <c r="E28" s="11" t="s">
        <v>35</v>
      </c>
      <c r="F28" s="12" t="s">
        <v>115</v>
      </c>
    </row>
    <row r="29" customFormat="false" ht="15" hidden="false" customHeight="false" outlineLevel="0" collapsed="false">
      <c r="A29" s="8" t="s">
        <v>116</v>
      </c>
      <c r="B29" s="14" t="n">
        <f aca="false">IF(B28="","",B27/B28-1)</f>
        <v>-0.000462345310854317</v>
      </c>
      <c r="C29" s="14" t="n">
        <f aca="false">IF(C28="","",C27/C28-1)</f>
        <v>7.84950364174364E-006</v>
      </c>
      <c r="D29" s="10"/>
      <c r="E29" s="11" t="s">
        <v>64</v>
      </c>
      <c r="F29" s="12" t="s">
        <v>117</v>
      </c>
    </row>
    <row r="30" customFormat="false" ht="15" hidden="false" customHeight="false" outlineLevel="0" collapsed="false">
      <c r="A30" s="10"/>
      <c r="B30" s="10"/>
      <c r="C30" s="10"/>
      <c r="D30" s="10"/>
      <c r="E30" s="10"/>
      <c r="F30" s="10"/>
    </row>
    <row r="31" customFormat="false" ht="15" hidden="false" customHeight="false" outlineLevel="0" collapsed="false">
      <c r="A31" s="6" t="s">
        <v>118</v>
      </c>
      <c r="B31" s="7"/>
      <c r="C31" s="7"/>
      <c r="D31" s="7"/>
      <c r="E31" s="6"/>
      <c r="F31" s="6"/>
    </row>
    <row r="32" customFormat="false" ht="15" hidden="false" customHeight="false" outlineLevel="0" collapsed="false">
      <c r="A32" s="8" t="s">
        <v>119</v>
      </c>
      <c r="B32" s="24" t="n">
        <f aca="false">IF(B20="","",B20*B16)</f>
        <v>2517.68263888889</v>
      </c>
      <c r="C32" s="24" t="n">
        <f aca="false">IF(C20="","",C20*C16)</f>
        <v>2837.3554</v>
      </c>
      <c r="D32" s="14" t="n">
        <f aca="false">IF(OR(B32="",C32="",B32=0),"",C32/B32-1)</f>
        <v>0.126971031286211</v>
      </c>
      <c r="E32" s="11" t="s">
        <v>56</v>
      </c>
      <c r="F32" s="12"/>
    </row>
    <row r="33" customFormat="false" ht="15" hidden="false" customHeight="false" outlineLevel="0" collapsed="false">
      <c r="A33" s="15" t="s">
        <v>120</v>
      </c>
      <c r="B33" s="25" t="n">
        <f aca="false">IF(B20="","",B20*B17/10)</f>
        <v>1305.51909722222</v>
      </c>
      <c r="C33" s="25" t="n">
        <f aca="false">IF(C20="","",C20*C17/10)</f>
        <v>1365.325</v>
      </c>
      <c r="D33" s="33" t="n">
        <f aca="false">IF(OR(B33="",C33="",B33=0),"",C33/B33-1)</f>
        <v>0.0458100558659216</v>
      </c>
      <c r="E33" s="11" t="s">
        <v>49</v>
      </c>
      <c r="F33" s="12"/>
    </row>
    <row r="34" customFormat="false" ht="15" hidden="false" customHeight="false" outlineLevel="0" collapsed="false">
      <c r="A34" s="8" t="s">
        <v>121</v>
      </c>
      <c r="B34" s="24" t="n">
        <f aca="false">IF(B24="","",B24*B16)</f>
        <v>2496.30662428086</v>
      </c>
      <c r="C34" s="24" t="n">
        <f aca="false">IF(C24="","",C24*C16)</f>
        <v>2653.6466</v>
      </c>
      <c r="D34" s="14" t="n">
        <f aca="false">IF(OR(B34="",C34="",B34=0),"",C34/B34-1)</f>
        <v>0.0630291063560606</v>
      </c>
      <c r="E34" s="11" t="s">
        <v>56</v>
      </c>
      <c r="F34" s="12"/>
    </row>
    <row r="35" customFormat="false" ht="15" hidden="false" customHeight="false" outlineLevel="0" collapsed="false">
      <c r="A35" s="15" t="s">
        <v>122</v>
      </c>
      <c r="B35" s="25" t="n">
        <f aca="false">IF(B24="","",B24*B17/10)</f>
        <v>1294.43477910276</v>
      </c>
      <c r="C35" s="25" t="n">
        <f aca="false">IF(C24="","",C24*C17/10)</f>
        <v>1276.925</v>
      </c>
      <c r="D35" s="33" t="n">
        <f aca="false">IF(OR(B35="",C35="",B35=0),"",C35/B35-1)</f>
        <v>-0.0135269689793885</v>
      </c>
      <c r="E35" s="11" t="s">
        <v>49</v>
      </c>
      <c r="F35" s="12"/>
    </row>
    <row r="36" customFormat="false" ht="15" hidden="false" customHeight="false" outlineLevel="0" collapsed="false">
      <c r="A36" s="10"/>
      <c r="B36" s="10"/>
      <c r="C36" s="10"/>
      <c r="D36" s="10"/>
      <c r="E36" s="10"/>
      <c r="F36" s="10"/>
    </row>
    <row r="37" customFormat="false" ht="15" hidden="false" customHeight="false" outlineLevel="0" collapsed="false">
      <c r="A37" s="6" t="s">
        <v>123</v>
      </c>
      <c r="B37" s="7"/>
      <c r="C37" s="7"/>
      <c r="D37" s="7"/>
      <c r="E37" s="6"/>
      <c r="F37" s="6"/>
    </row>
    <row r="38" customFormat="false" ht="15" hidden="false" customHeight="false" outlineLevel="0" collapsed="false">
      <c r="A38" s="8" t="s">
        <v>124</v>
      </c>
      <c r="B38" s="14" t="n">
        <f aca="false">IF(B33="","",B33/B25)</f>
        <v>0.0711775827074533</v>
      </c>
      <c r="C38" s="14" t="n">
        <f aca="false">IF(C33="","",C33/C25)</f>
        <v>0.0645604785322489</v>
      </c>
      <c r="D38" s="14" t="n">
        <f aca="false">IF(OR(B38="",C38=""),"",C38-B38)</f>
        <v>-0.00661710417520438</v>
      </c>
      <c r="E38" s="11" t="s">
        <v>64</v>
      </c>
      <c r="F38" s="12"/>
    </row>
    <row r="39" customFormat="false" ht="15" hidden="false" customHeight="false" outlineLevel="0" collapsed="false">
      <c r="A39" s="8" t="s">
        <v>125</v>
      </c>
      <c r="B39" s="14" t="n">
        <f aca="false">IF(B35="","",B35/B25)</f>
        <v>0.0705732598971765</v>
      </c>
      <c r="C39" s="14" t="n">
        <f aca="false">IF(C35="","",C35/C25)</f>
        <v>0.0603804142235672</v>
      </c>
      <c r="D39" s="14" t="n">
        <f aca="false">IF(OR(B39="",C39=""),"",C39-B39)</f>
        <v>-0.0101928456736092</v>
      </c>
      <c r="E39" s="11" t="s">
        <v>64</v>
      </c>
      <c r="F39" s="12"/>
    </row>
    <row r="40" customFormat="false" ht="15" hidden="false" customHeight="false" outlineLevel="0" collapsed="false">
      <c r="A40" s="8" t="s">
        <v>66</v>
      </c>
      <c r="B40" s="14" t="n">
        <f aca="false">IF(B33="","",B33/B26)</f>
        <v>0.0572897620336239</v>
      </c>
      <c r="C40" s="14" t="n">
        <f aca="false">IF(C33="","",C33/C26)</f>
        <v>0.0536115364982134</v>
      </c>
      <c r="D40" s="14" t="n">
        <f aca="false">IF(OR(B40="",C40=""),"",C40-B40)</f>
        <v>-0.00367822553541057</v>
      </c>
      <c r="E40" s="11" t="s">
        <v>64</v>
      </c>
      <c r="F40" s="12"/>
    </row>
    <row r="41" customFormat="false" ht="15" hidden="false" customHeight="false" outlineLevel="0" collapsed="false">
      <c r="A41" s="15" t="s">
        <v>79</v>
      </c>
      <c r="B41" s="28" t="n">
        <f aca="false">IF(B6="","",(B6*B7+B8*B9+B10*B11)/(B6+B8+B10))</f>
        <v>6.25479245283019</v>
      </c>
      <c r="C41" s="28" t="n">
        <f aca="false">IF(C6="","",(C6*C7+C8*C9+C10*C11)/(C6+C8+C10))</f>
        <v>6.01793281653747</v>
      </c>
      <c r="D41" s="33" t="n">
        <f aca="false">IF(OR(B41="",C41="",B41=0),"",C41/B41-1)</f>
        <v>-0.0378685045233669</v>
      </c>
      <c r="E41" s="11" t="s">
        <v>19</v>
      </c>
      <c r="F41" s="12" t="s">
        <v>126</v>
      </c>
    </row>
    <row r="42" customFormat="false" ht="15" hidden="false" customHeight="false" outlineLevel="0" collapsed="false">
      <c r="A42" s="8" t="s">
        <v>84</v>
      </c>
      <c r="B42" s="14" t="n">
        <f aca="false">IF(B10="","",B10+B12)</f>
        <v>0.344</v>
      </c>
      <c r="C42" s="14" t="n">
        <f aca="false">IF(C10="","",C10+C12)</f>
        <v>0.43</v>
      </c>
      <c r="D42" s="14" t="n">
        <f aca="false">IF(OR(B42="",C42=""),"",C42-B42)</f>
        <v>0.086</v>
      </c>
      <c r="E42" s="11" t="s">
        <v>64</v>
      </c>
      <c r="F42" s="12"/>
    </row>
    <row r="43" customFormat="false" ht="15" hidden="false" customHeight="false" outlineLevel="0" collapsed="false">
      <c r="A43" s="10"/>
      <c r="B43" s="10"/>
      <c r="C43" s="10"/>
      <c r="D43" s="10"/>
      <c r="E43" s="10"/>
      <c r="F43" s="10"/>
    </row>
    <row r="44" customFormat="false" ht="15" hidden="false" customHeight="false" outlineLevel="0" collapsed="false">
      <c r="A44" s="6" t="s">
        <v>127</v>
      </c>
      <c r="B44" s="7"/>
      <c r="C44" s="7"/>
      <c r="D44" s="7"/>
      <c r="E44" s="6"/>
      <c r="F44" s="6"/>
    </row>
    <row r="45" customFormat="false" ht="15" hidden="false" customHeight="false" outlineLevel="0" collapsed="false">
      <c r="A45" s="8" t="s">
        <v>87</v>
      </c>
      <c r="B45" s="16" t="n">
        <v>881</v>
      </c>
      <c r="C45" s="16" t="n">
        <v>874</v>
      </c>
      <c r="D45" s="14" t="n">
        <f aca="false">IF(OR(B45="",C45="",B45=0),"",C45/B45-1)</f>
        <v>-0.00794551645856978</v>
      </c>
      <c r="E45" s="11" t="s">
        <v>35</v>
      </c>
      <c r="F45" s="12"/>
    </row>
    <row r="46" customFormat="false" ht="15" hidden="false" customHeight="false" outlineLevel="0" collapsed="false">
      <c r="A46" s="8" t="s">
        <v>89</v>
      </c>
      <c r="B46" s="24" t="n">
        <f aca="false">IF(B17="","",B17+B45)</f>
        <v>1239</v>
      </c>
      <c r="C46" s="24" t="n">
        <f aca="false">IF(C17="","",C17+C45)</f>
        <v>1199</v>
      </c>
      <c r="D46" s="14" t="n">
        <f aca="false">IF(OR(B46="",C46="",B46=0),"",C46/B46-1)</f>
        <v>-0.0322841000807103</v>
      </c>
      <c r="E46" s="11" t="s">
        <v>35</v>
      </c>
      <c r="F46" s="12"/>
    </row>
    <row r="47" customFormat="false" ht="15" hidden="false" customHeight="false" outlineLevel="0" collapsed="false">
      <c r="A47" s="8" t="s">
        <v>90</v>
      </c>
      <c r="B47" s="24" t="n">
        <f aca="false">IF(B20="","",B20*B46/10)</f>
        <v>4518.26302083333</v>
      </c>
      <c r="C47" s="24" t="n">
        <f aca="false">IF(C20="","",C20*C46/10)</f>
        <v>5036.999</v>
      </c>
      <c r="D47" s="10"/>
      <c r="E47" s="11" t="s">
        <v>49</v>
      </c>
      <c r="F47" s="12"/>
    </row>
    <row r="48" customFormat="false" ht="15" hidden="false" customHeight="false" outlineLevel="0" collapsed="false">
      <c r="A48" s="8" t="s">
        <v>91</v>
      </c>
      <c r="B48" s="24" t="n">
        <f aca="false">IF(B24="","",B24*B46/10)</f>
        <v>4479.90137236962</v>
      </c>
      <c r="C48" s="24" t="n">
        <f aca="false">IF(C24="","",C24*C46/10)</f>
        <v>4710.871</v>
      </c>
      <c r="D48" s="10"/>
      <c r="E48" s="11" t="s">
        <v>49</v>
      </c>
      <c r="F48" s="12"/>
    </row>
    <row r="49" customFormat="false" ht="15" hidden="false" customHeight="false" outlineLevel="0" collapsed="false">
      <c r="A49" s="8" t="s">
        <v>128</v>
      </c>
      <c r="B49" s="16" t="n">
        <v>4542</v>
      </c>
      <c r="C49" s="16" t="n">
        <v>4733</v>
      </c>
      <c r="D49" s="14" t="n">
        <f aca="false">IF(OR(B49="",C49="",B49=0),"",C49/B49-1)</f>
        <v>0.0420519594892117</v>
      </c>
      <c r="E49" s="11" t="s">
        <v>49</v>
      </c>
      <c r="F49" s="12"/>
    </row>
    <row r="50" customFormat="false" ht="15" hidden="false" customHeight="false" outlineLevel="0" collapsed="false">
      <c r="A50" s="8" t="s">
        <v>95</v>
      </c>
      <c r="B50" s="14" t="n">
        <f aca="false">IF(B47="","",B47/B49)</f>
        <v>0.994773892741817</v>
      </c>
      <c r="C50" s="14" t="n">
        <f aca="false">IF(C47="","",C47/C49)</f>
        <v>1.06422966406085</v>
      </c>
      <c r="D50" s="10"/>
      <c r="E50" s="11" t="s">
        <v>64</v>
      </c>
      <c r="F50" s="12"/>
    </row>
    <row r="51" customFormat="false" ht="15" hidden="false" customHeight="false" outlineLevel="0" collapsed="false">
      <c r="A51" s="8" t="s">
        <v>97</v>
      </c>
      <c r="B51" s="14" t="n">
        <f aca="false">IF(B48="","",B48/B49)</f>
        <v>0.986327911133779</v>
      </c>
      <c r="C51" s="14" t="n">
        <f aca="false">IF(C48="","",C48/C49)</f>
        <v>0.995324529896472</v>
      </c>
      <c r="D51" s="10"/>
      <c r="E51" s="11" t="s">
        <v>64</v>
      </c>
      <c r="F51" s="12"/>
    </row>
    <row r="52" customFormat="false" ht="15" hidden="false" customHeight="false" outlineLevel="0" collapsed="false">
      <c r="A52" s="15" t="s">
        <v>129</v>
      </c>
      <c r="B52" s="25" t="n">
        <f aca="false">B35</f>
        <v>1294.43477910276</v>
      </c>
      <c r="C52" s="16"/>
      <c r="D52" s="10"/>
      <c r="E52" s="11" t="s">
        <v>49</v>
      </c>
      <c r="F52" s="12"/>
    </row>
    <row r="53" customFormat="false" ht="15" hidden="false" customHeight="false" outlineLevel="0" collapsed="false">
      <c r="A53" s="8" t="s">
        <v>130</v>
      </c>
      <c r="B53" s="34" t="n">
        <f aca="false">(C24-B24)*B17/10</f>
        <v>112.147220897235</v>
      </c>
      <c r="C53" s="35"/>
      <c r="D53" s="10"/>
      <c r="E53" s="11" t="s">
        <v>49</v>
      </c>
      <c r="F53" s="12"/>
    </row>
    <row r="54" customFormat="false" ht="15" hidden="false" customHeight="false" outlineLevel="0" collapsed="false">
      <c r="A54" s="8" t="s">
        <v>131</v>
      </c>
      <c r="B54" s="34" t="n">
        <f aca="false">C24*(C16-B16)*B15/10</f>
        <v>-30.587265</v>
      </c>
      <c r="C54" s="35"/>
      <c r="D54" s="10"/>
      <c r="E54" s="11" t="s">
        <v>49</v>
      </c>
      <c r="F54" s="12"/>
    </row>
    <row r="55" customFormat="false" ht="15" hidden="false" customHeight="false" outlineLevel="0" collapsed="false">
      <c r="A55" s="8" t="s">
        <v>132</v>
      </c>
      <c r="B55" s="34" t="n">
        <f aca="false">C24*C16*(C15-B15)/10</f>
        <v>-100.8385708</v>
      </c>
      <c r="C55" s="35"/>
      <c r="D55" s="10"/>
      <c r="E55" s="11" t="s">
        <v>49</v>
      </c>
      <c r="F55" s="12"/>
    </row>
    <row r="56" customFormat="false" ht="15" hidden="false" customHeight="false" outlineLevel="0" collapsed="false">
      <c r="A56" s="8" t="s">
        <v>133</v>
      </c>
      <c r="B56" s="34" t="n">
        <f aca="false">C35-B35-B53-B54-B55</f>
        <v>1.76883580000032</v>
      </c>
      <c r="C56" s="35"/>
      <c r="D56" s="10"/>
      <c r="E56" s="11" t="s">
        <v>49</v>
      </c>
      <c r="F56" s="12"/>
    </row>
    <row r="57" customFormat="false" ht="15" hidden="false" customHeight="false" outlineLevel="0" collapsed="false">
      <c r="A57" s="15" t="s">
        <v>134</v>
      </c>
      <c r="B57" s="25" t="n">
        <f aca="false">B52+B53+B54+B55+B56</f>
        <v>1276.925</v>
      </c>
      <c r="C57" s="16"/>
      <c r="D57" s="10"/>
      <c r="E57" s="11" t="s">
        <v>49</v>
      </c>
      <c r="F57" s="12"/>
    </row>
    <row r="58" customFormat="false" ht="15" hidden="false" customHeight="false" outlineLevel="0" collapsed="false">
      <c r="A58" s="8" t="s">
        <v>135</v>
      </c>
      <c r="B58" s="36" t="str">
        <f aca="false">IF(ROUND(B57-C35,2)=0,"OK","CHECK")</f>
        <v>OK</v>
      </c>
      <c r="C58" s="37"/>
      <c r="D58" s="10"/>
      <c r="E58" s="11"/>
      <c r="F58" s="12"/>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B3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4"/>
    <col collapsed="false" customWidth="true" hidden="false" outlineLevel="0" max="2" min="2" style="0" width="122"/>
  </cols>
  <sheetData>
    <row r="1" customFormat="false" ht="16.15" hidden="false" customHeight="false" outlineLevel="0" collapsed="false">
      <c r="B1" s="38" t="s">
        <v>136</v>
      </c>
    </row>
    <row r="2" customFormat="false" ht="15" hidden="false" customHeight="true" outlineLevel="0" collapsed="false">
      <c r="B2" s="39"/>
    </row>
    <row r="3" customFormat="false" ht="15" hidden="false" customHeight="false" outlineLevel="0" collapsed="false">
      <c r="B3" s="40" t="s">
        <v>137</v>
      </c>
    </row>
    <row r="4" customFormat="false" ht="27.75" hidden="false" customHeight="true" outlineLevel="0" collapsed="false">
      <c r="B4" s="39" t="s">
        <v>138</v>
      </c>
    </row>
    <row r="5" customFormat="false" ht="15" hidden="false" customHeight="true" outlineLevel="0" collapsed="false">
      <c r="B5" s="39" t="s">
        <v>139</v>
      </c>
    </row>
    <row r="6" customFormat="false" ht="15" hidden="false" customHeight="true" outlineLevel="0" collapsed="false">
      <c r="B6" s="39" t="s">
        <v>140</v>
      </c>
    </row>
    <row r="7" customFormat="false" ht="15" hidden="false" customHeight="true" outlineLevel="0" collapsed="false">
      <c r="B7" s="39" t="s">
        <v>141</v>
      </c>
    </row>
    <row r="8" customFormat="false" ht="27.75" hidden="false" customHeight="true" outlineLevel="0" collapsed="false">
      <c r="B8" s="39" t="s">
        <v>142</v>
      </c>
    </row>
    <row r="9" customFormat="false" ht="15" hidden="false" customHeight="true" outlineLevel="0" collapsed="false">
      <c r="B9" s="39"/>
    </row>
    <row r="10" customFormat="false" ht="15" hidden="false" customHeight="false" outlineLevel="0" collapsed="false">
      <c r="B10" s="40" t="s">
        <v>143</v>
      </c>
    </row>
    <row r="11" customFormat="false" ht="55.5" hidden="false" customHeight="true" outlineLevel="0" collapsed="false">
      <c r="B11" s="39" t="s">
        <v>144</v>
      </c>
    </row>
    <row r="12" customFormat="false" ht="27.75" hidden="false" customHeight="true" outlineLevel="0" collapsed="false">
      <c r="B12" s="39" t="s">
        <v>145</v>
      </c>
    </row>
    <row r="13" customFormat="false" ht="15" hidden="false" customHeight="true" outlineLevel="0" collapsed="false">
      <c r="B13" s="39"/>
    </row>
    <row r="14" customFormat="false" ht="15" hidden="false" customHeight="false" outlineLevel="0" collapsed="false">
      <c r="B14" s="40" t="s">
        <v>146</v>
      </c>
    </row>
    <row r="15" customFormat="false" ht="42" hidden="false" customHeight="true" outlineLevel="0" collapsed="false">
      <c r="B15" s="39" t="s">
        <v>147</v>
      </c>
    </row>
    <row r="16" customFormat="false" ht="42" hidden="false" customHeight="true" outlineLevel="0" collapsed="false">
      <c r="B16" s="39" t="s">
        <v>148</v>
      </c>
    </row>
    <row r="17" customFormat="false" ht="15" hidden="false" customHeight="true" outlineLevel="0" collapsed="false">
      <c r="B17" s="39"/>
    </row>
    <row r="18" customFormat="false" ht="15" hidden="false" customHeight="false" outlineLevel="0" collapsed="false">
      <c r="B18" s="40" t="s">
        <v>149</v>
      </c>
    </row>
    <row r="19" customFormat="false" ht="42" hidden="false" customHeight="true" outlineLevel="0" collapsed="false">
      <c r="B19" s="39" t="s">
        <v>150</v>
      </c>
    </row>
    <row r="20" customFormat="false" ht="15" hidden="false" customHeight="true" outlineLevel="0" collapsed="false">
      <c r="B20" s="39"/>
    </row>
    <row r="21" customFormat="false" ht="15" hidden="false" customHeight="false" outlineLevel="0" collapsed="false">
      <c r="B21" s="40" t="s">
        <v>151</v>
      </c>
    </row>
    <row r="22" customFormat="false" ht="42" hidden="false" customHeight="true" outlineLevel="0" collapsed="false">
      <c r="B22" s="39" t="s">
        <v>152</v>
      </c>
    </row>
    <row r="23" customFormat="false" ht="69.75" hidden="false" customHeight="true" outlineLevel="0" collapsed="false">
      <c r="B23" s="39" t="s">
        <v>153</v>
      </c>
    </row>
    <row r="24" customFormat="false" ht="69.75" hidden="false" customHeight="true" outlineLevel="0" collapsed="false">
      <c r="B24" s="39" t="s">
        <v>154</v>
      </c>
    </row>
    <row r="25" customFormat="false" ht="42" hidden="false" customHeight="true" outlineLevel="0" collapsed="false">
      <c r="B25" s="39" t="s">
        <v>155</v>
      </c>
    </row>
    <row r="26" customFormat="false" ht="15" hidden="false" customHeight="true" outlineLevel="0" collapsed="false">
      <c r="B26" s="39"/>
    </row>
    <row r="27" customFormat="false" ht="15" hidden="false" customHeight="false" outlineLevel="0" collapsed="false">
      <c r="B27" s="40" t="s">
        <v>156</v>
      </c>
    </row>
    <row r="28" customFormat="false" ht="55.5" hidden="false" customHeight="true" outlineLevel="0" collapsed="false">
      <c r="B28" s="39" t="s">
        <v>157</v>
      </c>
    </row>
    <row r="29" customFormat="false" ht="15" hidden="false" customHeight="true" outlineLevel="0" collapsed="false">
      <c r="B29" s="39"/>
    </row>
    <row r="30" customFormat="false" ht="15" hidden="false" customHeight="false" outlineLevel="0" collapsed="false">
      <c r="B30" s="40" t="s">
        <v>158</v>
      </c>
    </row>
    <row r="31" customFormat="false" ht="42" hidden="false" customHeight="true" outlineLevel="0" collapsed="false">
      <c r="B31" s="39" t="s">
        <v>159</v>
      </c>
    </row>
    <row r="32" customFormat="false" ht="42" hidden="false" customHeight="true" outlineLevel="0" collapsed="false">
      <c r="B32" s="39" t="s">
        <v>160</v>
      </c>
    </row>
    <row r="33" customFormat="false" ht="15" hidden="false" customHeight="true" outlineLevel="0" collapsed="false">
      <c r="B33" s="39"/>
    </row>
    <row r="34" customFormat="false" ht="15" hidden="false" customHeight="false" outlineLevel="0" collapsed="false">
      <c r="B34" s="40" t="s">
        <v>161</v>
      </c>
    </row>
    <row r="35" customFormat="false" ht="55.5" hidden="false" customHeight="true" outlineLevel="0" collapsed="false">
      <c r="B35" s="39" t="s">
        <v>162</v>
      </c>
    </row>
    <row r="36" customFormat="false" ht="27.75" hidden="false" customHeight="true" outlineLevel="0" collapsed="false">
      <c r="B36" s="39" t="s">
        <v>163</v>
      </c>
    </row>
    <row r="37" customFormat="false" ht="15" hidden="false" customHeight="true" outlineLevel="0" collapsed="false">
      <c r="B37" s="39"/>
    </row>
    <row r="38" customFormat="false" ht="15" hidden="false" customHeight="false" outlineLevel="0" collapsed="false">
      <c r="B38" s="40" t="s">
        <v>164</v>
      </c>
    </row>
    <row r="39" customFormat="false" ht="42" hidden="false" customHeight="true" outlineLevel="0" collapsed="false">
      <c r="B39" s="39" t="s">
        <v>165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2026-09-22T13:19:19Z</dcterms:created>
  <dc:creator>openpyxl</dc:creator>
  <dc:description/>
  <dc:language>en-US</dc:language>
  <cp:lastModifiedBy/>
  <dcterms:modified xsi:type="dcterms:W3CDTF">2026-09-22T13:19:19Z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