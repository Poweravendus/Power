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Q4 Power Cost" sheetId="1" state="visible" r:id="rId3"/>
    <sheet name="Notes &amp; Source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<sst xmlns="http://schemas.openxmlformats.org/spreadsheetml/2006/main" count="202" uniqueCount="141">
  <si>
    <t xml:space="preserve">ULTRATECH CEMENT — ELECTRICITY (POWER) COST ANALYSIS</t>
  </si>
  <si>
    <t xml:space="preserve">Q4FY26 vs Q4FY25 | Basis: domestic grey cement operations, excluding India Cements (ICL); prior period restated for Kesoram</t>
  </si>
  <si>
    <t xml:space="preserve">Source: UltraTech Cement Ltd, Investor Presentation for the quarter and year ended 31 March 2026, filed with BSE on 27 April 2026 (Slides 10, 20, 24, 26, 27, 29)</t>
  </si>
  <si>
    <t xml:space="preserve">Blue = input taken from the deck | Black = formula | Yellow = to be filled from the relevant quarter's investor presentation</t>
  </si>
  <si>
    <t xml:space="preserve">Particulars</t>
  </si>
  <si>
    <t xml:space="preserve">Q4FY25</t>
  </si>
  <si>
    <t xml:space="preserve">Q1FY26</t>
  </si>
  <si>
    <t xml:space="preserve">Q2FY26</t>
  </si>
  <si>
    <t xml:space="preserve">Q3FY26</t>
  </si>
  <si>
    <t xml:space="preserve">Q4FY26</t>
  </si>
  <si>
    <t xml:space="preserve">YoY chg</t>
  </si>
  <si>
    <t xml:space="preserve">Unit</t>
  </si>
  <si>
    <t xml:space="preserve">Disclosed Q4 YoY growth</t>
  </si>
  <si>
    <t xml:space="preserve">Source / note</t>
  </si>
  <si>
    <t xml:space="preserve">A.  DISCLOSED — POWER MIX, RATE AND CONSUMPTION  (Slide 27)</t>
  </si>
  <si>
    <t xml:space="preserve">   Captive thermal power — power mix</t>
  </si>
  <si>
    <t xml:space="preserve">% of units</t>
  </si>
  <si>
    <t xml:space="preserve">Slide 27</t>
  </si>
  <si>
    <t xml:space="preserve">   Captive thermal power — rate</t>
  </si>
  <si>
    <t xml:space="preserve">Rs./kWh</t>
  </si>
  <si>
    <t xml:space="preserve">   State grid and others — power mix</t>
  </si>
  <si>
    <t xml:space="preserve">   State grid and others — rate</t>
  </si>
  <si>
    <t xml:space="preserve">   Renewable energy — power mix</t>
  </si>
  <si>
    <t xml:space="preserve">   Renewable energy — rate</t>
  </si>
  <si>
    <t xml:space="preserve">   Waste heat recovery system — power mix</t>
  </si>
  <si>
    <t xml:space="preserve">   Waste heat recovery system — rate</t>
  </si>
  <si>
    <t xml:space="preserve">   Check: power mix totals</t>
  </si>
  <si>
    <t xml:space="preserve">Must equal 100%</t>
  </si>
  <si>
    <t xml:space="preserve">Blended power cost — as disclosed</t>
  </si>
  <si>
    <t xml:space="preserve">   Blended power cost — calculated from mix</t>
  </si>
  <si>
    <t xml:space="preserve">Cross-check on the disclosed mix and rates</t>
  </si>
  <si>
    <t xml:space="preserve">   Variance vs disclosed</t>
  </si>
  <si>
    <t xml:space="preserve">Rounding only — confirms the table is internally consistent</t>
  </si>
  <si>
    <t xml:space="preserve">Power consumed per tonne of cement</t>
  </si>
  <si>
    <t xml:space="preserve">kWh/t</t>
  </si>
  <si>
    <t xml:space="preserve">Power cost per tonne of cement</t>
  </si>
  <si>
    <t xml:space="preserve">Rs./t</t>
  </si>
  <si>
    <t xml:space="preserve">   Power cost per tonne — calculated (rate x kWh/t)</t>
  </si>
  <si>
    <t xml:space="preserve">Cross-check of the disclosed Rs./t</t>
  </si>
  <si>
    <t xml:space="preserve">Power as % of total cost — as disclosed</t>
  </si>
  <si>
    <t xml:space="preserve">% of cost</t>
  </si>
  <si>
    <t xml:space="preserve">Slide 24; not disclosed for Q4FY25</t>
  </si>
  <si>
    <t xml:space="preserve">   Implied total cost per tonne  (power Rs./t / power % of cost)</t>
  </si>
  <si>
    <t xml:space="preserve">Cross-check: the five cost heads disclosed on Slides 24-28 sum to Rs. 3,684/t</t>
  </si>
  <si>
    <t xml:space="preserve">B.  DISCLOSED — VOLUME AND REVENUE  (Slides 10 and 20)</t>
  </si>
  <si>
    <t xml:space="preserve">UltraTech grey cement, domestic (excl. ICL)</t>
  </si>
  <si>
    <t xml:space="preserve">MnT</t>
  </si>
  <si>
    <t xml:space="preserve">Slide 10; Q4FY25 derived from the disclosed YoY growth</t>
  </si>
  <si>
    <t xml:space="preserve">   India Cements (ICL)</t>
  </si>
  <si>
    <t xml:space="preserve">   Grey cement, domestic — consolidated</t>
  </si>
  <si>
    <t xml:space="preserve">   Inter-company elimination</t>
  </si>
  <si>
    <t xml:space="preserve">ICL cement bought by UltraTech and resold under its own brand (Slide 10 discloses (2.73) for Q4FY26)</t>
  </si>
  <si>
    <t xml:space="preserve">UltraTech own-manufactured grey cement, domestic</t>
  </si>
  <si>
    <t xml:space="preserve">Reported volume less cement sourced from ICL — no UltraTech power consumed on those tonnes</t>
  </si>
  <si>
    <t xml:space="preserve">Grey cement revenue, domestic (excl. ICL)</t>
  </si>
  <si>
    <t xml:space="preserve">Rs. Cr</t>
  </si>
  <si>
    <t xml:space="preserve">Slide 20; Q4FY25 derived from the disclosed YoY growth</t>
  </si>
  <si>
    <t xml:space="preserve">Consolidated net sales</t>
  </si>
  <si>
    <t xml:space="preserve">Slide 29</t>
  </si>
  <si>
    <t xml:space="preserve">   Realisation — grey cement domestic (excl. ICL)</t>
  </si>
  <si>
    <t xml:space="preserve">Revenue / reported volume</t>
  </si>
  <si>
    <t xml:space="preserve">   Realisation — as disclosed</t>
  </si>
  <si>
    <t xml:space="preserve">Slide 22</t>
  </si>
  <si>
    <t xml:space="preserve">   Variance: derived vs disclosed</t>
  </si>
  <si>
    <t xml:space="preserve">%</t>
  </si>
  <si>
    <t xml:space="preserve">Validates the Q4FY25 volume and revenue derived from the disclosed growth rates</t>
  </si>
  <si>
    <t xml:space="preserve">C.  ELECTRICITY COST IN ABSOLUTE TERMS  (derived — the deck discloses no absolute power cost line)</t>
  </si>
  <si>
    <t xml:space="preserve">Basis A — on reported sales volume (incl. cement sourced from ICL)</t>
  </si>
  <si>
    <t xml:space="preserve">The convention most analysts use: disclosed Rs./t x reported volume</t>
  </si>
  <si>
    <t xml:space="preserve">   Units consumed</t>
  </si>
  <si>
    <t xml:space="preserve">mn kWh</t>
  </si>
  <si>
    <t xml:space="preserve">   Electricity cost</t>
  </si>
  <si>
    <t xml:space="preserve">Basis B — on own-manufactured volume (excl. cement sourced from ICL)</t>
  </si>
  <si>
    <t xml:space="preserve">Preferred: this is the volume UltraTech actually burnt power to make</t>
  </si>
  <si>
    <t xml:space="preserve">CENTRAL ESTIMATE — electricity cost (Basis B)</t>
  </si>
  <si>
    <t xml:space="preserve">See Section F: Basis B reconciles to the standalone P&amp;L, Basis A does not</t>
  </si>
  <si>
    <t xml:space="preserve">CENTRAL ESTIMATE — units consumed</t>
  </si>
  <si>
    <t xml:space="preserve">bn kWh</t>
  </si>
  <si>
    <t xml:space="preserve">D.  ELECTRICITY COST AS % OF TOPLINE</t>
  </si>
  <si>
    <t xml:space="preserve">   % of grey cement domestic revenue (excl. ICL) — Basis A</t>
  </si>
  <si>
    <t xml:space="preserve">Matched numerator and denominator</t>
  </si>
  <si>
    <t xml:space="preserve">% of grey cement domestic revenue (excl. ICL) — Basis B</t>
  </si>
  <si>
    <t xml:space="preserve">HEADLINE ANSWER — matched basis</t>
  </si>
  <si>
    <t xml:space="preserve">   % of consolidated net sales — Basis A (memo only)</t>
  </si>
  <si>
    <t xml:space="preserve">Mismatched: numerator is grey cement only, denominator includes ICL, white cement, RMC, chemicals and overseas</t>
  </si>
  <si>
    <t xml:space="preserve">E.  COST PER UNIT AT WHICH POWER IS PROCURED</t>
  </si>
  <si>
    <t xml:space="preserve">   Blended all-in cost of power consumed (incl. WHRS)</t>
  </si>
  <si>
    <t xml:space="preserve">NOT a procurement price — includes recovered waste heat at near-zero cost</t>
  </si>
  <si>
    <t xml:space="preserve">Blended cost of SOURCED power (excl. WHRS)</t>
  </si>
  <si>
    <t xml:space="preserve">HEADLINE ANSWER — the rate actually paid for power generated or bought</t>
  </si>
  <si>
    <t xml:space="preserve">   Grid tariff (marginal / most expensive source)</t>
  </si>
  <si>
    <t xml:space="preserve">Up 9.3% YoY — the blended saving came from mix shift, not cheaper power</t>
  </si>
  <si>
    <t xml:space="preserve">   Sourced power as % of units (excl. WHRS)</t>
  </si>
  <si>
    <t xml:space="preserve">   Renewable + WHRS share of units</t>
  </si>
  <si>
    <t xml:space="preserve">Green power mix</t>
  </si>
  <si>
    <t xml:space="preserve">F.  RECONCILIATION TO THE REPORTED P&amp;L  (Slides 26 and 29)</t>
  </si>
  <si>
    <t xml:space="preserve">   Fuel cost per tonne — as disclosed</t>
  </si>
  <si>
    <t xml:space="preserve">Slide 26</t>
  </si>
  <si>
    <t xml:space="preserve">   Power + fuel per tonne</t>
  </si>
  <si>
    <t xml:space="preserve">   Implied power + fuel — Basis A</t>
  </si>
  <si>
    <t xml:space="preserve">   Implied power + fuel — Basis B</t>
  </si>
  <si>
    <t xml:space="preserve">   Power and fuel — standalone P&amp;L, as reported</t>
  </si>
  <si>
    <t xml:space="preserve">   Power and fuel — consolidated P&amp;L, as reported</t>
  </si>
  <si>
    <t xml:space="preserve">   Basis A as % of standalone P&amp;L</t>
  </si>
  <si>
    <t xml:space="preserve">Overshoots by 6% in Q4FY26 — Basis A double-counts the ICL tonnes</t>
  </si>
  <si>
    <t xml:space="preserve">   Basis B as % of standalone P&amp;L</t>
  </si>
  <si>
    <t xml:space="preserve">Ties within 1.5% in both quarters — this is why Basis B is preferred</t>
  </si>
  <si>
    <t xml:space="preserve">G.  YoY BRIDGE — ELECTRICITY COST, Q4FY25 to Q4FY26  (Basis B)</t>
  </si>
  <si>
    <t xml:space="preserve">Q4FY25 electricity cost</t>
  </si>
  <si>
    <t xml:space="preserve">   Volume effect  (higher own-manufactured tonnes at last year's Rs./t)</t>
  </si>
  <si>
    <t xml:space="preserve">   Specific consumption effect  (kWh/t, at last year's rate)</t>
  </si>
  <si>
    <t xml:space="preserve">   Blended rate effect  (Rs./kWh, on this year's units)</t>
  </si>
  <si>
    <t xml:space="preserve">   Rounding / residual</t>
  </si>
  <si>
    <t xml:space="preserve">Disclosed Rs./t is rounded to the rupee</t>
  </si>
  <si>
    <t xml:space="preserve">Q4FY26 electricity cost</t>
  </si>
  <si>
    <t xml:space="preserve">   Check vs Section C</t>
  </si>
  <si>
    <t xml:space="preserve">NOTES, SOURCES AND CAVEATS</t>
  </si>
  <si>
    <t xml:space="preserve">1.  Source document</t>
  </si>
  <si>
    <t xml:space="preserve">UltraTech Cement Limited — Investor Presentation for the quarter and year ended 31 March 2026, filed with BSE Limited (scrip 532538) and NSE on 27 April 2026.</t>
  </si>
  <si>
    <t xml:space="preserve">URL: https://www.bseindia.com/xml-data/corpfiling/AttachHis/a3bceaa5-0d18-4059-862d-5c541a640744.pdf</t>
  </si>
  <si>
    <t xml:space="preserve">Slides used: 10 (consolidated sales volume), 20 (consolidated revenues), 24 (Q4FY26 key cost indicators), 26 (fuel cost), 27 (power cost), 29 (quarterly P&amp;L).</t>
  </si>
  <si>
    <t xml:space="preserve">2.  The single most important caveat</t>
  </si>
  <si>
    <t xml:space="preserve">The presentation does NOT disclose electricity cost as an absolute rupee amount anywhere. The reported P&amp;L carries only a combined 'Power and fuel' line (Q4FY26: Rs. 4,733 Cr standalone, Rs. 5,416 Cr consolidated). Every absolute number in Section C is therefore DERIVED as disclosed Rs./t multiplied by volume. What the company does disclose directly is the per-unit data: Rs./kWh, kWh/t and Rs./t.</t>
  </si>
  <si>
    <t xml:space="preserve">3.  Basis A versus Basis B — why Basis B is used as the central estimate</t>
  </si>
  <si>
    <t xml:space="preserve">Slide 10 shows UltraTech grey cement domestic volume of 42.01 MnT for Q4FY26, ICL at 3.12 MnT, and an inter-company elimination of (2.73) MnT. That elimination is cement produced by ICL, bought by UltraTech and resold under the UltraTech brand. UltraTech burnt no power making those tonnes, so its own-manufactured volume is roughly 39.28 MnT.</t>
  </si>
  <si>
    <t xml:space="preserve">Section F settles it. Applying the disclosed power + fuel of Rs. 1,199/t to reported volume (Basis A) implies Rs. 5,037 Cr against a reported standalone P&amp;L line of Rs. 4,733 Cr — an overshoot of 6.4%, and standalone also carries white cement and RMC, so the true grey-cement figure must be LOWER still, not higher. Applying it to own-manufactured volume (Basis B) implies Rs. 4,711 Cr, which ties to 99.5%.</t>
  </si>
  <si>
    <t xml:space="preserve">In Q4FY25 the elimination was negligible (about 0.31 MnT, derived from the disclosed growth rates), so both bases tie and that quarter cannot discriminate between them. Q4FY26 can, and it points to Basis B.</t>
  </si>
  <si>
    <t xml:space="preserve">Practical read: Q4FY26 electricity cost is Rs. 1,277 Cr on Basis B and Rs. 1,365 Cr on Basis A. Treat Rs. 1,275-1,365 Cr as the genuine band and Rs. 1,277 Cr as the central estimate.</t>
  </si>
  <si>
    <t xml:space="preserve">4.  Rs. 4.81/kWh is not a procurement price</t>
  </si>
  <si>
    <t xml:space="preserve">The disclosed blended power cost of Rs. 4.81/kWh includes waste heat recovery at Rs. 0.60/kWh, which is recovered process heat rather than purchased or generated energy. The rate actually paid for sourced power — captive thermal, grid and renewables — is Rs. 6.02/kWh in Q4FY26 against Rs. 6.25/kWh in Q4FY25. Use Rs. 6.02/kWh when the question is what UltraTech pays for a unit, and Rs. 4.81/kWh when the question is what a unit consumed costs the P&amp;L.</t>
  </si>
  <si>
    <t xml:space="preserve">5.  What actually drove the cost down</t>
  </si>
  <si>
    <t xml:space="preserve">Grid tariff rose from Rs. 6.97 to Rs. 7.62/kWh, up 9.3% YoY. The entire Rs. 0.38/kWh fall in the blended rate came from mix shift: renewables from 13.9% to 20.4% of units, WHRS from 20.5% to 22.6%, captive thermal cut back from 42.0% to 36.4%, and grid down from 23.6% to 20.6%. None of it came from cheaper power. Section G splits the YoY change into volume, specific consumption and rate effects.</t>
  </si>
  <si>
    <t xml:space="preserve">6.  Basis of all per-unit data</t>
  </si>
  <si>
    <t xml:space="preserve">Domestic grey cement operations excluding India Cements; prior-period numbers restated for Kesoram. Per-unit metrics therefore exclude white cement, ready-mix concrete, construction chemicals and overseas operations, all of which consume power and none of which are in the Rs. 325/t figure.</t>
  </si>
  <si>
    <t xml:space="preserve">Q4 is UltraTech's seasonal peak, so 67.54 kWh/t flatters the year — Slide 13 gives full-year specific consumption of 68.9 kWh/t for FY26 against 70.7 for FY25 (the unit printed on that slide, 'Rs./kWh', is a typo for kWh/t).</t>
  </si>
  <si>
    <t xml:space="preserve">7.  Q4FY25 figures derived rather than disclosed</t>
  </si>
  <si>
    <t xml:space="preserve">The deck shows Q4FY25 only as a YoY growth rate for volume and segment revenue. Those four cells in column B are formulas dividing the Q4FY26 figure by one plus the disclosed growth rate, which is held as an input in column I. Rounding in the published growth rates means these carry roughly plus or minus 0.5% of error.</t>
  </si>
  <si>
    <t xml:space="preserve">8.  Extending this to the other quarters</t>
  </si>
  <si>
    <t xml:space="preserve">Columns C, D and E are laid out for Q1FY26 to Q3FY26 and every derived row is already formula-driven, so filling the yellow input cells from each quarter's investor presentation will populate the whole model. Sum the four quarters for the annual figure rather than annualising Q4.</t>
  </si>
  <si>
    <t xml:space="preserve">Inputs needed per quarter: the four power mix percentages and rates plus blended Rs./kWh, kWh/t and Rs./t (power cost slide); fuel Rs./t (fuel cost slide); grey cement domestic, ICL and consolidated volumes (sales volume slide); grey cement domestic revenue and consolidated net sales (revenue and P&amp;L slides); power and fuel from the P&amp;L.</t>
  </si>
  <si>
    <t xml:space="preserve">Partial data already visible in this deck for Q3FY26: fuel Rs. 884/t, and power cost down 7% QoQ in Q4FY26, implying roughly Rs. 350/t in Q3FY26. These are not entered as inputs — take them from the Q3FY26 deck directly.</t>
  </si>
</sst>
</file>

<file path=xl/styles.xml><?xml version="1.0" encoding="utf-8"?>
<styleSheet xmlns="http://schemas.openxmlformats.org/spreadsheetml/2006/main">
  <numFmts count="6">
    <numFmt numFmtId="164" formatCode="General"/>
    <numFmt numFmtId="165" formatCode="0.0%"/>
    <numFmt numFmtId="166" formatCode="0.00"/>
    <numFmt numFmtId="167" formatCode="#,##0"/>
    <numFmt numFmtId="168" formatCode="#,##0.00;\(#,##0.00\);\-"/>
    <numFmt numFmtId="169" formatCode="#,##0;\(#,##0\);\-"/>
  </numFmts>
  <fonts count="11">
    <font>
      <sz val="11"/>
      <color theme="1"/>
      <name val="Calibri"/>
      <family val="2"/>
      <charset val="1"/>
    </font>
    <font>
      <sz val="10"/>
      <name val="Arial"/>
      <family val="0"/>
    </font>
    <font>
      <sz val="10"/>
      <name val="Arial"/>
      <family val="0"/>
    </font>
    <font>
      <sz val="10"/>
      <name val="Arial"/>
      <family val="0"/>
    </font>
    <font>
      <b val="true"/>
      <sz val="13"/>
      <color rgb="FF1F4E79"/>
      <name val="Arial"/>
      <family val="0"/>
      <charset val="1"/>
    </font>
    <font>
      <i val="true"/>
      <sz val="9"/>
      <color rgb="FF595959"/>
      <name val="Arial"/>
      <family val="0"/>
      <charset val="1"/>
    </font>
    <font>
      <b val="true"/>
      <sz val="10"/>
      <color rgb="FFFFFFFF"/>
      <name val="Arial"/>
      <family val="0"/>
      <charset val="1"/>
    </font>
    <font>
      <sz val="10"/>
      <name val="Arial"/>
      <family val="0"/>
      <charset val="1"/>
    </font>
    <font>
      <sz val="10"/>
      <color rgb="FF0000FF"/>
      <name val="Arial"/>
      <family val="0"/>
      <charset val="1"/>
    </font>
    <font>
      <b val="true"/>
      <sz val="10"/>
      <name val="Arial"/>
      <family val="0"/>
      <charset val="1"/>
    </font>
    <font>
      <b val="true"/>
      <sz val="11"/>
      <color rgb="FF1F4E79"/>
      <name val="Arial"/>
      <family val="0"/>
      <charset val="1"/>
    </font>
  </fonts>
  <fills count="6">
    <fill>
      <patternFill patternType="none"/>
    </fill>
    <fill>
      <patternFill patternType="gray125"/>
    </fill>
    <fill>
      <patternFill patternType="solid">
        <fgColor rgb="FF2E75B6"/>
        <bgColor rgb="FF0066CC"/>
      </patternFill>
    </fill>
    <fill>
      <patternFill patternType="solid">
        <fgColor rgb="FF1F4E79"/>
        <bgColor rgb="FF003366"/>
      </patternFill>
    </fill>
    <fill>
      <patternFill patternType="solid">
        <fgColor rgb="FFFFFF00"/>
        <bgColor rgb="FFFFFF00"/>
      </patternFill>
    </fill>
    <fill>
      <patternFill patternType="solid">
        <fgColor rgb="FFDDEBF7"/>
        <bgColor rgb="FFCCFFFF"/>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6" fillId="2" borderId="1" xfId="0" applyFont="true" applyBorder="true" applyAlignment="true" applyProtection="false">
      <alignment horizontal="left"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6" fillId="3" borderId="0" xfId="0" applyFont="true" applyBorder="false" applyAlignment="true" applyProtection="false">
      <alignment horizontal="left" vertical="center" textRotation="0" wrapText="false" indent="0" shrinkToFit="false"/>
      <protection locked="true" hidden="false"/>
    </xf>
    <xf numFmtId="164" fontId="6" fillId="3" borderId="0" xfId="0" applyFont="true" applyBorder="false" applyAlignment="true" applyProtection="false">
      <alignment horizontal="righ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8" fillId="0" borderId="1" xfId="0" applyFont="true" applyBorder="true" applyAlignment="true" applyProtection="false">
      <alignment horizontal="right" vertical="center" textRotation="0" wrapText="false" indent="0" shrinkToFit="false"/>
      <protection locked="true" hidden="false"/>
    </xf>
    <xf numFmtId="165" fontId="8" fillId="4" borderId="1" xfId="0" applyFont="true" applyBorder="true" applyAlignment="true" applyProtection="false">
      <alignment horizontal="right" vertical="center" textRotation="0" wrapText="fals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6" fontId="8" fillId="0" borderId="1" xfId="0" applyFont="true" applyBorder="true" applyAlignment="true" applyProtection="false">
      <alignment horizontal="right" vertical="center" textRotation="0" wrapText="false" indent="0" shrinkToFit="false"/>
      <protection locked="true" hidden="false"/>
    </xf>
    <xf numFmtId="166" fontId="8" fillId="4" borderId="1" xfId="0" applyFont="true" applyBorder="true" applyAlignment="true" applyProtection="false">
      <alignment horizontal="right"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4" fontId="9" fillId="0" borderId="1" xfId="0" applyFont="true" applyBorder="true" applyAlignment="true" applyProtection="false">
      <alignment horizontal="left" vertical="center" textRotation="0" wrapText="false" indent="0" shrinkToFit="false"/>
      <protection locked="true" hidden="false"/>
    </xf>
    <xf numFmtId="165" fontId="9" fillId="0" borderId="1" xfId="0" applyFont="true" applyBorder="true" applyAlignment="true" applyProtection="false">
      <alignment horizontal="right" vertical="center" textRotation="0" wrapText="false" indent="0" shrinkToFit="false"/>
      <protection locked="true" hidden="false"/>
    </xf>
    <xf numFmtId="167" fontId="8" fillId="0" borderId="1" xfId="0" applyFont="true" applyBorder="true" applyAlignment="true" applyProtection="false">
      <alignment horizontal="right" vertical="center" textRotation="0" wrapText="false" indent="0" shrinkToFit="false"/>
      <protection locked="true" hidden="false"/>
    </xf>
    <xf numFmtId="167" fontId="8" fillId="4" borderId="1" xfId="0" applyFont="true" applyBorder="true" applyAlignment="true" applyProtection="false">
      <alignment horizontal="right" vertical="center" textRotation="0" wrapText="false" indent="0" shrinkToFit="false"/>
      <protection locked="true" hidden="false"/>
    </xf>
    <xf numFmtId="167" fontId="7" fillId="0" borderId="1" xfId="0" applyFont="true" applyBorder="true" applyAlignment="true" applyProtection="false">
      <alignment horizontal="right" vertical="center" textRotation="0" wrapText="false" indent="0" shrinkToFit="false"/>
      <protection locked="true" hidden="false"/>
    </xf>
    <xf numFmtId="165" fontId="8" fillId="0" borderId="1" xfId="0" applyFont="true" applyBorder="true" applyAlignment="true" applyProtection="false">
      <alignment horizontal="left" vertical="center" textRotation="0" wrapText="false" indent="0" shrinkToFit="false"/>
      <protection locked="true" hidden="false"/>
    </xf>
    <xf numFmtId="168" fontId="7" fillId="0" borderId="1" xfId="0" applyFont="true" applyBorder="true" applyAlignment="true" applyProtection="false">
      <alignment horizontal="right" vertical="center" textRotation="0" wrapText="false" indent="0" shrinkToFit="false"/>
      <protection locked="true" hidden="false"/>
    </xf>
    <xf numFmtId="166" fontId="9" fillId="0" borderId="1" xfId="0" applyFont="true" applyBorder="true" applyAlignment="true" applyProtection="false">
      <alignment horizontal="right" vertical="center" textRotation="0" wrapText="false" indent="0" shrinkToFit="false"/>
      <protection locked="true" hidden="false"/>
    </xf>
    <xf numFmtId="167" fontId="9" fillId="0" borderId="1" xfId="0" applyFont="true" applyBorder="true" applyAlignment="true" applyProtection="false">
      <alignment horizontal="right" vertical="center" textRotation="0" wrapText="false" indent="0" shrinkToFit="false"/>
      <protection locked="true" hidden="false"/>
    </xf>
    <xf numFmtId="167" fontId="9" fillId="5" borderId="1" xfId="0" applyFont="true" applyBorder="true" applyAlignment="true" applyProtection="false">
      <alignment horizontal="right" vertical="center" textRotation="0" wrapText="false" indent="0" shrinkToFit="false"/>
      <protection locked="true" hidden="false"/>
    </xf>
    <xf numFmtId="166" fontId="9" fillId="5" borderId="1" xfId="0" applyFont="true" applyBorder="true" applyAlignment="true" applyProtection="false">
      <alignment horizontal="right" vertical="center" textRotation="0" wrapText="false" indent="0" shrinkToFit="false"/>
      <protection locked="true" hidden="false"/>
    </xf>
    <xf numFmtId="165" fontId="9" fillId="5" borderId="1" xfId="0" applyFont="true" applyBorder="true" applyAlignment="true" applyProtection="false">
      <alignment horizontal="right" vertical="center" textRotation="0" wrapText="false" indent="0" shrinkToFit="false"/>
      <protection locked="true" hidden="false"/>
    </xf>
    <xf numFmtId="165" fontId="7" fillId="5" borderId="1" xfId="0" applyFont="true" applyBorder="true" applyAlignment="true" applyProtection="false">
      <alignment horizontal="right" vertical="center" textRotation="0" wrapText="false" indent="0" shrinkToFit="false"/>
      <protection locked="true" hidden="false"/>
    </xf>
    <xf numFmtId="169" fontId="7" fillId="0" borderId="1" xfId="0" applyFont="true" applyBorder="true" applyAlignment="true" applyProtection="false">
      <alignment horizontal="right" vertical="center" textRotation="0" wrapText="false" indent="0" shrinkToFit="false"/>
      <protection locked="true" hidden="false"/>
    </xf>
    <xf numFmtId="169" fontId="8" fillId="0"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true" applyProtection="false">
      <alignment horizontal="right" vertical="center" textRotation="0" wrapText="false" indent="0" shrinkToFit="false"/>
      <protection locked="true" hidden="false"/>
    </xf>
    <xf numFmtId="164" fontId="8" fillId="0" borderId="1" xfId="0" applyFont="true" applyBorder="true" applyAlignment="true" applyProtection="false">
      <alignment horizontal="right" vertical="center"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5390625" defaultRowHeight="15" zeroHeight="false" outlineLevelRow="0" outlineLevelCol="0"/>
  <cols>
    <col collapsed="false" customWidth="true" hidden="false" outlineLevel="0" max="1" min="1" style="0" width="58"/>
    <col collapsed="false" customWidth="true" hidden="false" outlineLevel="0" max="6" min="2" style="0" width="12"/>
    <col collapsed="false" customWidth="true" hidden="false" outlineLevel="0" max="7" min="7" style="0" width="11"/>
    <col collapsed="false" customWidth="true" hidden="false" outlineLevel="0" max="8" min="8" style="0" width="10"/>
    <col collapsed="false" customWidth="true" hidden="false" outlineLevel="0" max="9" min="9" style="0" width="12"/>
    <col collapsed="false" customWidth="true" hidden="false" outlineLevel="0" max="10" min="10" style="0" width="62"/>
  </cols>
  <sheetData>
    <row r="1" customFormat="false" ht="16.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4" customFormat="false" ht="15" hidden="false" customHeight="false" outlineLevel="0" collapsed="false">
      <c r="A4" s="2" t="s">
        <v>3</v>
      </c>
    </row>
    <row r="6" customFormat="false" ht="30" hidden="false" customHeight="true" outlineLevel="0" collapsed="false">
      <c r="A6" s="3" t="s">
        <v>4</v>
      </c>
      <c r="B6" s="4" t="s">
        <v>5</v>
      </c>
      <c r="C6" s="4" t="s">
        <v>6</v>
      </c>
      <c r="D6" s="4" t="s">
        <v>7</v>
      </c>
      <c r="E6" s="4" t="s">
        <v>8</v>
      </c>
      <c r="F6" s="4" t="s">
        <v>9</v>
      </c>
      <c r="G6" s="4" t="s">
        <v>10</v>
      </c>
      <c r="H6" s="4" t="s">
        <v>11</v>
      </c>
      <c r="I6" s="5" t="s">
        <v>12</v>
      </c>
      <c r="J6" s="4" t="s">
        <v>13</v>
      </c>
    </row>
    <row r="7" customFormat="false" ht="18" hidden="false" customHeight="true" outlineLevel="0" collapsed="false">
      <c r="A7" s="6" t="s">
        <v>14</v>
      </c>
      <c r="B7" s="7"/>
      <c r="C7" s="7"/>
      <c r="D7" s="7"/>
      <c r="E7" s="7"/>
      <c r="F7" s="7"/>
      <c r="G7" s="7"/>
      <c r="H7" s="6"/>
      <c r="I7" s="6"/>
      <c r="J7" s="6"/>
    </row>
    <row r="8" customFormat="false" ht="15" hidden="false" customHeight="false" outlineLevel="0" collapsed="false">
      <c r="A8" s="8" t="s">
        <v>15</v>
      </c>
      <c r="B8" s="9" t="n">
        <v>0.42</v>
      </c>
      <c r="C8" s="10"/>
      <c r="D8" s="10"/>
      <c r="E8" s="10"/>
      <c r="F8" s="9" t="n">
        <v>0.364</v>
      </c>
      <c r="G8" s="11" t="n">
        <f aca="false">IF(OR(B8="",F8=""),"",F8-B8)</f>
        <v>-0.056</v>
      </c>
      <c r="H8" s="12" t="s">
        <v>16</v>
      </c>
      <c r="I8" s="13"/>
      <c r="J8" s="14" t="s">
        <v>17</v>
      </c>
    </row>
    <row r="9" customFormat="false" ht="15" hidden="false" customHeight="false" outlineLevel="0" collapsed="false">
      <c r="A9" s="8" t="s">
        <v>18</v>
      </c>
      <c r="B9" s="15" t="n">
        <v>6.48</v>
      </c>
      <c r="C9" s="16"/>
      <c r="D9" s="16"/>
      <c r="E9" s="16"/>
      <c r="F9" s="15" t="n">
        <v>5.99</v>
      </c>
      <c r="G9" s="17" t="n">
        <f aca="false">IF(OR(B9="",F9=""),"",F9-B9)</f>
        <v>-0.49</v>
      </c>
      <c r="H9" s="12" t="s">
        <v>19</v>
      </c>
      <c r="I9" s="13"/>
      <c r="J9" s="14" t="s">
        <v>17</v>
      </c>
    </row>
    <row r="10" customFormat="false" ht="15" hidden="false" customHeight="false" outlineLevel="0" collapsed="false">
      <c r="A10" s="8" t="s">
        <v>20</v>
      </c>
      <c r="B10" s="9" t="n">
        <v>0.236</v>
      </c>
      <c r="C10" s="10"/>
      <c r="D10" s="10"/>
      <c r="E10" s="10"/>
      <c r="F10" s="9" t="n">
        <v>0.206</v>
      </c>
      <c r="G10" s="11" t="n">
        <f aca="false">IF(OR(B10="",F10=""),"",F10-B10)</f>
        <v>-0.03</v>
      </c>
      <c r="H10" s="12" t="s">
        <v>16</v>
      </c>
      <c r="I10" s="13"/>
      <c r="J10" s="14" t="s">
        <v>17</v>
      </c>
    </row>
    <row r="11" customFormat="false" ht="15" hidden="false" customHeight="false" outlineLevel="0" collapsed="false">
      <c r="A11" s="8" t="s">
        <v>21</v>
      </c>
      <c r="B11" s="15" t="n">
        <v>6.97</v>
      </c>
      <c r="C11" s="16"/>
      <c r="D11" s="16"/>
      <c r="E11" s="16"/>
      <c r="F11" s="15" t="n">
        <v>7.62</v>
      </c>
      <c r="G11" s="17" t="n">
        <f aca="false">IF(OR(B11="",F11=""),"",F11-B11)</f>
        <v>0.65</v>
      </c>
      <c r="H11" s="12" t="s">
        <v>19</v>
      </c>
      <c r="I11" s="13"/>
      <c r="J11" s="14" t="s">
        <v>17</v>
      </c>
    </row>
    <row r="12" customFormat="false" ht="15" hidden="false" customHeight="false" outlineLevel="0" collapsed="false">
      <c r="A12" s="8" t="s">
        <v>22</v>
      </c>
      <c r="B12" s="9" t="n">
        <v>0.139</v>
      </c>
      <c r="C12" s="10"/>
      <c r="D12" s="10"/>
      <c r="E12" s="10"/>
      <c r="F12" s="9" t="n">
        <v>0.204</v>
      </c>
      <c r="G12" s="11" t="n">
        <f aca="false">IF(OR(B12="",F12=""),"",F12-B12)</f>
        <v>0.065</v>
      </c>
      <c r="H12" s="12" t="s">
        <v>16</v>
      </c>
      <c r="I12" s="13"/>
      <c r="J12" s="14" t="s">
        <v>17</v>
      </c>
    </row>
    <row r="13" customFormat="false" ht="15" hidden="false" customHeight="false" outlineLevel="0" collapsed="false">
      <c r="A13" s="8" t="s">
        <v>23</v>
      </c>
      <c r="B13" s="15" t="n">
        <v>4.36</v>
      </c>
      <c r="C13" s="16"/>
      <c r="D13" s="16"/>
      <c r="E13" s="16"/>
      <c r="F13" s="15" t="n">
        <v>4.45</v>
      </c>
      <c r="G13" s="17" t="n">
        <f aca="false">IF(OR(B13="",F13=""),"",F13-B13)</f>
        <v>0.0899999999999999</v>
      </c>
      <c r="H13" s="12" t="s">
        <v>19</v>
      </c>
      <c r="I13" s="13"/>
      <c r="J13" s="14" t="s">
        <v>17</v>
      </c>
    </row>
    <row r="14" customFormat="false" ht="15" hidden="false" customHeight="false" outlineLevel="0" collapsed="false">
      <c r="A14" s="8" t="s">
        <v>24</v>
      </c>
      <c r="B14" s="9" t="n">
        <v>0.205</v>
      </c>
      <c r="C14" s="10"/>
      <c r="D14" s="10"/>
      <c r="E14" s="10"/>
      <c r="F14" s="9" t="n">
        <v>0.226</v>
      </c>
      <c r="G14" s="11" t="n">
        <f aca="false">IF(OR(B14="",F14=""),"",F14-B14)</f>
        <v>0.021</v>
      </c>
      <c r="H14" s="12" t="s">
        <v>16</v>
      </c>
      <c r="I14" s="13"/>
      <c r="J14" s="14" t="s">
        <v>17</v>
      </c>
    </row>
    <row r="15" customFormat="false" ht="15" hidden="false" customHeight="false" outlineLevel="0" collapsed="false">
      <c r="A15" s="8" t="s">
        <v>25</v>
      </c>
      <c r="B15" s="15" t="n">
        <v>0.71</v>
      </c>
      <c r="C15" s="16"/>
      <c r="D15" s="16"/>
      <c r="E15" s="16"/>
      <c r="F15" s="15" t="n">
        <v>0.6</v>
      </c>
      <c r="G15" s="17" t="n">
        <f aca="false">IF(OR(B15="",F15=""),"",F15-B15)</f>
        <v>-0.11</v>
      </c>
      <c r="H15" s="12" t="s">
        <v>19</v>
      </c>
      <c r="I15" s="13"/>
      <c r="J15" s="14" t="s">
        <v>17</v>
      </c>
    </row>
    <row r="16" customFormat="false" ht="15" hidden="false" customHeight="false" outlineLevel="0" collapsed="false">
      <c r="A16" s="8" t="s">
        <v>26</v>
      </c>
      <c r="B16" s="11" t="n">
        <f aca="false">IF(B8="","",B8+B10+B12+B14)</f>
        <v>1</v>
      </c>
      <c r="C16" s="11" t="str">
        <f aca="false">IF(C8="","",C8+C10+C12+C14)</f>
        <v/>
      </c>
      <c r="D16" s="11" t="str">
        <f aca="false">IF(D8="","",D8+D10+D12+D14)</f>
        <v/>
      </c>
      <c r="E16" s="11" t="str">
        <f aca="false">IF(E8="","",E8+E10+E12+E14)</f>
        <v/>
      </c>
      <c r="F16" s="11" t="n">
        <f aca="false">IF(F8="","",F8+F10+F12+F14)</f>
        <v>1</v>
      </c>
      <c r="G16" s="13"/>
      <c r="H16" s="12" t="s">
        <v>16</v>
      </c>
      <c r="I16" s="13"/>
      <c r="J16" s="14" t="s">
        <v>27</v>
      </c>
    </row>
    <row r="17" customFormat="false" ht="15" hidden="false" customHeight="false" outlineLevel="0" collapsed="false">
      <c r="A17" s="13"/>
      <c r="B17" s="13"/>
      <c r="C17" s="13"/>
      <c r="D17" s="13"/>
      <c r="E17" s="13"/>
      <c r="F17" s="13"/>
      <c r="G17" s="13"/>
      <c r="H17" s="13"/>
      <c r="I17" s="13"/>
      <c r="J17" s="13"/>
    </row>
    <row r="18" customFormat="false" ht="15" hidden="false" customHeight="false" outlineLevel="0" collapsed="false">
      <c r="A18" s="18" t="s">
        <v>28</v>
      </c>
      <c r="B18" s="15" t="n">
        <v>5.19</v>
      </c>
      <c r="C18" s="16"/>
      <c r="D18" s="16"/>
      <c r="E18" s="16"/>
      <c r="F18" s="15" t="n">
        <v>4.81</v>
      </c>
      <c r="G18" s="19" t="n">
        <f aca="false">IF(OR(B18="",F18="",B18=0),"",F18/B18-1)</f>
        <v>-0.0732177263969173</v>
      </c>
      <c r="H18" s="12" t="s">
        <v>19</v>
      </c>
      <c r="I18" s="13"/>
      <c r="J18" s="14" t="s">
        <v>17</v>
      </c>
    </row>
    <row r="19" customFormat="false" ht="15" hidden="false" customHeight="false" outlineLevel="0" collapsed="false">
      <c r="A19" s="8" t="s">
        <v>29</v>
      </c>
      <c r="B19" s="17" t="n">
        <f aca="false">IF(B8="","",B8*B9+B10*B11+B12*B13+B14*B15)</f>
        <v>5.11811</v>
      </c>
      <c r="C19" s="17" t="str">
        <f aca="false">IF(C8="","",C8*C9+C10*C11+C12*C13+C14*C15)</f>
        <v/>
      </c>
      <c r="D19" s="17" t="str">
        <f aca="false">IF(D8="","",D8*D9+D10*D11+D12*D13+D14*D15)</f>
        <v/>
      </c>
      <c r="E19" s="17" t="str">
        <f aca="false">IF(E8="","",E8*E9+E10*E11+E12*E13+E14*E15)</f>
        <v/>
      </c>
      <c r="F19" s="17" t="n">
        <f aca="false">IF(F8="","",F8*F9+F10*F11+F12*F13+F14*F15)</f>
        <v>4.79348</v>
      </c>
      <c r="G19" s="13"/>
      <c r="H19" s="12" t="s">
        <v>19</v>
      </c>
      <c r="I19" s="13"/>
      <c r="J19" s="14" t="s">
        <v>30</v>
      </c>
    </row>
    <row r="20" customFormat="false" ht="15" hidden="false" customHeight="false" outlineLevel="0" collapsed="false">
      <c r="A20" s="8" t="s">
        <v>31</v>
      </c>
      <c r="B20" s="17" t="n">
        <f aca="false">IF(B19="","",B19-B18)</f>
        <v>-0.0718900000000007</v>
      </c>
      <c r="C20" s="17" t="str">
        <f aca="false">IF(C19="","",C19-C18)</f>
        <v/>
      </c>
      <c r="D20" s="17" t="str">
        <f aca="false">IF(D19="","",D19-D18)</f>
        <v/>
      </c>
      <c r="E20" s="17" t="str">
        <f aca="false">IF(E19="","",E19-E18)</f>
        <v/>
      </c>
      <c r="F20" s="17" t="n">
        <f aca="false">IF(F19="","",F19-F18)</f>
        <v>-0.0165199999999999</v>
      </c>
      <c r="G20" s="13"/>
      <c r="H20" s="12" t="s">
        <v>19</v>
      </c>
      <c r="I20" s="13"/>
      <c r="J20" s="14" t="s">
        <v>32</v>
      </c>
    </row>
    <row r="21" customFormat="false" ht="15" hidden="false" customHeight="false" outlineLevel="0" collapsed="false">
      <c r="A21" s="13"/>
      <c r="B21" s="13"/>
      <c r="C21" s="13"/>
      <c r="D21" s="13"/>
      <c r="E21" s="13"/>
      <c r="F21" s="13"/>
      <c r="G21" s="13"/>
      <c r="H21" s="13"/>
      <c r="I21" s="13"/>
      <c r="J21" s="13"/>
    </row>
    <row r="22" customFormat="false" ht="15" hidden="false" customHeight="false" outlineLevel="0" collapsed="false">
      <c r="A22" s="18" t="s">
        <v>33</v>
      </c>
      <c r="B22" s="15" t="n">
        <v>69.04</v>
      </c>
      <c r="C22" s="16"/>
      <c r="D22" s="16"/>
      <c r="E22" s="16"/>
      <c r="F22" s="15" t="n">
        <v>67.54</v>
      </c>
      <c r="G22" s="19" t="n">
        <f aca="false">IF(OR(B22="",F22="",B22=0),"",F22/B22-1)</f>
        <v>-0.0217265353418308</v>
      </c>
      <c r="H22" s="12" t="s">
        <v>34</v>
      </c>
      <c r="I22" s="13"/>
      <c r="J22" s="14" t="s">
        <v>17</v>
      </c>
    </row>
    <row r="23" customFormat="false" ht="15" hidden="false" customHeight="false" outlineLevel="0" collapsed="false">
      <c r="A23" s="18" t="s">
        <v>35</v>
      </c>
      <c r="B23" s="20" t="n">
        <v>358</v>
      </c>
      <c r="C23" s="21"/>
      <c r="D23" s="21"/>
      <c r="E23" s="21"/>
      <c r="F23" s="20" t="n">
        <v>325</v>
      </c>
      <c r="G23" s="19" t="n">
        <f aca="false">IF(OR(B23="",F23="",B23=0),"",F23/B23-1)</f>
        <v>-0.0921787709497207</v>
      </c>
      <c r="H23" s="12" t="s">
        <v>36</v>
      </c>
      <c r="I23" s="13"/>
      <c r="J23" s="14" t="s">
        <v>17</v>
      </c>
    </row>
    <row r="24" customFormat="false" ht="15" hidden="false" customHeight="false" outlineLevel="0" collapsed="false">
      <c r="A24" s="8" t="s">
        <v>37</v>
      </c>
      <c r="B24" s="22" t="n">
        <f aca="false">IF(B22="","",B18*B22)</f>
        <v>358.3176</v>
      </c>
      <c r="C24" s="22" t="str">
        <f aca="false">IF(C22="","",C18*C22)</f>
        <v/>
      </c>
      <c r="D24" s="22" t="str">
        <f aca="false">IF(D22="","",D18*D22)</f>
        <v/>
      </c>
      <c r="E24" s="22" t="str">
        <f aca="false">IF(E22="","",E18*E22)</f>
        <v/>
      </c>
      <c r="F24" s="22" t="n">
        <f aca="false">IF(F22="","",F18*F22)</f>
        <v>324.8674</v>
      </c>
      <c r="G24" s="13"/>
      <c r="H24" s="12" t="s">
        <v>36</v>
      </c>
      <c r="I24" s="13"/>
      <c r="J24" s="14" t="s">
        <v>38</v>
      </c>
    </row>
    <row r="25" customFormat="false" ht="15" hidden="false" customHeight="false" outlineLevel="0" collapsed="false">
      <c r="A25" s="8" t="s">
        <v>39</v>
      </c>
      <c r="B25" s="10"/>
      <c r="C25" s="10"/>
      <c r="D25" s="10"/>
      <c r="E25" s="10"/>
      <c r="F25" s="9" t="n">
        <v>0.09</v>
      </c>
      <c r="G25" s="13"/>
      <c r="H25" s="12" t="s">
        <v>40</v>
      </c>
      <c r="I25" s="13"/>
      <c r="J25" s="14" t="s">
        <v>41</v>
      </c>
    </row>
    <row r="26" customFormat="false" ht="15" hidden="false" customHeight="false" outlineLevel="0" collapsed="false">
      <c r="A26" s="8" t="s">
        <v>42</v>
      </c>
      <c r="B26" s="22" t="str">
        <f aca="false">IF(OR(B25="",B25=0),"",B23/B25)</f>
        <v/>
      </c>
      <c r="C26" s="22" t="str">
        <f aca="false">IF(OR(C25="",C25=0),"",C23/C25)</f>
        <v/>
      </c>
      <c r="D26" s="22" t="str">
        <f aca="false">IF(OR(D25="",D25=0),"",D23/D25)</f>
        <v/>
      </c>
      <c r="E26" s="22" t="str">
        <f aca="false">IF(OR(E25="",E25=0),"",E23/E25)</f>
        <v/>
      </c>
      <c r="F26" s="22" t="n">
        <f aca="false">IF(OR(F25="",F25=0),"",F23/F25)</f>
        <v>3611.11111111111</v>
      </c>
      <c r="G26" s="13"/>
      <c r="H26" s="12" t="s">
        <v>36</v>
      </c>
      <c r="I26" s="13"/>
      <c r="J26" s="14" t="s">
        <v>43</v>
      </c>
    </row>
    <row r="27" customFormat="false" ht="15" hidden="false" customHeight="false" outlineLevel="0" collapsed="false">
      <c r="A27" s="13"/>
      <c r="B27" s="13"/>
      <c r="C27" s="13"/>
      <c r="D27" s="13"/>
      <c r="E27" s="13"/>
      <c r="F27" s="13"/>
      <c r="G27" s="13"/>
      <c r="H27" s="13"/>
      <c r="I27" s="13"/>
      <c r="J27" s="13"/>
    </row>
    <row r="28" customFormat="false" ht="18" hidden="false" customHeight="true" outlineLevel="0" collapsed="false">
      <c r="A28" s="6" t="s">
        <v>44</v>
      </c>
      <c r="B28" s="7"/>
      <c r="C28" s="7"/>
      <c r="D28" s="7"/>
      <c r="E28" s="7"/>
      <c r="F28" s="7"/>
      <c r="G28" s="7"/>
      <c r="H28" s="6"/>
      <c r="I28" s="6"/>
      <c r="J28" s="6"/>
    </row>
    <row r="29" customFormat="false" ht="15" hidden="false" customHeight="false" outlineLevel="0" collapsed="false">
      <c r="A29" s="8" t="s">
        <v>45</v>
      </c>
      <c r="B29" s="17" t="n">
        <f aca="false">IF(OR(F29="",I29=""),"",F29/(1+I29))</f>
        <v>36.4670138888889</v>
      </c>
      <c r="C29" s="15"/>
      <c r="D29" s="15"/>
      <c r="E29" s="15"/>
      <c r="F29" s="15" t="n">
        <v>42.01</v>
      </c>
      <c r="G29" s="11" t="n">
        <f aca="false">IF(OR(B29="",F29="",B29=0),"",F29/B29-1)</f>
        <v>0.152</v>
      </c>
      <c r="H29" s="12" t="s">
        <v>46</v>
      </c>
      <c r="I29" s="23" t="n">
        <v>0.152</v>
      </c>
      <c r="J29" s="14" t="s">
        <v>47</v>
      </c>
    </row>
    <row r="30" customFormat="false" ht="15" hidden="false" customHeight="false" outlineLevel="0" collapsed="false">
      <c r="A30" s="8" t="s">
        <v>48</v>
      </c>
      <c r="B30" s="17" t="n">
        <f aca="false">IF(OR(F30="",I30=""),"",F30/(1+I30))</f>
        <v>2.64406779661017</v>
      </c>
      <c r="C30" s="15"/>
      <c r="D30" s="15"/>
      <c r="E30" s="15"/>
      <c r="F30" s="15" t="n">
        <v>3.12</v>
      </c>
      <c r="G30" s="11" t="n">
        <f aca="false">IF(OR(B30="",F30="",B30=0),"",F30/B30-1)</f>
        <v>0.18</v>
      </c>
      <c r="H30" s="12" t="s">
        <v>46</v>
      </c>
      <c r="I30" s="23" t="n">
        <v>0.18</v>
      </c>
      <c r="J30" s="14" t="s">
        <v>47</v>
      </c>
    </row>
    <row r="31" customFormat="false" ht="15" hidden="false" customHeight="false" outlineLevel="0" collapsed="false">
      <c r="A31" s="8" t="s">
        <v>49</v>
      </c>
      <c r="B31" s="17" t="n">
        <f aca="false">IF(OR(F31="",I31=""),"",F31/(1+I31))</f>
        <v>38.8014638609332</v>
      </c>
      <c r="C31" s="15"/>
      <c r="D31" s="15"/>
      <c r="E31" s="15"/>
      <c r="F31" s="15" t="n">
        <v>42.41</v>
      </c>
      <c r="G31" s="11" t="n">
        <f aca="false">IF(OR(B31="",F31="",B31=0),"",F31/B31-1)</f>
        <v>0.093</v>
      </c>
      <c r="H31" s="12" t="s">
        <v>46</v>
      </c>
      <c r="I31" s="23" t="n">
        <v>0.093</v>
      </c>
      <c r="J31" s="14" t="s">
        <v>47</v>
      </c>
    </row>
    <row r="32" customFormat="false" ht="15" hidden="false" customHeight="false" outlineLevel="0" collapsed="false">
      <c r="A32" s="8" t="s">
        <v>50</v>
      </c>
      <c r="B32" s="24" t="n">
        <f aca="false">IF(B31="","",B31-B29-B30)</f>
        <v>-0.309617824565851</v>
      </c>
      <c r="C32" s="24" t="str">
        <f aca="false">IF(C31="","",C31-C29-C30)</f>
        <v/>
      </c>
      <c r="D32" s="24" t="str">
        <f aca="false">IF(D31="","",D31-D29-D30)</f>
        <v/>
      </c>
      <c r="E32" s="24" t="str">
        <f aca="false">IF(E31="","",E31-E29-E30)</f>
        <v/>
      </c>
      <c r="F32" s="24" t="n">
        <f aca="false">IF(F31="","",F31-F29-F30)</f>
        <v>-2.72</v>
      </c>
      <c r="G32" s="17" t="n">
        <f aca="false">IF(OR(B32="",F32=""),"",F32-B32)</f>
        <v>-2.41038217543415</v>
      </c>
      <c r="H32" s="12" t="s">
        <v>46</v>
      </c>
      <c r="I32" s="13"/>
      <c r="J32" s="14" t="s">
        <v>51</v>
      </c>
    </row>
    <row r="33" customFormat="false" ht="15" hidden="false" customHeight="false" outlineLevel="0" collapsed="false">
      <c r="A33" s="18" t="s">
        <v>52</v>
      </c>
      <c r="B33" s="25" t="n">
        <f aca="false">IF(B29="","",B29+B32)</f>
        <v>36.157396064323</v>
      </c>
      <c r="C33" s="25" t="str">
        <f aca="false">IF(C29="","",C29+C32)</f>
        <v/>
      </c>
      <c r="D33" s="25" t="str">
        <f aca="false">IF(D29="","",D29+D32)</f>
        <v/>
      </c>
      <c r="E33" s="25" t="str">
        <f aca="false">IF(E29="","",E29+E32)</f>
        <v/>
      </c>
      <c r="F33" s="25" t="n">
        <f aca="false">IF(F29="","",F29+F32)</f>
        <v>39.29</v>
      </c>
      <c r="G33" s="19" t="n">
        <f aca="false">IF(OR(B33="",F33="",B33=0),"",F33/B33-1)</f>
        <v>0.0866379849396273</v>
      </c>
      <c r="H33" s="12" t="s">
        <v>46</v>
      </c>
      <c r="I33" s="13"/>
      <c r="J33" s="14" t="s">
        <v>53</v>
      </c>
    </row>
    <row r="34" customFormat="false" ht="15" hidden="false" customHeight="false" outlineLevel="0" collapsed="false">
      <c r="A34" s="13"/>
      <c r="B34" s="13"/>
      <c r="C34" s="13"/>
      <c r="D34" s="13"/>
      <c r="E34" s="13"/>
      <c r="F34" s="13"/>
      <c r="G34" s="13"/>
      <c r="H34" s="13"/>
      <c r="I34" s="13"/>
      <c r="J34" s="13"/>
    </row>
    <row r="35" customFormat="false" ht="15" hidden="false" customHeight="false" outlineLevel="0" collapsed="false">
      <c r="A35" s="8" t="s">
        <v>54</v>
      </c>
      <c r="B35" s="22" t="n">
        <f aca="false">IF(OR(F35="",I35=""),"",F35/(1+I35))</f>
        <v>18341.7172593235</v>
      </c>
      <c r="C35" s="20"/>
      <c r="D35" s="20"/>
      <c r="E35" s="20"/>
      <c r="F35" s="20" t="n">
        <v>21148</v>
      </c>
      <c r="G35" s="11" t="n">
        <f aca="false">IF(OR(B35="",F35="",B35=0),"",F35/B35-1)</f>
        <v>0.153</v>
      </c>
      <c r="H35" s="12" t="s">
        <v>55</v>
      </c>
      <c r="I35" s="23" t="n">
        <v>0.153</v>
      </c>
      <c r="J35" s="14" t="s">
        <v>56</v>
      </c>
    </row>
    <row r="36" customFormat="false" ht="15" hidden="false" customHeight="false" outlineLevel="0" collapsed="false">
      <c r="A36" s="8" t="s">
        <v>57</v>
      </c>
      <c r="B36" s="20" t="n">
        <v>22788</v>
      </c>
      <c r="C36" s="21"/>
      <c r="D36" s="21"/>
      <c r="E36" s="21"/>
      <c r="F36" s="20" t="n">
        <v>25467</v>
      </c>
      <c r="G36" s="11" t="n">
        <f aca="false">IF(OR(B36="",F36="",B36=0),"",F36/B36-1)</f>
        <v>0.117561874670879</v>
      </c>
      <c r="H36" s="12" t="s">
        <v>55</v>
      </c>
      <c r="I36" s="13"/>
      <c r="J36" s="14" t="s">
        <v>58</v>
      </c>
    </row>
    <row r="37" customFormat="false" ht="15" hidden="false" customHeight="false" outlineLevel="0" collapsed="false">
      <c r="A37" s="8" t="s">
        <v>59</v>
      </c>
      <c r="B37" s="22" t="n">
        <f aca="false">IF(B29="","",B35/B29*10)</f>
        <v>5029.67347839578</v>
      </c>
      <c r="C37" s="22" t="str">
        <f aca="false">IF(C29="","",C35/C29*10)</f>
        <v/>
      </c>
      <c r="D37" s="22" t="str">
        <f aca="false">IF(D29="","",D35/D29*10)</f>
        <v/>
      </c>
      <c r="E37" s="22" t="str">
        <f aca="false">IF(E29="","",E35/E29*10)</f>
        <v/>
      </c>
      <c r="F37" s="22" t="n">
        <f aca="false">IF(F29="","",F35/F29*10)</f>
        <v>5034.03951440133</v>
      </c>
      <c r="G37" s="11" t="n">
        <f aca="false">IF(OR(B37="",F37="",B37=0),"",F37/B37-1)</f>
        <v>0.00086805555555558</v>
      </c>
      <c r="H37" s="12" t="s">
        <v>36</v>
      </c>
      <c r="I37" s="13"/>
      <c r="J37" s="14" t="s">
        <v>60</v>
      </c>
    </row>
    <row r="38" customFormat="false" ht="15" hidden="false" customHeight="false" outlineLevel="0" collapsed="false">
      <c r="A38" s="8" t="s">
        <v>61</v>
      </c>
      <c r="B38" s="20" t="n">
        <v>5032</v>
      </c>
      <c r="C38" s="21"/>
      <c r="D38" s="21"/>
      <c r="E38" s="21"/>
      <c r="F38" s="20" t="n">
        <v>5034</v>
      </c>
      <c r="G38" s="11" t="n">
        <f aca="false">IF(OR(B38="",F38="",B38=0),"",F38/B38-1)</f>
        <v>0.00039745627980925</v>
      </c>
      <c r="H38" s="12" t="s">
        <v>36</v>
      </c>
      <c r="I38" s="13"/>
      <c r="J38" s="14" t="s">
        <v>62</v>
      </c>
    </row>
    <row r="39" customFormat="false" ht="15" hidden="false" customHeight="false" outlineLevel="0" collapsed="false">
      <c r="A39" s="8" t="s">
        <v>63</v>
      </c>
      <c r="B39" s="11" t="n">
        <f aca="false">IF(B38="","",B37/B38-1)</f>
        <v>-0.000462345310854317</v>
      </c>
      <c r="C39" s="11" t="str">
        <f aca="false">IF(C38="","",C37/C38-1)</f>
        <v/>
      </c>
      <c r="D39" s="11" t="str">
        <f aca="false">IF(D38="","",D37/D38-1)</f>
        <v/>
      </c>
      <c r="E39" s="11" t="str">
        <f aca="false">IF(E38="","",E37/E38-1)</f>
        <v/>
      </c>
      <c r="F39" s="11" t="n">
        <f aca="false">IF(F38="","",F37/F38-1)</f>
        <v>7.84950364174364E-006</v>
      </c>
      <c r="G39" s="13"/>
      <c r="H39" s="12" t="s">
        <v>64</v>
      </c>
      <c r="I39" s="13"/>
      <c r="J39" s="14" t="s">
        <v>65</v>
      </c>
    </row>
    <row r="40" customFormat="false" ht="15" hidden="false" customHeight="false" outlineLevel="0" collapsed="false">
      <c r="A40" s="13"/>
      <c r="B40" s="13"/>
      <c r="C40" s="13"/>
      <c r="D40" s="13"/>
      <c r="E40" s="13"/>
      <c r="F40" s="13"/>
      <c r="G40" s="13"/>
      <c r="H40" s="13"/>
      <c r="I40" s="13"/>
      <c r="J40" s="13"/>
    </row>
    <row r="41" customFormat="false" ht="18" hidden="false" customHeight="true" outlineLevel="0" collapsed="false">
      <c r="A41" s="6" t="s">
        <v>66</v>
      </c>
      <c r="B41" s="7"/>
      <c r="C41" s="7"/>
      <c r="D41" s="7"/>
      <c r="E41" s="7"/>
      <c r="F41" s="7"/>
      <c r="G41" s="7"/>
      <c r="H41" s="6"/>
      <c r="I41" s="6"/>
      <c r="J41" s="6"/>
    </row>
    <row r="42" customFormat="false" ht="15" hidden="false" customHeight="false" outlineLevel="0" collapsed="false">
      <c r="A42" s="18" t="s">
        <v>67</v>
      </c>
      <c r="B42" s="20"/>
      <c r="C42" s="20"/>
      <c r="D42" s="20"/>
      <c r="E42" s="20"/>
      <c r="F42" s="20"/>
      <c r="G42" s="13"/>
      <c r="H42" s="12"/>
      <c r="I42" s="13"/>
      <c r="J42" s="14" t="s">
        <v>68</v>
      </c>
    </row>
    <row r="43" customFormat="false" ht="15" hidden="false" customHeight="false" outlineLevel="0" collapsed="false">
      <c r="A43" s="8" t="s">
        <v>69</v>
      </c>
      <c r="B43" s="22" t="n">
        <f aca="false">IF(B29="","",B29*B22)</f>
        <v>2517.68263888889</v>
      </c>
      <c r="C43" s="22" t="str">
        <f aca="false">IF(C29="","",C29*C22)</f>
        <v/>
      </c>
      <c r="D43" s="22" t="str">
        <f aca="false">IF(D29="","",D29*D22)</f>
        <v/>
      </c>
      <c r="E43" s="22" t="str">
        <f aca="false">IF(E29="","",E29*E22)</f>
        <v/>
      </c>
      <c r="F43" s="22" t="n">
        <f aca="false">IF(F29="","",F29*F22)</f>
        <v>2837.3554</v>
      </c>
      <c r="G43" s="11" t="n">
        <f aca="false">IF(OR(B43="",F43="",B43=0),"",F43/B43-1)</f>
        <v>0.126971031286211</v>
      </c>
      <c r="H43" s="12" t="s">
        <v>70</v>
      </c>
      <c r="I43" s="13"/>
      <c r="J43" s="14"/>
    </row>
    <row r="44" customFormat="false" ht="15" hidden="false" customHeight="false" outlineLevel="0" collapsed="false">
      <c r="A44" s="18" t="s">
        <v>71</v>
      </c>
      <c r="B44" s="26" t="n">
        <f aca="false">IF(B29="","",B29*B23/10)</f>
        <v>1305.51909722222</v>
      </c>
      <c r="C44" s="26" t="str">
        <f aca="false">IF(C29="","",C29*C23/10)</f>
        <v/>
      </c>
      <c r="D44" s="26" t="str">
        <f aca="false">IF(D29="","",D29*D23/10)</f>
        <v/>
      </c>
      <c r="E44" s="26" t="str">
        <f aca="false">IF(E29="","",E29*E23/10)</f>
        <v/>
      </c>
      <c r="F44" s="26" t="n">
        <f aca="false">IF(F29="","",F29*F23/10)</f>
        <v>1365.325</v>
      </c>
      <c r="G44" s="19" t="n">
        <f aca="false">IF(OR(B44="",F44="",B44=0),"",F44/B44-1)</f>
        <v>0.0458100558659216</v>
      </c>
      <c r="H44" s="12" t="s">
        <v>55</v>
      </c>
      <c r="I44" s="13"/>
      <c r="J44" s="14"/>
    </row>
    <row r="45" customFormat="false" ht="15" hidden="false" customHeight="false" outlineLevel="0" collapsed="false">
      <c r="A45" s="13"/>
      <c r="B45" s="13"/>
      <c r="C45" s="13"/>
      <c r="D45" s="13"/>
      <c r="E45" s="13"/>
      <c r="F45" s="13"/>
      <c r="G45" s="13"/>
      <c r="H45" s="13"/>
      <c r="I45" s="13"/>
      <c r="J45" s="13"/>
    </row>
    <row r="46" customFormat="false" ht="15" hidden="false" customHeight="false" outlineLevel="0" collapsed="false">
      <c r="A46" s="18" t="s">
        <v>72</v>
      </c>
      <c r="B46" s="20"/>
      <c r="C46" s="20"/>
      <c r="D46" s="20"/>
      <c r="E46" s="20"/>
      <c r="F46" s="20"/>
      <c r="G46" s="13"/>
      <c r="H46" s="12"/>
      <c r="I46" s="13"/>
      <c r="J46" s="14" t="s">
        <v>73</v>
      </c>
    </row>
    <row r="47" customFormat="false" ht="15" hidden="false" customHeight="false" outlineLevel="0" collapsed="false">
      <c r="A47" s="8" t="s">
        <v>69</v>
      </c>
      <c r="B47" s="22" t="n">
        <f aca="false">IF(B33="","",B33*B22)</f>
        <v>2496.30662428086</v>
      </c>
      <c r="C47" s="22" t="str">
        <f aca="false">IF(C33="","",C33*C22)</f>
        <v/>
      </c>
      <c r="D47" s="22" t="str">
        <f aca="false">IF(D33="","",D33*D22)</f>
        <v/>
      </c>
      <c r="E47" s="22" t="str">
        <f aca="false">IF(E33="","",E33*E22)</f>
        <v/>
      </c>
      <c r="F47" s="22" t="n">
        <f aca="false">IF(F33="","",F33*F22)</f>
        <v>2653.6466</v>
      </c>
      <c r="G47" s="11" t="n">
        <f aca="false">IF(OR(B47="",F47="",B47=0),"",F47/B47-1)</f>
        <v>0.0630291063560606</v>
      </c>
      <c r="H47" s="12" t="s">
        <v>70</v>
      </c>
      <c r="I47" s="13"/>
      <c r="J47" s="14"/>
    </row>
    <row r="48" customFormat="false" ht="15" hidden="false" customHeight="false" outlineLevel="0" collapsed="false">
      <c r="A48" s="18" t="s">
        <v>71</v>
      </c>
      <c r="B48" s="26" t="n">
        <f aca="false">IF(B33="","",B33*B23/10)</f>
        <v>1294.43477910276</v>
      </c>
      <c r="C48" s="26" t="str">
        <f aca="false">IF(C33="","",C33*C23/10)</f>
        <v/>
      </c>
      <c r="D48" s="26" t="str">
        <f aca="false">IF(D33="","",D33*D23/10)</f>
        <v/>
      </c>
      <c r="E48" s="26" t="str">
        <f aca="false">IF(E33="","",E33*E23/10)</f>
        <v/>
      </c>
      <c r="F48" s="26" t="n">
        <f aca="false">IF(F33="","",F33*F23/10)</f>
        <v>1276.925</v>
      </c>
      <c r="G48" s="19" t="n">
        <f aca="false">IF(OR(B48="",F48="",B48=0),"",F48/B48-1)</f>
        <v>-0.0135269689793885</v>
      </c>
      <c r="H48" s="12" t="s">
        <v>55</v>
      </c>
      <c r="I48" s="13"/>
      <c r="J48" s="14"/>
    </row>
    <row r="49" customFormat="false" ht="15" hidden="false" customHeight="false" outlineLevel="0" collapsed="false">
      <c r="A49" s="13"/>
      <c r="B49" s="13"/>
      <c r="C49" s="13"/>
      <c r="D49" s="13"/>
      <c r="E49" s="13"/>
      <c r="F49" s="13"/>
      <c r="G49" s="13"/>
      <c r="H49" s="13"/>
      <c r="I49" s="13"/>
      <c r="J49" s="13"/>
    </row>
    <row r="50" customFormat="false" ht="15" hidden="false" customHeight="false" outlineLevel="0" collapsed="false">
      <c r="A50" s="18" t="s">
        <v>74</v>
      </c>
      <c r="B50" s="27" t="n">
        <f aca="false">IF(B48="","",B48)</f>
        <v>1294.43477910276</v>
      </c>
      <c r="C50" s="27" t="str">
        <f aca="false">IF(C48="","",C48)</f>
        <v/>
      </c>
      <c r="D50" s="27" t="str">
        <f aca="false">IF(D48="","",D48)</f>
        <v/>
      </c>
      <c r="E50" s="27" t="str">
        <f aca="false">IF(E48="","",E48)</f>
        <v/>
      </c>
      <c r="F50" s="27" t="n">
        <f aca="false">IF(F48="","",F48)</f>
        <v>1276.925</v>
      </c>
      <c r="G50" s="19" t="n">
        <f aca="false">IF(OR(B50="",F50="",B50=0),"",F50/B50-1)</f>
        <v>-0.0135269689793885</v>
      </c>
      <c r="H50" s="12" t="s">
        <v>55</v>
      </c>
      <c r="I50" s="13"/>
      <c r="J50" s="14" t="s">
        <v>75</v>
      </c>
    </row>
    <row r="51" customFormat="false" ht="15" hidden="false" customHeight="false" outlineLevel="0" collapsed="false">
      <c r="A51" s="18" t="s">
        <v>76</v>
      </c>
      <c r="B51" s="28" t="n">
        <f aca="false">IF(B47="","",B47/1000)</f>
        <v>2.49630662428086</v>
      </c>
      <c r="C51" s="28" t="str">
        <f aca="false">IF(C47="","",C47/1000)</f>
        <v/>
      </c>
      <c r="D51" s="28" t="str">
        <f aca="false">IF(D47="","",D47/1000)</f>
        <v/>
      </c>
      <c r="E51" s="28" t="str">
        <f aca="false">IF(E47="","",E47/1000)</f>
        <v/>
      </c>
      <c r="F51" s="28" t="n">
        <f aca="false">IF(F47="","",F47/1000)</f>
        <v>2.6536466</v>
      </c>
      <c r="G51" s="19" t="n">
        <f aca="false">IF(OR(B51="",F51="",B51=0),"",F51/B51-1)</f>
        <v>0.0630291063560606</v>
      </c>
      <c r="H51" s="12" t="s">
        <v>77</v>
      </c>
      <c r="I51" s="13"/>
      <c r="J51" s="14"/>
    </row>
    <row r="52" customFormat="false" ht="15" hidden="false" customHeight="false" outlineLevel="0" collapsed="false">
      <c r="A52" s="13"/>
      <c r="B52" s="13"/>
      <c r="C52" s="13"/>
      <c r="D52" s="13"/>
      <c r="E52" s="13"/>
      <c r="F52" s="13"/>
      <c r="G52" s="13"/>
      <c r="H52" s="13"/>
      <c r="I52" s="13"/>
      <c r="J52" s="13"/>
    </row>
    <row r="53" customFormat="false" ht="18" hidden="false" customHeight="true" outlineLevel="0" collapsed="false">
      <c r="A53" s="6" t="s">
        <v>78</v>
      </c>
      <c r="B53" s="7"/>
      <c r="C53" s="7"/>
      <c r="D53" s="7"/>
      <c r="E53" s="7"/>
      <c r="F53" s="7"/>
      <c r="G53" s="7"/>
      <c r="H53" s="6"/>
      <c r="I53" s="6"/>
      <c r="J53" s="6"/>
    </row>
    <row r="54" customFormat="false" ht="15" hidden="false" customHeight="false" outlineLevel="0" collapsed="false">
      <c r="A54" s="8" t="s">
        <v>79</v>
      </c>
      <c r="B54" s="11" t="n">
        <f aca="false">IF(B44="","",B44/B35)</f>
        <v>0.0711775827074533</v>
      </c>
      <c r="C54" s="11" t="str">
        <f aca="false">IF(C44="","",C44/C35)</f>
        <v/>
      </c>
      <c r="D54" s="11" t="str">
        <f aca="false">IF(D44="","",D44/D35)</f>
        <v/>
      </c>
      <c r="E54" s="11" t="str">
        <f aca="false">IF(E44="","",E44/E35)</f>
        <v/>
      </c>
      <c r="F54" s="11" t="n">
        <f aca="false">IF(F44="","",F44/F35)</f>
        <v>0.0645604785322489</v>
      </c>
      <c r="G54" s="11" t="n">
        <f aca="false">IF(OR(B54="",F54=""),"",F54-B54)</f>
        <v>-0.00661710417520438</v>
      </c>
      <c r="H54" s="12" t="s">
        <v>64</v>
      </c>
      <c r="I54" s="13"/>
      <c r="J54" s="14" t="s">
        <v>80</v>
      </c>
    </row>
    <row r="55" customFormat="false" ht="15" hidden="false" customHeight="false" outlineLevel="0" collapsed="false">
      <c r="A55" s="18" t="s">
        <v>81</v>
      </c>
      <c r="B55" s="29" t="n">
        <f aca="false">IF(B48="","",B48/B35)</f>
        <v>0.0705732598971765</v>
      </c>
      <c r="C55" s="29" t="str">
        <f aca="false">IF(C48="","",C48/C35)</f>
        <v/>
      </c>
      <c r="D55" s="29" t="str">
        <f aca="false">IF(D48="","",D48/D35)</f>
        <v/>
      </c>
      <c r="E55" s="29" t="str">
        <f aca="false">IF(E48="","",E48/E35)</f>
        <v/>
      </c>
      <c r="F55" s="29" t="n">
        <f aca="false">IF(F48="","",F48/F35)</f>
        <v>0.0603804142235672</v>
      </c>
      <c r="G55" s="19" t="n">
        <f aca="false">IF(OR(B55="",F55=""),"",F55-B55)</f>
        <v>-0.0101928456736092</v>
      </c>
      <c r="H55" s="12" t="s">
        <v>64</v>
      </c>
      <c r="I55" s="13"/>
      <c r="J55" s="14" t="s">
        <v>82</v>
      </c>
    </row>
    <row r="56" customFormat="false" ht="22.35" hidden="false" customHeight="false" outlineLevel="0" collapsed="false">
      <c r="A56" s="8" t="s">
        <v>83</v>
      </c>
      <c r="B56" s="11" t="n">
        <f aca="false">IF(B44="","",B44/B36)</f>
        <v>0.0572897620336239</v>
      </c>
      <c r="C56" s="11" t="str">
        <f aca="false">IF(C44="","",C44/C36)</f>
        <v/>
      </c>
      <c r="D56" s="11" t="str">
        <f aca="false">IF(D44="","",D44/D36)</f>
        <v/>
      </c>
      <c r="E56" s="11" t="str">
        <f aca="false">IF(E44="","",E44/E36)</f>
        <v/>
      </c>
      <c r="F56" s="11" t="n">
        <f aca="false">IF(F44="","",F44/F36)</f>
        <v>0.0536115364982134</v>
      </c>
      <c r="G56" s="11" t="n">
        <f aca="false">IF(OR(B56="",F56=""),"",F56-B56)</f>
        <v>-0.00367822553541057</v>
      </c>
      <c r="H56" s="12" t="s">
        <v>64</v>
      </c>
      <c r="I56" s="13"/>
      <c r="J56" s="14" t="s">
        <v>84</v>
      </c>
    </row>
    <row r="57" customFormat="false" ht="15" hidden="false" customHeight="false" outlineLevel="0" collapsed="false">
      <c r="A57" s="13"/>
      <c r="B57" s="13"/>
      <c r="C57" s="13"/>
      <c r="D57" s="13"/>
      <c r="E57" s="13"/>
      <c r="F57" s="13"/>
      <c r="G57" s="13"/>
      <c r="H57" s="13"/>
      <c r="I57" s="13"/>
      <c r="J57" s="13"/>
    </row>
    <row r="58" customFormat="false" ht="18" hidden="false" customHeight="true" outlineLevel="0" collapsed="false">
      <c r="A58" s="6" t="s">
        <v>85</v>
      </c>
      <c r="B58" s="7"/>
      <c r="C58" s="7"/>
      <c r="D58" s="7"/>
      <c r="E58" s="7"/>
      <c r="F58" s="7"/>
      <c r="G58" s="7"/>
      <c r="H58" s="6"/>
      <c r="I58" s="6"/>
      <c r="J58" s="6"/>
    </row>
    <row r="59" customFormat="false" ht="15" hidden="false" customHeight="false" outlineLevel="0" collapsed="false">
      <c r="A59" s="8" t="s">
        <v>86</v>
      </c>
      <c r="B59" s="17" t="n">
        <f aca="false">IF(B18="","",B18)</f>
        <v>5.19</v>
      </c>
      <c r="C59" s="17" t="str">
        <f aca="false">IF(C18="","",C18)</f>
        <v/>
      </c>
      <c r="D59" s="17" t="str">
        <f aca="false">IF(D18="","",D18)</f>
        <v/>
      </c>
      <c r="E59" s="17" t="str">
        <f aca="false">IF(E18="","",E18)</f>
        <v/>
      </c>
      <c r="F59" s="17" t="n">
        <f aca="false">IF(F18="","",F18)</f>
        <v>4.81</v>
      </c>
      <c r="G59" s="11" t="n">
        <f aca="false">IF(OR(B59="",F59="",B59=0),"",F59/B59-1)</f>
        <v>-0.0732177263969173</v>
      </c>
      <c r="H59" s="12" t="s">
        <v>19</v>
      </c>
      <c r="I59" s="13"/>
      <c r="J59" s="14" t="s">
        <v>87</v>
      </c>
    </row>
    <row r="60" customFormat="false" ht="15" hidden="false" customHeight="false" outlineLevel="0" collapsed="false">
      <c r="A60" s="18" t="s">
        <v>88</v>
      </c>
      <c r="B60" s="28" t="n">
        <f aca="false">IF(B8="","",(B8*B9+B10*B11+B12*B13)/(B8+B10+B12))</f>
        <v>6.25479245283019</v>
      </c>
      <c r="C60" s="28" t="str">
        <f aca="false">IF(C8="","",(C8*C9+C10*C11+C12*C13)/(C8+C10+C12))</f>
        <v/>
      </c>
      <c r="D60" s="28" t="str">
        <f aca="false">IF(D8="","",(D8*D9+D10*D11+D12*D13)/(D8+D10+D12))</f>
        <v/>
      </c>
      <c r="E60" s="28" t="str">
        <f aca="false">IF(E8="","",(E8*E9+E10*E11+E12*E13)/(E8+E10+E12))</f>
        <v/>
      </c>
      <c r="F60" s="28" t="n">
        <f aca="false">IF(F8="","",(F8*F9+F10*F11+F12*F13)/(F8+F10+F12))</f>
        <v>6.01793281653747</v>
      </c>
      <c r="G60" s="19" t="n">
        <f aca="false">IF(OR(B60="",F60="",B60=0),"",F60/B60-1)</f>
        <v>-0.0378685045233669</v>
      </c>
      <c r="H60" s="12" t="s">
        <v>19</v>
      </c>
      <c r="I60" s="13"/>
      <c r="J60" s="14" t="s">
        <v>89</v>
      </c>
    </row>
    <row r="61" customFormat="false" ht="15" hidden="false" customHeight="false" outlineLevel="0" collapsed="false">
      <c r="A61" s="8" t="s">
        <v>90</v>
      </c>
      <c r="B61" s="17" t="n">
        <f aca="false">IF(B11="","",B11)</f>
        <v>6.97</v>
      </c>
      <c r="C61" s="17" t="str">
        <f aca="false">IF(C11="","",C11)</f>
        <v/>
      </c>
      <c r="D61" s="17" t="str">
        <f aca="false">IF(D11="","",D11)</f>
        <v/>
      </c>
      <c r="E61" s="17" t="str">
        <f aca="false">IF(E11="","",E11)</f>
        <v/>
      </c>
      <c r="F61" s="17" t="n">
        <f aca="false">IF(F11="","",F11)</f>
        <v>7.62</v>
      </c>
      <c r="G61" s="11" t="n">
        <f aca="false">IF(OR(B61="",F61="",B61=0),"",F61/B61-1)</f>
        <v>0.0932568149210904</v>
      </c>
      <c r="H61" s="12" t="s">
        <v>19</v>
      </c>
      <c r="I61" s="13"/>
      <c r="J61" s="14" t="s">
        <v>91</v>
      </c>
    </row>
    <row r="62" customFormat="false" ht="15" hidden="false" customHeight="false" outlineLevel="0" collapsed="false">
      <c r="A62" s="8" t="s">
        <v>92</v>
      </c>
      <c r="B62" s="11" t="n">
        <f aca="false">IF(B14="","",1-B14)</f>
        <v>0.795</v>
      </c>
      <c r="C62" s="11" t="str">
        <f aca="false">IF(C14="","",1-C14)</f>
        <v/>
      </c>
      <c r="D62" s="11" t="str">
        <f aca="false">IF(D14="","",1-D14)</f>
        <v/>
      </c>
      <c r="E62" s="11" t="str">
        <f aca="false">IF(E14="","",1-E14)</f>
        <v/>
      </c>
      <c r="F62" s="11" t="n">
        <f aca="false">IF(F14="","",1-F14)</f>
        <v>0.774</v>
      </c>
      <c r="G62" s="11" t="n">
        <f aca="false">IF(OR(B62="",F62=""),"",F62-B62)</f>
        <v>-0.021</v>
      </c>
      <c r="H62" s="12" t="s">
        <v>64</v>
      </c>
      <c r="I62" s="13"/>
      <c r="J62" s="14"/>
    </row>
    <row r="63" customFormat="false" ht="15" hidden="false" customHeight="false" outlineLevel="0" collapsed="false">
      <c r="A63" s="8" t="s">
        <v>93</v>
      </c>
      <c r="B63" s="11" t="n">
        <f aca="false">IF(B12="","",B12+B14)</f>
        <v>0.344</v>
      </c>
      <c r="C63" s="11" t="str">
        <f aca="false">IF(C12="","",C12+C14)</f>
        <v/>
      </c>
      <c r="D63" s="11" t="str">
        <f aca="false">IF(D12="","",D12+D14)</f>
        <v/>
      </c>
      <c r="E63" s="11" t="str">
        <f aca="false">IF(E12="","",E12+E14)</f>
        <v/>
      </c>
      <c r="F63" s="11" t="n">
        <f aca="false">IF(F12="","",F12+F14)</f>
        <v>0.43</v>
      </c>
      <c r="G63" s="11" t="n">
        <f aca="false">IF(OR(B63="",F63=""),"",F63-B63)</f>
        <v>0.086</v>
      </c>
      <c r="H63" s="12" t="s">
        <v>64</v>
      </c>
      <c r="I63" s="13"/>
      <c r="J63" s="14" t="s">
        <v>94</v>
      </c>
    </row>
    <row r="64" customFormat="false" ht="15" hidden="false" customHeight="false" outlineLevel="0" collapsed="false">
      <c r="A64" s="13"/>
      <c r="B64" s="13"/>
      <c r="C64" s="13"/>
      <c r="D64" s="13"/>
      <c r="E64" s="13"/>
      <c r="F64" s="13"/>
      <c r="G64" s="13"/>
      <c r="H64" s="13"/>
      <c r="I64" s="13"/>
      <c r="J64" s="13"/>
    </row>
    <row r="65" customFormat="false" ht="18" hidden="false" customHeight="true" outlineLevel="0" collapsed="false">
      <c r="A65" s="6" t="s">
        <v>95</v>
      </c>
      <c r="B65" s="7"/>
      <c r="C65" s="7"/>
      <c r="D65" s="7"/>
      <c r="E65" s="7"/>
      <c r="F65" s="7"/>
      <c r="G65" s="7"/>
      <c r="H65" s="6"/>
      <c r="I65" s="6"/>
      <c r="J65" s="6"/>
    </row>
    <row r="66" customFormat="false" ht="15" hidden="false" customHeight="false" outlineLevel="0" collapsed="false">
      <c r="A66" s="8" t="s">
        <v>96</v>
      </c>
      <c r="B66" s="20" t="n">
        <v>881</v>
      </c>
      <c r="C66" s="21"/>
      <c r="D66" s="21"/>
      <c r="E66" s="21"/>
      <c r="F66" s="20" t="n">
        <v>874</v>
      </c>
      <c r="G66" s="11" t="n">
        <f aca="false">IF(OR(B66="",F66="",B66=0),"",F66/B66-1)</f>
        <v>-0.00794551645856978</v>
      </c>
      <c r="H66" s="12" t="s">
        <v>36</v>
      </c>
      <c r="I66" s="13"/>
      <c r="J66" s="14" t="s">
        <v>97</v>
      </c>
    </row>
    <row r="67" customFormat="false" ht="15" hidden="false" customHeight="false" outlineLevel="0" collapsed="false">
      <c r="A67" s="8" t="s">
        <v>98</v>
      </c>
      <c r="B67" s="22" t="n">
        <f aca="false">IF(B23="","",B23+B66)</f>
        <v>1239</v>
      </c>
      <c r="C67" s="22" t="str">
        <f aca="false">IF(C23="","",C23+C66)</f>
        <v/>
      </c>
      <c r="D67" s="22" t="str">
        <f aca="false">IF(D23="","",D23+D66)</f>
        <v/>
      </c>
      <c r="E67" s="22" t="str">
        <f aca="false">IF(E23="","",E23+E66)</f>
        <v/>
      </c>
      <c r="F67" s="22" t="n">
        <f aca="false">IF(F23="","",F23+F66)</f>
        <v>1199</v>
      </c>
      <c r="G67" s="11" t="n">
        <f aca="false">IF(OR(B67="",F67="",B67=0),"",F67/B67-1)</f>
        <v>-0.0322841000807103</v>
      </c>
      <c r="H67" s="12" t="s">
        <v>36</v>
      </c>
      <c r="I67" s="13"/>
      <c r="J67" s="14"/>
    </row>
    <row r="68" customFormat="false" ht="15" hidden="false" customHeight="false" outlineLevel="0" collapsed="false">
      <c r="A68" s="8" t="s">
        <v>99</v>
      </c>
      <c r="B68" s="22" t="n">
        <f aca="false">IF(B29="","",B29*B67/10)</f>
        <v>4518.26302083333</v>
      </c>
      <c r="C68" s="22" t="str">
        <f aca="false">IF(C29="","",C29*C67/10)</f>
        <v/>
      </c>
      <c r="D68" s="22" t="str">
        <f aca="false">IF(D29="","",D29*D67/10)</f>
        <v/>
      </c>
      <c r="E68" s="22" t="str">
        <f aca="false">IF(E29="","",E29*E67/10)</f>
        <v/>
      </c>
      <c r="F68" s="22" t="n">
        <f aca="false">IF(F29="","",F29*F67/10)</f>
        <v>5036.999</v>
      </c>
      <c r="G68" s="13"/>
      <c r="H68" s="12" t="s">
        <v>55</v>
      </c>
      <c r="I68" s="13"/>
      <c r="J68" s="14"/>
    </row>
    <row r="69" customFormat="false" ht="15" hidden="false" customHeight="false" outlineLevel="0" collapsed="false">
      <c r="A69" s="8" t="s">
        <v>100</v>
      </c>
      <c r="B69" s="22" t="n">
        <f aca="false">IF(B33="","",B33*B67/10)</f>
        <v>4479.90137236962</v>
      </c>
      <c r="C69" s="22" t="str">
        <f aca="false">IF(C33="","",C33*C67/10)</f>
        <v/>
      </c>
      <c r="D69" s="22" t="str">
        <f aca="false">IF(D33="","",D33*D67/10)</f>
        <v/>
      </c>
      <c r="E69" s="22" t="str">
        <f aca="false">IF(E33="","",E33*E67/10)</f>
        <v/>
      </c>
      <c r="F69" s="22" t="n">
        <f aca="false">IF(F33="","",F33*F67/10)</f>
        <v>4710.871</v>
      </c>
      <c r="G69" s="13"/>
      <c r="H69" s="12" t="s">
        <v>55</v>
      </c>
      <c r="I69" s="13"/>
      <c r="J69" s="14"/>
    </row>
    <row r="70" customFormat="false" ht="15" hidden="false" customHeight="false" outlineLevel="0" collapsed="false">
      <c r="A70" s="8" t="s">
        <v>101</v>
      </c>
      <c r="B70" s="20" t="n">
        <v>4542</v>
      </c>
      <c r="C70" s="21"/>
      <c r="D70" s="21"/>
      <c r="E70" s="21"/>
      <c r="F70" s="20" t="n">
        <v>4733</v>
      </c>
      <c r="G70" s="11" t="n">
        <f aca="false">IF(OR(B70="",F70="",B70=0),"",F70/B70-1)</f>
        <v>0.0420519594892117</v>
      </c>
      <c r="H70" s="12" t="s">
        <v>55</v>
      </c>
      <c r="I70" s="13"/>
      <c r="J70" s="14" t="s">
        <v>58</v>
      </c>
    </row>
    <row r="71" customFormat="false" ht="15" hidden="false" customHeight="false" outlineLevel="0" collapsed="false">
      <c r="A71" s="8" t="s">
        <v>102</v>
      </c>
      <c r="B71" s="20" t="n">
        <v>5224</v>
      </c>
      <c r="C71" s="21"/>
      <c r="D71" s="21"/>
      <c r="E71" s="21"/>
      <c r="F71" s="20" t="n">
        <v>5416</v>
      </c>
      <c r="G71" s="11" t="n">
        <f aca="false">IF(OR(B71="",F71="",B71=0),"",F71/B71-1)</f>
        <v>0.0367534456355283</v>
      </c>
      <c r="H71" s="12" t="s">
        <v>55</v>
      </c>
      <c r="I71" s="13"/>
      <c r="J71" s="14" t="s">
        <v>58</v>
      </c>
    </row>
    <row r="72" customFormat="false" ht="15" hidden="false" customHeight="false" outlineLevel="0" collapsed="false">
      <c r="A72" s="8" t="s">
        <v>103</v>
      </c>
      <c r="B72" s="11" t="n">
        <f aca="false">IF(B68="","",B68/B70)</f>
        <v>0.994773892741817</v>
      </c>
      <c r="C72" s="11" t="str">
        <f aca="false">IF(C68="","",C68/C70)</f>
        <v/>
      </c>
      <c r="D72" s="11" t="str">
        <f aca="false">IF(D68="","",D68/D70)</f>
        <v/>
      </c>
      <c r="E72" s="11" t="str">
        <f aca="false">IF(E68="","",E68/E70)</f>
        <v/>
      </c>
      <c r="F72" s="11" t="n">
        <f aca="false">IF(F68="","",F68/F70)</f>
        <v>1.06422966406085</v>
      </c>
      <c r="G72" s="13"/>
      <c r="H72" s="12" t="s">
        <v>64</v>
      </c>
      <c r="I72" s="13"/>
      <c r="J72" s="14" t="s">
        <v>104</v>
      </c>
    </row>
    <row r="73" customFormat="false" ht="15" hidden="false" customHeight="false" outlineLevel="0" collapsed="false">
      <c r="A73" s="8" t="s">
        <v>105</v>
      </c>
      <c r="B73" s="30" t="n">
        <f aca="false">IF(B69="","",B69/B70)</f>
        <v>0.986327911133779</v>
      </c>
      <c r="C73" s="30" t="str">
        <f aca="false">IF(C69="","",C69/C70)</f>
        <v/>
      </c>
      <c r="D73" s="30" t="str">
        <f aca="false">IF(D69="","",D69/D70)</f>
        <v/>
      </c>
      <c r="E73" s="30" t="str">
        <f aca="false">IF(E69="","",E69/E70)</f>
        <v/>
      </c>
      <c r="F73" s="30" t="n">
        <f aca="false">IF(F69="","",F69/F70)</f>
        <v>0.995324529896472</v>
      </c>
      <c r="G73" s="13"/>
      <c r="H73" s="12" t="s">
        <v>64</v>
      </c>
      <c r="I73" s="13"/>
      <c r="J73" s="14" t="s">
        <v>106</v>
      </c>
    </row>
    <row r="74" customFormat="false" ht="15" hidden="false" customHeight="false" outlineLevel="0" collapsed="false">
      <c r="A74" s="13"/>
      <c r="B74" s="13"/>
      <c r="C74" s="13"/>
      <c r="D74" s="13"/>
      <c r="E74" s="13"/>
      <c r="F74" s="13"/>
      <c r="G74" s="13"/>
      <c r="H74" s="13"/>
      <c r="I74" s="13"/>
      <c r="J74" s="13"/>
    </row>
    <row r="75" customFormat="false" ht="18" hidden="false" customHeight="true" outlineLevel="0" collapsed="false">
      <c r="A75" s="6" t="s">
        <v>107</v>
      </c>
      <c r="B75" s="7"/>
      <c r="C75" s="7"/>
      <c r="D75" s="7"/>
      <c r="E75" s="7"/>
      <c r="F75" s="7"/>
      <c r="G75" s="7"/>
      <c r="H75" s="6"/>
      <c r="I75" s="6"/>
      <c r="J75" s="6"/>
    </row>
    <row r="76" customFormat="false" ht="15" hidden="false" customHeight="false" outlineLevel="0" collapsed="false">
      <c r="A76" s="18" t="s">
        <v>108</v>
      </c>
      <c r="B76" s="26" t="n">
        <f aca="false">B48</f>
        <v>1294.43477910276</v>
      </c>
      <c r="C76" s="20"/>
      <c r="D76" s="20"/>
      <c r="E76" s="20"/>
      <c r="F76" s="20"/>
      <c r="G76" s="13"/>
      <c r="H76" s="12" t="s">
        <v>55</v>
      </c>
      <c r="I76" s="13"/>
      <c r="J76" s="14"/>
    </row>
    <row r="77" customFormat="false" ht="15" hidden="false" customHeight="false" outlineLevel="0" collapsed="false">
      <c r="A77" s="8" t="s">
        <v>109</v>
      </c>
      <c r="B77" s="31" t="n">
        <f aca="false">(F33-B33)*B23/10</f>
        <v>112.147220897235</v>
      </c>
      <c r="C77" s="32"/>
      <c r="D77" s="32"/>
      <c r="E77" s="32"/>
      <c r="F77" s="32"/>
      <c r="G77" s="13"/>
      <c r="H77" s="12" t="s">
        <v>55</v>
      </c>
      <c r="I77" s="13"/>
      <c r="J77" s="14"/>
    </row>
    <row r="78" customFormat="false" ht="15" hidden="false" customHeight="false" outlineLevel="0" collapsed="false">
      <c r="A78" s="8" t="s">
        <v>110</v>
      </c>
      <c r="B78" s="31" t="n">
        <f aca="false">F33*(F22-B22)*B18/10</f>
        <v>-30.587265</v>
      </c>
      <c r="C78" s="32"/>
      <c r="D78" s="32"/>
      <c r="E78" s="32"/>
      <c r="F78" s="32"/>
      <c r="G78" s="13"/>
      <c r="H78" s="12" t="s">
        <v>55</v>
      </c>
      <c r="I78" s="13"/>
      <c r="J78" s="14"/>
    </row>
    <row r="79" customFormat="false" ht="15" hidden="false" customHeight="false" outlineLevel="0" collapsed="false">
      <c r="A79" s="8" t="s">
        <v>111</v>
      </c>
      <c r="B79" s="31" t="n">
        <f aca="false">F33*F22*(F18-B18)/10</f>
        <v>-100.8385708</v>
      </c>
      <c r="C79" s="32"/>
      <c r="D79" s="32"/>
      <c r="E79" s="32"/>
      <c r="F79" s="32"/>
      <c r="G79" s="13"/>
      <c r="H79" s="12" t="s">
        <v>55</v>
      </c>
      <c r="I79" s="13"/>
      <c r="J79" s="14"/>
    </row>
    <row r="80" customFormat="false" ht="15" hidden="false" customHeight="false" outlineLevel="0" collapsed="false">
      <c r="A80" s="8" t="s">
        <v>112</v>
      </c>
      <c r="B80" s="31" t="n">
        <f aca="false">F48-B48-B77-B78-B79</f>
        <v>1.76883580000032</v>
      </c>
      <c r="C80" s="32"/>
      <c r="D80" s="32"/>
      <c r="E80" s="32"/>
      <c r="F80" s="32"/>
      <c r="G80" s="13"/>
      <c r="H80" s="12" t="s">
        <v>55</v>
      </c>
      <c r="I80" s="13"/>
      <c r="J80" s="14" t="s">
        <v>113</v>
      </c>
    </row>
    <row r="81" customFormat="false" ht="15" hidden="false" customHeight="false" outlineLevel="0" collapsed="false">
      <c r="A81" s="18" t="s">
        <v>114</v>
      </c>
      <c r="B81" s="26" t="n">
        <f aca="false">B76+B77+B78+B79+B80</f>
        <v>1276.925</v>
      </c>
      <c r="C81" s="20"/>
      <c r="D81" s="20"/>
      <c r="E81" s="20"/>
      <c r="F81" s="20"/>
      <c r="G81" s="13"/>
      <c r="H81" s="12" t="s">
        <v>55</v>
      </c>
      <c r="I81" s="13"/>
      <c r="J81" s="14"/>
    </row>
    <row r="82" customFormat="false" ht="15" hidden="false" customHeight="false" outlineLevel="0" collapsed="false">
      <c r="A82" s="8" t="s">
        <v>115</v>
      </c>
      <c r="B82" s="33" t="str">
        <f aca="false">IF(ROUND(B81-F48,2)=0,"OK","CHECK")</f>
        <v>OK</v>
      </c>
      <c r="C82" s="34"/>
      <c r="D82" s="34"/>
      <c r="E82" s="34"/>
      <c r="F82" s="34"/>
      <c r="G82" s="13"/>
      <c r="H82" s="12"/>
      <c r="I82" s="13"/>
      <c r="J82" s="1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120"/>
  </cols>
  <sheetData>
    <row r="1" customFormat="false" ht="16.15" hidden="false" customHeight="false" outlineLevel="0" collapsed="false">
      <c r="B1" s="35" t="s">
        <v>116</v>
      </c>
    </row>
    <row r="2" customFormat="false" ht="15" hidden="false" customHeight="true" outlineLevel="0" collapsed="false">
      <c r="B2" s="36"/>
    </row>
    <row r="3" customFormat="false" ht="15" hidden="false" customHeight="false" outlineLevel="0" collapsed="false">
      <c r="B3" s="37" t="s">
        <v>117</v>
      </c>
    </row>
    <row r="4" customFormat="false" ht="30" hidden="false" customHeight="true" outlineLevel="0" collapsed="false">
      <c r="B4" s="36" t="s">
        <v>118</v>
      </c>
    </row>
    <row r="5" customFormat="false" ht="15" hidden="false" customHeight="true" outlineLevel="0" collapsed="false">
      <c r="B5" s="36" t="s">
        <v>119</v>
      </c>
    </row>
    <row r="6" customFormat="false" ht="30" hidden="false" customHeight="true" outlineLevel="0" collapsed="false">
      <c r="B6" s="36" t="s">
        <v>120</v>
      </c>
    </row>
    <row r="7" customFormat="false" ht="15" hidden="false" customHeight="true" outlineLevel="0" collapsed="false">
      <c r="B7" s="36"/>
    </row>
    <row r="8" customFormat="false" ht="15" hidden="false" customHeight="false" outlineLevel="0" collapsed="false">
      <c r="B8" s="37" t="s">
        <v>121</v>
      </c>
    </row>
    <row r="9" customFormat="false" ht="60" hidden="false" customHeight="true" outlineLevel="0" collapsed="false">
      <c r="B9" s="36" t="s">
        <v>122</v>
      </c>
    </row>
    <row r="10" customFormat="false" ht="15" hidden="false" customHeight="true" outlineLevel="0" collapsed="false">
      <c r="B10" s="36"/>
    </row>
    <row r="11" customFormat="false" ht="15" hidden="false" customHeight="false" outlineLevel="0" collapsed="false">
      <c r="B11" s="37" t="s">
        <v>123</v>
      </c>
    </row>
    <row r="12" customFormat="false" ht="45" hidden="false" customHeight="true" outlineLevel="0" collapsed="false">
      <c r="B12" s="36" t="s">
        <v>124</v>
      </c>
    </row>
    <row r="13" customFormat="false" ht="60" hidden="false" customHeight="true" outlineLevel="0" collapsed="false">
      <c r="B13" s="36" t="s">
        <v>125</v>
      </c>
    </row>
    <row r="14" customFormat="false" ht="30" hidden="false" customHeight="true" outlineLevel="0" collapsed="false">
      <c r="B14" s="36" t="s">
        <v>126</v>
      </c>
    </row>
    <row r="15" customFormat="false" ht="30" hidden="false" customHeight="true" outlineLevel="0" collapsed="false">
      <c r="B15" s="36" t="s">
        <v>127</v>
      </c>
    </row>
    <row r="16" customFormat="false" ht="15" hidden="false" customHeight="true" outlineLevel="0" collapsed="false">
      <c r="B16" s="36"/>
    </row>
    <row r="17" customFormat="false" ht="15" hidden="false" customHeight="false" outlineLevel="0" collapsed="false">
      <c r="B17" s="37" t="s">
        <v>128</v>
      </c>
    </row>
    <row r="18" customFormat="false" ht="60" hidden="false" customHeight="true" outlineLevel="0" collapsed="false">
      <c r="B18" s="36" t="s">
        <v>129</v>
      </c>
    </row>
    <row r="19" customFormat="false" ht="15" hidden="false" customHeight="true" outlineLevel="0" collapsed="false">
      <c r="B19" s="36"/>
    </row>
    <row r="20" customFormat="false" ht="15" hidden="false" customHeight="false" outlineLevel="0" collapsed="false">
      <c r="B20" s="37" t="s">
        <v>130</v>
      </c>
    </row>
    <row r="21" customFormat="false" ht="60" hidden="false" customHeight="true" outlineLevel="0" collapsed="false">
      <c r="B21" s="36" t="s">
        <v>131</v>
      </c>
    </row>
    <row r="22" customFormat="false" ht="15" hidden="false" customHeight="true" outlineLevel="0" collapsed="false">
      <c r="B22" s="36"/>
    </row>
    <row r="23" customFormat="false" ht="15" hidden="false" customHeight="false" outlineLevel="0" collapsed="false">
      <c r="B23" s="37" t="s">
        <v>132</v>
      </c>
    </row>
    <row r="24" customFormat="false" ht="45" hidden="false" customHeight="true" outlineLevel="0" collapsed="false">
      <c r="B24" s="36" t="s">
        <v>133</v>
      </c>
    </row>
    <row r="25" customFormat="false" ht="30" hidden="false" customHeight="true" outlineLevel="0" collapsed="false">
      <c r="B25" s="36" t="s">
        <v>134</v>
      </c>
    </row>
    <row r="26" customFormat="false" ht="15" hidden="false" customHeight="true" outlineLevel="0" collapsed="false">
      <c r="B26" s="36"/>
    </row>
    <row r="27" customFormat="false" ht="15" hidden="false" customHeight="false" outlineLevel="0" collapsed="false">
      <c r="B27" s="37" t="s">
        <v>135</v>
      </c>
    </row>
    <row r="28" customFormat="false" ht="45" hidden="false" customHeight="true" outlineLevel="0" collapsed="false">
      <c r="B28" s="36" t="s">
        <v>136</v>
      </c>
    </row>
    <row r="29" customFormat="false" ht="15" hidden="false" customHeight="true" outlineLevel="0" collapsed="false">
      <c r="B29" s="36"/>
    </row>
    <row r="30" customFormat="false" ht="15" hidden="false" customHeight="false" outlineLevel="0" collapsed="false">
      <c r="B30" s="37" t="s">
        <v>137</v>
      </c>
    </row>
    <row r="31" customFormat="false" ht="45" hidden="false" customHeight="true" outlineLevel="0" collapsed="false">
      <c r="B31" s="36" t="s">
        <v>138</v>
      </c>
    </row>
    <row r="32" customFormat="false" ht="45" hidden="false" customHeight="true" outlineLevel="0" collapsed="false">
      <c r="B32" s="36" t="s">
        <v>139</v>
      </c>
    </row>
    <row r="33" customFormat="false" ht="30" hidden="false" customHeight="true" outlineLevel="0" collapsed="false">
      <c r="B33" s="36" t="s">
        <v>140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2026-09-22T10:47:52Z</dcterms:created>
  <dc:creator>openpyxl</dc:creator>
  <dc:description/>
  <dc:language>en-US</dc:language>
  <cp:lastModifiedBy/>
  <dcterms:modified xsi:type="dcterms:W3CDTF">2026-09-22T10:47:52Z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