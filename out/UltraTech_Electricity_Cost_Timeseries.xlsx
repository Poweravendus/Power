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ime Series" sheetId="1" state="visible" r:id="rId3"/>
    <sheet name="Workings" sheetId="2" state="visible" r:id="rId4"/>
    <sheet name="Source Rates" sheetId="3" state="visible" r:id="rId5"/>
    <sheet name="Notes &amp; Sources"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<sst xmlns="http://schemas.openxmlformats.org/spreadsheetml/2006/main" count="271" uniqueCount="136">
  <si>
    <t xml:space="preserve">ULTRATECH CEMENT — ELECTRICITY COST TIME SERIES</t>
  </si>
  <si>
    <t xml:space="preserve">FY2005 to FY2026. Standalone UltraTech Cement Limited. All rupee figures in Rs. billion. Black cells are formulas driven by the Workings tab.</t>
  </si>
  <si>
    <t xml:space="preserve">FY15-FY23 cannot be computed: Form A was withdrawn from the statutory format in 2014 and the investor decks reported a combined energy cost until FY24. See Notes.</t>
  </si>
  <si>
    <t xml:space="preserve">Particulars</t>
  </si>
  <si>
    <t xml:space="preserve">FY05</t>
  </si>
  <si>
    <t xml:space="preserve">FY06</t>
  </si>
  <si>
    <t xml:space="preserve">FY07</t>
  </si>
  <si>
    <t xml:space="preserve">FY08</t>
  </si>
  <si>
    <t xml:space="preserve">FY09</t>
  </si>
  <si>
    <t xml:space="preserve">FY10</t>
  </si>
  <si>
    <t xml:space="preserve">FY11</t>
  </si>
  <si>
    <t xml:space="preserve">FY12</t>
  </si>
  <si>
    <t xml:space="preserve">FY13</t>
  </si>
  <si>
    <t xml:space="preserve">FY14</t>
  </si>
  <si>
    <t xml:space="preserve">FY15</t>
  </si>
  <si>
    <t xml:space="preserve">FY16</t>
  </si>
  <si>
    <t xml:space="preserve">FY17</t>
  </si>
  <si>
    <t xml:space="preserve">FY18</t>
  </si>
  <si>
    <t xml:space="preserve">FY19</t>
  </si>
  <si>
    <t xml:space="preserve">FY20</t>
  </si>
  <si>
    <t xml:space="preserve">FY21</t>
  </si>
  <si>
    <t xml:space="preserve">FY22</t>
  </si>
  <si>
    <t xml:space="preserve">FY23</t>
  </si>
  <si>
    <t xml:space="preserve">FY24</t>
  </si>
  <si>
    <t xml:space="preserve">FY25</t>
  </si>
  <si>
    <t xml:space="preserve">FY26</t>
  </si>
  <si>
    <t xml:space="preserve">Electricity cost (Rs. bn)</t>
  </si>
  <si>
    <t xml:space="preserve">n/a</t>
  </si>
  <si>
    <t xml:space="preserve">Revenue (Rs. bn)</t>
  </si>
  <si>
    <t xml:space="preserve">Electricity as % of revenue</t>
  </si>
  <si>
    <t xml:space="preserve">Units consumed (mn kWh)</t>
  </si>
  <si>
    <t xml:space="preserve">Blended cost per unit (Rs./kWh)</t>
  </si>
  <si>
    <t xml:space="preserve">Renewable energy cost per unit (Rs./kWh)</t>
  </si>
  <si>
    <t xml:space="preserve">Cement volume (MnT)</t>
  </si>
  <si>
    <t xml:space="preserve">-</t>
  </si>
  <si>
    <t xml:space="preserve">Electricity cost (Rs./t)</t>
  </si>
  <si>
    <t xml:space="preserve">Basis</t>
  </si>
  <si>
    <t xml:space="preserve">Form A</t>
  </si>
  <si>
    <t xml:space="preserve">not disclosed</t>
  </si>
  <si>
    <t xml:space="preserve">Quarterly decks</t>
  </si>
  <si>
    <t xml:space="preserve">Memo: FY26 on own-manufactured volume (134.67 MnT)</t>
  </si>
  <si>
    <t xml:space="preserve">WORKINGS — raw inputs transcribed from source documents</t>
  </si>
  <si>
    <t xml:space="preserve">Blue = input from a filing. Block A is Form A of the Directors' Report (reported). Block B is built from quarterly investor presentations.</t>
  </si>
  <si>
    <t xml:space="preserve">BLOCK A — FORM A, POWER AND FUEL CONSUMPTION (units in '000 kWh, cost per unit in Rs.)</t>
  </si>
  <si>
    <t xml:space="preserve">Financial year</t>
  </si>
  <si>
    <t xml:space="preserve">Purchased (grid) — units</t>
  </si>
  <si>
    <t xml:space="preserve">Purchased (grid) — Rs./kWh</t>
  </si>
  <si>
    <t xml:space="preserve">Diesel generator — units</t>
  </si>
  <si>
    <t xml:space="preserve">Diesel generator — Rs./kWh</t>
  </si>
  <si>
    <t xml:space="preserve">Captive power - coal — units</t>
  </si>
  <si>
    <t xml:space="preserve">Captive power - coal — Rs./kWh</t>
  </si>
  <si>
    <t xml:space="preserve">Captive power - naphtha — units</t>
  </si>
  <si>
    <t xml:space="preserve">Captive power - naphtha — Rs./kWh</t>
  </si>
  <si>
    <t xml:space="preserve">Waste heat recovery — units</t>
  </si>
  <si>
    <t xml:space="preserve">Waste heat recovery — Rs./kWh</t>
  </si>
  <si>
    <t xml:space="preserve">Solar — units</t>
  </si>
  <si>
    <t xml:space="preserve">Solar — Rs./kWh</t>
  </si>
  <si>
    <t xml:space="preserve">Wind — units</t>
  </si>
  <si>
    <t xml:space="preserve">Wind — Rs./kWh</t>
  </si>
  <si>
    <t xml:space="preserve">Net sales (Rs. Cr)</t>
  </si>
  <si>
    <t xml:space="preserve">BLOCK B — QUARTERLY BUILD FROM INVESTOR PRESENTATIONS</t>
  </si>
  <si>
    <t xml:space="preserve">Q1 volume</t>
  </si>
  <si>
    <t xml:space="preserve">Q2 volume</t>
  </si>
  <si>
    <t xml:space="preserve">Q3 volume</t>
  </si>
  <si>
    <t xml:space="preserve">Q4 volume</t>
  </si>
  <si>
    <t xml:space="preserve">Q1 Rs./t</t>
  </si>
  <si>
    <t xml:space="preserve">Q2 Rs./t</t>
  </si>
  <si>
    <t xml:space="preserve">Q3 Rs./t</t>
  </si>
  <si>
    <t xml:space="preserve">Q4 Rs./t</t>
  </si>
  <si>
    <t xml:space="preserve">kWh/t (FY)</t>
  </si>
  <si>
    <t xml:space="preserve">Grey cement domestic revenue (Rs. Cr)</t>
  </si>
  <si>
    <t xml:space="preserve">Consolidated net sales (Rs. Cr)</t>
  </si>
  <si>
    <t xml:space="preserve">COST PER UNIT BY SOURCE (Rs./kWh)</t>
  </si>
  <si>
    <t xml:space="preserve">FY05-FY14 reported in Form A. FY25-FY26 from the power mix tables in the quarterly decks; the two blocks are not directly comparable — see Notes.</t>
  </si>
  <si>
    <t xml:space="preserve">FY05 - FY14  |  Reported in Form A</t>
  </si>
  <si>
    <t xml:space="preserve">Purchased (grid)</t>
  </si>
  <si>
    <t xml:space="preserve">Diesel generator</t>
  </si>
  <si>
    <t xml:space="preserve">Captive power - coal</t>
  </si>
  <si>
    <t xml:space="preserve">Captive power - naphtha</t>
  </si>
  <si>
    <t xml:space="preserve">Waste heat recovery</t>
  </si>
  <si>
    <t xml:space="preserve">Solar</t>
  </si>
  <si>
    <t xml:space="preserve">Wind</t>
  </si>
  <si>
    <t xml:space="preserve">Blended</t>
  </si>
  <si>
    <t xml:space="preserve">FY25 - FY26  |  Power mix tables in the quarterly decks</t>
  </si>
  <si>
    <t xml:space="preserve">Period</t>
  </si>
  <si>
    <t xml:space="preserve">Captive thermal power — mix</t>
  </si>
  <si>
    <t xml:space="preserve">State grid and others — mix</t>
  </si>
  <si>
    <t xml:space="preserve">Renewable energy — mix</t>
  </si>
  <si>
    <t xml:space="preserve">Waste heat recovery system — mix</t>
  </si>
  <si>
    <t xml:space="preserve">Captive thermal power — Rs./kWh</t>
  </si>
  <si>
    <t xml:space="preserve">State grid and others — Rs./kWh</t>
  </si>
  <si>
    <t xml:space="preserve">Renewable energy — Rs./kWh</t>
  </si>
  <si>
    <t xml:space="preserve">Waste heat recovery system — Rs./kWh</t>
  </si>
  <si>
    <t xml:space="preserve">Blended (Rs./kWh)</t>
  </si>
  <si>
    <t xml:space="preserve">kWh/t</t>
  </si>
  <si>
    <t xml:space="preserve">Units (mn kWh)</t>
  </si>
  <si>
    <t xml:space="preserve">Q2FY25</t>
  </si>
  <si>
    <t xml:space="preserve">Q3FY25</t>
  </si>
  <si>
    <t xml:space="preserve">Q4FY25</t>
  </si>
  <si>
    <t xml:space="preserve">Q1FY26</t>
  </si>
  <si>
    <t xml:space="preserve">Q2FY26</t>
  </si>
  <si>
    <t xml:space="preserve">Q3FY26</t>
  </si>
  <si>
    <t xml:space="preserve">Q4FY26</t>
  </si>
  <si>
    <t xml:space="preserve">FY25 weighted (Q2-Q4 only)</t>
  </si>
  <si>
    <t xml:space="preserve">FY26 weighted</t>
  </si>
  <si>
    <t xml:space="preserve">Sourced power excluding waste heat recovery, FY26</t>
  </si>
  <si>
    <t xml:space="preserve">Note: FY25 cannot be weighted for a full year — the Q1FY25 deck does not publish a power mix table.</t>
  </si>
  <si>
    <t xml:space="preserve">NOTES, SOURCES AND CAVEATS</t>
  </si>
  <si>
    <t xml:space="preserve">1.  What this file contains</t>
  </si>
  <si>
    <t xml:space="preserve">Three series for UltraTech Cement Limited (standalone), laid out with years across the columns and all rupee figures in billions: electricity cost in absolute rupees, electricity cost as a percentage of revenue, and the cost per unit of electricity by source. FY2005 to FY2014 and FY2024 to FY2026, with a nine-year hole in between that cannot be filled from public disclosure.</t>
  </si>
  <si>
    <t xml:space="preserve">2.  Why FY15 to FY23 is blank</t>
  </si>
  <si>
    <t xml:space="preserve">Form A of the Directors' Report, which carried electricity units, total amount and rate per unit by source, was withdrawn from the statutory format by the Companies (Accounts) Rules, 2014. From FY15 the Conservation of Energy disclosure is narrative only - it names the fan blades and cyclone modifications but gives no numbers. The FY16, FY19 and FY21 Annual Reports were checked directly and contain no energy quantities.</t>
  </si>
  <si>
    <t xml:space="preserve">The investor presentations do not bridge the gap either: until FY23 they reported a single combined 'Energy cost (Rs./Mt)' covering power and fuel together. The power and fuel split first appears in the Q4FY24 deck.</t>
  </si>
  <si>
    <t xml:space="preserve">The reported P&amp;L carries only a combined 'Power and Fuel Expense' line in every year, with no breakup note, so electricity cannot be separated from coal and petcoke from the accounts either.</t>
  </si>
  <si>
    <t xml:space="preserve">3.  FY05 to FY14 - reported, not derived</t>
  </si>
  <si>
    <t xml:space="preserve">Every figure comes from Form A in the Annual Report: units in thousands of kWh and cost per unit in rupees, for each source separately. Total cost is the sum across sources of units multiplied by cost per unit. Sources: purchased grid power, diesel generator, captive power from coal, captive power from naphtha, waste heat recovery, solar and wind.</t>
  </si>
  <si>
    <t xml:space="preserve">Annual Reports used, each of which carries the current and prior year: 2005-06 (FY05, FY06), 2007-08 (FY07, FY08), 2009-10 (FY09, FY10), 2011-12 (FY11, FY12) and 2013-14 (FY13, FY14). Revenue is net sales from the financial highlights of the same reports.</t>
  </si>
  <si>
    <t xml:space="preserve">4.  The structural break at FY11</t>
  </si>
  <si>
    <t xml:space="preserve">UltraTech merged with Samruddhi Cement, the Grasim cement business, with effect from July 2010. Net sales jump from Rs. 7,050 Cr in FY10 to Rs. 13,206 Cr in FY11 and electricity units from 1.62 to 2.88 billion kWh. FY10 and earlier describe a company roughly half the size. Do not read the FY10 to FY11 step as organic.</t>
  </si>
  <si>
    <t xml:space="preserve">5.  Why the early years show electricity at 8 to 16 percent of revenue</t>
  </si>
  <si>
    <t xml:space="preserve">That is a realisation effect, not a cost blowout. FY05 realisation was about Rs. 2,082 a tonne against roughly Rs. 5,034 in FY26. The company also generated a large share of its power from naphtha and diesel, at Rs. 4.63 and Rs. 3.61 a unit in FY05 - sources it has since eliminated entirely.</t>
  </si>
  <si>
    <t xml:space="preserve">6.  FY24 to FY26 - derived</t>
  </si>
  <si>
    <t xml:space="preserve">No deck publishes an absolute electricity cost. Each quarter's power cost per tonne is multiplied by that quarter's grey cement domestic volume and the four quarters summed. Per-tonne figures come from the power cost slide of each deck; FY24 quarters are taken from the comparatives in the Q4FY24 and FY25 decks, and FY25 quarters from the restated comparatives in the FY26 decks, so that each year sits on one basis.</t>
  </si>
  <si>
    <t xml:space="preserve">Units consumed are volume multiplied by the full-year specific consumption disclosed on Slide 13 of the Q4FY26 deck: 71.4, 70.7 and 68.9 kWh per tonne for FY24, FY25 and FY26. Blended cost per unit is total cost divided by those units.</t>
  </si>
  <si>
    <t xml:space="preserve">7.  The volume-basis question on FY26</t>
  </si>
  <si>
    <t xml:space="preserve">From FY25 UltraTech buys cement from India Cements and resells it under its own brand - 5.33 MnT in FY26 - and that volume sits inside the 140.00 MnT reported figure although UltraTech burnt no power making it. On own-manufactured volume of 134.67 MnT the FY26 figure is Rs. 4,691 Cr and 6.6% of revenue rather than Rs. 4,877 Cr and 6.9%, shown as the memo line. Nothing disclosed says which volume the Rs. 325 a tonne was computed on. FY24 is unaffected and FY25 barely so, since India Cements only consolidated from December 2024, which is why the main series uses reported volume throughout for comparability.</t>
  </si>
  <si>
    <t xml:space="preserve">8.  The two blocks are not strictly comparable</t>
  </si>
  <si>
    <t xml:space="preserve">Form A covered the whole standalone company including white cement. The modern per-tonne figures are for domestic grey cement operations only, excluding India Cements, with prior periods restated for Kesoram. White cement runs at roughly 117 kWh per tonne against 79 for grey, so the older series carries a mix the newer one excludes. The break at FY24 is a definitional one on top of the nine-year gap.</t>
  </si>
  <si>
    <t xml:space="preserve">9.  Source rates</t>
  </si>
  <si>
    <t xml:space="preserve">The FY05-FY14 source categories (purchased, diesel, coal-fired captive, naphtha-fired captive, waste heat, solar, wind) do not map one to one onto the modern four (captive thermal, state grid and others, renewable energy, waste heat recovery). Read each block on its own terms.</t>
  </si>
  <si>
    <t xml:space="preserve">FY26 source rates are weighted by quarterly units, which is quarterly volume multiplied by quarterly kWh per tonne. FY25 cannot be weighted for a full year because the Q1FY25 deck publishes no power mix table, so only its Q2 to Q4 quarters are shown.</t>
  </si>
  <si>
    <t xml:space="preserve">A blended rate that includes waste heat recovery is not a procurement price - waste heat is recovered process heat carried at Rs. 0.60 to 0.80 a unit. The FY26 rate for power actually generated or bought, excluding waste heat, is shown separately on the Source Rates tab.</t>
  </si>
  <si>
    <t xml:space="preserve">10.  Document sources</t>
  </si>
  <si>
    <t xml:space="preserve">Annual Reports and Integrated Reports: ultratechcement.com, Investor Centre, Financials, Annual Reports.</t>
  </si>
  <si>
    <t xml:space="preserve">Quarterly investor presentations: ultratechcement.com, Investor Centre, Financials, Investor Update. Decks used: Q1FY24 to Q4FY24, Q1FY25 to Q4FY25, and Q1FY26 to Q4FY26.</t>
  </si>
  <si>
    <t xml:space="preserve">The Q4FY26 deck is the same document as the BSE filing of 27 April 2026.</t>
  </si>
</sst>
</file>

<file path=xl/styles.xml><?xml version="1.0" encoding="utf-8"?>
<styleSheet xmlns="http://schemas.openxmlformats.org/spreadsheetml/2006/main">
  <numFmts count="6">
    <numFmt numFmtId="164" formatCode="General"/>
    <numFmt numFmtId="165" formatCode="0.00"/>
    <numFmt numFmtId="166" formatCode="#,##0.0"/>
    <numFmt numFmtId="167" formatCode="0.0%"/>
    <numFmt numFmtId="168" formatCode="#,##0"/>
    <numFmt numFmtId="169" formatCode="0.0"/>
  </numFmts>
  <fonts count="13">
    <font>
      <sz val="11"/>
      <color theme="1"/>
      <name val="Calibri"/>
      <family val="2"/>
      <charset val="1"/>
    </font>
    <font>
      <sz val="10"/>
      <name val="Arial"/>
      <family val="0"/>
    </font>
    <font>
      <sz val="10"/>
      <name val="Arial"/>
      <family val="0"/>
    </font>
    <font>
      <sz val="10"/>
      <name val="Arial"/>
      <family val="0"/>
    </font>
    <font>
      <b val="true"/>
      <sz val="13"/>
      <color rgb="FF1F4E79"/>
      <name val="Arial"/>
      <family val="0"/>
      <charset val="1"/>
    </font>
    <font>
      <i val="true"/>
      <sz val="9"/>
      <color rgb="FF595959"/>
      <name val="Arial"/>
      <family val="0"/>
      <charset val="1"/>
    </font>
    <font>
      <b val="true"/>
      <sz val="10"/>
      <color rgb="FFFFFFFF"/>
      <name val="Arial"/>
      <family val="0"/>
      <charset val="1"/>
    </font>
    <font>
      <b val="true"/>
      <sz val="10"/>
      <name val="Arial"/>
      <family val="0"/>
      <charset val="1"/>
    </font>
    <font>
      <sz val="10"/>
      <color rgb="FFA6A6A6"/>
      <name val="Arial"/>
      <family val="0"/>
      <charset val="1"/>
    </font>
    <font>
      <sz val="10"/>
      <name val="Arial"/>
      <family val="0"/>
      <charset val="1"/>
    </font>
    <font>
      <b val="true"/>
      <sz val="12"/>
      <color rgb="FF1F4E79"/>
      <name val="Arial"/>
      <family val="0"/>
      <charset val="1"/>
    </font>
    <font>
      <sz val="10"/>
      <color rgb="FF0000FF"/>
      <name val="Arial"/>
      <family val="0"/>
      <charset val="1"/>
    </font>
    <font>
      <b val="true"/>
      <sz val="11"/>
      <color rgb="FF1F4E79"/>
      <name val="Arial"/>
      <family val="0"/>
      <charset val="1"/>
    </font>
  </fonts>
  <fills count="6">
    <fill>
      <patternFill patternType="none"/>
    </fill>
    <fill>
      <patternFill patternType="gray125"/>
    </fill>
    <fill>
      <patternFill patternType="solid">
        <fgColor rgb="FF2E75B6"/>
        <bgColor rgb="FF0066CC"/>
      </patternFill>
    </fill>
    <fill>
      <patternFill patternType="solid">
        <fgColor rgb="FFDDEBF7"/>
        <bgColor rgb="FFE2EFDA"/>
      </patternFill>
    </fill>
    <fill>
      <patternFill patternType="solid">
        <fgColor rgb="FFE2EFDA"/>
        <bgColor rgb="FFDDEBF7"/>
      </patternFill>
    </fill>
    <fill>
      <patternFill patternType="solid">
        <fgColor rgb="FF1F4E79"/>
        <bgColor rgb="FF003366"/>
      </patternFill>
    </fill>
  </fills>
  <borders count="2">
    <border diagonalUp="false" diagonalDown="false">
      <left/>
      <right/>
      <top/>
      <bottom/>
      <diagonal/>
    </border>
    <border diagonalUp="false" diagonalDown="false">
      <left/>
      <right/>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center" textRotation="0" wrapText="false" indent="0" shrinkToFit="false"/>
      <protection locked="true" hidden="false"/>
    </xf>
    <xf numFmtId="164" fontId="5" fillId="0" borderId="0" xfId="0" applyFont="true" applyBorder="false" applyAlignment="true" applyProtection="false">
      <alignment horizontal="left" vertical="center" textRotation="0" wrapText="false" indent="0" shrinkToFit="false"/>
      <protection locked="true" hidden="false"/>
    </xf>
    <xf numFmtId="164" fontId="6" fillId="2" borderId="0" xfId="0" applyFont="true" applyBorder="false" applyAlignment="true" applyProtection="false">
      <alignment horizontal="left" vertical="center" textRotation="0" wrapText="false" indent="0" shrinkToFit="false"/>
      <protection locked="true" hidden="false"/>
    </xf>
    <xf numFmtId="164" fontId="6" fillId="2" borderId="0" xfId="0" applyFont="true" applyBorder="fals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5" fontId="7" fillId="3" borderId="1" xfId="0" applyFont="true" applyBorder="true" applyAlignment="true" applyProtection="false">
      <alignment horizontal="right" vertical="bottom" textRotation="0" wrapText="false" indent="0" shrinkToFit="false"/>
      <protection locked="true" hidden="false"/>
    </xf>
    <xf numFmtId="165" fontId="8" fillId="3" borderId="1" xfId="0" applyFont="true" applyBorder="true" applyAlignment="true" applyProtection="false">
      <alignment horizontal="right" vertical="bottom" textRotation="0" wrapText="false" indent="0" shrinkToFit="false"/>
      <protection locked="true" hidden="false"/>
    </xf>
    <xf numFmtId="164" fontId="9" fillId="0" borderId="1" xfId="0" applyFont="true" applyBorder="true" applyAlignment="true" applyProtection="false">
      <alignment horizontal="left" vertical="center" textRotation="0" wrapText="false" indent="0" shrinkToFit="false"/>
      <protection locked="true" hidden="false"/>
    </xf>
    <xf numFmtId="166" fontId="9" fillId="0" borderId="1" xfId="0" applyFont="true" applyBorder="true" applyAlignment="true" applyProtection="false">
      <alignment horizontal="right" vertical="bottom" textRotation="0" wrapText="false" indent="0" shrinkToFit="false"/>
      <protection locked="true" hidden="false"/>
    </xf>
    <xf numFmtId="166" fontId="8" fillId="0" borderId="1" xfId="0" applyFont="true" applyBorder="true" applyAlignment="true" applyProtection="false">
      <alignment horizontal="right" vertical="bottom" textRotation="0" wrapText="false" indent="0" shrinkToFit="false"/>
      <protection locked="true" hidden="false"/>
    </xf>
    <xf numFmtId="167" fontId="7" fillId="3" borderId="1" xfId="0" applyFont="true" applyBorder="true" applyAlignment="true" applyProtection="false">
      <alignment horizontal="right" vertical="bottom" textRotation="0" wrapText="false" indent="0" shrinkToFit="false"/>
      <protection locked="true" hidden="false"/>
    </xf>
    <xf numFmtId="167" fontId="8" fillId="3" borderId="1" xfId="0" applyFont="true" applyBorder="true" applyAlignment="true" applyProtection="false">
      <alignment horizontal="right" vertical="bottom" textRotation="0" wrapText="false" indent="0" shrinkToFit="false"/>
      <protection locked="true" hidden="false"/>
    </xf>
    <xf numFmtId="168" fontId="9" fillId="0" borderId="1" xfId="0" applyFont="true" applyBorder="true" applyAlignment="true" applyProtection="false">
      <alignment horizontal="right" vertical="bottom" textRotation="0" wrapText="false" indent="0" shrinkToFit="false"/>
      <protection locked="true" hidden="false"/>
    </xf>
    <xf numFmtId="168" fontId="8" fillId="0" borderId="1" xfId="0" applyFont="true" applyBorder="true" applyAlignment="true" applyProtection="false">
      <alignment horizontal="right" vertical="bottom" textRotation="0" wrapText="false" indent="0" shrinkToFit="false"/>
      <protection locked="true" hidden="false"/>
    </xf>
    <xf numFmtId="165" fontId="8" fillId="0" borderId="1" xfId="0" applyFont="true" applyBorder="true" applyAlignment="true" applyProtection="false">
      <alignment horizontal="right" vertical="bottom" textRotation="0" wrapText="false" indent="0" shrinkToFit="false"/>
      <protection locked="true" hidden="false"/>
    </xf>
    <xf numFmtId="165" fontId="9" fillId="0" borderId="1" xfId="0" applyFont="true" applyBorder="true" applyAlignment="true" applyProtection="false">
      <alignment horizontal="right" vertical="bottom" textRotation="0" wrapText="false" indent="0" shrinkToFit="false"/>
      <protection locked="true" hidden="false"/>
    </xf>
    <xf numFmtId="164" fontId="5" fillId="0" borderId="1" xfId="0" applyFont="true" applyBorder="true" applyAlignment="true" applyProtection="false">
      <alignment horizontal="right"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5" fontId="7" fillId="4" borderId="1"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left" vertical="center" textRotation="0" wrapText="false" indent="0" shrinkToFit="false"/>
      <protection locked="true" hidden="false"/>
    </xf>
    <xf numFmtId="164" fontId="6" fillId="5" borderId="0" xfId="0" applyFont="true" applyBorder="false" applyAlignment="true" applyProtection="false">
      <alignment horizontal="left" vertical="center" textRotation="0" wrapText="false" indent="0" shrinkToFit="false"/>
      <protection locked="true" hidden="false"/>
    </xf>
    <xf numFmtId="164" fontId="6" fillId="5" borderId="0" xfId="0" applyFont="true" applyBorder="false" applyAlignment="true" applyProtection="false">
      <alignment horizontal="right" vertical="center" textRotation="0" wrapText="false" indent="0" shrinkToFit="false"/>
      <protection locked="true" hidden="false"/>
    </xf>
    <xf numFmtId="164" fontId="6" fillId="2" borderId="0" xfId="0" applyFont="true" applyBorder="false" applyAlignment="true" applyProtection="false">
      <alignment horizontal="center" vertical="center" textRotation="0" wrapText="true" indent="0" shrinkToFit="false"/>
      <protection locked="true" hidden="false"/>
    </xf>
    <xf numFmtId="164" fontId="7" fillId="0" borderId="0" xfId="0" applyFont="true" applyBorder="false" applyAlignment="true" applyProtection="false">
      <alignment horizontal="left" vertical="center" textRotation="0" wrapText="false" indent="0" shrinkToFit="false"/>
      <protection locked="true" hidden="false"/>
    </xf>
    <xf numFmtId="166" fontId="11" fillId="0" borderId="0" xfId="0" applyFont="true" applyBorder="false" applyAlignment="true" applyProtection="false">
      <alignment horizontal="right" vertical="center" textRotation="0" wrapText="false" indent="0" shrinkToFit="false"/>
      <protection locked="true" hidden="false"/>
    </xf>
    <xf numFmtId="165" fontId="11" fillId="0" borderId="0" xfId="0" applyFont="true" applyBorder="false" applyAlignment="true" applyProtection="false">
      <alignment horizontal="right" vertical="center" textRotation="0" wrapText="false" indent="0" shrinkToFit="false"/>
      <protection locked="true" hidden="false"/>
    </xf>
    <xf numFmtId="168" fontId="11" fillId="0" borderId="0" xfId="0" applyFont="true" applyBorder="false" applyAlignment="true" applyProtection="false">
      <alignment horizontal="right" vertical="center" textRotation="0" wrapText="false" indent="0" shrinkToFit="false"/>
      <protection locked="true" hidden="false"/>
    </xf>
    <xf numFmtId="169" fontId="11" fillId="0" borderId="0" xfId="0" applyFont="true" applyBorder="false" applyAlignment="true" applyProtection="false">
      <alignment horizontal="right" vertical="center" textRotation="0" wrapText="false" indent="0" shrinkToFit="false"/>
      <protection locked="true" hidden="false"/>
    </xf>
    <xf numFmtId="165" fontId="9" fillId="0" borderId="0" xfId="0" applyFont="true" applyBorder="false" applyAlignment="true" applyProtection="false">
      <alignment horizontal="right" vertical="center" textRotation="0" wrapText="false" indent="0" shrinkToFit="false"/>
      <protection locked="true" hidden="false"/>
    </xf>
    <xf numFmtId="165" fontId="7" fillId="3" borderId="0" xfId="0" applyFont="true" applyBorder="false" applyAlignment="true" applyProtection="false">
      <alignment horizontal="right" vertical="center" textRotation="0" wrapText="false" indent="0" shrinkToFit="false"/>
      <protection locked="true" hidden="false"/>
    </xf>
    <xf numFmtId="167" fontId="11" fillId="0" borderId="0" xfId="0" applyFont="true" applyBorder="false" applyAlignment="true" applyProtection="false">
      <alignment horizontal="right" vertical="center" textRotation="0" wrapText="false" indent="0" shrinkToFit="false"/>
      <protection locked="true" hidden="false"/>
    </xf>
    <xf numFmtId="165" fontId="11" fillId="3" borderId="0" xfId="0" applyFont="true" applyBorder="false" applyAlignment="true" applyProtection="false">
      <alignment horizontal="right" vertical="center" textRotation="0" wrapText="false" indent="0" shrinkToFit="false"/>
      <protection locked="true" hidden="false"/>
    </xf>
    <xf numFmtId="168" fontId="9" fillId="0" borderId="0" xfId="0" applyFont="true" applyBorder="false" applyAlignment="true" applyProtection="false">
      <alignment horizontal="right" vertical="center" textRotation="0" wrapText="false" indent="0" shrinkToFit="false"/>
      <protection locked="true" hidden="false"/>
    </xf>
    <xf numFmtId="164" fontId="7" fillId="4" borderId="0" xfId="0" applyFont="true" applyBorder="false" applyAlignment="true" applyProtection="false">
      <alignment horizontal="left" vertical="center" textRotation="0" wrapText="false" indent="0" shrinkToFit="false"/>
      <protection locked="true" hidden="false"/>
    </xf>
    <xf numFmtId="167" fontId="7" fillId="4" borderId="0" xfId="0" applyFont="true" applyBorder="false" applyAlignment="true" applyProtection="false">
      <alignment horizontal="right" vertical="center" textRotation="0" wrapText="false" indent="0" shrinkToFit="false"/>
      <protection locked="true" hidden="false"/>
    </xf>
    <xf numFmtId="165" fontId="7" fillId="4" borderId="0" xfId="0" applyFont="true" applyBorder="false" applyAlignment="true" applyProtection="false">
      <alignment horizontal="right" vertical="center"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12"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2E75B6"/>
      <rgbColor rgb="FF33CCCC"/>
      <rgbColor rgb="FF99CC00"/>
      <rgbColor rgb="FFFFCC00"/>
      <rgbColor rgb="FFFF9900"/>
      <rgbColor rgb="FFFF6600"/>
      <rgbColor rgb="FF595959"/>
      <rgbColor rgb="FFA6A6A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1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42"/>
    <col collapsed="false" customWidth="true" hidden="false" outlineLevel="0" max="23" min="2" style="0" width="9.5"/>
  </cols>
  <sheetData>
    <row r="1" customFormat="false" ht="16.1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t="s">
        <v>2</v>
      </c>
    </row>
    <row r="5" customFormat="false" ht="19.5" hidden="false" customHeight="true" outlineLevel="0" collapsed="false">
      <c r="A5" s="3" t="s">
        <v>3</v>
      </c>
      <c r="B5" s="4" t="s">
        <v>4</v>
      </c>
      <c r="C5" s="4" t="s">
        <v>5</v>
      </c>
      <c r="D5" s="4" t="s">
        <v>6</v>
      </c>
      <c r="E5" s="4" t="s">
        <v>7</v>
      </c>
      <c r="F5" s="4" t="s">
        <v>8</v>
      </c>
      <c r="G5" s="4" t="s">
        <v>9</v>
      </c>
      <c r="H5" s="4" t="s">
        <v>10</v>
      </c>
      <c r="I5" s="4" t="s">
        <v>11</v>
      </c>
      <c r="J5" s="4" t="s">
        <v>12</v>
      </c>
      <c r="K5" s="4" t="s">
        <v>13</v>
      </c>
      <c r="L5" s="4" t="s">
        <v>14</v>
      </c>
      <c r="M5" s="4" t="s">
        <v>15</v>
      </c>
      <c r="N5" s="4" t="s">
        <v>16</v>
      </c>
      <c r="O5" s="4" t="s">
        <v>17</v>
      </c>
      <c r="P5" s="4" t="s">
        <v>18</v>
      </c>
      <c r="Q5" s="4" t="s">
        <v>19</v>
      </c>
      <c r="R5" s="4" t="s">
        <v>20</v>
      </c>
      <c r="S5" s="4" t="s">
        <v>21</v>
      </c>
      <c r="T5" s="4" t="s">
        <v>22</v>
      </c>
      <c r="U5" s="4" t="s">
        <v>23</v>
      </c>
      <c r="V5" s="4" t="s">
        <v>24</v>
      </c>
      <c r="W5" s="4" t="s">
        <v>25</v>
      </c>
    </row>
    <row r="6" customFormat="false" ht="15" hidden="false" customHeight="false" outlineLevel="0" collapsed="false">
      <c r="A6" s="5" t="s">
        <v>26</v>
      </c>
      <c r="B6" s="6" t="n">
        <f aca="false">(Workings!B6*Workings!C6+Workings!D6*Workings!E6+Workings!F6*Workings!G6+Workings!H6*Workings!I6+Workings!J6*Workings!K6+Workings!L6*Workings!M6+Workings!N6*Workings!O6)*1000/1000000000</f>
        <v>4.11385454</v>
      </c>
      <c r="C6" s="6" t="n">
        <f aca="false">(Workings!B7*Workings!C7+Workings!D7*Workings!E7+Workings!F7*Workings!G7+Workings!H7*Workings!I7+Workings!J7*Workings!K7+Workings!L7*Workings!M7+Workings!N7*Workings!O7)*1000/1000000000</f>
        <v>4.90642431</v>
      </c>
      <c r="D6" s="6" t="n">
        <f aca="false">(Workings!B8*Workings!C8+Workings!D8*Workings!E8+Workings!F8*Workings!G8+Workings!H8*Workings!I8+Workings!J8*Workings!K8+Workings!L8*Workings!M8+Workings!N8*Workings!O8)*1000/1000000000</f>
        <v>5.8964173225</v>
      </c>
      <c r="E6" s="6" t="n">
        <f aca="false">(Workings!B9*Workings!C9+Workings!D9*Workings!E9+Workings!F9*Workings!G9+Workings!H9*Workings!I9+Workings!J9*Workings!K9+Workings!L9*Workings!M9+Workings!N9*Workings!O9)*1000/1000000000</f>
        <v>5.96309807</v>
      </c>
      <c r="F6" s="6" t="n">
        <f aca="false">(Workings!B10*Workings!C10+Workings!D10*Workings!E10+Workings!F10*Workings!G10+Workings!H10*Workings!I10+Workings!J10*Workings!K10+Workings!L10*Workings!M10+Workings!N10*Workings!O10)*1000/1000000000</f>
        <v>6.77216656</v>
      </c>
      <c r="G6" s="6" t="n">
        <f aca="false">(Workings!B11*Workings!C11+Workings!D11*Workings!E11+Workings!F11*Workings!G11+Workings!H11*Workings!I11+Workings!J11*Workings!K11+Workings!L11*Workings!M11+Workings!N11*Workings!O11)*1000/1000000000</f>
        <v>6.00985228</v>
      </c>
      <c r="H6" s="6" t="n">
        <f aca="false">(Workings!B12*Workings!C12+Workings!D12*Workings!E12+Workings!F12*Workings!G12+Workings!H12*Workings!I12+Workings!J12*Workings!K12+Workings!L12*Workings!M12+Workings!N12*Workings!O12)*1000/1000000000</f>
        <v>11.91467068</v>
      </c>
      <c r="I6" s="6" t="n">
        <f aca="false">(Workings!B13*Workings!C13+Workings!D13*Workings!E13+Workings!F13*Workings!G13+Workings!H13*Workings!I13+Workings!J13*Workings!K13+Workings!L13*Workings!M13+Workings!N13*Workings!O13)*1000/1000000000</f>
        <v>15.35219789</v>
      </c>
      <c r="J6" s="6" t="n">
        <f aca="false">(Workings!B14*Workings!C14+Workings!D14*Workings!E14+Workings!F14*Workings!G14+Workings!H14*Workings!I14+Workings!J14*Workings!K14+Workings!L14*Workings!M14+Workings!N14*Workings!O14)*1000/1000000000</f>
        <v>16.27918081</v>
      </c>
      <c r="K6" s="6" t="n">
        <f aca="false">(Workings!B15*Workings!C15+Workings!D15*Workings!E15+Workings!F15*Workings!G15+Workings!H15*Workings!I15+Workings!J15*Workings!K15+Workings!L15*Workings!M15+Workings!N15*Workings!O15)*1000/1000000000</f>
        <v>15.42310182</v>
      </c>
      <c r="L6" s="7" t="s">
        <v>27</v>
      </c>
      <c r="M6" s="7" t="s">
        <v>27</v>
      </c>
      <c r="N6" s="7" t="s">
        <v>27</v>
      </c>
      <c r="O6" s="7" t="s">
        <v>27</v>
      </c>
      <c r="P6" s="7" t="s">
        <v>27</v>
      </c>
      <c r="Q6" s="7" t="s">
        <v>27</v>
      </c>
      <c r="R6" s="7" t="s">
        <v>27</v>
      </c>
      <c r="S6" s="7" t="s">
        <v>27</v>
      </c>
      <c r="T6" s="7" t="s">
        <v>27</v>
      </c>
      <c r="U6" s="6" t="n">
        <f aca="false">SUMPRODUCT(Workings!B19:E19,Workings!F19:I19)/1000</f>
        <v>46.48844</v>
      </c>
      <c r="V6" s="6" t="n">
        <f aca="false">SUMPRODUCT(Workings!B20:E20,Workings!F20:I20)/1000</f>
        <v>48.50814</v>
      </c>
      <c r="W6" s="6" t="n">
        <f aca="false">SUMPRODUCT(Workings!B21:E21,Workings!F21:I21)/1000</f>
        <v>48.77095</v>
      </c>
    </row>
    <row r="7" customFormat="false" ht="15" hidden="false" customHeight="false" outlineLevel="0" collapsed="false">
      <c r="A7" s="8" t="s">
        <v>28</v>
      </c>
      <c r="B7" s="9" t="n">
        <f aca="false">Workings!P6/100</f>
        <v>26.069</v>
      </c>
      <c r="C7" s="9" t="n">
        <f aca="false">Workings!P7/100</f>
        <v>32.9945</v>
      </c>
      <c r="D7" s="9" t="n">
        <f aca="false">Workings!P8/100</f>
        <v>49.1052</v>
      </c>
      <c r="E7" s="9" t="n">
        <f aca="false">Workings!P9/100</f>
        <v>55.0922</v>
      </c>
      <c r="F7" s="9" t="n">
        <f aca="false">Workings!P10/100</f>
        <v>63.83</v>
      </c>
      <c r="G7" s="9" t="n">
        <f aca="false">Workings!P11/100</f>
        <v>70.5</v>
      </c>
      <c r="H7" s="9" t="n">
        <f aca="false">Workings!P12/100</f>
        <v>132.06</v>
      </c>
      <c r="I7" s="9" t="n">
        <f aca="false">Workings!P13/100</f>
        <v>181.58</v>
      </c>
      <c r="J7" s="9" t="n">
        <f aca="false">Workings!P14/100</f>
        <v>200.23</v>
      </c>
      <c r="K7" s="9" t="n">
        <f aca="false">Workings!P15/100</f>
        <v>200.78</v>
      </c>
      <c r="L7" s="10" t="s">
        <v>27</v>
      </c>
      <c r="M7" s="10" t="s">
        <v>27</v>
      </c>
      <c r="N7" s="10" t="s">
        <v>27</v>
      </c>
      <c r="O7" s="10" t="s">
        <v>27</v>
      </c>
      <c r="P7" s="10" t="s">
        <v>27</v>
      </c>
      <c r="Q7" s="10" t="s">
        <v>27</v>
      </c>
      <c r="R7" s="10" t="s">
        <v>27</v>
      </c>
      <c r="S7" s="10" t="s">
        <v>27</v>
      </c>
      <c r="T7" s="10" t="s">
        <v>27</v>
      </c>
      <c r="U7" s="9" t="n">
        <f aca="false">Workings!K19/100</f>
        <v>598.24</v>
      </c>
      <c r="V7" s="9" t="n">
        <f aca="false">Workings!K20/100</f>
        <v>622.05</v>
      </c>
      <c r="W7" s="9" t="n">
        <f aca="false">Workings!K21/100</f>
        <v>706.66</v>
      </c>
    </row>
    <row r="8" customFormat="false" ht="15" hidden="false" customHeight="false" outlineLevel="0" collapsed="false">
      <c r="A8" s="5" t="s">
        <v>29</v>
      </c>
      <c r="B8" s="11" t="n">
        <f aca="false">B6/B7</f>
        <v>0.157806380758756</v>
      </c>
      <c r="C8" s="11" t="n">
        <f aca="false">C6/C7</f>
        <v>0.148704308596887</v>
      </c>
      <c r="D8" s="11" t="n">
        <f aca="false">D6/D7</f>
        <v>0.120077248896247</v>
      </c>
      <c r="E8" s="11" t="n">
        <f aca="false">E6/E7</f>
        <v>0.108238517793807</v>
      </c>
      <c r="F8" s="11" t="n">
        <f aca="false">F6/F7</f>
        <v>0.106096922450259</v>
      </c>
      <c r="G8" s="11" t="n">
        <f aca="false">G6/G7</f>
        <v>0.0852461316312057</v>
      </c>
      <c r="H8" s="11" t="n">
        <f aca="false">H6/H7</f>
        <v>0.0902216468271998</v>
      </c>
      <c r="I8" s="11" t="n">
        <f aca="false">I6/I7</f>
        <v>0.0845478460733561</v>
      </c>
      <c r="J8" s="11" t="n">
        <f aca="false">J6/J7</f>
        <v>0.0813024062827748</v>
      </c>
      <c r="K8" s="11" t="n">
        <f aca="false">K6/K7</f>
        <v>0.0768159269847594</v>
      </c>
      <c r="L8" s="12" t="s">
        <v>27</v>
      </c>
      <c r="M8" s="12" t="s">
        <v>27</v>
      </c>
      <c r="N8" s="12" t="s">
        <v>27</v>
      </c>
      <c r="O8" s="12" t="s">
        <v>27</v>
      </c>
      <c r="P8" s="12" t="s">
        <v>27</v>
      </c>
      <c r="Q8" s="12" t="s">
        <v>27</v>
      </c>
      <c r="R8" s="12" t="s">
        <v>27</v>
      </c>
      <c r="S8" s="12" t="s">
        <v>27</v>
      </c>
      <c r="T8" s="12" t="s">
        <v>27</v>
      </c>
      <c r="U8" s="11" t="n">
        <f aca="false">U6/U7</f>
        <v>0.0777086787911206</v>
      </c>
      <c r="V8" s="11" t="n">
        <f aca="false">V6/V7</f>
        <v>0.0779810947673017</v>
      </c>
      <c r="W8" s="11" t="n">
        <f aca="false">W6/W7</f>
        <v>0.0690161463787394</v>
      </c>
    </row>
    <row r="9" customFormat="false" ht="15" hidden="false" customHeight="false" outlineLevel="0" collapsed="false">
      <c r="A9" s="8" t="s">
        <v>30</v>
      </c>
      <c r="B9" s="13" t="n">
        <f aca="false">(Workings!B6+Workings!D6+Workings!F6+Workings!H6+Workings!J6+Workings!L6+Workings!N6)/1000</f>
        <v>1205.377</v>
      </c>
      <c r="C9" s="13" t="n">
        <f aca="false">(Workings!B7+Workings!D7+Workings!F7+Workings!H7+Workings!J7+Workings!L7+Workings!N7)/1000</f>
        <v>1277.06</v>
      </c>
      <c r="D9" s="13" t="n">
        <f aca="false">(Workings!B8+Workings!D8+Workings!F8+Workings!H8+Workings!J8+Workings!L8+Workings!N8)/1000</f>
        <v>1410.78705</v>
      </c>
      <c r="E9" s="13" t="n">
        <f aca="false">(Workings!B9+Workings!D9+Workings!F9+Workings!H9+Workings!J9+Workings!L9+Workings!N9)/1000</f>
        <v>1441.702</v>
      </c>
      <c r="F9" s="13" t="n">
        <f aca="false">(Workings!B10+Workings!D10+Workings!F10+Workings!H10+Workings!J10+Workings!L10+Workings!N10)/1000</f>
        <v>1531.732</v>
      </c>
      <c r="G9" s="13" t="n">
        <f aca="false">(Workings!B11+Workings!D11+Workings!F11+Workings!H11+Workings!J11+Workings!L11+Workings!N11)/1000</f>
        <v>1623.537</v>
      </c>
      <c r="H9" s="13" t="n">
        <f aca="false">(Workings!B12+Workings!D12+Workings!F12+Workings!H12+Workings!J12+Workings!L12+Workings!N12)/1000</f>
        <v>2882.112</v>
      </c>
      <c r="I9" s="13" t="n">
        <f aca="false">(Workings!B13+Workings!D13+Workings!F13+Workings!H13+Workings!J13+Workings!L13+Workings!N13)/1000</f>
        <v>3322.765</v>
      </c>
      <c r="J9" s="13" t="n">
        <f aca="false">(Workings!B14+Workings!D14+Workings!F14+Workings!H14+Workings!J14+Workings!L14+Workings!N14)/1000</f>
        <v>3450.632</v>
      </c>
      <c r="K9" s="13" t="n">
        <f aca="false">(Workings!B15+Workings!D15+Workings!F15+Workings!H15+Workings!J15+Workings!L15+Workings!N15)/1000</f>
        <v>3370.156</v>
      </c>
      <c r="L9" s="14" t="s">
        <v>27</v>
      </c>
      <c r="M9" s="14" t="s">
        <v>27</v>
      </c>
      <c r="N9" s="14" t="s">
        <v>27</v>
      </c>
      <c r="O9" s="14" t="s">
        <v>27</v>
      </c>
      <c r="P9" s="14" t="s">
        <v>27</v>
      </c>
      <c r="Q9" s="14" t="s">
        <v>27</v>
      </c>
      <c r="R9" s="14" t="s">
        <v>27</v>
      </c>
      <c r="S9" s="14" t="s">
        <v>27</v>
      </c>
      <c r="T9" s="14" t="s">
        <v>27</v>
      </c>
      <c r="U9" s="13" t="n">
        <f aca="false">U12*Workings!J19</f>
        <v>8013.936</v>
      </c>
      <c r="V9" s="13" t="n">
        <f aca="false">V12*Workings!J20</f>
        <v>8845.277</v>
      </c>
      <c r="W9" s="13" t="n">
        <f aca="false">W12*Workings!J21</f>
        <v>9646</v>
      </c>
    </row>
    <row r="10" customFormat="false" ht="15" hidden="false" customHeight="false" outlineLevel="0" collapsed="false">
      <c r="A10" s="5" t="s">
        <v>31</v>
      </c>
      <c r="B10" s="6" t="n">
        <f aca="false">B6*1000/B9</f>
        <v>3.41291939368347</v>
      </c>
      <c r="C10" s="6" t="n">
        <f aca="false">C6*1000/C9</f>
        <v>3.84196851361722</v>
      </c>
      <c r="D10" s="6" t="n">
        <f aca="false">D6*1000/D9</f>
        <v>4.17952328276617</v>
      </c>
      <c r="E10" s="6" t="n">
        <f aca="false">E6*1000/E9</f>
        <v>4.13615162495439</v>
      </c>
      <c r="F10" s="6" t="n">
        <f aca="false">F6*1000/F9</f>
        <v>4.42124768562647</v>
      </c>
      <c r="G10" s="6" t="n">
        <f aca="false">G6*1000/G9</f>
        <v>3.70170330580701</v>
      </c>
      <c r="H10" s="6" t="n">
        <f aca="false">H6*1000/H9</f>
        <v>4.13400682555015</v>
      </c>
      <c r="I10" s="6" t="n">
        <f aca="false">I6*1000/I9</f>
        <v>4.62030805368421</v>
      </c>
      <c r="J10" s="6" t="n">
        <f aca="false">J6*1000/J9</f>
        <v>4.71773889826559</v>
      </c>
      <c r="K10" s="6" t="n">
        <f aca="false">K6*1000/K9</f>
        <v>4.57637623302898</v>
      </c>
      <c r="L10" s="7" t="s">
        <v>27</v>
      </c>
      <c r="M10" s="7" t="s">
        <v>27</v>
      </c>
      <c r="N10" s="7" t="s">
        <v>27</v>
      </c>
      <c r="O10" s="7" t="s">
        <v>27</v>
      </c>
      <c r="P10" s="7" t="s">
        <v>27</v>
      </c>
      <c r="Q10" s="7" t="s">
        <v>27</v>
      </c>
      <c r="R10" s="7" t="s">
        <v>27</v>
      </c>
      <c r="S10" s="7" t="s">
        <v>27</v>
      </c>
      <c r="T10" s="7" t="s">
        <v>27</v>
      </c>
      <c r="U10" s="6" t="n">
        <f aca="false">U6*1000/U9</f>
        <v>5.80094974554326</v>
      </c>
      <c r="V10" s="6" t="n">
        <f aca="false">V6*1000/V9</f>
        <v>5.48407246036501</v>
      </c>
      <c r="W10" s="6" t="n">
        <f aca="false">W6*1000/W9</f>
        <v>5.0560802405142</v>
      </c>
    </row>
    <row r="11" customFormat="false" ht="15" hidden="false" customHeight="false" outlineLevel="0" collapsed="false">
      <c r="A11" s="5" t="s">
        <v>32</v>
      </c>
      <c r="B11" s="6" t="str">
        <f aca="false">IFERROR((Workings!L6*Workings!M6+Workings!N6*Workings!O6)/(Workings!L6+Workings!N6),"-")</f>
        <v>-</v>
      </c>
      <c r="C11" s="6" t="str">
        <f aca="false">IFERROR((Workings!L7*Workings!M7+Workings!N7*Workings!O7)/(Workings!L7+Workings!N7),"-")</f>
        <v>-</v>
      </c>
      <c r="D11" s="6" t="str">
        <f aca="false">IFERROR((Workings!L8*Workings!M8+Workings!N8*Workings!O8)/(Workings!L8+Workings!N8),"-")</f>
        <v>-</v>
      </c>
      <c r="E11" s="6" t="str">
        <f aca="false">IFERROR((Workings!L9*Workings!M9+Workings!N9*Workings!O9)/(Workings!L9+Workings!N9),"-")</f>
        <v>-</v>
      </c>
      <c r="F11" s="6" t="str">
        <f aca="false">IFERROR((Workings!L10*Workings!M10+Workings!N10*Workings!O10)/(Workings!L10+Workings!N10),"-")</f>
        <v>-</v>
      </c>
      <c r="G11" s="6" t="str">
        <f aca="false">IFERROR((Workings!L11*Workings!M11+Workings!N11*Workings!O11)/(Workings!L11+Workings!N11),"-")</f>
        <v>-</v>
      </c>
      <c r="H11" s="6" t="str">
        <f aca="false">IFERROR((Workings!L12*Workings!M12+Workings!N12*Workings!O12)/(Workings!L12+Workings!N12),"-")</f>
        <v>-</v>
      </c>
      <c r="I11" s="6" t="str">
        <f aca="false">IFERROR((Workings!L13*Workings!M13+Workings!N13*Workings!O13)/(Workings!L13+Workings!N13),"-")</f>
        <v>-</v>
      </c>
      <c r="J11" s="6" t="n">
        <f aca="false">IFERROR((Workings!L14*Workings!M14+Workings!N14*Workings!O14)/(Workings!L14+Workings!N14),"-")</f>
        <v>0.577239530132789</v>
      </c>
      <c r="K11" s="6" t="n">
        <f aca="false">IFERROR((Workings!L15*Workings!M15+Workings!N15*Workings!O15)/(Workings!L15+Workings!N15),"-")</f>
        <v>1.12141795541273</v>
      </c>
      <c r="L11" s="7" t="s">
        <v>27</v>
      </c>
      <c r="M11" s="7" t="s">
        <v>27</v>
      </c>
      <c r="N11" s="7" t="s">
        <v>27</v>
      </c>
      <c r="O11" s="7" t="s">
        <v>27</v>
      </c>
      <c r="P11" s="7" t="s">
        <v>27</v>
      </c>
      <c r="Q11" s="7" t="s">
        <v>27</v>
      </c>
      <c r="R11" s="7" t="s">
        <v>27</v>
      </c>
      <c r="S11" s="7" t="s">
        <v>27</v>
      </c>
      <c r="T11" s="7" t="s">
        <v>27</v>
      </c>
      <c r="U11" s="7" t="s">
        <v>27</v>
      </c>
      <c r="V11" s="6" t="n">
        <f aca="false">'Source Rates'!H26</f>
        <v>4.47266339470358</v>
      </c>
      <c r="W11" s="6" t="n">
        <f aca="false">'Source Rates'!H27</f>
        <v>4.48409759441102</v>
      </c>
    </row>
    <row r="12" customFormat="false" ht="15" hidden="false" customHeight="false" outlineLevel="0" collapsed="false">
      <c r="A12" s="8" t="s">
        <v>33</v>
      </c>
      <c r="B12" s="15" t="s">
        <v>34</v>
      </c>
      <c r="C12" s="15" t="s">
        <v>34</v>
      </c>
      <c r="D12" s="15" t="s">
        <v>34</v>
      </c>
      <c r="E12" s="15" t="s">
        <v>34</v>
      </c>
      <c r="F12" s="15" t="s">
        <v>34</v>
      </c>
      <c r="G12" s="15" t="s">
        <v>34</v>
      </c>
      <c r="H12" s="15" t="s">
        <v>34</v>
      </c>
      <c r="I12" s="15" t="s">
        <v>34</v>
      </c>
      <c r="J12" s="15" t="s">
        <v>34</v>
      </c>
      <c r="K12" s="15" t="s">
        <v>34</v>
      </c>
      <c r="L12" s="15" t="s">
        <v>27</v>
      </c>
      <c r="M12" s="15" t="s">
        <v>27</v>
      </c>
      <c r="N12" s="15" t="s">
        <v>27</v>
      </c>
      <c r="O12" s="15" t="s">
        <v>27</v>
      </c>
      <c r="P12" s="15" t="s">
        <v>27</v>
      </c>
      <c r="Q12" s="15" t="s">
        <v>27</v>
      </c>
      <c r="R12" s="15" t="s">
        <v>27</v>
      </c>
      <c r="S12" s="15" t="s">
        <v>27</v>
      </c>
      <c r="T12" s="15" t="s">
        <v>27</v>
      </c>
      <c r="U12" s="16" t="n">
        <f aca="false">SUM(Workings!B19:E19)</f>
        <v>112.24</v>
      </c>
      <c r="V12" s="16" t="n">
        <f aca="false">SUM(Workings!B20:E20)</f>
        <v>125.11</v>
      </c>
      <c r="W12" s="16" t="n">
        <f aca="false">SUM(Workings!B21:E21)</f>
        <v>140</v>
      </c>
    </row>
    <row r="13" customFormat="false" ht="15" hidden="false" customHeight="false" outlineLevel="0" collapsed="false">
      <c r="A13" s="8" t="s">
        <v>35</v>
      </c>
      <c r="B13" s="14" t="s">
        <v>34</v>
      </c>
      <c r="C13" s="14" t="s">
        <v>34</v>
      </c>
      <c r="D13" s="14" t="s">
        <v>34</v>
      </c>
      <c r="E13" s="14" t="s">
        <v>34</v>
      </c>
      <c r="F13" s="14" t="s">
        <v>34</v>
      </c>
      <c r="G13" s="14" t="s">
        <v>34</v>
      </c>
      <c r="H13" s="14" t="s">
        <v>34</v>
      </c>
      <c r="I13" s="14" t="s">
        <v>34</v>
      </c>
      <c r="J13" s="14" t="s">
        <v>34</v>
      </c>
      <c r="K13" s="14" t="s">
        <v>34</v>
      </c>
      <c r="L13" s="14" t="s">
        <v>27</v>
      </c>
      <c r="M13" s="14" t="s">
        <v>27</v>
      </c>
      <c r="N13" s="14" t="s">
        <v>27</v>
      </c>
      <c r="O13" s="14" t="s">
        <v>27</v>
      </c>
      <c r="P13" s="14" t="s">
        <v>27</v>
      </c>
      <c r="Q13" s="14" t="s">
        <v>27</v>
      </c>
      <c r="R13" s="14" t="s">
        <v>27</v>
      </c>
      <c r="S13" s="14" t="s">
        <v>27</v>
      </c>
      <c r="T13" s="14" t="s">
        <v>27</v>
      </c>
      <c r="U13" s="13" t="n">
        <f aca="false">U6*1000/U12</f>
        <v>414.187811831789</v>
      </c>
      <c r="V13" s="13" t="n">
        <f aca="false">V6*1000/V12</f>
        <v>387.723922947806</v>
      </c>
      <c r="W13" s="13" t="n">
        <f aca="false">W6*1000/W12</f>
        <v>348.363928571429</v>
      </c>
    </row>
    <row r="14" customFormat="false" ht="15" hidden="false" customHeight="false" outlineLevel="0" collapsed="false">
      <c r="A14" s="8" t="s">
        <v>36</v>
      </c>
      <c r="B14" s="17" t="s">
        <v>37</v>
      </c>
      <c r="C14" s="17" t="s">
        <v>37</v>
      </c>
      <c r="D14" s="17" t="s">
        <v>37</v>
      </c>
      <c r="E14" s="17" t="s">
        <v>37</v>
      </c>
      <c r="F14" s="17" t="s">
        <v>37</v>
      </c>
      <c r="G14" s="17" t="s">
        <v>37</v>
      </c>
      <c r="H14" s="17" t="s">
        <v>37</v>
      </c>
      <c r="I14" s="17" t="s">
        <v>37</v>
      </c>
      <c r="J14" s="17" t="s">
        <v>37</v>
      </c>
      <c r="K14" s="17" t="s">
        <v>37</v>
      </c>
      <c r="L14" s="17" t="s">
        <v>38</v>
      </c>
      <c r="M14" s="17" t="s">
        <v>38</v>
      </c>
      <c r="N14" s="17" t="s">
        <v>38</v>
      </c>
      <c r="O14" s="17" t="s">
        <v>38</v>
      </c>
      <c r="P14" s="17" t="s">
        <v>38</v>
      </c>
      <c r="Q14" s="17" t="s">
        <v>38</v>
      </c>
      <c r="R14" s="17" t="s">
        <v>38</v>
      </c>
      <c r="S14" s="17" t="s">
        <v>38</v>
      </c>
      <c r="T14" s="17" t="s">
        <v>38</v>
      </c>
      <c r="U14" s="17" t="s">
        <v>39</v>
      </c>
      <c r="V14" s="17" t="s">
        <v>39</v>
      </c>
      <c r="W14" s="17" t="s">
        <v>39</v>
      </c>
    </row>
    <row r="15" customFormat="false" ht="15" hidden="false" customHeight="false" outlineLevel="0" collapsed="false">
      <c r="A15" s="8" t="s">
        <v>40</v>
      </c>
      <c r="B15" s="18"/>
      <c r="C15" s="18"/>
      <c r="D15" s="18"/>
      <c r="E15" s="18"/>
      <c r="F15" s="18"/>
      <c r="G15" s="18"/>
      <c r="H15" s="18"/>
      <c r="I15" s="18"/>
      <c r="J15" s="18"/>
      <c r="K15" s="18"/>
      <c r="L15" s="18"/>
      <c r="M15" s="18"/>
      <c r="N15" s="18"/>
      <c r="O15" s="18"/>
      <c r="P15" s="18"/>
      <c r="Q15" s="18"/>
      <c r="R15" s="18"/>
      <c r="S15" s="18"/>
      <c r="T15" s="18"/>
      <c r="U15" s="18"/>
      <c r="V15" s="18"/>
      <c r="W15" s="19" t="n">
        <f aca="false">W6/140*134.67</f>
        <v>46.9141702607143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16"/>
    <col collapsed="false" customWidth="true" hidden="false" outlineLevel="0" max="16" min="2" style="0" width="13"/>
  </cols>
  <sheetData>
    <row r="1" customFormat="false" ht="15" hidden="false" customHeight="false" outlineLevel="0" collapsed="false">
      <c r="A1" s="20" t="s">
        <v>41</v>
      </c>
    </row>
    <row r="2" customFormat="false" ht="15" hidden="false" customHeight="false" outlineLevel="0" collapsed="false">
      <c r="A2" s="2" t="s">
        <v>42</v>
      </c>
    </row>
    <row r="4" customFormat="false" ht="15" hidden="false" customHeight="false" outlineLevel="0" collapsed="false">
      <c r="A4" s="21" t="s">
        <v>43</v>
      </c>
      <c r="B4" s="22"/>
      <c r="C4" s="22"/>
      <c r="D4" s="22"/>
      <c r="E4" s="22"/>
      <c r="F4" s="22"/>
      <c r="G4" s="22"/>
      <c r="H4" s="22"/>
      <c r="I4" s="22"/>
      <c r="J4" s="22"/>
      <c r="K4" s="22"/>
      <c r="L4" s="22"/>
      <c r="M4" s="22"/>
      <c r="N4" s="22"/>
      <c r="O4" s="22"/>
      <c r="P4" s="22"/>
    </row>
    <row r="5" customFormat="false" ht="42" hidden="false" customHeight="true" outlineLevel="0" collapsed="false">
      <c r="A5" s="3" t="s">
        <v>44</v>
      </c>
      <c r="B5" s="23" t="s">
        <v>45</v>
      </c>
      <c r="C5" s="23" t="s">
        <v>46</v>
      </c>
      <c r="D5" s="23" t="s">
        <v>47</v>
      </c>
      <c r="E5" s="23" t="s">
        <v>48</v>
      </c>
      <c r="F5" s="23" t="s">
        <v>49</v>
      </c>
      <c r="G5" s="23" t="s">
        <v>50</v>
      </c>
      <c r="H5" s="23" t="s">
        <v>51</v>
      </c>
      <c r="I5" s="23" t="s">
        <v>52</v>
      </c>
      <c r="J5" s="23" t="s">
        <v>53</v>
      </c>
      <c r="K5" s="23" t="s">
        <v>54</v>
      </c>
      <c r="L5" s="23" t="s">
        <v>55</v>
      </c>
      <c r="M5" s="23" t="s">
        <v>56</v>
      </c>
      <c r="N5" s="23" t="s">
        <v>57</v>
      </c>
      <c r="O5" s="23" t="s">
        <v>58</v>
      </c>
      <c r="P5" s="23" t="s">
        <v>59</v>
      </c>
    </row>
    <row r="6" customFormat="false" ht="15" hidden="false" customHeight="false" outlineLevel="0" collapsed="false">
      <c r="A6" s="24" t="s">
        <v>4</v>
      </c>
      <c r="B6" s="25" t="n">
        <v>288469</v>
      </c>
      <c r="C6" s="26" t="n">
        <v>4.23</v>
      </c>
      <c r="D6" s="25" t="n">
        <v>291512</v>
      </c>
      <c r="E6" s="26" t="n">
        <v>3.61</v>
      </c>
      <c r="F6" s="25" t="n">
        <v>318523</v>
      </c>
      <c r="G6" s="26" t="n">
        <v>1.32</v>
      </c>
      <c r="H6" s="25" t="n">
        <v>306873</v>
      </c>
      <c r="I6" s="26" t="n">
        <v>4.63</v>
      </c>
      <c r="J6" s="25"/>
      <c r="K6" s="26"/>
      <c r="L6" s="25"/>
      <c r="M6" s="26"/>
      <c r="N6" s="25"/>
      <c r="O6" s="26"/>
      <c r="P6" s="27" t="n">
        <v>2606.9</v>
      </c>
    </row>
    <row r="7" customFormat="false" ht="15" hidden="false" customHeight="false" outlineLevel="0" collapsed="false">
      <c r="A7" s="24" t="s">
        <v>5</v>
      </c>
      <c r="B7" s="25" t="n">
        <v>423050</v>
      </c>
      <c r="C7" s="26" t="n">
        <v>4.01</v>
      </c>
      <c r="D7" s="25" t="n">
        <v>305267</v>
      </c>
      <c r="E7" s="26" t="n">
        <v>4.27</v>
      </c>
      <c r="F7" s="25" t="n">
        <v>256036</v>
      </c>
      <c r="G7" s="26" t="n">
        <v>1.41</v>
      </c>
      <c r="H7" s="25" t="n">
        <v>292707</v>
      </c>
      <c r="I7" s="26" t="n">
        <v>5.28</v>
      </c>
      <c r="J7" s="25"/>
      <c r="K7" s="26"/>
      <c r="L7" s="25"/>
      <c r="M7" s="26"/>
      <c r="N7" s="25"/>
      <c r="O7" s="26"/>
      <c r="P7" s="27" t="n">
        <v>3299.45</v>
      </c>
    </row>
    <row r="8" customFormat="false" ht="15" hidden="false" customHeight="false" outlineLevel="0" collapsed="false">
      <c r="A8" s="24" t="s">
        <v>6</v>
      </c>
      <c r="B8" s="25" t="n">
        <v>847582</v>
      </c>
      <c r="C8" s="26" t="n">
        <v>4.79</v>
      </c>
      <c r="D8" s="25" t="n">
        <v>188908</v>
      </c>
      <c r="E8" s="26" t="n">
        <v>4.91</v>
      </c>
      <c r="F8" s="25" t="n">
        <v>309571</v>
      </c>
      <c r="G8" s="26" t="n">
        <v>1.4</v>
      </c>
      <c r="H8" s="25" t="n">
        <v>64249</v>
      </c>
      <c r="I8" s="26" t="n">
        <v>7.4</v>
      </c>
      <c r="J8" s="25" t="n">
        <v>477.05</v>
      </c>
      <c r="K8" s="26" t="n">
        <v>0.25</v>
      </c>
      <c r="L8" s="25"/>
      <c r="M8" s="26"/>
      <c r="N8" s="25"/>
      <c r="O8" s="26"/>
      <c r="P8" s="27" t="n">
        <v>4910.52</v>
      </c>
    </row>
    <row r="9" customFormat="false" ht="15" hidden="false" customHeight="false" outlineLevel="0" collapsed="false">
      <c r="A9" s="24" t="s">
        <v>7</v>
      </c>
      <c r="B9" s="25" t="n">
        <v>923400</v>
      </c>
      <c r="C9" s="26" t="n">
        <v>4.69</v>
      </c>
      <c r="D9" s="25" t="n">
        <v>176961</v>
      </c>
      <c r="E9" s="26" t="n">
        <v>5.62</v>
      </c>
      <c r="F9" s="25" t="n">
        <v>316750</v>
      </c>
      <c r="G9" s="26" t="n">
        <v>1.73</v>
      </c>
      <c r="H9" s="25" t="n">
        <v>5527</v>
      </c>
      <c r="I9" s="26" t="n">
        <v>15.05</v>
      </c>
      <c r="J9" s="25" t="n">
        <v>19064</v>
      </c>
      <c r="K9" s="26" t="n">
        <v>0.35</v>
      </c>
      <c r="L9" s="25"/>
      <c r="M9" s="26"/>
      <c r="N9" s="25"/>
      <c r="O9" s="26"/>
      <c r="P9" s="27" t="n">
        <v>5509.22</v>
      </c>
    </row>
    <row r="10" customFormat="false" ht="15" hidden="false" customHeight="false" outlineLevel="0" collapsed="false">
      <c r="A10" s="24" t="s">
        <v>8</v>
      </c>
      <c r="B10" s="25" t="n">
        <v>817938</v>
      </c>
      <c r="C10" s="26" t="n">
        <v>4.83</v>
      </c>
      <c r="D10" s="25" t="n">
        <v>99071</v>
      </c>
      <c r="E10" s="26" t="n">
        <v>6.31</v>
      </c>
      <c r="F10" s="25" t="n">
        <v>593848</v>
      </c>
      <c r="G10" s="26" t="n">
        <v>3.64</v>
      </c>
      <c r="H10" s="25" t="n">
        <v>1394</v>
      </c>
      <c r="I10" s="26" t="n">
        <v>19.78</v>
      </c>
      <c r="J10" s="25" t="n">
        <v>19481</v>
      </c>
      <c r="K10" s="26" t="n">
        <v>0.37</v>
      </c>
      <c r="L10" s="25"/>
      <c r="M10" s="26"/>
      <c r="N10" s="25"/>
      <c r="O10" s="26"/>
      <c r="P10" s="27" t="n">
        <v>6383</v>
      </c>
    </row>
    <row r="11" customFormat="false" ht="15" hidden="false" customHeight="false" outlineLevel="0" collapsed="false">
      <c r="A11" s="24" t="s">
        <v>9</v>
      </c>
      <c r="B11" s="25" t="n">
        <v>361072</v>
      </c>
      <c r="C11" s="26" t="n">
        <v>5.02</v>
      </c>
      <c r="D11" s="25" t="n">
        <v>61264</v>
      </c>
      <c r="E11" s="26" t="n">
        <v>6.99</v>
      </c>
      <c r="F11" s="25" t="n">
        <v>1187204</v>
      </c>
      <c r="G11" s="26" t="n">
        <v>3.17</v>
      </c>
      <c r="H11" s="25"/>
      <c r="I11" s="26"/>
      <c r="J11" s="25" t="n">
        <v>13997</v>
      </c>
      <c r="K11" s="26" t="n">
        <v>0.4</v>
      </c>
      <c r="L11" s="25"/>
      <c r="M11" s="26"/>
      <c r="N11" s="25"/>
      <c r="O11" s="26"/>
      <c r="P11" s="27" t="n">
        <v>7050</v>
      </c>
    </row>
    <row r="12" customFormat="false" ht="15" hidden="false" customHeight="false" outlineLevel="0" collapsed="false">
      <c r="A12" s="24" t="s">
        <v>10</v>
      </c>
      <c r="B12" s="25" t="n">
        <v>543606</v>
      </c>
      <c r="C12" s="26" t="n">
        <v>5.35</v>
      </c>
      <c r="D12" s="25" t="n">
        <v>71112</v>
      </c>
      <c r="E12" s="26" t="n">
        <v>9.07</v>
      </c>
      <c r="F12" s="25" t="n">
        <v>2251369</v>
      </c>
      <c r="G12" s="26" t="n">
        <v>3.71</v>
      </c>
      <c r="H12" s="25"/>
      <c r="I12" s="26"/>
      <c r="J12" s="25" t="n">
        <v>16025</v>
      </c>
      <c r="K12" s="26" t="n">
        <v>0.55</v>
      </c>
      <c r="L12" s="25"/>
      <c r="M12" s="26"/>
      <c r="N12" s="25"/>
      <c r="O12" s="26"/>
      <c r="P12" s="27" t="n">
        <v>13206</v>
      </c>
    </row>
    <row r="13" customFormat="false" ht="15" hidden="false" customHeight="false" outlineLevel="0" collapsed="false">
      <c r="A13" s="24" t="s">
        <v>11</v>
      </c>
      <c r="B13" s="25" t="n">
        <v>663933</v>
      </c>
      <c r="C13" s="26" t="n">
        <v>5.54</v>
      </c>
      <c r="D13" s="25" t="n">
        <v>55640</v>
      </c>
      <c r="E13" s="26" t="n">
        <v>13.8</v>
      </c>
      <c r="F13" s="25" t="n">
        <v>2588989</v>
      </c>
      <c r="G13" s="26" t="n">
        <v>4.21</v>
      </c>
      <c r="H13" s="25"/>
      <c r="I13" s="26"/>
      <c r="J13" s="25" t="n">
        <v>14203</v>
      </c>
      <c r="K13" s="26" t="n">
        <v>0.46</v>
      </c>
      <c r="L13" s="25"/>
      <c r="M13" s="26"/>
      <c r="N13" s="25"/>
      <c r="O13" s="26"/>
      <c r="P13" s="27" t="n">
        <v>18158</v>
      </c>
    </row>
    <row r="14" customFormat="false" ht="15" hidden="false" customHeight="false" outlineLevel="0" collapsed="false">
      <c r="A14" s="24" t="s">
        <v>12</v>
      </c>
      <c r="B14" s="25" t="n">
        <v>652499</v>
      </c>
      <c r="C14" s="26" t="n">
        <v>6.33</v>
      </c>
      <c r="D14" s="25" t="n">
        <v>62995</v>
      </c>
      <c r="E14" s="26" t="n">
        <v>13.57</v>
      </c>
      <c r="F14" s="25" t="n">
        <v>2719775</v>
      </c>
      <c r="G14" s="26" t="n">
        <v>4.15</v>
      </c>
      <c r="H14" s="25"/>
      <c r="I14" s="26"/>
      <c r="J14" s="25" t="n">
        <v>11447</v>
      </c>
      <c r="K14" s="26" t="n">
        <v>0.41</v>
      </c>
      <c r="L14" s="25" t="n">
        <v>2065</v>
      </c>
      <c r="M14" s="26" t="n">
        <v>0.27</v>
      </c>
      <c r="N14" s="25" t="n">
        <v>1851</v>
      </c>
      <c r="O14" s="26" t="n">
        <v>0.92</v>
      </c>
      <c r="P14" s="27" t="n">
        <v>20023</v>
      </c>
    </row>
    <row r="15" customFormat="false" ht="15" hidden="false" customHeight="false" outlineLevel="0" collapsed="false">
      <c r="A15" s="24" t="s">
        <v>13</v>
      </c>
      <c r="B15" s="25" t="n">
        <v>583398</v>
      </c>
      <c r="C15" s="26" t="n">
        <v>6.67</v>
      </c>
      <c r="D15" s="25" t="n">
        <v>35818</v>
      </c>
      <c r="E15" s="26" t="n">
        <v>14.76</v>
      </c>
      <c r="F15" s="25" t="n">
        <v>2735008</v>
      </c>
      <c r="G15" s="26" t="n">
        <v>4.02</v>
      </c>
      <c r="H15" s="25"/>
      <c r="I15" s="26"/>
      <c r="J15" s="25" t="n">
        <v>10953</v>
      </c>
      <c r="K15" s="26" t="n">
        <v>0.26</v>
      </c>
      <c r="L15" s="25" t="n">
        <v>2928</v>
      </c>
      <c r="M15" s="26" t="n">
        <v>0.52</v>
      </c>
      <c r="N15" s="25" t="n">
        <v>2051</v>
      </c>
      <c r="O15" s="26" t="n">
        <v>1.98</v>
      </c>
      <c r="P15" s="27" t="n">
        <v>20078</v>
      </c>
    </row>
    <row r="17" customFormat="false" ht="15" hidden="false" customHeight="false" outlineLevel="0" collapsed="false">
      <c r="A17" s="21" t="s">
        <v>60</v>
      </c>
      <c r="B17" s="22"/>
      <c r="C17" s="22"/>
      <c r="D17" s="22"/>
      <c r="E17" s="22"/>
      <c r="F17" s="22"/>
      <c r="G17" s="22"/>
      <c r="H17" s="22"/>
      <c r="I17" s="22"/>
      <c r="J17" s="22"/>
      <c r="K17" s="22"/>
      <c r="L17" s="22"/>
      <c r="M17" s="22"/>
      <c r="N17" s="22"/>
      <c r="O17" s="22"/>
      <c r="P17" s="22"/>
    </row>
    <row r="18" customFormat="false" ht="42" hidden="false" customHeight="true" outlineLevel="0" collapsed="false">
      <c r="A18" s="23" t="s">
        <v>44</v>
      </c>
      <c r="B18" s="23" t="s">
        <v>61</v>
      </c>
      <c r="C18" s="23" t="s">
        <v>62</v>
      </c>
      <c r="D18" s="23" t="s">
        <v>63</v>
      </c>
      <c r="E18" s="23" t="s">
        <v>64</v>
      </c>
      <c r="F18" s="23" t="s">
        <v>65</v>
      </c>
      <c r="G18" s="23" t="s">
        <v>66</v>
      </c>
      <c r="H18" s="23" t="s">
        <v>67</v>
      </c>
      <c r="I18" s="23" t="s">
        <v>68</v>
      </c>
      <c r="J18" s="23" t="s">
        <v>69</v>
      </c>
      <c r="K18" s="23" t="s">
        <v>70</v>
      </c>
      <c r="L18" s="23" t="s">
        <v>71</v>
      </c>
    </row>
    <row r="19" customFormat="false" ht="15" hidden="false" customHeight="false" outlineLevel="0" collapsed="false">
      <c r="A19" s="24" t="s">
        <v>23</v>
      </c>
      <c r="B19" s="26" t="n">
        <v>28.5</v>
      </c>
      <c r="C19" s="26" t="n">
        <v>25.08</v>
      </c>
      <c r="D19" s="26" t="n">
        <v>25.44</v>
      </c>
      <c r="E19" s="26" t="n">
        <v>33.22</v>
      </c>
      <c r="F19" s="27" t="n">
        <v>413</v>
      </c>
      <c r="G19" s="27" t="n">
        <v>431</v>
      </c>
      <c r="H19" s="27" t="n">
        <v>424</v>
      </c>
      <c r="I19" s="27" t="n">
        <v>395</v>
      </c>
      <c r="J19" s="28" t="n">
        <v>71.4</v>
      </c>
      <c r="K19" s="27" t="n">
        <v>59824</v>
      </c>
      <c r="L19" s="27" t="n">
        <v>69810</v>
      </c>
    </row>
    <row r="20" customFormat="false" ht="15" hidden="false" customHeight="false" outlineLevel="0" collapsed="false">
      <c r="A20" s="24" t="s">
        <v>24</v>
      </c>
      <c r="B20" s="26" t="n">
        <v>31.91</v>
      </c>
      <c r="C20" s="26" t="n">
        <v>27.28</v>
      </c>
      <c r="D20" s="26" t="n">
        <v>29.45</v>
      </c>
      <c r="E20" s="26" t="n">
        <v>36.47</v>
      </c>
      <c r="F20" s="27" t="n">
        <v>389</v>
      </c>
      <c r="G20" s="27" t="n">
        <v>403</v>
      </c>
      <c r="H20" s="27" t="n">
        <v>409</v>
      </c>
      <c r="I20" s="27" t="n">
        <v>358</v>
      </c>
      <c r="J20" s="28" t="n">
        <v>70.7</v>
      </c>
      <c r="K20" s="27" t="n">
        <v>62205</v>
      </c>
      <c r="L20" s="27" t="n">
        <v>74936</v>
      </c>
    </row>
    <row r="21" customFormat="false" ht="15" hidden="false" customHeight="false" outlineLevel="0" collapsed="false">
      <c r="A21" s="24" t="s">
        <v>25</v>
      </c>
      <c r="B21" s="26" t="n">
        <v>33.07</v>
      </c>
      <c r="C21" s="26" t="n">
        <v>29.9</v>
      </c>
      <c r="D21" s="26" t="n">
        <v>35.02</v>
      </c>
      <c r="E21" s="26" t="n">
        <v>42.01</v>
      </c>
      <c r="F21" s="27" t="n">
        <v>356</v>
      </c>
      <c r="G21" s="27" t="n">
        <v>372</v>
      </c>
      <c r="H21" s="27" t="n">
        <v>349</v>
      </c>
      <c r="I21" s="27" t="n">
        <v>325</v>
      </c>
      <c r="J21" s="28" t="n">
        <v>68.9</v>
      </c>
      <c r="K21" s="27" t="n">
        <v>70666</v>
      </c>
      <c r="L21" s="27" t="n">
        <v>87384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8"/>
    <col collapsed="false" customWidth="true" hidden="false" outlineLevel="0" max="12" min="2" style="0" width="13"/>
  </cols>
  <sheetData>
    <row r="1" customFormat="false" ht="15" hidden="false" customHeight="false" outlineLevel="0" collapsed="false">
      <c r="A1" s="20" t="s">
        <v>72</v>
      </c>
    </row>
    <row r="2" customFormat="false" ht="15" hidden="false" customHeight="false" outlineLevel="0" collapsed="false">
      <c r="A2" s="2" t="s">
        <v>73</v>
      </c>
    </row>
    <row r="4" customFormat="false" ht="15" hidden="false" customHeight="false" outlineLevel="0" collapsed="false">
      <c r="A4" s="21" t="s">
        <v>74</v>
      </c>
      <c r="B4" s="22"/>
      <c r="C4" s="22"/>
      <c r="D4" s="22"/>
      <c r="E4" s="22"/>
      <c r="F4" s="22"/>
      <c r="G4" s="22"/>
      <c r="H4" s="22"/>
      <c r="I4" s="22"/>
    </row>
    <row r="5" customFormat="false" ht="43.5" hidden="false" customHeight="true" outlineLevel="0" collapsed="false">
      <c r="A5" s="3" t="s">
        <v>44</v>
      </c>
      <c r="B5" s="23" t="s">
        <v>75</v>
      </c>
      <c r="C5" s="23" t="s">
        <v>76</v>
      </c>
      <c r="D5" s="23" t="s">
        <v>77</v>
      </c>
      <c r="E5" s="23" t="s">
        <v>78</v>
      </c>
      <c r="F5" s="23" t="s">
        <v>79</v>
      </c>
      <c r="G5" s="23" t="s">
        <v>80</v>
      </c>
      <c r="H5" s="23" t="s">
        <v>81</v>
      </c>
      <c r="I5" s="4" t="s">
        <v>82</v>
      </c>
    </row>
    <row r="6" customFormat="false" ht="15" hidden="false" customHeight="false" outlineLevel="0" collapsed="false">
      <c r="A6" s="24" t="s">
        <v>4</v>
      </c>
      <c r="B6" s="29" t="n">
        <f aca="false">IF(Workings!C6="","",Workings!C6)</f>
        <v>4.23</v>
      </c>
      <c r="C6" s="29" t="n">
        <f aca="false">IF(Workings!E6="","",Workings!E6)</f>
        <v>3.61</v>
      </c>
      <c r="D6" s="29" t="n">
        <f aca="false">IF(Workings!G6="","",Workings!G6)</f>
        <v>1.32</v>
      </c>
      <c r="E6" s="29" t="n">
        <f aca="false">IF(Workings!I6="","",Workings!I6)</f>
        <v>4.63</v>
      </c>
      <c r="F6" s="29" t="str">
        <f aca="false">IF(Workings!K6="","",Workings!K6)</f>
        <v/>
      </c>
      <c r="G6" s="29" t="str">
        <f aca="false">IF(Workings!M6="","",Workings!M6)</f>
        <v/>
      </c>
      <c r="H6" s="29" t="str">
        <f aca="false">IF(Workings!O6="","",Workings!O6)</f>
        <v/>
      </c>
      <c r="I6" s="30" t="n">
        <f aca="false">'Time Series'!B10</f>
        <v>3.41291939368347</v>
      </c>
    </row>
    <row r="7" customFormat="false" ht="15" hidden="false" customHeight="false" outlineLevel="0" collapsed="false">
      <c r="A7" s="24" t="s">
        <v>5</v>
      </c>
      <c r="B7" s="29" t="n">
        <f aca="false">IF(Workings!C7="","",Workings!C7)</f>
        <v>4.01</v>
      </c>
      <c r="C7" s="29" t="n">
        <f aca="false">IF(Workings!E7="","",Workings!E7)</f>
        <v>4.27</v>
      </c>
      <c r="D7" s="29" t="n">
        <f aca="false">IF(Workings!G7="","",Workings!G7)</f>
        <v>1.41</v>
      </c>
      <c r="E7" s="29" t="n">
        <f aca="false">IF(Workings!I7="","",Workings!I7)</f>
        <v>5.28</v>
      </c>
      <c r="F7" s="29" t="str">
        <f aca="false">IF(Workings!K7="","",Workings!K7)</f>
        <v/>
      </c>
      <c r="G7" s="29" t="str">
        <f aca="false">IF(Workings!M7="","",Workings!M7)</f>
        <v/>
      </c>
      <c r="H7" s="29" t="str">
        <f aca="false">IF(Workings!O7="","",Workings!O7)</f>
        <v/>
      </c>
      <c r="I7" s="30" t="n">
        <f aca="false">'Time Series'!C10</f>
        <v>3.84196851361722</v>
      </c>
    </row>
    <row r="8" customFormat="false" ht="15" hidden="false" customHeight="false" outlineLevel="0" collapsed="false">
      <c r="A8" s="24" t="s">
        <v>6</v>
      </c>
      <c r="B8" s="29" t="n">
        <f aca="false">IF(Workings!C8="","",Workings!C8)</f>
        <v>4.79</v>
      </c>
      <c r="C8" s="29" t="n">
        <f aca="false">IF(Workings!E8="","",Workings!E8)</f>
        <v>4.91</v>
      </c>
      <c r="D8" s="29" t="n">
        <f aca="false">IF(Workings!G8="","",Workings!G8)</f>
        <v>1.4</v>
      </c>
      <c r="E8" s="29" t="n">
        <f aca="false">IF(Workings!I8="","",Workings!I8)</f>
        <v>7.4</v>
      </c>
      <c r="F8" s="29" t="n">
        <f aca="false">IF(Workings!K8="","",Workings!K8)</f>
        <v>0.25</v>
      </c>
      <c r="G8" s="29" t="str">
        <f aca="false">IF(Workings!M8="","",Workings!M8)</f>
        <v/>
      </c>
      <c r="H8" s="29" t="str">
        <f aca="false">IF(Workings!O8="","",Workings!O8)</f>
        <v/>
      </c>
      <c r="I8" s="30" t="n">
        <f aca="false">'Time Series'!D10</f>
        <v>4.17952328276617</v>
      </c>
    </row>
    <row r="9" customFormat="false" ht="15" hidden="false" customHeight="false" outlineLevel="0" collapsed="false">
      <c r="A9" s="24" t="s">
        <v>7</v>
      </c>
      <c r="B9" s="29" t="n">
        <f aca="false">IF(Workings!C9="","",Workings!C9)</f>
        <v>4.69</v>
      </c>
      <c r="C9" s="29" t="n">
        <f aca="false">IF(Workings!E9="","",Workings!E9)</f>
        <v>5.62</v>
      </c>
      <c r="D9" s="29" t="n">
        <f aca="false">IF(Workings!G9="","",Workings!G9)</f>
        <v>1.73</v>
      </c>
      <c r="E9" s="29" t="n">
        <f aca="false">IF(Workings!I9="","",Workings!I9)</f>
        <v>15.05</v>
      </c>
      <c r="F9" s="29" t="n">
        <f aca="false">IF(Workings!K9="","",Workings!K9)</f>
        <v>0.35</v>
      </c>
      <c r="G9" s="29" t="str">
        <f aca="false">IF(Workings!M9="","",Workings!M9)</f>
        <v/>
      </c>
      <c r="H9" s="29" t="str">
        <f aca="false">IF(Workings!O9="","",Workings!O9)</f>
        <v/>
      </c>
      <c r="I9" s="30" t="n">
        <f aca="false">'Time Series'!E10</f>
        <v>4.13615162495439</v>
      </c>
    </row>
    <row r="10" customFormat="false" ht="15" hidden="false" customHeight="false" outlineLevel="0" collapsed="false">
      <c r="A10" s="24" t="s">
        <v>8</v>
      </c>
      <c r="B10" s="29" t="n">
        <f aca="false">IF(Workings!C10="","",Workings!C10)</f>
        <v>4.83</v>
      </c>
      <c r="C10" s="29" t="n">
        <f aca="false">IF(Workings!E10="","",Workings!E10)</f>
        <v>6.31</v>
      </c>
      <c r="D10" s="29" t="n">
        <f aca="false">IF(Workings!G10="","",Workings!G10)</f>
        <v>3.64</v>
      </c>
      <c r="E10" s="29" t="n">
        <f aca="false">IF(Workings!I10="","",Workings!I10)</f>
        <v>19.78</v>
      </c>
      <c r="F10" s="29" t="n">
        <f aca="false">IF(Workings!K10="","",Workings!K10)</f>
        <v>0.37</v>
      </c>
      <c r="G10" s="29" t="str">
        <f aca="false">IF(Workings!M10="","",Workings!M10)</f>
        <v/>
      </c>
      <c r="H10" s="29" t="str">
        <f aca="false">IF(Workings!O10="","",Workings!O10)</f>
        <v/>
      </c>
      <c r="I10" s="30" t="n">
        <f aca="false">'Time Series'!F10</f>
        <v>4.42124768562647</v>
      </c>
    </row>
    <row r="11" customFormat="false" ht="15" hidden="false" customHeight="false" outlineLevel="0" collapsed="false">
      <c r="A11" s="24" t="s">
        <v>9</v>
      </c>
      <c r="B11" s="29" t="n">
        <f aca="false">IF(Workings!C11="","",Workings!C11)</f>
        <v>5.02</v>
      </c>
      <c r="C11" s="29" t="n">
        <f aca="false">IF(Workings!E11="","",Workings!E11)</f>
        <v>6.99</v>
      </c>
      <c r="D11" s="29" t="n">
        <f aca="false">IF(Workings!G11="","",Workings!G11)</f>
        <v>3.17</v>
      </c>
      <c r="E11" s="29" t="str">
        <f aca="false">IF(Workings!I11="","",Workings!I11)</f>
        <v/>
      </c>
      <c r="F11" s="29" t="n">
        <f aca="false">IF(Workings!K11="","",Workings!K11)</f>
        <v>0.4</v>
      </c>
      <c r="G11" s="29" t="str">
        <f aca="false">IF(Workings!M11="","",Workings!M11)</f>
        <v/>
      </c>
      <c r="H11" s="29" t="str">
        <f aca="false">IF(Workings!O11="","",Workings!O11)</f>
        <v/>
      </c>
      <c r="I11" s="30" t="n">
        <f aca="false">'Time Series'!G10</f>
        <v>3.70170330580701</v>
      </c>
    </row>
    <row r="12" customFormat="false" ht="15" hidden="false" customHeight="false" outlineLevel="0" collapsed="false">
      <c r="A12" s="24" t="s">
        <v>10</v>
      </c>
      <c r="B12" s="29" t="n">
        <f aca="false">IF(Workings!C12="","",Workings!C12)</f>
        <v>5.35</v>
      </c>
      <c r="C12" s="29" t="n">
        <f aca="false">IF(Workings!E12="","",Workings!E12)</f>
        <v>9.07</v>
      </c>
      <c r="D12" s="29" t="n">
        <f aca="false">IF(Workings!G12="","",Workings!G12)</f>
        <v>3.71</v>
      </c>
      <c r="E12" s="29" t="str">
        <f aca="false">IF(Workings!I12="","",Workings!I12)</f>
        <v/>
      </c>
      <c r="F12" s="29" t="n">
        <f aca="false">IF(Workings!K12="","",Workings!K12)</f>
        <v>0.55</v>
      </c>
      <c r="G12" s="29" t="str">
        <f aca="false">IF(Workings!M12="","",Workings!M12)</f>
        <v/>
      </c>
      <c r="H12" s="29" t="str">
        <f aca="false">IF(Workings!O12="","",Workings!O12)</f>
        <v/>
      </c>
      <c r="I12" s="30" t="n">
        <f aca="false">'Time Series'!H10</f>
        <v>4.13400682555015</v>
      </c>
    </row>
    <row r="13" customFormat="false" ht="15" hidden="false" customHeight="false" outlineLevel="0" collapsed="false">
      <c r="A13" s="24" t="s">
        <v>11</v>
      </c>
      <c r="B13" s="29" t="n">
        <f aca="false">IF(Workings!C13="","",Workings!C13)</f>
        <v>5.54</v>
      </c>
      <c r="C13" s="29" t="n">
        <f aca="false">IF(Workings!E13="","",Workings!E13)</f>
        <v>13.8</v>
      </c>
      <c r="D13" s="29" t="n">
        <f aca="false">IF(Workings!G13="","",Workings!G13)</f>
        <v>4.21</v>
      </c>
      <c r="E13" s="29" t="str">
        <f aca="false">IF(Workings!I13="","",Workings!I13)</f>
        <v/>
      </c>
      <c r="F13" s="29" t="n">
        <f aca="false">IF(Workings!K13="","",Workings!K13)</f>
        <v>0.46</v>
      </c>
      <c r="G13" s="29" t="str">
        <f aca="false">IF(Workings!M13="","",Workings!M13)</f>
        <v/>
      </c>
      <c r="H13" s="29" t="str">
        <f aca="false">IF(Workings!O13="","",Workings!O13)</f>
        <v/>
      </c>
      <c r="I13" s="30" t="n">
        <f aca="false">'Time Series'!I10</f>
        <v>4.62030805368421</v>
      </c>
    </row>
    <row r="14" customFormat="false" ht="15" hidden="false" customHeight="false" outlineLevel="0" collapsed="false">
      <c r="A14" s="24" t="s">
        <v>12</v>
      </c>
      <c r="B14" s="29" t="n">
        <f aca="false">IF(Workings!C14="","",Workings!C14)</f>
        <v>6.33</v>
      </c>
      <c r="C14" s="29" t="n">
        <f aca="false">IF(Workings!E14="","",Workings!E14)</f>
        <v>13.57</v>
      </c>
      <c r="D14" s="29" t="n">
        <f aca="false">IF(Workings!G14="","",Workings!G14)</f>
        <v>4.15</v>
      </c>
      <c r="E14" s="29" t="str">
        <f aca="false">IF(Workings!I14="","",Workings!I14)</f>
        <v/>
      </c>
      <c r="F14" s="29" t="n">
        <f aca="false">IF(Workings!K14="","",Workings!K14)</f>
        <v>0.41</v>
      </c>
      <c r="G14" s="29" t="n">
        <f aca="false">IF(Workings!M14="","",Workings!M14)</f>
        <v>0.27</v>
      </c>
      <c r="H14" s="29" t="n">
        <f aca="false">IF(Workings!O14="","",Workings!O14)</f>
        <v>0.92</v>
      </c>
      <c r="I14" s="30" t="n">
        <f aca="false">'Time Series'!J10</f>
        <v>4.71773889826559</v>
      </c>
    </row>
    <row r="15" customFormat="false" ht="15" hidden="false" customHeight="false" outlineLevel="0" collapsed="false">
      <c r="A15" s="24" t="s">
        <v>13</v>
      </c>
      <c r="B15" s="29" t="n">
        <f aca="false">IF(Workings!C15="","",Workings!C15)</f>
        <v>6.67</v>
      </c>
      <c r="C15" s="29" t="n">
        <f aca="false">IF(Workings!E15="","",Workings!E15)</f>
        <v>14.76</v>
      </c>
      <c r="D15" s="29" t="n">
        <f aca="false">IF(Workings!G15="","",Workings!G15)</f>
        <v>4.02</v>
      </c>
      <c r="E15" s="29" t="str">
        <f aca="false">IF(Workings!I15="","",Workings!I15)</f>
        <v/>
      </c>
      <c r="F15" s="29" t="n">
        <f aca="false">IF(Workings!K15="","",Workings!K15)</f>
        <v>0.26</v>
      </c>
      <c r="G15" s="29" t="n">
        <f aca="false">IF(Workings!M15="","",Workings!M15)</f>
        <v>0.52</v>
      </c>
      <c r="H15" s="29" t="n">
        <f aca="false">IF(Workings!O15="","",Workings!O15)</f>
        <v>1.98</v>
      </c>
      <c r="I15" s="30" t="n">
        <f aca="false">'Time Series'!K10</f>
        <v>4.57637623302898</v>
      </c>
    </row>
    <row r="17" customFormat="false" ht="15" hidden="false" customHeight="false" outlineLevel="0" collapsed="false">
      <c r="A17" s="21" t="s">
        <v>83</v>
      </c>
      <c r="B17" s="22"/>
      <c r="C17" s="22"/>
      <c r="D17" s="22"/>
      <c r="E17" s="22"/>
      <c r="F17" s="22"/>
      <c r="G17" s="22"/>
      <c r="H17" s="22"/>
      <c r="I17" s="22"/>
    </row>
    <row r="18" customFormat="false" ht="43.5" hidden="false" customHeight="true" outlineLevel="0" collapsed="false">
      <c r="A18" s="3" t="s">
        <v>84</v>
      </c>
      <c r="B18" s="23" t="s">
        <v>85</v>
      </c>
      <c r="C18" s="23" t="s">
        <v>86</v>
      </c>
      <c r="D18" s="23" t="s">
        <v>87</v>
      </c>
      <c r="E18" s="23" t="s">
        <v>88</v>
      </c>
      <c r="F18" s="23" t="s">
        <v>89</v>
      </c>
      <c r="G18" s="23" t="s">
        <v>90</v>
      </c>
      <c r="H18" s="23" t="s">
        <v>91</v>
      </c>
      <c r="I18" s="23" t="s">
        <v>92</v>
      </c>
      <c r="J18" s="23" t="s">
        <v>93</v>
      </c>
      <c r="K18" s="4" t="s">
        <v>94</v>
      </c>
      <c r="L18" s="23" t="s">
        <v>95</v>
      </c>
    </row>
    <row r="19" customFormat="false" ht="15" hidden="false" customHeight="false" outlineLevel="0" collapsed="false">
      <c r="A19" s="24" t="s">
        <v>96</v>
      </c>
      <c r="B19" s="31" t="n">
        <v>0.461</v>
      </c>
      <c r="C19" s="31" t="n">
        <v>0.237</v>
      </c>
      <c r="D19" s="31" t="n">
        <v>0.128</v>
      </c>
      <c r="E19" s="31" t="n">
        <v>0.174</v>
      </c>
      <c r="F19" s="26" t="n">
        <v>7.1</v>
      </c>
      <c r="G19" s="26" t="n">
        <v>6.7</v>
      </c>
      <c r="H19" s="26" t="n">
        <v>4.6</v>
      </c>
      <c r="I19" s="26" t="n">
        <v>0.7</v>
      </c>
      <c r="J19" s="32" t="n">
        <v>5.6</v>
      </c>
      <c r="K19" s="26" t="n">
        <v>72.4</v>
      </c>
      <c r="L19" s="33" t="n">
        <f aca="false">Workings!C20*K19</f>
        <v>1975.072</v>
      </c>
    </row>
    <row r="20" customFormat="false" ht="15" hidden="false" customHeight="false" outlineLevel="0" collapsed="false">
      <c r="A20" s="24" t="s">
        <v>97</v>
      </c>
      <c r="B20" s="31" t="n">
        <v>0.454</v>
      </c>
      <c r="C20" s="31" t="n">
        <v>0.231</v>
      </c>
      <c r="D20" s="31" t="n">
        <v>0.127</v>
      </c>
      <c r="E20" s="31" t="n">
        <v>0.187</v>
      </c>
      <c r="F20" s="26" t="n">
        <v>7.1</v>
      </c>
      <c r="G20" s="26" t="n">
        <v>8.1</v>
      </c>
      <c r="H20" s="26" t="n">
        <v>4.5</v>
      </c>
      <c r="I20" s="26" t="n">
        <v>0.8</v>
      </c>
      <c r="J20" s="32" t="n">
        <v>5.8</v>
      </c>
      <c r="K20" s="26" t="n">
        <v>70.8</v>
      </c>
      <c r="L20" s="33" t="n">
        <f aca="false">Workings!D20*K20</f>
        <v>2085.06</v>
      </c>
    </row>
    <row r="21" customFormat="false" ht="15" hidden="false" customHeight="false" outlineLevel="0" collapsed="false">
      <c r="A21" s="24" t="s">
        <v>98</v>
      </c>
      <c r="B21" s="31" t="n">
        <v>0.42</v>
      </c>
      <c r="C21" s="31" t="n">
        <v>0.236</v>
      </c>
      <c r="D21" s="31" t="n">
        <v>0.139</v>
      </c>
      <c r="E21" s="31" t="n">
        <v>0.205</v>
      </c>
      <c r="F21" s="26" t="n">
        <v>6.48</v>
      </c>
      <c r="G21" s="26" t="n">
        <v>6.97</v>
      </c>
      <c r="H21" s="26" t="n">
        <v>4.36</v>
      </c>
      <c r="I21" s="26" t="n">
        <v>0.71</v>
      </c>
      <c r="J21" s="32" t="n">
        <v>5.19</v>
      </c>
      <c r="K21" s="26" t="n">
        <v>69.04</v>
      </c>
      <c r="L21" s="33" t="n">
        <f aca="false">Workings!E20*K21</f>
        <v>2517.8888</v>
      </c>
    </row>
    <row r="22" customFormat="false" ht="15" hidden="false" customHeight="false" outlineLevel="0" collapsed="false">
      <c r="A22" s="24" t="s">
        <v>99</v>
      </c>
      <c r="B22" s="31" t="n">
        <v>0.384</v>
      </c>
      <c r="C22" s="31" t="n">
        <v>0.221</v>
      </c>
      <c r="D22" s="31" t="n">
        <v>0.191</v>
      </c>
      <c r="E22" s="31" t="n">
        <v>0.204</v>
      </c>
      <c r="F22" s="26" t="n">
        <v>6.7</v>
      </c>
      <c r="G22" s="26" t="n">
        <v>7.1</v>
      </c>
      <c r="H22" s="26" t="n">
        <v>4.5</v>
      </c>
      <c r="I22" s="26" t="n">
        <v>0.8</v>
      </c>
      <c r="J22" s="32" t="n">
        <v>5.1</v>
      </c>
      <c r="K22" s="26" t="n">
        <v>69.3</v>
      </c>
      <c r="L22" s="33" t="n">
        <f aca="false">Workings!B21*K22</f>
        <v>2291.751</v>
      </c>
    </row>
    <row r="23" customFormat="false" ht="15" hidden="false" customHeight="false" outlineLevel="0" collapsed="false">
      <c r="A23" s="24" t="s">
        <v>100</v>
      </c>
      <c r="B23" s="31" t="n">
        <v>0.381</v>
      </c>
      <c r="C23" s="31" t="n">
        <v>0.203</v>
      </c>
      <c r="D23" s="31" t="n">
        <v>0.223</v>
      </c>
      <c r="E23" s="31" t="n">
        <v>0.192</v>
      </c>
      <c r="F23" s="26" t="n">
        <v>6.9</v>
      </c>
      <c r="G23" s="26" t="n">
        <v>7.1</v>
      </c>
      <c r="H23" s="26" t="n">
        <v>4.6</v>
      </c>
      <c r="I23" s="26" t="n">
        <v>0.8</v>
      </c>
      <c r="J23" s="32" t="n">
        <v>5.3</v>
      </c>
      <c r="K23" s="26" t="n">
        <v>70.7</v>
      </c>
      <c r="L23" s="33" t="n">
        <f aca="false">Workings!C21*K23</f>
        <v>2113.93</v>
      </c>
    </row>
    <row r="24" customFormat="false" ht="15" hidden="false" customHeight="false" outlineLevel="0" collapsed="false">
      <c r="A24" s="24" t="s">
        <v>101</v>
      </c>
      <c r="B24" s="31" t="n">
        <v>0.358</v>
      </c>
      <c r="C24" s="31" t="n">
        <v>0.22</v>
      </c>
      <c r="D24" s="31" t="n">
        <v>0.206</v>
      </c>
      <c r="E24" s="31" t="n">
        <v>0.215</v>
      </c>
      <c r="F24" s="26" t="n">
        <v>6.5</v>
      </c>
      <c r="G24" s="26" t="n">
        <v>7.4</v>
      </c>
      <c r="H24" s="26" t="n">
        <v>4.4</v>
      </c>
      <c r="I24" s="26" t="n">
        <v>0.7</v>
      </c>
      <c r="J24" s="32" t="n">
        <v>5.1</v>
      </c>
      <c r="K24" s="26" t="n">
        <v>69</v>
      </c>
      <c r="L24" s="33" t="n">
        <f aca="false">Workings!D21*K24</f>
        <v>2416.38</v>
      </c>
    </row>
    <row r="25" customFormat="false" ht="15" hidden="false" customHeight="false" outlineLevel="0" collapsed="false">
      <c r="A25" s="24" t="s">
        <v>102</v>
      </c>
      <c r="B25" s="31" t="n">
        <v>0.364</v>
      </c>
      <c r="C25" s="31" t="n">
        <v>0.206</v>
      </c>
      <c r="D25" s="31" t="n">
        <v>0.204</v>
      </c>
      <c r="E25" s="31" t="n">
        <v>0.226</v>
      </c>
      <c r="F25" s="26" t="n">
        <v>5.99</v>
      </c>
      <c r="G25" s="26" t="n">
        <v>7.62</v>
      </c>
      <c r="H25" s="26" t="n">
        <v>4.45</v>
      </c>
      <c r="I25" s="26" t="n">
        <v>0.6</v>
      </c>
      <c r="J25" s="32" t="n">
        <v>4.81</v>
      </c>
      <c r="K25" s="26" t="n">
        <v>67.54</v>
      </c>
      <c r="L25" s="33" t="n">
        <f aca="false">Workings!E21*K25</f>
        <v>2837.3554</v>
      </c>
    </row>
    <row r="26" customFormat="false" ht="15" hidden="false" customHeight="false" outlineLevel="0" collapsed="false">
      <c r="A26" s="34" t="s">
        <v>103</v>
      </c>
      <c r="B26" s="35" t="n">
        <f aca="false">(B19*L19+B20*L20+B21*L21)/(L19+L20+L21)</f>
        <v>0.443087490389207</v>
      </c>
      <c r="C26" s="35" t="n">
        <f aca="false">(C19*L19+C20*L20+C21*L21)/(L19+L20+L21)</f>
        <v>0.234715384420797</v>
      </c>
      <c r="D26" s="35" t="n">
        <f aca="false">(D19*L19+D20*L20+D21*L21)/(L19+L20+L21)</f>
        <v>0.131893529312039</v>
      </c>
      <c r="E26" s="35" t="n">
        <f aca="false">(E19*L19+E20*L20+E21*L21)/(L19+L20+L21)</f>
        <v>0.18998662211588</v>
      </c>
      <c r="F26" s="36" t="n">
        <f aca="false">(B19*L19*F19+B20*L20*F20+B21*L21*F21)/(B19*L19+B20*L20+B21*L21)</f>
        <v>6.87504647926987</v>
      </c>
      <c r="G26" s="36" t="n">
        <f aca="false">(C19*L19*G19+C20*L20*G20+C21*L21*G21)/(C19*L19+C20*L20+C21*L21)</f>
        <v>7.24065314448111</v>
      </c>
      <c r="H26" s="36" t="n">
        <f aca="false">(D19*L19*H19+D20*L20*H20+D21*L21*H21)/(D19*L19+D20*L20+D21*L21)</f>
        <v>4.47266339470358</v>
      </c>
      <c r="I26" s="36" t="n">
        <f aca="false">(E19*L19*I19+E20*L20*I20+E21*L21*I21)/(E19*L19+E20*L20+E21*L21)</f>
        <v>0.735329298136412</v>
      </c>
      <c r="J26" s="36" t="n">
        <f aca="false">SUMPRODUCT(J19:J21,L19:L21)/SUM(L19:L21)</f>
        <v>5.50645781965299</v>
      </c>
    </row>
    <row r="27" customFormat="false" ht="15" hidden="false" customHeight="false" outlineLevel="0" collapsed="false">
      <c r="A27" s="34" t="s">
        <v>104</v>
      </c>
      <c r="B27" s="35" t="n">
        <f aca="false">(B22*L22+B23*L23+B24*L24+B25*L25)/(L22+L23+L24+L25)</f>
        <v>0.370964556368022</v>
      </c>
      <c r="C27" s="35" t="n">
        <f aca="false">(C22*L22+C23*L23+C24*L24+C25*L25)/(L22+L23+L24+L25)</f>
        <v>0.212404506487576</v>
      </c>
      <c r="D27" s="35" t="n">
        <f aca="false">(D22*L22+D23*L23+D24*L24+D25*L25)/(L22+L23+L24+L25)</f>
        <v>0.20557407718752</v>
      </c>
      <c r="E27" s="35" t="n">
        <f aca="false">(E22*L22+E23*L23+E24*L24+E25*L25)/(L22+L23+L24+L25)</f>
        <v>0.210587855431929</v>
      </c>
      <c r="F27" s="36" t="n">
        <f aca="false">(B22*L22*F22+B23*L23*F23+B24*L24*F24+B25*L25*F25)/(B22*L22+B23*L23+B24*L24+B25*L25)</f>
        <v>6.4920304638927</v>
      </c>
      <c r="G27" s="36" t="n">
        <f aca="false">(C22*L22*G22+C23*L23*G23+C24*L24*G24+C25*L25*G25)/(C22*L22+C23*L23+C24*L24+C25*L25)</f>
        <v>7.32587014832754</v>
      </c>
      <c r="H27" s="36" t="n">
        <f aca="false">(D22*L22*H22+D23*L23*H23+D24*L24*H24+D25*L25*H25)/(D22*L22+D23*L23+D24*L24+D25*L25)</f>
        <v>4.48409759441102</v>
      </c>
      <c r="I27" s="36" t="n">
        <f aca="false">(E22*L22*I22+E23*L23*I23+E24*L24*I24+E25*L25*I25)/(E22*L22+E23*L23+E24*L24+E25*L25)</f>
        <v>0.711412569547542</v>
      </c>
      <c r="J27" s="36" t="n">
        <f aca="false">'Time Series'!W10</f>
        <v>5.0560802405142</v>
      </c>
      <c r="K27" s="36" t="n">
        <f aca="false">Workings!J21</f>
        <v>68.9</v>
      </c>
    </row>
    <row r="28" customFormat="false" ht="15" hidden="false" customHeight="false" outlineLevel="0" collapsed="false">
      <c r="A28" s="24" t="s">
        <v>105</v>
      </c>
      <c r="J28" s="36" t="n">
        <f aca="false">((B27*F27)+(C27*G27)+(D27*H27))/(B27+C27+D27)</f>
        <v>6.19331737789873</v>
      </c>
    </row>
    <row r="29" customFormat="false" ht="15" hidden="false" customHeight="false" outlineLevel="0" collapsed="false">
      <c r="A29" s="2" t="s">
        <v>106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B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124"/>
  </cols>
  <sheetData>
    <row r="1" customFormat="false" ht="16.15" hidden="false" customHeight="false" outlineLevel="0" collapsed="false">
      <c r="B1" s="37" t="s">
        <v>107</v>
      </c>
    </row>
    <row r="2" customFormat="false" ht="15" hidden="false" customHeight="true" outlineLevel="0" collapsed="false">
      <c r="B2" s="38"/>
    </row>
    <row r="3" customFormat="false" ht="15" hidden="false" customHeight="false" outlineLevel="0" collapsed="false">
      <c r="B3" s="39" t="s">
        <v>108</v>
      </c>
    </row>
    <row r="4" customFormat="false" ht="55.5" hidden="false" customHeight="true" outlineLevel="0" collapsed="false">
      <c r="B4" s="38" t="s">
        <v>109</v>
      </c>
    </row>
    <row r="5" customFormat="false" ht="15" hidden="false" customHeight="true" outlineLevel="0" collapsed="false">
      <c r="B5" s="38"/>
    </row>
    <row r="6" customFormat="false" ht="15" hidden="false" customHeight="false" outlineLevel="0" collapsed="false">
      <c r="B6" s="39" t="s">
        <v>110</v>
      </c>
    </row>
    <row r="7" customFormat="false" ht="55.5" hidden="false" customHeight="true" outlineLevel="0" collapsed="false">
      <c r="B7" s="38" t="s">
        <v>111</v>
      </c>
    </row>
    <row r="8" customFormat="false" ht="27.75" hidden="false" customHeight="true" outlineLevel="0" collapsed="false">
      <c r="B8" s="38" t="s">
        <v>112</v>
      </c>
    </row>
    <row r="9" customFormat="false" ht="27.75" hidden="false" customHeight="true" outlineLevel="0" collapsed="false">
      <c r="B9" s="38" t="s">
        <v>113</v>
      </c>
    </row>
    <row r="10" customFormat="false" ht="15" hidden="false" customHeight="true" outlineLevel="0" collapsed="false">
      <c r="B10" s="38"/>
    </row>
    <row r="11" customFormat="false" ht="15" hidden="false" customHeight="false" outlineLevel="0" collapsed="false">
      <c r="B11" s="39" t="s">
        <v>114</v>
      </c>
    </row>
    <row r="12" customFormat="false" ht="42" hidden="false" customHeight="true" outlineLevel="0" collapsed="false">
      <c r="B12" s="38" t="s">
        <v>115</v>
      </c>
    </row>
    <row r="13" customFormat="false" ht="42" hidden="false" customHeight="true" outlineLevel="0" collapsed="false">
      <c r="B13" s="38" t="s">
        <v>116</v>
      </c>
    </row>
    <row r="14" customFormat="false" ht="15" hidden="false" customHeight="true" outlineLevel="0" collapsed="false">
      <c r="B14" s="38"/>
    </row>
    <row r="15" customFormat="false" ht="15" hidden="false" customHeight="false" outlineLevel="0" collapsed="false">
      <c r="B15" s="39" t="s">
        <v>117</v>
      </c>
    </row>
    <row r="16" customFormat="false" ht="42" hidden="false" customHeight="true" outlineLevel="0" collapsed="false">
      <c r="B16" s="38" t="s">
        <v>118</v>
      </c>
    </row>
    <row r="17" customFormat="false" ht="15" hidden="false" customHeight="true" outlineLevel="0" collapsed="false">
      <c r="B17" s="38"/>
    </row>
    <row r="18" customFormat="false" ht="15" hidden="false" customHeight="false" outlineLevel="0" collapsed="false">
      <c r="B18" s="39" t="s">
        <v>119</v>
      </c>
    </row>
    <row r="19" customFormat="false" ht="42" hidden="false" customHeight="true" outlineLevel="0" collapsed="false">
      <c r="B19" s="38" t="s">
        <v>120</v>
      </c>
    </row>
    <row r="20" customFormat="false" ht="15" hidden="false" customHeight="true" outlineLevel="0" collapsed="false">
      <c r="B20" s="38"/>
    </row>
    <row r="21" customFormat="false" ht="15" hidden="false" customHeight="false" outlineLevel="0" collapsed="false">
      <c r="B21" s="39" t="s">
        <v>121</v>
      </c>
    </row>
    <row r="22" customFormat="false" ht="55.5" hidden="false" customHeight="true" outlineLevel="0" collapsed="false">
      <c r="B22" s="38" t="s">
        <v>122</v>
      </c>
    </row>
    <row r="23" customFormat="false" ht="27.75" hidden="false" customHeight="true" outlineLevel="0" collapsed="false">
      <c r="B23" s="38" t="s">
        <v>123</v>
      </c>
    </row>
    <row r="24" customFormat="false" ht="15" hidden="false" customHeight="true" outlineLevel="0" collapsed="false">
      <c r="B24" s="38"/>
    </row>
    <row r="25" customFormat="false" ht="15" hidden="false" customHeight="false" outlineLevel="0" collapsed="false">
      <c r="B25" s="39" t="s">
        <v>124</v>
      </c>
    </row>
    <row r="26" customFormat="false" ht="84" hidden="false" customHeight="true" outlineLevel="0" collapsed="false">
      <c r="B26" s="38" t="s">
        <v>125</v>
      </c>
    </row>
    <row r="27" customFormat="false" ht="15" hidden="false" customHeight="true" outlineLevel="0" collapsed="false">
      <c r="B27" s="38"/>
    </row>
    <row r="28" customFormat="false" ht="15" hidden="false" customHeight="false" outlineLevel="0" collapsed="false">
      <c r="B28" s="39" t="s">
        <v>126</v>
      </c>
    </row>
    <row r="29" customFormat="false" ht="55.5" hidden="false" customHeight="true" outlineLevel="0" collapsed="false">
      <c r="B29" s="38" t="s">
        <v>127</v>
      </c>
    </row>
    <row r="30" customFormat="false" ht="15" hidden="false" customHeight="true" outlineLevel="0" collapsed="false">
      <c r="B30" s="38"/>
    </row>
    <row r="31" customFormat="false" ht="15" hidden="false" customHeight="false" outlineLevel="0" collapsed="false">
      <c r="B31" s="39" t="s">
        <v>128</v>
      </c>
    </row>
    <row r="32" customFormat="false" ht="42" hidden="false" customHeight="true" outlineLevel="0" collapsed="false">
      <c r="B32" s="38" t="s">
        <v>129</v>
      </c>
    </row>
    <row r="33" customFormat="false" ht="42" hidden="false" customHeight="true" outlineLevel="0" collapsed="false">
      <c r="B33" s="38" t="s">
        <v>130</v>
      </c>
    </row>
    <row r="34" customFormat="false" ht="42" hidden="false" customHeight="true" outlineLevel="0" collapsed="false">
      <c r="B34" s="38" t="s">
        <v>131</v>
      </c>
    </row>
    <row r="35" customFormat="false" ht="15" hidden="false" customHeight="true" outlineLevel="0" collapsed="false">
      <c r="B35" s="38"/>
    </row>
    <row r="36" customFormat="false" ht="15" hidden="false" customHeight="false" outlineLevel="0" collapsed="false">
      <c r="B36" s="39" t="s">
        <v>132</v>
      </c>
    </row>
    <row r="37" customFormat="false" ht="15" hidden="false" customHeight="true" outlineLevel="0" collapsed="false">
      <c r="B37" s="38" t="s">
        <v>133</v>
      </c>
    </row>
    <row r="38" customFormat="false" ht="27.75" hidden="false" customHeight="true" outlineLevel="0" collapsed="false">
      <c r="B38" s="38" t="s">
        <v>134</v>
      </c>
    </row>
    <row r="39" customFormat="false" ht="15" hidden="false" customHeight="true" outlineLevel="0" collapsed="false">
      <c r="B39" s="38" t="s">
        <v>135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2026-09-22T19:01:28Z</dcterms:created>
  <dc:creator>openpyxl</dc:creator>
  <dc:description/>
  <dc:language>en-US</dc:language>
  <cp:lastModifiedBy/>
  <dcterms:modified xsi:type="dcterms:W3CDTF">2026-09-22T19:01:28Z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