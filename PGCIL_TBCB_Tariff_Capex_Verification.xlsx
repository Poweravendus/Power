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  <sheet name="Flags" sheetId="2" state="visible" r:id="rId2"/>
    <sheet name="Sources" sheetId="3" state="visible" r:id="rId3"/>
  </sheets>
  <definedNames>
    <definedName name="_xlnm._FilterDatabase" localSheetId="0" hidden="1">'Verification'!$A$4:$N$53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0;(#,##0.00);-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5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6" fillId="3" borderId="1" applyAlignment="1" pivotButton="0" quotePrefix="0" xfId="0">
      <alignment horizontal="center"/>
    </xf>
    <xf numFmtId="164" fontId="4" fillId="0" borderId="1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0"/>
    <xf numFmtId="0" fontId="6" fillId="5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2" fillId="0" borderId="0" pivotButton="0" quotePrefix="0" xfId="0"/>
    <xf numFmtId="0" fontId="4" fillId="3" borderId="1" pivotButton="0" quotePrefix="0" xfId="0"/>
    <xf numFmtId="0" fontId="4" fillId="5" borderId="1" pivotButton="0" quotePrefix="0" xfId="0"/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ercind.gov.in/2024/orders/365-AT-2023.pdf" TargetMode="External" Id="rId1" /><Relationship Type="http://schemas.openxmlformats.org/officeDocument/2006/relationships/hyperlink" Target="https://cercind.gov.in/2024/orders/64-AT-2024.pdf" TargetMode="External" Id="rId2" /><Relationship Type="http://schemas.openxmlformats.org/officeDocument/2006/relationships/hyperlink" Target="https://cercind.gov.in/2024/orders/51-AT-2024.pdf" TargetMode="External" Id="rId3" /><Relationship Type="http://schemas.openxmlformats.org/officeDocument/2006/relationships/hyperlink" Target="https://cercind.gov.in/2024/orders/48-AT-2024.pdf" TargetMode="External" Id="rId4" /><Relationship Type="http://schemas.openxmlformats.org/officeDocument/2006/relationships/hyperlink" Target="https://cercind.gov.in/2024/orders/56-AT-2024.pdf" TargetMode="External" Id="rId5" /><Relationship Type="http://schemas.openxmlformats.org/officeDocument/2006/relationships/hyperlink" Target="https://cercind.gov.in/2024/orders/117-AT-2024.pdf" TargetMode="External" Id="rId6" /><Relationship Type="http://schemas.openxmlformats.org/officeDocument/2006/relationships/hyperlink" Target="https://cercind.gov.in/2024/orders/115-AT-2024.pdf" TargetMode="External" Id="rId7" /><Relationship Type="http://schemas.openxmlformats.org/officeDocument/2006/relationships/hyperlink" Target="https://cercind.gov.in/2024/orders/234-AT-2024.pdf" TargetMode="External" Id="rId8" /><Relationship Type="http://schemas.openxmlformats.org/officeDocument/2006/relationships/hyperlink" Target="https://cercind.gov.in/2024/orders/318-AT-2024.pdf" TargetMode="External" Id="rId9" /><Relationship Type="http://schemas.openxmlformats.org/officeDocument/2006/relationships/hyperlink" Target="https://cercind.gov.in/2024/orders/314-AT-2024.pdf" TargetMode="External" Id="rId10" /><Relationship Type="http://schemas.openxmlformats.org/officeDocument/2006/relationships/hyperlink" Target="https://cercind.gov.in/2024/orders/321-AT-2024.pdf" TargetMode="External" Id="rId11" /><Relationship Type="http://schemas.openxmlformats.org/officeDocument/2006/relationships/hyperlink" Target="https://cercind.gov.in/2024/orders/323-AT-2024.pdf" TargetMode="External" Id="rId12" /><Relationship Type="http://schemas.openxmlformats.org/officeDocument/2006/relationships/hyperlink" Target="https://cercind.gov.in/2025/orders/492-AT-2024.pdf" TargetMode="External" Id="rId13" /><Relationship Type="http://schemas.openxmlformats.org/officeDocument/2006/relationships/hyperlink" Target="https://cercind.gov.in/2025/orders/490-AT-2024.pdf" TargetMode="External" Id="rId14" /><Relationship Type="http://schemas.openxmlformats.org/officeDocument/2006/relationships/hyperlink" Target="https://cercind.gov.in/2025/orders/493-AT-2024.pdf" TargetMode="External" Id="rId15" /><Relationship Type="http://schemas.openxmlformats.org/officeDocument/2006/relationships/hyperlink" Target="https://cercind.gov.in/2025/orders/342-AT-2024.pdf" TargetMode="External" Id="rId16" /><Relationship Type="http://schemas.openxmlformats.org/officeDocument/2006/relationships/hyperlink" Target="https://cercind.gov.in/2025/orders/510-AT-2024.pdf" TargetMode="External" Id="rId17" /><Relationship Type="http://schemas.openxmlformats.org/officeDocument/2006/relationships/hyperlink" Target="https://cercind.gov.in/2025/orders/64-AT-2025.pdf" TargetMode="External" Id="rId18" /><Relationship Type="http://schemas.openxmlformats.org/officeDocument/2006/relationships/hyperlink" Target="https://cercind.gov.in/2025/orders/72-AT-2025.pdf" TargetMode="External" Id="rId19" /><Relationship Type="http://schemas.openxmlformats.org/officeDocument/2006/relationships/hyperlink" Target="https://cercind.gov.in/2025/orders/508-AT-2024.pdf" TargetMode="External" Id="rId20" /><Relationship Type="http://schemas.openxmlformats.org/officeDocument/2006/relationships/hyperlink" Target="https://cercind.gov.in/2025/orders/70-AT-2025.pdf" TargetMode="External" Id="rId21" /><Relationship Type="http://schemas.openxmlformats.org/officeDocument/2006/relationships/hyperlink" Target="https://cercind.gov.in/2024/orders/353-AT-2024.pdf" TargetMode="External" Id="rId22" /><Relationship Type="http://schemas.openxmlformats.org/officeDocument/2006/relationships/hyperlink" Target="https://cercind.gov.in/2025/orders/236-AT-2025.pdf" TargetMode="External" Id="rId23" /><Relationship Type="http://schemas.openxmlformats.org/officeDocument/2006/relationships/hyperlink" Target="https://cercind.gov.in/2026/Orders/244-AT-2025.pdf" TargetMode="External" Id="rId24" /><Relationship Type="http://schemas.openxmlformats.org/officeDocument/2006/relationships/hyperlink" Target="https://cercind.gov.in/2025/orders/250-AT-2025.pdf" TargetMode="External" Id="rId25" /><Relationship Type="http://schemas.openxmlformats.org/officeDocument/2006/relationships/hyperlink" Target="https://cercind.gov.in/2025/orders/351-AT-2025.pdf" TargetMode="External" Id="rId26" /><Relationship Type="http://schemas.openxmlformats.org/officeDocument/2006/relationships/hyperlink" Target="https://cercind.gov.in/2025/orders/349-AT-2025.pdf" TargetMode="External" Id="rId27" /><Relationship Type="http://schemas.openxmlformats.org/officeDocument/2006/relationships/hyperlink" Target="https://cercind.gov.in/2025/orders/473-AT-2025.pdf" TargetMode="External" Id="rId28" /><Relationship Type="http://schemas.openxmlformats.org/officeDocument/2006/relationships/hyperlink" Target="https://cercind.gov.in/2025/orders/471-AT-2025.pdf" TargetMode="External" Id="rId29" /><Relationship Type="http://schemas.openxmlformats.org/officeDocument/2006/relationships/hyperlink" Target="https://cercind.gov.in/2025/orders/467-AT-2025.pdf" TargetMode="External" Id="rId30" /><Relationship Type="http://schemas.openxmlformats.org/officeDocument/2006/relationships/hyperlink" Target="https://cercind.gov.in/2025/orders/469-AT-2025.pdf" TargetMode="External" Id="rId31" /><Relationship Type="http://schemas.openxmlformats.org/officeDocument/2006/relationships/hyperlink" Target="https://cercind.gov.in/2025/orders/461-AT-2025.pdf" TargetMode="External" Id="rId32" /><Relationship Type="http://schemas.openxmlformats.org/officeDocument/2006/relationships/hyperlink" Target="https://cercind.gov.in/2025/orders/465-AT-2025.pdf" TargetMode="External" Id="rId33" /><Relationship Type="http://schemas.openxmlformats.org/officeDocument/2006/relationships/hyperlink" Target="https://cercind.gov.in/2025/orders/858-AT-2025.pdf" TargetMode="External" Id="rId34" /><Relationship Type="http://schemas.openxmlformats.org/officeDocument/2006/relationships/hyperlink" Target="https://cercind.gov.in/2026/Orders/870-AT-2025.pdf" TargetMode="External" Id="rId35" /><Relationship Type="http://schemas.openxmlformats.org/officeDocument/2006/relationships/hyperlink" Target="https://cercind.gov.in/2026/orders/887-AT-2025.pdf" TargetMode="External" Id="rId36" /><Relationship Type="http://schemas.openxmlformats.org/officeDocument/2006/relationships/hyperlink" Target="https://cercind.gov.in/2026/Orders/884-AT-2025.pdf" TargetMode="External" Id="rId37" /><Relationship Type="http://schemas.openxmlformats.org/officeDocument/2006/relationships/hyperlink" Target="https://cercind.gov.in/2026/Orders/134-AT-2026.pdf" TargetMode="External" Id="rId38" /><Relationship Type="http://schemas.openxmlformats.org/officeDocument/2006/relationships/hyperlink" Target="https://cercind.gov.in/2026/Orders/120-AT-2026.pdf" TargetMode="External" Id="rId39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N6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1" customWidth="1" min="8" max="8"/>
    <col width="11" customWidth="1" min="9" max="9"/>
    <col width="11" customWidth="1" min="10" max="10"/>
    <col width="13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POWERGRID TBCB Transmission SPVs - Tariff &amp; Capex Verification</t>
        </is>
      </c>
    </row>
    <row r="2" ht="28" customHeight="1">
      <c r="A2" s="2" t="inlineStr">
        <is>
          <t>Tariff verified against CERC Section-63 tariff-adoption orders (the tariff petitions). Capex verified against CEA Monthly Progress Report of Under-Construction TBCB Projects, July 2026. All values in Rs. million per annum (tariff) and Rs. million (capex).</t>
        </is>
      </c>
    </row>
    <row r="4" ht="30" customHeight="1">
      <c r="A4" s="3" t="inlineStr">
        <is>
          <t>#</t>
        </is>
      </c>
      <c r="B4" s="3" t="inlineStr">
        <is>
          <t>SPV / Project (as listed)</t>
        </is>
      </c>
      <c r="C4" s="3" t="inlineStr">
        <is>
          <t>Tariff
as listed</t>
        </is>
      </c>
      <c r="D4" s="3" t="inlineStr">
        <is>
          <t>Tariff adopted
by CERC</t>
        </is>
      </c>
      <c r="E4" s="3" t="inlineStr">
        <is>
          <t>Diff</t>
        </is>
      </c>
      <c r="F4" s="3" t="inlineStr">
        <is>
          <t>Diff %</t>
        </is>
      </c>
      <c r="G4" s="3" t="inlineStr">
        <is>
          <t>Tariff
verdict</t>
        </is>
      </c>
      <c r="H4" s="3" t="inlineStr">
        <is>
          <t>Capex
as listed</t>
        </is>
      </c>
      <c r="I4" s="3" t="inlineStr">
        <is>
          <t>Capex per
CEA MPR</t>
        </is>
      </c>
      <c r="J4" s="3" t="inlineStr">
        <is>
          <t>Capex
verdict</t>
        </is>
      </c>
      <c r="K4" s="3" t="inlineStr">
        <is>
          <t>CERC petition</t>
        </is>
      </c>
      <c r="L4" s="3" t="inlineStr">
        <is>
          <t>Order date</t>
        </is>
      </c>
      <c r="M4" s="3" t="inlineStr">
        <is>
          <t>CERC est.
project cost</t>
        </is>
      </c>
      <c r="N4" s="3" t="inlineStr">
        <is>
          <t>Order link</t>
        </is>
      </c>
    </row>
    <row r="5">
      <c r="A5" s="4" t="n">
        <v>1</v>
      </c>
      <c r="B5" s="5" t="inlineStr">
        <is>
          <t>POWERGRID Ramgarh II Transmission Ltd</t>
        </is>
      </c>
      <c r="C5" s="6" t="n">
        <v>1809</v>
      </c>
      <c r="D5" s="7" t="n">
        <v>1615.05</v>
      </c>
      <c r="E5" s="7">
        <f>IF(OR(C5="",D5=""),"",C5-D5)</f>
        <v>193.95</v>
      </c>
      <c r="F5" s="8">
        <f>IF(OR(C5="",D5="",D5=0),"",(C5-D5)/D5)</f>
        <v>0.12008916132627476</v>
      </c>
      <c r="G5" s="9" t="str">
        <f>IF(D5="","No adopted tariff",IF(ABS(C5-D5)&lt;=0.5,"MATCH","MISMATCH"))</f>
        <v>MISMATCH</v>
      </c>
      <c r="H5" s="6" t="n">
        <v>11600</v>
      </c>
      <c r="I5" s="10" t="n">
        <v>11600</v>
      </c>
      <c r="J5" s="11" t="str">
        <f>IF(I5="","Not in CEA MPR",IF(H5=I5,"MATCH","MISMATCH"))</f>
        <v>MATCH</v>
      </c>
      <c r="K5" s="4" t="inlineStr">
        <is>
          <t>365/AT/2023</t>
        </is>
      </c>
      <c r="L5" s="4" t="inlineStr">
        <is>
          <t>27th March, 2024</t>
        </is>
      </c>
      <c r="M5" s="7" t="n"/>
      <c r="N5" s="12" t="inlineStr">
        <is>
          <t>CERC order</t>
        </is>
      </c>
    </row>
    <row r="6">
      <c r="A6" s="4" t="n">
        <v>2</v>
      </c>
      <c r="B6" s="5" t="inlineStr">
        <is>
          <t>POWERGRID Koppal Gadag Transmission Ltd</t>
        </is>
      </c>
      <c r="C6" s="6" t="n">
        <v>3153</v>
      </c>
      <c r="D6" s="7" t="n">
        <v>3153.46</v>
      </c>
      <c r="E6" s="7">
        <f>IF(OR(C6="",D6=""),"",C6-D6)</f>
        <v>-0.46</v>
      </c>
      <c r="F6" s="8">
        <f>IF(OR(C6="",D6="",D6=0),"",(C6-D6)/D6)</f>
        <v>-0.0001458715189030577</v>
      </c>
      <c r="G6" s="11" t="str">
        <f>IF(D6="","No adopted tariff",IF(ABS(C6-D6)&lt;=0.5,"MATCH","MISMATCH"))</f>
        <v>MATCH</v>
      </c>
      <c r="H6" s="6" t="n">
        <v>44450</v>
      </c>
      <c r="I6" s="10" t="n">
        <v>44450</v>
      </c>
      <c r="J6" s="11" t="str">
        <f>IF(I6="","Not in CEA MPR",IF(H6=I6,"MATCH","MISMATCH"))</f>
        <v>MATCH</v>
      </c>
      <c r="K6" s="4" t="inlineStr">
        <is>
          <t>64/AT/2024</t>
        </is>
      </c>
      <c r="L6" s="4" t="inlineStr">
        <is>
          <t>9th July, 2024</t>
        </is>
      </c>
      <c r="M6" s="7" t="n"/>
      <c r="N6" s="12" t="inlineStr">
        <is>
          <t>CERC order</t>
        </is>
      </c>
    </row>
    <row r="7">
      <c r="A7" s="4" t="n">
        <v>3</v>
      </c>
      <c r="B7" s="5" t="inlineStr">
        <is>
          <t>POWERGRID Vataman Transmission Ltd</t>
        </is>
      </c>
      <c r="C7" s="6" t="n">
        <v>4018</v>
      </c>
      <c r="D7" s="7" t="n">
        <v>4018.15</v>
      </c>
      <c r="E7" s="7">
        <f>IF(OR(C7="",D7=""),"",C7-D7)</f>
        <v>-0.15</v>
      </c>
      <c r="F7" s="8">
        <f>IF(OR(C7="",D7="",D7=0),"",(C7-D7)/D7)</f>
        <v>-3.733061234650049e-05</v>
      </c>
      <c r="G7" s="11" t="str">
        <f>IF(D7="","No adopted tariff",IF(ABS(C7-D7)&lt;=0.5,"MATCH","MISMATCH"))</f>
        <v>MATCH</v>
      </c>
      <c r="H7" s="6" t="n">
        <v>42310</v>
      </c>
      <c r="I7" s="10" t="n">
        <v>42310</v>
      </c>
      <c r="J7" s="11" t="str">
        <f>IF(I7="","Not in CEA MPR",IF(H7=I7,"MATCH","MISMATCH"))</f>
        <v>MATCH</v>
      </c>
      <c r="K7" s="4" t="inlineStr">
        <is>
          <t>51/AT/2024</t>
        </is>
      </c>
      <c r="L7" s="4" t="inlineStr">
        <is>
          <t>31st March, 2024</t>
        </is>
      </c>
      <c r="M7" s="7" t="n"/>
      <c r="N7" s="12" t="inlineStr">
        <is>
          <t>CERC order</t>
        </is>
      </c>
    </row>
    <row r="8">
      <c r="A8" s="4" t="n">
        <v>4</v>
      </c>
      <c r="B8" s="5" t="inlineStr">
        <is>
          <t>POWERGRID Bikaner Neemrana Transmission Ltd</t>
        </is>
      </c>
      <c r="C8" s="6" t="n">
        <v>2733</v>
      </c>
      <c r="D8" s="7" t="n">
        <v>2732.69</v>
      </c>
      <c r="E8" s="7">
        <f>IF(OR(C8="",D8=""),"",C8-D8)</f>
        <v>0.31</v>
      </c>
      <c r="F8" s="8">
        <f>IF(OR(C8="",D8="",D8=0),"",(C8-D8)/D8)</f>
        <v>0.00011344133436282397</v>
      </c>
      <c r="G8" s="11" t="str">
        <f>IF(D8="","No adopted tariff",IF(ABS(C8-D8)&lt;=0.5,"MATCH","MISMATCH"))</f>
        <v>MATCH</v>
      </c>
      <c r="H8" s="6" t="n">
        <v>47410</v>
      </c>
      <c r="I8" s="10" t="n">
        <v>47410</v>
      </c>
      <c r="J8" s="11" t="str">
        <f>IF(I8="","Not in CEA MPR",IF(H8=I8,"MATCH","MISMATCH"))</f>
        <v>MATCH</v>
      </c>
      <c r="K8" s="4" t="inlineStr">
        <is>
          <t>48/AT/2024</t>
        </is>
      </c>
      <c r="L8" s="4" t="inlineStr">
        <is>
          <t>31st March, 2024</t>
        </is>
      </c>
      <c r="M8" s="7" t="n"/>
      <c r="N8" s="12" t="inlineStr">
        <is>
          <t>CERC order</t>
        </is>
      </c>
    </row>
    <row r="9">
      <c r="A9" s="4" t="n">
        <v>5</v>
      </c>
      <c r="B9" s="5" t="inlineStr">
        <is>
          <t>POWERGRID Neemrana Bareilly Transmission Ltd</t>
        </is>
      </c>
      <c r="C9" s="6" t="n">
        <v>1946</v>
      </c>
      <c r="D9" s="7" t="n">
        <v>1945.62</v>
      </c>
      <c r="E9" s="7">
        <f>IF(OR(C9="",D9=""),"",C9-D9)</f>
        <v>0.38</v>
      </c>
      <c r="F9" s="8">
        <f>IF(OR(C9="",D9="",D9=0),"",(C9-D9)/D9)</f>
        <v>0.00019531049228529166</v>
      </c>
      <c r="G9" s="11" t="str">
        <f>IF(D9="","No adopted tariff",IF(ABS(C9-D9)&lt;=0.5,"MATCH","MISMATCH"))</f>
        <v>MATCH</v>
      </c>
      <c r="H9" s="6" t="n">
        <v>32710</v>
      </c>
      <c r="I9" s="10" t="n">
        <v>32710</v>
      </c>
      <c r="J9" s="11" t="str">
        <f>IF(I9="","Not in CEA MPR",IF(H9=I9,"MATCH","MISMATCH"))</f>
        <v>MATCH</v>
      </c>
      <c r="K9" s="4" t="inlineStr">
        <is>
          <t>56/AT/2024</t>
        </is>
      </c>
      <c r="L9" s="4" t="inlineStr">
        <is>
          <t>31st March, 2024</t>
        </is>
      </c>
      <c r="M9" s="7" t="n"/>
      <c r="N9" s="12" t="inlineStr">
        <is>
          <t>CERC order</t>
        </is>
      </c>
    </row>
    <row r="10">
      <c r="A10" s="4" t="n">
        <v>6</v>
      </c>
      <c r="B10" s="5" t="inlineStr">
        <is>
          <t>POWERGRID Bidar Transmission Ltd</t>
        </is>
      </c>
      <c r="C10" s="6" t="n">
        <v>2741</v>
      </c>
      <c r="D10" s="7" t="n">
        <v>2368.09</v>
      </c>
      <c r="E10" s="7">
        <f>IF(OR(C10="",D10=""),"",C10-D10)</f>
        <v>372.91</v>
      </c>
      <c r="F10" s="8">
        <f>IF(OR(C10="",D10="",D10=0),"",(C10-D10)/D10)</f>
        <v>0.15747290010092516</v>
      </c>
      <c r="G10" s="9" t="str">
        <f>IF(D10="","No adopted tariff",IF(ABS(C10-D10)&lt;=0.5,"MATCH","MISMATCH"))</f>
        <v>MISMATCH</v>
      </c>
      <c r="H10" s="6" t="n">
        <v>13680</v>
      </c>
      <c r="I10" s="10" t="n">
        <v>13680</v>
      </c>
      <c r="J10" s="11" t="str">
        <f>IF(I10="","Not in CEA MPR",IF(H10=I10,"MATCH","MISMATCH"))</f>
        <v>MATCH</v>
      </c>
      <c r="K10" s="4" t="inlineStr">
        <is>
          <t>117/AT/2024</t>
        </is>
      </c>
      <c r="L10" s="4" t="inlineStr">
        <is>
          <t>27th May, 2024</t>
        </is>
      </c>
      <c r="M10" s="7" t="n"/>
      <c r="N10" s="12" t="inlineStr">
        <is>
          <t>CERC order</t>
        </is>
      </c>
    </row>
    <row r="11">
      <c r="A11" s="4" t="n">
        <v>7</v>
      </c>
      <c r="B11" s="5" t="inlineStr">
        <is>
          <t>POWERGRID Sikar Khetri Transmission Ltd</t>
        </is>
      </c>
      <c r="C11" s="6" t="n">
        <v>2400</v>
      </c>
      <c r="D11" s="7" t="n">
        <v>2147.3</v>
      </c>
      <c r="E11" s="7">
        <f>IF(OR(C11="",D11=""),"",C11-D11)</f>
        <v>252.7</v>
      </c>
      <c r="F11" s="8">
        <f>IF(OR(C11="",D11="",D11=0),"",(C11-D11)/D11)</f>
        <v>0.11768267126158422</v>
      </c>
      <c r="G11" s="9" t="str">
        <f>IF(D11="","No adopted tariff",IF(ABS(C11-D11)&lt;=0.5,"MATCH","MISMATCH"))</f>
        <v>MISMATCH</v>
      </c>
      <c r="H11" s="6" t="n">
        <v>24230</v>
      </c>
      <c r="I11" s="10" t="n">
        <v>24230</v>
      </c>
      <c r="J11" s="11" t="str">
        <f>IF(I11="","Not in CEA MPR",IF(H11=I11,"MATCH","MISMATCH"))</f>
        <v>MATCH</v>
      </c>
      <c r="K11" s="4" t="inlineStr">
        <is>
          <t>115/AT/2024</t>
        </is>
      </c>
      <c r="L11" s="4" t="inlineStr">
        <is>
          <t>28th May, 2024</t>
        </is>
      </c>
      <c r="M11" s="7" t="n"/>
      <c r="N11" s="12" t="inlineStr">
        <is>
          <t>CERC order</t>
        </is>
      </c>
    </row>
    <row r="12">
      <c r="A12" s="4" t="n">
        <v>8</v>
      </c>
      <c r="B12" s="5" t="inlineStr">
        <is>
          <t>POWERGRID Khavda IV-E2 Power Transmission Ltd</t>
        </is>
      </c>
      <c r="C12" s="6" t="n">
        <v>815</v>
      </c>
      <c r="D12" s="7" t="n">
        <v>932.0700000000001</v>
      </c>
      <c r="E12" s="7">
        <f>IF(OR(C12="",D12=""),"",C12-D12)</f>
        <v>-117.07</v>
      </c>
      <c r="F12" s="8">
        <f>IF(OR(C12="",D12="",D12=0),"",(C12-D12)/D12)</f>
        <v>-0.12560215434463082</v>
      </c>
      <c r="G12" s="9" t="str">
        <f>IF(D12="","No adopted tariff",IF(ABS(C12-D12)&lt;=0.5,"MATCH","MISMATCH"))</f>
        <v>MISMATCH</v>
      </c>
      <c r="H12" s="6" t="n">
        <v>6970</v>
      </c>
      <c r="I12" s="10" t="n">
        <v>6970</v>
      </c>
      <c r="J12" s="11" t="str">
        <f>IF(I12="","Not in CEA MPR",IF(H12=I12,"MATCH","MISMATCH"))</f>
        <v>MATCH</v>
      </c>
      <c r="K12" s="4" t="inlineStr">
        <is>
          <t>234/AT/2024</t>
        </is>
      </c>
      <c r="L12" s="4" t="inlineStr">
        <is>
          <t>18th November, 2024</t>
        </is>
      </c>
      <c r="M12" s="7" t="n"/>
      <c r="N12" s="12" t="inlineStr">
        <is>
          <t>CERC order</t>
        </is>
      </c>
    </row>
    <row r="13">
      <c r="A13" s="4" t="n">
        <v>9</v>
      </c>
      <c r="B13" s="5" t="inlineStr">
        <is>
          <t>POWERGRID Mandsaur Transmission Ltd</t>
        </is>
      </c>
      <c r="C13" s="6" t="n">
        <v>2028</v>
      </c>
      <c r="D13" s="7" t="n">
        <v>2027.69</v>
      </c>
      <c r="E13" s="7">
        <f>IF(OR(C13="",D13=""),"",C13-D13)</f>
        <v>0.31</v>
      </c>
      <c r="F13" s="8">
        <f>IF(OR(C13="",D13="",D13=0),"",(C13-D13)/D13)</f>
        <v>0.00015288333029207888</v>
      </c>
      <c r="G13" s="11" t="str">
        <f>IF(D13="","No adopted tariff",IF(ABS(C13-D13)&lt;=0.5,"MATCH","MISMATCH"))</f>
        <v>MATCH</v>
      </c>
      <c r="H13" s="6" t="n">
        <v>27080</v>
      </c>
      <c r="I13" s="10" t="n">
        <v>27080</v>
      </c>
      <c r="J13" s="11" t="str">
        <f>IF(I13="","Not in CEA MPR",IF(H13=I13,"MATCH","MISMATCH"))</f>
        <v>MATCH</v>
      </c>
      <c r="K13" s="4" t="inlineStr">
        <is>
          <t>318/AT/2024</t>
        </is>
      </c>
      <c r="L13" s="4" t="inlineStr">
        <is>
          <t>16th December, 2024</t>
        </is>
      </c>
      <c r="M13" s="7" t="n"/>
      <c r="N13" s="12" t="inlineStr">
        <is>
          <t>CERC order</t>
        </is>
      </c>
    </row>
    <row r="14">
      <c r="A14" s="4" t="n">
        <v>10</v>
      </c>
      <c r="B14" s="5" t="inlineStr">
        <is>
          <t>POWERGRID Mewar Transmission Ltd</t>
        </is>
      </c>
      <c r="C14" s="6" t="n">
        <v>2521</v>
      </c>
      <c r="D14" s="7" t="n">
        <v>2521.1</v>
      </c>
      <c r="E14" s="7">
        <f>IF(OR(C14="",D14=""),"",C14-D14)</f>
        <v>-0.1</v>
      </c>
      <c r="F14" s="8">
        <f>IF(OR(C14="",D14="",D14=0),"",(C14-D14)/D14)</f>
        <v>-3.9665225496770874e-05</v>
      </c>
      <c r="G14" s="11" t="str">
        <f>IF(D14="","No adopted tariff",IF(ABS(C14-D14)&lt;=0.5,"MATCH","MISMATCH"))</f>
        <v>MATCH</v>
      </c>
      <c r="H14" s="6" t="n">
        <v>32510</v>
      </c>
      <c r="I14" s="10" t="n">
        <v>32510</v>
      </c>
      <c r="J14" s="11" t="str">
        <f>IF(I14="","Not in CEA MPR",IF(H14=I14,"MATCH","MISMATCH"))</f>
        <v>MATCH</v>
      </c>
      <c r="K14" s="4" t="inlineStr">
        <is>
          <t>314/AT/2024</t>
        </is>
      </c>
      <c r="L14" s="4" t="inlineStr">
        <is>
          <t>15th December, 2024</t>
        </is>
      </c>
      <c r="M14" s="7" t="n"/>
      <c r="N14" s="12" t="inlineStr">
        <is>
          <t>CERC order</t>
        </is>
      </c>
    </row>
    <row r="15">
      <c r="A15" s="4" t="n">
        <v>11</v>
      </c>
      <c r="B15" s="5" t="inlineStr">
        <is>
          <t>POWERGRID Sirohi Transmission Ltd</t>
        </is>
      </c>
      <c r="C15" s="6" t="n">
        <v>2909</v>
      </c>
      <c r="D15" s="7" t="n">
        <v>2908.53</v>
      </c>
      <c r="E15" s="7">
        <f>IF(OR(C15="",D15=""),"",C15-D15)</f>
        <v>0.47</v>
      </c>
      <c r="F15" s="8">
        <f>IF(OR(C15="",D15="",D15=0),"",(C15-D15)/D15)</f>
        <v>0.00016159365727697492</v>
      </c>
      <c r="G15" s="11" t="str">
        <f>IF(D15="","No adopted tariff",IF(ABS(C15-D15)&lt;=0.5,"MATCH","MISMATCH"))</f>
        <v>MATCH</v>
      </c>
      <c r="H15" s="6" t="n">
        <v>32790</v>
      </c>
      <c r="I15" s="10" t="n">
        <v>32790</v>
      </c>
      <c r="J15" s="11" t="str">
        <f>IF(I15="","Not in CEA MPR",IF(H15=I15,"MATCH","MISMATCH"))</f>
        <v>MATCH</v>
      </c>
      <c r="K15" s="4" t="inlineStr">
        <is>
          <t>321/AT/2024</t>
        </is>
      </c>
      <c r="L15" s="4" t="inlineStr">
        <is>
          <t>25th October 2024</t>
        </is>
      </c>
      <c r="M15" s="7" t="n"/>
      <c r="N15" s="12" t="inlineStr">
        <is>
          <t>CERC order</t>
        </is>
      </c>
    </row>
    <row r="16">
      <c r="A16" s="4" t="n">
        <v>12</v>
      </c>
      <c r="B16" s="5" t="inlineStr">
        <is>
          <t>POWERGRID Beawar-Mandsaur Transmission Ltd</t>
        </is>
      </c>
      <c r="C16" s="6" t="n">
        <v>1820</v>
      </c>
      <c r="D16" s="7" t="n">
        <v>1819.81</v>
      </c>
      <c r="E16" s="7">
        <f>IF(OR(C16="",D16=""),"",C16-D16)</f>
        <v>0.19</v>
      </c>
      <c r="F16" s="8">
        <f>IF(OR(C16="",D16="",D16=0),"",(C16-D16)/D16)</f>
        <v>0.00010440650397571976</v>
      </c>
      <c r="G16" s="11" t="str">
        <f>IF(D16="","No adopted tariff",IF(ABS(C16-D16)&lt;=0.5,"MATCH","MISMATCH"))</f>
        <v>MATCH</v>
      </c>
      <c r="H16" s="6" t="n">
        <v>22270</v>
      </c>
      <c r="I16" s="10" t="n">
        <v>22270</v>
      </c>
      <c r="J16" s="11" t="str">
        <f>IF(I16="","Not in CEA MPR",IF(H16=I16,"MATCH","MISMATCH"))</f>
        <v>MATCH</v>
      </c>
      <c r="K16" s="4" t="inlineStr">
        <is>
          <t>323/AT/2024</t>
        </is>
      </c>
      <c r="L16" s="4" t="inlineStr">
        <is>
          <t>19th December, 2024</t>
        </is>
      </c>
      <c r="M16" s="7" t="n"/>
      <c r="N16" s="12" t="inlineStr">
        <is>
          <t>CERC order</t>
        </is>
      </c>
    </row>
    <row r="17">
      <c r="A17" s="4" t="n">
        <v>13</v>
      </c>
      <c r="B17" s="5" t="inlineStr">
        <is>
          <t>POWERGRID Kurawar Transmission Ltd</t>
        </is>
      </c>
      <c r="C17" s="6" t="n">
        <v>2735</v>
      </c>
      <c r="D17" s="7" t="n">
        <v>2734.85</v>
      </c>
      <c r="E17" s="7">
        <f>IF(OR(C17="",D17=""),"",C17-D17)</f>
        <v>0.15</v>
      </c>
      <c r="F17" s="8">
        <f>IF(OR(C17="",D17="",D17=0),"",(C17-D17)/D17)</f>
        <v>5.484761504290581e-05</v>
      </c>
      <c r="G17" s="11" t="str">
        <f>IF(D17="","No adopted tariff",IF(ABS(C17-D17)&lt;=0.5,"MATCH","MISMATCH"))</f>
        <v>MATCH</v>
      </c>
      <c r="H17" s="6" t="n">
        <v>36740</v>
      </c>
      <c r="I17" s="10" t="n">
        <v>36740</v>
      </c>
      <c r="J17" s="11" t="str">
        <f>IF(I17="","Not in CEA MPR",IF(H17=I17,"MATCH","MISMATCH"))</f>
        <v>MATCH</v>
      </c>
      <c r="K17" s="4" t="inlineStr">
        <is>
          <t>492/AT/2024</t>
        </is>
      </c>
      <c r="L17" s="4" t="inlineStr">
        <is>
          <t>5th March, 2025</t>
        </is>
      </c>
      <c r="M17" s="7" t="n">
        <v>33258.7</v>
      </c>
      <c r="N17" s="12" t="inlineStr">
        <is>
          <t>CERC order</t>
        </is>
      </c>
    </row>
    <row r="18">
      <c r="A18" s="4" t="n">
        <v>14</v>
      </c>
      <c r="B18" s="5" t="inlineStr">
        <is>
          <t>POWERGRID Jam Khambaliya Transmission Ltd</t>
        </is>
      </c>
      <c r="C18" s="6" t="n">
        <v>395</v>
      </c>
      <c r="D18" s="7" t="n">
        <v>446.04</v>
      </c>
      <c r="E18" s="7">
        <f>IF(OR(C18="",D18=""),"",C18-D18)</f>
        <v>-51.04</v>
      </c>
      <c r="F18" s="8">
        <f>IF(OR(C18="",D18="",D18=0),"",(C18-D18)/D18)</f>
        <v>-0.11442919917496193</v>
      </c>
      <c r="G18" s="9" t="str">
        <f>IF(D18="","No adopted tariff",IF(ABS(C18-D18)&lt;=0.5,"MATCH","MISMATCH"))</f>
        <v>MISMATCH</v>
      </c>
      <c r="H18" s="6" t="n">
        <v>3290</v>
      </c>
      <c r="I18" s="10" t="n">
        <v>3290</v>
      </c>
      <c r="J18" s="11" t="str">
        <f>IF(I18="","Not in CEA MPR",IF(H18=I18,"MATCH","MISMATCH"))</f>
        <v>MATCH</v>
      </c>
      <c r="K18" s="4" t="inlineStr">
        <is>
          <t>490/AT/2024</t>
        </is>
      </c>
      <c r="L18" s="4" t="inlineStr">
        <is>
          <t>11th March, 2025</t>
        </is>
      </c>
      <c r="M18" s="7" t="n">
        <v>2531.5</v>
      </c>
      <c r="N18" s="12" t="inlineStr">
        <is>
          <t>CERC order</t>
        </is>
      </c>
    </row>
    <row r="19">
      <c r="A19" s="4" t="n">
        <v>15</v>
      </c>
      <c r="B19" s="5" t="inlineStr">
        <is>
          <t>POWERGRID South Olpad Transmission Ltd</t>
        </is>
      </c>
      <c r="C19" s="6" t="n">
        <v>5567</v>
      </c>
      <c r="D19" s="7" t="n">
        <v>5566.86</v>
      </c>
      <c r="E19" s="7">
        <f>IF(OR(C19="",D19=""),"",C19-D19)</f>
        <v>0.14</v>
      </c>
      <c r="F19" s="8">
        <f>IF(OR(C19="",D19="",D19=0),"",(C19-D19)/D19)</f>
        <v>2.514882716654046e-05</v>
      </c>
      <c r="G19" s="11" t="str">
        <f>IF(D19="","No adopted tariff",IF(ABS(C19-D19)&lt;=0.5,"MATCH","MISMATCH"))</f>
        <v>MATCH</v>
      </c>
      <c r="H19" s="6" t="n">
        <v>47660</v>
      </c>
      <c r="I19" s="10" t="n">
        <v>47660</v>
      </c>
      <c r="J19" s="11" t="str">
        <f>IF(I19="","Not in CEA MPR",IF(H19=I19,"MATCH","MISMATCH"))</f>
        <v>MATCH</v>
      </c>
      <c r="K19" s="4" t="inlineStr">
        <is>
          <t>493/AT/2024</t>
        </is>
      </c>
      <c r="L19" s="4" t="inlineStr">
        <is>
          <t>24th May, 2025</t>
        </is>
      </c>
      <c r="M19" s="7" t="n">
        <v>36055.7</v>
      </c>
      <c r="N19" s="12" t="inlineStr">
        <is>
          <t>CERC order</t>
        </is>
      </c>
    </row>
    <row r="20">
      <c r="A20" s="4" t="n">
        <v>16</v>
      </c>
      <c r="B20" s="5" t="inlineStr">
        <is>
          <t>POWERGRID Bhadla Bikaner Transmission Ltd</t>
        </is>
      </c>
      <c r="C20" s="6" t="n">
        <v>980</v>
      </c>
      <c r="D20" s="7" t="n">
        <v>979.9</v>
      </c>
      <c r="E20" s="7">
        <f>IF(OR(C20="",D20=""),"",C20-D20)</f>
        <v>0.1</v>
      </c>
      <c r="F20" s="8">
        <f>IF(OR(C20="",D20="",D20=0),"",(C20-D20)/D20)</f>
        <v>0.0001020512297173413</v>
      </c>
      <c r="G20" s="11" t="str">
        <f>IF(D20="","No adopted tariff",IF(ABS(C20-D20)&lt;=0.5,"MATCH","MISMATCH"))</f>
        <v>MATCH</v>
      </c>
      <c r="H20" s="6" t="n">
        <v>13820</v>
      </c>
      <c r="I20" s="10" t="n">
        <v>13820</v>
      </c>
      <c r="J20" s="11" t="str">
        <f>IF(I20="","Not in CEA MPR",IF(H20=I20,"MATCH","MISMATCH"))</f>
        <v>MATCH</v>
      </c>
      <c r="K20" s="4" t="inlineStr">
        <is>
          <t>342/AT/2024</t>
        </is>
      </c>
      <c r="L20" s="4" t="inlineStr">
        <is>
          <t>14th January, 2025</t>
        </is>
      </c>
      <c r="M20" s="7" t="n"/>
      <c r="N20" s="12" t="inlineStr">
        <is>
          <t>CERC order</t>
        </is>
      </c>
    </row>
    <row r="21">
      <c r="A21" s="4" t="n">
        <v>17</v>
      </c>
      <c r="B21" s="5" t="inlineStr">
        <is>
          <t>POWERGRID Barmer I Transmission Ltd</t>
        </is>
      </c>
      <c r="C21" s="6" t="n">
        <v>2474</v>
      </c>
      <c r="D21" s="7" t="n">
        <v>2473.6</v>
      </c>
      <c r="E21" s="7">
        <f>IF(OR(C21="",D21=""),"",C21-D21)</f>
        <v>0.4</v>
      </c>
      <c r="F21" s="8">
        <f>IF(OR(C21="",D21="",D21=0),"",(C21-D21)/D21)</f>
        <v>0.0001617076326002955</v>
      </c>
      <c r="G21" s="11" t="str">
        <f>IF(D21="","No adopted tariff",IF(ABS(C21-D21)&lt;=0.5,"MATCH","MISMATCH"))</f>
        <v>MATCH</v>
      </c>
      <c r="H21" s="6" t="n">
        <v>27350</v>
      </c>
      <c r="I21" s="10" t="n">
        <v>27350</v>
      </c>
      <c r="J21" s="11" t="str">
        <f>IF(I21="","Not in CEA MPR",IF(H21=I21,"MATCH","MISMATCH"))</f>
        <v>MATCH</v>
      </c>
      <c r="K21" s="4" t="inlineStr">
        <is>
          <t>510/AT/2024</t>
        </is>
      </c>
      <c r="L21" s="4" t="inlineStr">
        <is>
          <t>19th March, 2025</t>
        </is>
      </c>
      <c r="M21" s="7" t="n"/>
      <c r="N21" s="12" t="inlineStr">
        <is>
          <t>CERC order</t>
        </is>
      </c>
    </row>
    <row r="22">
      <c r="A22" s="4" t="n">
        <v>18</v>
      </c>
      <c r="B22" s="5" t="inlineStr">
        <is>
          <t>POWERGRID Bikaner IV Transmission Ltd</t>
        </is>
      </c>
      <c r="C22" s="6" t="n">
        <v>5879</v>
      </c>
      <c r="D22" s="7" t="n">
        <v>5879.06</v>
      </c>
      <c r="E22" s="7">
        <f>IF(OR(C22="",D22=""),"",C22-D22)</f>
        <v>-0.06</v>
      </c>
      <c r="F22" s="8">
        <f>IF(OR(C22="",D22="",D22=0),"",(C22-D22)/D22)</f>
        <v>-1.0205713158294042e-05</v>
      </c>
      <c r="G22" s="11" t="str">
        <f>IF(D22="","No adopted tariff",IF(ABS(C22-D22)&lt;=0.5,"MATCH","MISMATCH"))</f>
        <v>MATCH</v>
      </c>
      <c r="H22" s="6" t="n">
        <v>59690</v>
      </c>
      <c r="I22" s="10" t="n">
        <v>59690</v>
      </c>
      <c r="J22" s="11" t="str">
        <f>IF(I22="","Not in CEA MPR",IF(H22=I22,"MATCH","MISMATCH"))</f>
        <v>MATCH</v>
      </c>
      <c r="K22" s="4" t="inlineStr">
        <is>
          <t>64/AT/2025</t>
        </is>
      </c>
      <c r="L22" s="4" t="inlineStr">
        <is>
          <t>22nd March, 2025</t>
        </is>
      </c>
      <c r="M22" s="7" t="n">
        <v>44610.5</v>
      </c>
      <c r="N22" s="12" t="inlineStr">
        <is>
          <t>CERC order</t>
        </is>
      </c>
    </row>
    <row r="23">
      <c r="A23" s="4" t="n">
        <v>19</v>
      </c>
      <c r="B23" s="5" t="inlineStr">
        <is>
          <t>POWERGRID West Central Transmission Ltd</t>
        </is>
      </c>
      <c r="C23" s="6" t="n">
        <v>40829</v>
      </c>
      <c r="D23" s="7" t="n">
        <v>40828.67</v>
      </c>
      <c r="E23" s="7">
        <f>IF(OR(C23="",D23=""),"",C23-D23)</f>
        <v>0.33</v>
      </c>
      <c r="F23" s="8">
        <f>IF(OR(C23="",D23="",D23=0),"",(C23-D23)/D23)</f>
        <v>8.082555713956548e-06</v>
      </c>
      <c r="G23" s="11" t="str">
        <f>IF(D23="","No adopted tariff",IF(ABS(C23-D23)&lt;=0.5,"MATCH","MISMATCH"))</f>
        <v>MATCH</v>
      </c>
      <c r="H23" s="6" t="n">
        <v>248190</v>
      </c>
      <c r="I23" s="10" t="n">
        <v>248190</v>
      </c>
      <c r="J23" s="11" t="str">
        <f>IF(I23="","Not in CEA MPR",IF(H23=I23,"MATCH","MISMATCH"))</f>
        <v>MATCH</v>
      </c>
      <c r="K23" s="4" t="inlineStr">
        <is>
          <t>72/AT/2025</t>
        </is>
      </c>
      <c r="L23" s="4" t="inlineStr">
        <is>
          <t>17th March, 2025</t>
        </is>
      </c>
      <c r="M23" s="7" t="n">
        <v>246109.4</v>
      </c>
      <c r="N23" s="12" t="inlineStr">
        <is>
          <t>CERC order</t>
        </is>
      </c>
    </row>
    <row r="24">
      <c r="A24" s="4" t="n">
        <v>20</v>
      </c>
      <c r="B24" s="5" t="inlineStr">
        <is>
          <t>POWERGRID Khavda PS1 and 3 Transmission Ltd</t>
        </is>
      </c>
      <c r="C24" s="6" t="n">
        <v>1077</v>
      </c>
      <c r="D24" s="7" t="n">
        <v>1077.25</v>
      </c>
      <c r="E24" s="7">
        <f>IF(OR(C24="",D24=""),"",C24-D24)</f>
        <v>-0.25</v>
      </c>
      <c r="F24" s="8">
        <f>IF(OR(C24="",D24="",D24=0),"",(C24-D24)/D24)</f>
        <v>-0.00023207240659085636</v>
      </c>
      <c r="G24" s="11" t="str">
        <f>IF(D24="","No adopted tariff",IF(ABS(C24-D24)&lt;=0.5,"MATCH","MISMATCH"))</f>
        <v>MATCH</v>
      </c>
      <c r="H24" s="6" t="n">
        <v>5010</v>
      </c>
      <c r="I24" s="10" t="n">
        <v>5010</v>
      </c>
      <c r="J24" s="11" t="str">
        <f>IF(I24="","Not in CEA MPR",IF(H24=I24,"MATCH","MISMATCH"))</f>
        <v>MATCH</v>
      </c>
      <c r="K24" s="4" t="inlineStr">
        <is>
          <t>508/AT/2024</t>
        </is>
      </c>
      <c r="L24" s="4" t="inlineStr">
        <is>
          <t>19th March, 2025</t>
        </is>
      </c>
      <c r="M24" s="7" t="n">
        <v>7765.4</v>
      </c>
      <c r="N24" s="12" t="inlineStr">
        <is>
          <t>CERC order</t>
        </is>
      </c>
    </row>
    <row r="25">
      <c r="A25" s="4" t="n">
        <v>21</v>
      </c>
      <c r="B25" s="5" t="inlineStr">
        <is>
          <t>POWERGRID Siwani Transmission Ltd</t>
        </is>
      </c>
      <c r="C25" s="6" t="n">
        <v>5093</v>
      </c>
      <c r="D25" s="7" t="n">
        <v>5093.13</v>
      </c>
      <c r="E25" s="7">
        <f>IF(OR(C25="",D25=""),"",C25-D25)</f>
        <v>-0.13</v>
      </c>
      <c r="F25" s="8">
        <f>IF(OR(C25="",D25="",D25=0),"",(C25-D25)/D25)</f>
        <v>-2.552457918806493e-05</v>
      </c>
      <c r="G25" s="11" t="str">
        <f>IF(D25="","No adopted tariff",IF(ABS(C25-D25)&lt;=0.5,"MATCH","MISMATCH"))</f>
        <v>MATCH</v>
      </c>
      <c r="H25" s="6" t="n">
        <v>53570</v>
      </c>
      <c r="I25" s="10" t="n">
        <v>53570</v>
      </c>
      <c r="J25" s="11" t="str">
        <f>IF(I25="","Not in CEA MPR",IF(H25=I25,"MATCH","MISMATCH"))</f>
        <v>MATCH</v>
      </c>
      <c r="K25" s="4" t="inlineStr">
        <is>
          <t>70/AT/2025</t>
        </is>
      </c>
      <c r="L25" s="4" t="inlineStr">
        <is>
          <t>5th March, 2025</t>
        </is>
      </c>
      <c r="M25" s="7" t="n"/>
      <c r="N25" s="12" t="inlineStr">
        <is>
          <t>CERC order</t>
        </is>
      </c>
    </row>
    <row r="26">
      <c r="A26" s="4" t="n">
        <v>22</v>
      </c>
      <c r="B26" s="5" t="inlineStr">
        <is>
          <t>POWERGRID Bhadla-III Power Transmission Ltd</t>
        </is>
      </c>
      <c r="C26" s="6" t="n">
        <v>662</v>
      </c>
      <c r="D26" s="7" t="n">
        <v>661.52</v>
      </c>
      <c r="E26" s="7">
        <f>IF(OR(C26="",D26=""),"",C26-D26)</f>
        <v>0.48</v>
      </c>
      <c r="F26" s="8">
        <f>IF(OR(C26="",D26="",D26=0),"",(C26-D26)/D26)</f>
        <v>0.0007256016446970889</v>
      </c>
      <c r="G26" s="11" t="str">
        <f>IF(D26="","No adopted tariff",IF(ABS(C26-D26)&lt;=0.5,"MATCH","MISMATCH"))</f>
        <v>MATCH</v>
      </c>
      <c r="H26" s="6" t="n">
        <v>3690</v>
      </c>
      <c r="I26" s="10" t="n">
        <v>3690</v>
      </c>
      <c r="J26" s="11" t="str">
        <f>IF(I26="","Not in CEA MPR",IF(H26=I26,"MATCH","MISMATCH"))</f>
        <v>MATCH</v>
      </c>
      <c r="K26" s="4" t="inlineStr">
        <is>
          <t>353/AT/2024</t>
        </is>
      </c>
      <c r="L26" s="4" t="inlineStr">
        <is>
          <t>27th December, 2024</t>
        </is>
      </c>
      <c r="M26" s="7" t="n"/>
      <c r="N26" s="12" t="inlineStr">
        <is>
          <t>CERC order</t>
        </is>
      </c>
    </row>
    <row r="27">
      <c r="A27" s="4" t="n">
        <v>23</v>
      </c>
      <c r="B27" s="5" t="inlineStr">
        <is>
          <t>POWERGRID Ghiror Transmission Ltd</t>
        </is>
      </c>
      <c r="C27" s="6" t="n">
        <v>5979</v>
      </c>
      <c r="D27" s="7" t="n">
        <v>5979.29</v>
      </c>
      <c r="E27" s="7">
        <f>IF(OR(C27="",D27=""),"",C27-D27)</f>
        <v>-0.29</v>
      </c>
      <c r="F27" s="8">
        <f>IF(OR(C27="",D27="",D27=0),"",(C27-D27)/D27)</f>
        <v>-4.850074172685446e-05</v>
      </c>
      <c r="G27" s="11" t="str">
        <f>IF(D27="","No adopted tariff",IF(ABS(C27-D27)&lt;=0.5,"MATCH","MISMATCH"))</f>
        <v>MATCH</v>
      </c>
      <c r="H27" s="6" t="n">
        <v>58460</v>
      </c>
      <c r="I27" s="10" t="n">
        <v>58460</v>
      </c>
      <c r="J27" s="11" t="str">
        <f>IF(I27="","Not in CEA MPR",IF(H27=I27,"MATCH","MISMATCH"))</f>
        <v>MATCH</v>
      </c>
      <c r="K27" s="4" t="inlineStr">
        <is>
          <t>236/AT/2025</t>
        </is>
      </c>
      <c r="L27" s="4" t="inlineStr">
        <is>
          <t>24th May, 2025</t>
        </is>
      </c>
      <c r="M27" s="7" t="n">
        <v>53780.3</v>
      </c>
      <c r="N27" s="12" t="inlineStr">
        <is>
          <t>CERC order</t>
        </is>
      </c>
    </row>
    <row r="28">
      <c r="A28" s="4" t="n">
        <v>24</v>
      </c>
      <c r="B28" s="5" t="inlineStr">
        <is>
          <t>POWERGRID Kudankulam Transmission Ltd</t>
        </is>
      </c>
      <c r="C28" s="6" t="n">
        <v>690</v>
      </c>
      <c r="D28" s="7" t="n">
        <v>690.03</v>
      </c>
      <c r="E28" s="7">
        <f>IF(OR(C28="",D28=""),"",C28-D28)</f>
        <v>-0.03</v>
      </c>
      <c r="F28" s="8">
        <f>IF(OR(C28="",D28="",D28=0),"",(C28-D28)/D28)</f>
        <v>-4.347637059254339e-05</v>
      </c>
      <c r="G28" s="11" t="str">
        <f>IF(D28="","No adopted tariff",IF(ABS(C28-D28)&lt;=0.5,"MATCH","MISMATCH"))</f>
        <v>MATCH</v>
      </c>
      <c r="H28" s="6" t="n">
        <v>5480</v>
      </c>
      <c r="I28" s="10" t="n">
        <v>5480</v>
      </c>
      <c r="J28" s="11" t="str">
        <f>IF(I28="","Not in CEA MPR",IF(H28=I28,"MATCH","MISMATCH"))</f>
        <v>MATCH</v>
      </c>
      <c r="K28" s="4" t="inlineStr">
        <is>
          <t>244/AT/2025</t>
        </is>
      </c>
      <c r="L28" s="4" t="inlineStr">
        <is>
          <t>14th January, 2026</t>
        </is>
      </c>
      <c r="M28" s="7" t="n">
        <v>5504</v>
      </c>
      <c r="N28" s="12" t="inlineStr">
        <is>
          <t>CERC order</t>
        </is>
      </c>
    </row>
    <row r="29">
      <c r="A29" s="4" t="n">
        <v>25</v>
      </c>
      <c r="B29" s="5" t="inlineStr">
        <is>
          <t>POWERGRID Koppal Gadag Augmentation Transmission Ltd</t>
        </is>
      </c>
      <c r="C29" s="6" t="n">
        <v>1967</v>
      </c>
      <c r="D29" s="7" t="n">
        <v>1966.91</v>
      </c>
      <c r="E29" s="7">
        <f>IF(OR(C29="",D29=""),"",C29-D29)</f>
        <v>0.09</v>
      </c>
      <c r="F29" s="8">
        <f>IF(OR(C29="",D29="",D29=0),"",(C29-D29)/D29)</f>
        <v>4.5757050398807336e-05</v>
      </c>
      <c r="G29" s="11" t="str">
        <f>IF(D29="","No adopted tariff",IF(ABS(C29-D29)&lt;=0.5,"MATCH","MISMATCH"))</f>
        <v>MATCH</v>
      </c>
      <c r="H29" s="6" t="n">
        <v>13540</v>
      </c>
      <c r="I29" s="10" t="n">
        <v>13540</v>
      </c>
      <c r="J29" s="11" t="str">
        <f>IF(I29="","Not in CEA MPR",IF(H29=I29,"MATCH","MISMATCH"))</f>
        <v>MATCH</v>
      </c>
      <c r="K29" s="4" t="inlineStr">
        <is>
          <t>250/AT/2025</t>
        </is>
      </c>
      <c r="L29" s="4" t="inlineStr">
        <is>
          <t>26th May, 2025</t>
        </is>
      </c>
      <c r="M29" s="7" t="n">
        <v>10355.5</v>
      </c>
      <c r="N29" s="12" t="inlineStr">
        <is>
          <t>CERC order</t>
        </is>
      </c>
    </row>
    <row r="30">
      <c r="A30" s="4" t="n">
        <v>26</v>
      </c>
      <c r="B30" s="5" t="inlineStr">
        <is>
          <t>POWERGRID Bidar Augmentation Transmission Ltd</t>
        </is>
      </c>
      <c r="C30" s="6" t="n">
        <v>469</v>
      </c>
      <c r="D30" s="7" t="n">
        <v>468.79</v>
      </c>
      <c r="E30" s="7">
        <f>IF(OR(C30="",D30=""),"",C30-D30)</f>
        <v>0.21</v>
      </c>
      <c r="F30" s="8">
        <f>IF(OR(C30="",D30="",D30=0),"",(C30-D30)/D30)</f>
        <v>0.0004479617739285811</v>
      </c>
      <c r="G30" s="11" t="str">
        <f>IF(D30="","No adopted tariff",IF(ABS(C30-D30)&lt;=0.5,"MATCH","MISMATCH"))</f>
        <v>MATCH</v>
      </c>
      <c r="H30" s="6" t="n">
        <v>2880</v>
      </c>
      <c r="I30" s="10" t="n">
        <v>2880</v>
      </c>
      <c r="J30" s="11" t="str">
        <f>IF(I30="","Not in CEA MPR",IF(H30=I30,"MATCH","MISMATCH"))</f>
        <v>MATCH</v>
      </c>
      <c r="K30" s="4" t="inlineStr">
        <is>
          <t>351/AT/2025</t>
        </is>
      </c>
      <c r="L30" s="4" t="inlineStr">
        <is>
          <t>30th May, 2025</t>
        </is>
      </c>
      <c r="M30" s="7" t="n">
        <v>2486.4</v>
      </c>
      <c r="N30" s="12" t="inlineStr">
        <is>
          <t>CERC order</t>
        </is>
      </c>
    </row>
    <row r="31">
      <c r="A31" s="4" t="n">
        <v>27</v>
      </c>
      <c r="B31" s="5" t="inlineStr">
        <is>
          <t>POWERGRID KPS 1 and 2 Augmentation Transmission Ltd</t>
        </is>
      </c>
      <c r="C31" s="6" t="n">
        <v>699</v>
      </c>
      <c r="D31" s="7" t="n">
        <v>698.58</v>
      </c>
      <c r="E31" s="7">
        <f>IF(OR(C31="",D31=""),"",C31-D31)</f>
        <v>0.42</v>
      </c>
      <c r="F31" s="8">
        <f>IF(OR(C31="",D31="",D31=0),"",(C31-D31)/D31)</f>
        <v>0.0006012196169371569</v>
      </c>
      <c r="G31" s="11" t="str">
        <f>IF(D31="","No adopted tariff",IF(ABS(C31-D31)&lt;=0.5,"MATCH","MISMATCH"))</f>
        <v>MATCH</v>
      </c>
      <c r="H31" s="6" t="n">
        <v>4660</v>
      </c>
      <c r="I31" s="10" t="n">
        <v>4660</v>
      </c>
      <c r="J31" s="11" t="str">
        <f>IF(I31="","Not in CEA MPR",IF(H31=I31,"MATCH","MISMATCH"))</f>
        <v>MATCH</v>
      </c>
      <c r="K31" s="4" t="inlineStr">
        <is>
          <t>349/AT/2025</t>
        </is>
      </c>
      <c r="L31" s="4" t="inlineStr">
        <is>
          <t>30th June, 2025</t>
        </is>
      </c>
      <c r="M31" s="7" t="n">
        <v>3589.27</v>
      </c>
      <c r="N31" s="12" t="inlineStr">
        <is>
          <t>CERC order</t>
        </is>
      </c>
    </row>
    <row r="32">
      <c r="A32" s="4" t="n">
        <v>28</v>
      </c>
      <c r="B32" s="5" t="inlineStr">
        <is>
          <t>POWERGRID Banaskantha Augmentation Transmission Ltd</t>
        </is>
      </c>
      <c r="C32" s="6" t="n">
        <v>195</v>
      </c>
      <c r="D32" s="7" t="n">
        <v>195.22</v>
      </c>
      <c r="E32" s="7">
        <f>IF(OR(C32="",D32=""),"",C32-D32)</f>
        <v>-0.22</v>
      </c>
      <c r="F32" s="8">
        <f>IF(OR(C32="",D32="",D32=0),"",(C32-D32)/D32)</f>
        <v>-0.0011269337158078007</v>
      </c>
      <c r="G32" s="11" t="str">
        <f>IF(D32="","No adopted tariff",IF(ABS(C32-D32)&lt;=0.5,"MATCH","MISMATCH"))</f>
        <v>MATCH</v>
      </c>
      <c r="H32" s="6" t="n">
        <v>1720</v>
      </c>
      <c r="I32" s="10" t="n">
        <v>1720</v>
      </c>
      <c r="J32" s="11" t="str">
        <f>IF(I32="","Not in CEA MPR",IF(H32=I32,"MATCH","MISMATCH"))</f>
        <v>MATCH</v>
      </c>
      <c r="K32" s="4" t="inlineStr">
        <is>
          <t>473/AT/2025</t>
        </is>
      </c>
      <c r="L32" s="4" t="inlineStr">
        <is>
          <t>30th June, 2025</t>
        </is>
      </c>
      <c r="M32" s="7" t="n">
        <v>1497.9</v>
      </c>
      <c r="N32" s="12" t="inlineStr">
        <is>
          <t>CERC order</t>
        </is>
      </c>
    </row>
    <row r="33">
      <c r="A33" s="4" t="n">
        <v>29</v>
      </c>
      <c r="B33" s="5" t="inlineStr">
        <is>
          <t>POWERGRID Kurnool-IV Transmission Ltd</t>
        </is>
      </c>
      <c r="C33" s="6" t="n">
        <v>1010</v>
      </c>
      <c r="D33" s="7" t="n">
        <v>6451.06</v>
      </c>
      <c r="E33" s="7">
        <f>IF(OR(C33="",D33=""),"",C33-D33)</f>
        <v>-5441.06</v>
      </c>
      <c r="F33" s="8">
        <f>IF(OR(C33="",D33="",D33=0),"",(C33-D33)/D33)</f>
        <v>-0.8434365825151215</v>
      </c>
      <c r="G33" s="9" t="str">
        <f>IF(D33="","No adopted tariff",IF(ABS(C33-D33)&lt;=0.5,"MATCH","MISMATCH"))</f>
        <v>MISMATCH</v>
      </c>
      <c r="H33" s="6" t="n">
        <v>55500</v>
      </c>
      <c r="I33" s="10" t="n">
        <v>55500</v>
      </c>
      <c r="J33" s="11" t="str">
        <f>IF(I33="","Not in CEA MPR",IF(H33=I33,"MATCH","MISMATCH"))</f>
        <v>MATCH</v>
      </c>
      <c r="K33" s="4" t="inlineStr">
        <is>
          <t>471/AT/2025</t>
        </is>
      </c>
      <c r="L33" s="4" t="inlineStr">
        <is>
          <t>30th June, 2025</t>
        </is>
      </c>
      <c r="M33" s="7" t="n">
        <v>47270.5</v>
      </c>
      <c r="N33" s="12" t="inlineStr">
        <is>
          <t>CERC order</t>
        </is>
      </c>
    </row>
    <row r="34">
      <c r="A34" s="4" t="n">
        <v>30</v>
      </c>
      <c r="B34" s="5" t="inlineStr">
        <is>
          <t>POWERGRID Sirohi Khandwa Transmission Ltd</t>
        </is>
      </c>
      <c r="C34" s="6" t="n">
        <v>5348</v>
      </c>
      <c r="D34" s="7" t="n">
        <v>5348.06</v>
      </c>
      <c r="E34" s="7">
        <f>IF(OR(C34="",D34=""),"",C34-D34)</f>
        <v>-0.06</v>
      </c>
      <c r="F34" s="8">
        <f>IF(OR(C34="",D34="",D34=0),"",(C34-D34)/D34)</f>
        <v>-1.1219021477021606e-05</v>
      </c>
      <c r="G34" s="11" t="str">
        <f>IF(D34="","No adopted tariff",IF(ABS(C34-D34)&lt;=0.5,"MATCH","MISMATCH"))</f>
        <v>MATCH</v>
      </c>
      <c r="H34" s="6" t="n">
        <v>50280</v>
      </c>
      <c r="I34" s="10" t="n">
        <v>50280</v>
      </c>
      <c r="J34" s="11" t="str">
        <f>IF(I34="","Not in CEA MPR",IF(H34=I34,"MATCH","MISMATCH"))</f>
        <v>MATCH</v>
      </c>
      <c r="K34" s="4" t="inlineStr">
        <is>
          <t>467/AT/2025</t>
        </is>
      </c>
      <c r="L34" s="4" t="inlineStr">
        <is>
          <t>30th June, 2025</t>
        </is>
      </c>
      <c r="M34" s="7" t="n">
        <v>47362.3</v>
      </c>
      <c r="N34" s="12" t="inlineStr">
        <is>
          <t>CERC order</t>
        </is>
      </c>
    </row>
    <row r="35">
      <c r="A35" s="4" t="n">
        <v>31</v>
      </c>
      <c r="B35" s="5" t="inlineStr">
        <is>
          <t>POWERGRID Chitradurga Bellary Transmission Ltd</t>
        </is>
      </c>
      <c r="C35" s="6" t="n">
        <v>3958</v>
      </c>
      <c r="D35" s="7" t="n">
        <v>3958.34</v>
      </c>
      <c r="E35" s="7">
        <f>IF(OR(C35="",D35=""),"",C35-D35)</f>
        <v>-0.34</v>
      </c>
      <c r="F35" s="8">
        <f>IF(OR(C35="",D35="",D35=0),"",(C35-D35)/D35)</f>
        <v>-8.589459217756572e-05</v>
      </c>
      <c r="G35" s="11" t="str">
        <f>IF(D35="","No adopted tariff",IF(ABS(C35-D35)&lt;=0.5,"MATCH","MISMATCH"))</f>
        <v>MATCH</v>
      </c>
      <c r="H35" s="6" t="n">
        <v>34530</v>
      </c>
      <c r="I35" s="10" t="n">
        <v>34530</v>
      </c>
      <c r="J35" s="11" t="str">
        <f>IF(I35="","Not in CEA MPR",IF(H35=I35,"MATCH","MISMATCH"))</f>
        <v>MATCH</v>
      </c>
      <c r="K35" s="4" t="inlineStr">
        <is>
          <t>469/AT/2025</t>
        </is>
      </c>
      <c r="L35" s="4" t="inlineStr">
        <is>
          <t>12th August, 2025</t>
        </is>
      </c>
      <c r="M35" s="7" t="n">
        <v>27138.7</v>
      </c>
      <c r="N35" s="12" t="inlineStr">
        <is>
          <t>CERC order</t>
        </is>
      </c>
    </row>
    <row r="36">
      <c r="A36" s="4" t="n">
        <v>32</v>
      </c>
      <c r="B36" s="5" t="inlineStr">
        <is>
          <t>POWERGRID Fatehgarh Barmer Augmentation Transmission Ltd</t>
        </is>
      </c>
      <c r="C36" s="6" t="n">
        <v>569</v>
      </c>
      <c r="D36" s="7" t="n">
        <v>569.3099999999999</v>
      </c>
      <c r="E36" s="7">
        <f>IF(OR(C36="",D36=""),"",C36-D36)</f>
        <v>-0.31</v>
      </c>
      <c r="F36" s="8">
        <f>IF(OR(C36="",D36="",D36=0),"",(C36-D36)/D36)</f>
        <v>-0.0005445188034637464</v>
      </c>
      <c r="G36" s="11" t="str">
        <f>IF(D36="","No adopted tariff",IF(ABS(C36-D36)&lt;=0.5,"MATCH","MISMATCH"))</f>
        <v>MATCH</v>
      </c>
      <c r="H36" s="6" t="n">
        <v>4040</v>
      </c>
      <c r="I36" s="10" t="n">
        <v>4040</v>
      </c>
      <c r="J36" s="11" t="str">
        <f>IF(I36="","Not in CEA MPR",IF(H36=I36,"MATCH","MISMATCH"))</f>
        <v>MATCH</v>
      </c>
      <c r="K36" s="4" t="inlineStr">
        <is>
          <t>461/AT/2025</t>
        </is>
      </c>
      <c r="L36" s="4" t="inlineStr">
        <is>
          <t>7th July, 2025</t>
        </is>
      </c>
      <c r="M36" s="7" t="n">
        <v>3152.8</v>
      </c>
      <c r="N36" s="12" t="inlineStr">
        <is>
          <t>CERC order</t>
        </is>
      </c>
    </row>
    <row r="37">
      <c r="A37" s="4" t="n">
        <v>33</v>
      </c>
      <c r="B37" s="5" t="inlineStr">
        <is>
          <t>POWERGRID Kurnool-III Cpeta Transmission Ltd</t>
        </is>
      </c>
      <c r="C37" s="6" t="n">
        <v>3446</v>
      </c>
      <c r="D37" s="7" t="n">
        <v>3445.6</v>
      </c>
      <c r="E37" s="7">
        <f>IF(OR(C37="",D37=""),"",C37-D37)</f>
        <v>0.4</v>
      </c>
      <c r="F37" s="8">
        <f>IF(OR(C37="",D37="",D37=0),"",(C37-D37)/D37)</f>
        <v>0.00011609008590668997</v>
      </c>
      <c r="G37" s="11" t="str">
        <f>IF(D37="","No adopted tariff",IF(ABS(C37-D37)&lt;=0.5,"MATCH","MISMATCH"))</f>
        <v>MATCH</v>
      </c>
      <c r="H37" s="6" t="n">
        <v>28860</v>
      </c>
      <c r="I37" s="10" t="n">
        <v>28860</v>
      </c>
      <c r="J37" s="11" t="str">
        <f>IF(I37="","Not in CEA MPR",IF(H37=I37,"MATCH","MISMATCH"))</f>
        <v>MATCH</v>
      </c>
      <c r="K37" s="4" t="inlineStr">
        <is>
          <t>465/AT/2025</t>
        </is>
      </c>
      <c r="L37" s="4" t="inlineStr">
        <is>
          <t>30th June, 2025</t>
        </is>
      </c>
      <c r="M37" s="7" t="n">
        <v>25388.5</v>
      </c>
      <c r="N37" s="12" t="inlineStr">
        <is>
          <t>CERC order</t>
        </is>
      </c>
    </row>
    <row r="38">
      <c r="A38" s="4" t="n">
        <v>34</v>
      </c>
      <c r="B38" s="5" t="inlineStr">
        <is>
          <t>POWERGRID Mahan Rewa Transmission Ltd</t>
        </is>
      </c>
      <c r="C38" s="6" t="n">
        <v>670</v>
      </c>
      <c r="D38" s="7" t="n"/>
      <c r="E38" s="7" t="str">
        <f>IF(OR(C38="",D38=""),"",C38-D38)</f>
        <v/>
      </c>
      <c r="F38" s="8" t="str">
        <f>IF(OR(C38="",D38="",D38=0),"",(C38-D38)/D38)</f>
        <v/>
      </c>
      <c r="G38" s="13" t="str">
        <f>IF(D38="","No adopted tariff",IF(ABS(C38-D38)&lt;=0.5,"MATCH","MISMATCH"))</f>
        <v>No adopted tariff</v>
      </c>
      <c r="H38" s="6" t="n">
        <v>5580</v>
      </c>
      <c r="I38" s="10" t="n">
        <v>5580</v>
      </c>
      <c r="J38" s="11" t="str">
        <f>IF(I38="","Not in CEA MPR",IF(H38=I38,"MATCH","MISMATCH"))</f>
        <v>MATCH</v>
      </c>
      <c r="K38" s="4" t="inlineStr">
        <is>
          <t>MEL Power Transmission Ltd - Petn 690/AT/2025 ORDER RESERVED</t>
        </is>
      </c>
      <c r="L38" s="4" t="inlineStr"/>
      <c r="M38" s="7" t="n"/>
      <c r="N38" s="14" t="n"/>
    </row>
    <row r="39">
      <c r="A39" s="4" t="n">
        <v>35</v>
      </c>
      <c r="B39" s="5" t="inlineStr">
        <is>
          <t>POWERGRID Davanagere Augmentation Transmission Ltd</t>
        </is>
      </c>
      <c r="C39" s="6" t="n">
        <v>423</v>
      </c>
      <c r="D39" s="7" t="n">
        <v>423.11</v>
      </c>
      <c r="E39" s="7">
        <f>IF(OR(C39="",D39=""),"",C39-D39)</f>
        <v>-0.11</v>
      </c>
      <c r="F39" s="8">
        <f>IF(OR(C39="",D39="",D39=0),"",(C39-D39)/D39)</f>
        <v>-0.00025997967431640385</v>
      </c>
      <c r="G39" s="11" t="str">
        <f>IF(D39="","No adopted tariff",IF(ABS(C39-D39)&lt;=0.5,"MATCH","MISMATCH"))</f>
        <v>MATCH</v>
      </c>
      <c r="H39" s="6" t="n">
        <v>3790</v>
      </c>
      <c r="I39" s="10" t="n">
        <v>3790</v>
      </c>
      <c r="J39" s="11" t="str">
        <f>IF(I39="","Not in CEA MPR",IF(H39=I39,"MATCH","MISMATCH"))</f>
        <v>MATCH</v>
      </c>
      <c r="K39" s="4" t="inlineStr">
        <is>
          <t>858/AT/2025</t>
        </is>
      </c>
      <c r="L39" s="4" t="inlineStr">
        <is>
          <t>31st December, 2025</t>
        </is>
      </c>
      <c r="M39" s="7" t="n">
        <v>3662.6</v>
      </c>
      <c r="N39" s="12" t="inlineStr">
        <is>
          <t>CERC order</t>
        </is>
      </c>
    </row>
    <row r="40">
      <c r="A40" s="4" t="n">
        <v>36</v>
      </c>
      <c r="B40" s="5" t="inlineStr">
        <is>
          <t>POWERGRID Mandsaur Augmentation Transmission Ltd</t>
        </is>
      </c>
      <c r="C40" s="6" t="n">
        <v>538</v>
      </c>
      <c r="D40" s="7" t="n">
        <v>446.99</v>
      </c>
      <c r="E40" s="7">
        <f>IF(OR(C40="",D40=""),"",C40-D40)</f>
        <v>91.01</v>
      </c>
      <c r="F40" s="8">
        <f>IF(OR(C40="",D40="",D40=0),"",(C40-D40)/D40)</f>
        <v>0.20360634466095437</v>
      </c>
      <c r="G40" s="9" t="str">
        <f>IF(D40="","No adopted tariff",IF(ABS(C40-D40)&lt;=0.5,"MATCH","MISMATCH"))</f>
        <v>MISMATCH</v>
      </c>
      <c r="H40" s="6" t="n">
        <v>3190</v>
      </c>
      <c r="I40" s="10" t="n">
        <v>3190</v>
      </c>
      <c r="J40" s="11" t="str">
        <f>IF(I40="","Not in CEA MPR",IF(H40=I40,"MATCH","MISMATCH"))</f>
        <v>MATCH</v>
      </c>
      <c r="K40" s="4" t="inlineStr">
        <is>
          <t>870/AT/2025</t>
        </is>
      </c>
      <c r="L40" s="4" t="inlineStr">
        <is>
          <t>2nd February, 2026</t>
        </is>
      </c>
      <c r="M40" s="7" t="n">
        <v>3076.1</v>
      </c>
      <c r="N40" s="12" t="inlineStr">
        <is>
          <t>CERC order</t>
        </is>
      </c>
    </row>
    <row r="41">
      <c r="A41" s="4" t="n">
        <v>37</v>
      </c>
      <c r="B41" s="5" t="inlineStr">
        <is>
          <t>POWERGRID Prayagraj Transmission Ltd</t>
        </is>
      </c>
      <c r="C41" s="6" t="n">
        <v>3231</v>
      </c>
      <c r="D41" s="7" t="n">
        <v>3231.3</v>
      </c>
      <c r="E41" s="7">
        <f>IF(OR(C41="",D41=""),"",C41-D41)</f>
        <v>-0.3</v>
      </c>
      <c r="F41" s="8">
        <f>IF(OR(C41="",D41="",D41=0),"",(C41-D41)/D41)</f>
        <v>-9.284189026094199e-05</v>
      </c>
      <c r="G41" s="11" t="str">
        <f>IF(D41="","No adopted tariff",IF(ABS(C41-D41)&lt;=0.5,"MATCH","MISMATCH"))</f>
        <v>MATCH</v>
      </c>
      <c r="H41" s="6" t="n">
        <v>23680</v>
      </c>
      <c r="I41" s="10" t="n">
        <v>23680</v>
      </c>
      <c r="J41" s="11" t="str">
        <f>IF(I41="","Not in CEA MPR",IF(H41=I41,"MATCH","MISMATCH"))</f>
        <v>MATCH</v>
      </c>
      <c r="K41" s="4" t="inlineStr">
        <is>
          <t>887/AT/2025</t>
        </is>
      </c>
      <c r="L41" s="4" t="inlineStr">
        <is>
          <t>4th February, 2026</t>
        </is>
      </c>
      <c r="M41" s="7" t="n">
        <v>25782.1</v>
      </c>
      <c r="N41" s="12" t="inlineStr">
        <is>
          <t>CERC order</t>
        </is>
      </c>
    </row>
    <row r="42">
      <c r="A42" s="4" t="n">
        <v>38</v>
      </c>
      <c r="B42" s="5" t="inlineStr">
        <is>
          <t>POWERGRID Parli Bidar Transmission Ltd</t>
        </is>
      </c>
      <c r="C42" s="6" t="n">
        <v>1048</v>
      </c>
      <c r="D42" s="7" t="n">
        <v>1047.59</v>
      </c>
      <c r="E42" s="7">
        <f>IF(OR(C42="",D42=""),"",C42-D42)</f>
        <v>0.41</v>
      </c>
      <c r="F42" s="8">
        <f>IF(OR(C42="",D42="",D42=0),"",(C42-D42)/D42)</f>
        <v>0.0003913744881108849</v>
      </c>
      <c r="G42" s="11" t="str">
        <f>IF(D42="","No adopted tariff",IF(ABS(C42-D42)&lt;=0.5,"MATCH","MISMATCH"))</f>
        <v>MATCH</v>
      </c>
      <c r="H42" s="6" t="n">
        <v>10070</v>
      </c>
      <c r="I42" s="10" t="n">
        <v>10070</v>
      </c>
      <c r="J42" s="11" t="str">
        <f>IF(I42="","Not in CEA MPR",IF(H42=I42,"MATCH","MISMATCH"))</f>
        <v>MATCH</v>
      </c>
      <c r="K42" s="4" t="inlineStr">
        <is>
          <t>884/AT/2025</t>
        </is>
      </c>
      <c r="L42" s="4" t="inlineStr">
        <is>
          <t>10th March, 2026</t>
        </is>
      </c>
      <c r="M42" s="7" t="n">
        <v>9221</v>
      </c>
      <c r="N42" s="12" t="inlineStr">
        <is>
          <t>CERC order</t>
        </is>
      </c>
    </row>
    <row r="43">
      <c r="A43" s="4" t="n">
        <v>39</v>
      </c>
      <c r="B43" s="5" t="inlineStr">
        <is>
          <t>POWERGRID Bellary Davanagere Transmission Ltd</t>
        </is>
      </c>
      <c r="C43" s="6" t="n">
        <v>1300</v>
      </c>
      <c r="D43" s="7" t="n">
        <v>1300</v>
      </c>
      <c r="E43" s="7">
        <f>IF(OR(C43="",D43=""),"",C43-D43)</f>
        <v>0</v>
      </c>
      <c r="F43" s="8">
        <f>IF(OR(C43="",D43="",D43=0),"",(C43-D43)/D43)</f>
        <v>0</v>
      </c>
      <c r="G43" s="11" t="str">
        <f>IF(D43="","No adopted tariff",IF(ABS(C43-D43)&lt;=0.5,"MATCH","MISMATCH"))</f>
        <v>MATCH</v>
      </c>
      <c r="H43" s="6" t="n">
        <v>11110</v>
      </c>
      <c r="I43" s="10" t="n">
        <v>11110</v>
      </c>
      <c r="J43" s="11" t="str">
        <f>IF(I43="","Not in CEA MPR",IF(H43=I43,"MATCH","MISMATCH"))</f>
        <v>MATCH</v>
      </c>
      <c r="K43" s="4" t="inlineStr">
        <is>
          <t>134/AT/2026</t>
        </is>
      </c>
      <c r="L43" s="4" t="inlineStr">
        <is>
          <t>8th May, 2026</t>
        </is>
      </c>
      <c r="M43" s="7" t="n">
        <v>10804.1</v>
      </c>
      <c r="N43" s="12" t="inlineStr">
        <is>
          <t>CERC order</t>
        </is>
      </c>
    </row>
    <row r="44">
      <c r="A44" s="4" t="n">
        <v>40</v>
      </c>
      <c r="B44" s="5" t="inlineStr">
        <is>
          <t>POWERGRID Angul Srikakulam Transmission Ltd</t>
        </is>
      </c>
      <c r="C44" s="6" t="n">
        <v>3119</v>
      </c>
      <c r="D44" s="7" t="n">
        <v>3118.6</v>
      </c>
      <c r="E44" s="7">
        <f>IF(OR(C44="",D44=""),"",C44-D44)</f>
        <v>0.4</v>
      </c>
      <c r="F44" s="8">
        <f>IF(OR(C44="",D44="",D44=0),"",(C44-D44)/D44)</f>
        <v>0.0001282626819727092</v>
      </c>
      <c r="G44" s="11" t="str">
        <f>IF(D44="","No adopted tariff",IF(ABS(C44-D44)&lt;=0.5,"MATCH","MISMATCH"))</f>
        <v>MATCH</v>
      </c>
      <c r="H44" s="6" t="n">
        <v>27230</v>
      </c>
      <c r="I44" s="10" t="n">
        <v>27230</v>
      </c>
      <c r="J44" s="11" t="str">
        <f>IF(I44="","Not in CEA MPR",IF(H44=I44,"MATCH","MISMATCH"))</f>
        <v>MATCH</v>
      </c>
      <c r="K44" s="4" t="inlineStr">
        <is>
          <t>120/AT/2026</t>
        </is>
      </c>
      <c r="L44" s="4" t="inlineStr">
        <is>
          <t>14th May, 2026</t>
        </is>
      </c>
      <c r="M44" s="7" t="n">
        <v>28370.9</v>
      </c>
      <c r="N44" s="12" t="inlineStr">
        <is>
          <t>CERC order</t>
        </is>
      </c>
    </row>
    <row r="45">
      <c r="A45" s="4" t="n">
        <v>41</v>
      </c>
      <c r="B45" s="5" t="inlineStr">
        <is>
          <t>POWERGRID Tumkur-II Transmission Ltd</t>
        </is>
      </c>
      <c r="C45" s="6" t="n">
        <v>1261</v>
      </c>
      <c r="D45" s="7" t="n"/>
      <c r="E45" s="7" t="str">
        <f>IF(OR(C45="",D45=""),"",C45-D45)</f>
        <v/>
      </c>
      <c r="F45" s="8" t="str">
        <f>IF(OR(C45="",D45="",D45=0),"",(C45-D45)/D45)</f>
        <v/>
      </c>
      <c r="G45" s="13" t="str">
        <f>IF(D45="","No adopted tariff",IF(ABS(C45-D45)&lt;=0.5,"MATCH","MISMATCH"))</f>
        <v>No adopted tariff</v>
      </c>
      <c r="H45" s="6" t="n">
        <v>10510</v>
      </c>
      <c r="I45" s="10" t="n">
        <v>10510</v>
      </c>
      <c r="J45" s="11" t="str">
        <f>IF(I45="","Not in CEA MPR",IF(H45=I45,"MATCH","MISMATCH"))</f>
        <v>MATCH</v>
      </c>
      <c r="K45" s="4" t="inlineStr">
        <is>
          <t>Tumkur II RE Transmission Ltd - Petn 328/AT/2026 IN HEARING</t>
        </is>
      </c>
      <c r="L45" s="4" t="inlineStr"/>
      <c r="M45" s="7" t="n"/>
      <c r="N45" s="14" t="n"/>
    </row>
    <row r="46">
      <c r="A46" s="4" t="n">
        <v>42</v>
      </c>
      <c r="B46" s="5" t="inlineStr">
        <is>
          <t>WR-ER Inter-Regional Network Expansion Scheme Part-A (SPV TBA)</t>
        </is>
      </c>
      <c r="C46" s="6" t="n">
        <v>7701</v>
      </c>
      <c r="D46" s="7" t="n"/>
      <c r="E46" s="7" t="str">
        <f>IF(OR(C46="",D46=""),"",C46-D46)</f>
        <v/>
      </c>
      <c r="F46" s="8" t="str">
        <f>IF(OR(C46="",D46="",D46=0),"",(C46-D46)/D46)</f>
        <v/>
      </c>
      <c r="G46" s="13" t="str">
        <f>IF(D46="","No adopted tariff",IF(ABS(C46-D46)&lt;=0.5,"MATCH","MISMATCH"))</f>
        <v>No adopted tariff</v>
      </c>
      <c r="H46" s="6" t="n">
        <v>62720</v>
      </c>
      <c r="I46" s="10" t="n">
        <v>62720</v>
      </c>
      <c r="J46" s="11" t="str">
        <f>IF(I46="","Not in CEA MPR",IF(H46=I46,"MATCH","MISMATCH"))</f>
        <v>MATCH</v>
      </c>
      <c r="K46" s="4" t="inlineStr">
        <is>
          <t>no AT petition filed as on 31-07-2026</t>
        </is>
      </c>
      <c r="L46" s="4" t="inlineStr"/>
      <c r="M46" s="7" t="n"/>
      <c r="N46" s="14" t="n"/>
    </row>
    <row r="47">
      <c r="A47" s="4" t="n">
        <v>43</v>
      </c>
      <c r="B47" s="5" t="inlineStr">
        <is>
          <t>Kakinada Green Hydrogen / Green Ammonia Ph-I (SPV TBA)</t>
        </is>
      </c>
      <c r="C47" s="6" t="n">
        <v>1800</v>
      </c>
      <c r="D47" s="7" t="n"/>
      <c r="E47" s="7" t="str">
        <f>IF(OR(C47="",D47=""),"",C47-D47)</f>
        <v/>
      </c>
      <c r="F47" s="8" t="str">
        <f>IF(OR(C47="",D47="",D47=0),"",(C47-D47)/D47)</f>
        <v/>
      </c>
      <c r="G47" s="13" t="str">
        <f>IF(D47="","No adopted tariff",IF(ABS(C47-D47)&lt;=0.5,"MATCH","MISMATCH"))</f>
        <v>No adopted tariff</v>
      </c>
      <c r="H47" s="6" t="n">
        <v>16180</v>
      </c>
      <c r="I47" s="10" t="n">
        <v>16180</v>
      </c>
      <c r="J47" s="11" t="str">
        <f>IF(I47="","Not in CEA MPR",IF(H47=I47,"MATCH","MISMATCH"))</f>
        <v>MATCH</v>
      </c>
      <c r="K47" s="4" t="inlineStr">
        <is>
          <t>no AT petition filed as on 31-07-2026</t>
        </is>
      </c>
      <c r="L47" s="4" t="inlineStr"/>
      <c r="M47" s="7" t="n"/>
      <c r="N47" s="14" t="n"/>
    </row>
    <row r="48">
      <c r="A48" s="4" t="n">
        <v>44</v>
      </c>
      <c r="B48" s="5" t="inlineStr">
        <is>
          <t>Bhadla-III, Ramgarh PS &amp; Kanpur Augmentation (SPV TBA)</t>
        </is>
      </c>
      <c r="C48" s="6" t="n">
        <v>1193</v>
      </c>
      <c r="D48" s="7" t="n"/>
      <c r="E48" s="7" t="str">
        <f>IF(OR(C48="",D48=""),"",C48-D48)</f>
        <v/>
      </c>
      <c r="F48" s="8" t="str">
        <f>IF(OR(C48="",D48="",D48=0),"",(C48-D48)/D48)</f>
        <v/>
      </c>
      <c r="G48" s="13" t="str">
        <f>IF(D48="","No adopted tariff",IF(ABS(C48-D48)&lt;=0.5,"MATCH","MISMATCH"))</f>
        <v>No adopted tariff</v>
      </c>
      <c r="H48" s="6" t="n">
        <v>10150</v>
      </c>
      <c r="I48" s="10" t="n">
        <v>10150</v>
      </c>
      <c r="J48" s="11" t="str">
        <f>IF(I48="","Not in CEA MPR",IF(H48=I48,"MATCH","MISMATCH"))</f>
        <v>MATCH</v>
      </c>
      <c r="K48" s="4" t="inlineStr">
        <is>
          <t>no AT petition filed as on 31-07-2026</t>
        </is>
      </c>
      <c r="L48" s="4" t="inlineStr"/>
      <c r="M48" s="7" t="n"/>
      <c r="N48" s="14" t="n"/>
    </row>
    <row r="49">
      <c r="A49" s="4" t="n">
        <v>45</v>
      </c>
      <c r="B49" s="5" t="inlineStr">
        <is>
          <t>POWERGRID West Maharashtra Transmission Ltd (erstwhile NES Pune East New Transmission Ltd)</t>
        </is>
      </c>
      <c r="C49" s="6" t="n"/>
      <c r="D49" s="7" t="n"/>
      <c r="E49" s="7" t="str">
        <f>IF(OR(C49="",D49=""),"",C49-D49)</f>
        <v/>
      </c>
      <c r="F49" s="8" t="str">
        <f>IF(OR(C49="",D49="",D49=0),"",(C49-D49)/D49)</f>
        <v/>
      </c>
      <c r="G49" s="13" t="str">
        <f>IF(D49="","No adopted tariff",IF(ABS(C49-D49)&lt;=0.5,"MATCH","MISMATCH"))</f>
        <v>No adopted tariff</v>
      </c>
      <c r="H49" s="6" t="n"/>
      <c r="I49" s="10" t="n"/>
      <c r="J49" s="13" t="str">
        <f>IF(I49="","Not in CEA MPR",IF(H49=I49,"MATCH","MISMATCH"))</f>
        <v>Not in CEA MPR</v>
      </c>
      <c r="K49" s="4" t="inlineStr">
        <is>
          <t>not in CEA under-construction list; no AT petition traced</t>
        </is>
      </c>
      <c r="L49" s="4" t="inlineStr"/>
      <c r="M49" s="7" t="n"/>
      <c r="N49" s="14" t="n"/>
    </row>
    <row r="50">
      <c r="A50" s="4" t="n">
        <v>46</v>
      </c>
      <c r="B50" s="5" t="inlineStr">
        <is>
          <t>POWERGRID Krishnagiri REZ Transmission Ltd</t>
        </is>
      </c>
      <c r="C50" s="6" t="n">
        <v>9152</v>
      </c>
      <c r="D50" s="7" t="n"/>
      <c r="E50" s="7" t="str">
        <f>IF(OR(C50="",D50=""),"",C50-D50)</f>
        <v/>
      </c>
      <c r="F50" s="8" t="str">
        <f>IF(OR(C50="",D50="",D50=0),"",(C50-D50)/D50)</f>
        <v/>
      </c>
      <c r="G50" s="13" t="str">
        <f>IF(D50="","No adopted tariff",IF(ABS(C50-D50)&lt;=0.5,"MATCH","MISMATCH"))</f>
        <v>No adopted tariff</v>
      </c>
      <c r="H50" s="6" t="n">
        <v>76270</v>
      </c>
      <c r="I50" s="10" t="n"/>
      <c r="J50" s="13" t="str">
        <f>IF(I50="","Not in CEA MPR",IF(H50=I50,"MATCH","MISMATCH"))</f>
        <v>Not in CEA MPR</v>
      </c>
      <c r="K50" s="4" t="inlineStr">
        <is>
          <t>no AT petition traced</t>
        </is>
      </c>
      <c r="L50" s="4" t="inlineStr"/>
      <c r="M50" s="7" t="n"/>
      <c r="N50" s="14" t="n"/>
    </row>
    <row r="51">
      <c r="A51" s="4" t="n">
        <v>47</v>
      </c>
      <c r="B51" s="5" t="inlineStr">
        <is>
          <t>POWERGRID Fatehgarh II Transmission Ltd (SynCon)</t>
        </is>
      </c>
      <c r="C51" s="6" t="n">
        <v>1388</v>
      </c>
      <c r="D51" s="7" t="n"/>
      <c r="E51" s="7" t="str">
        <f>IF(OR(C51="",D51=""),"",C51-D51)</f>
        <v/>
      </c>
      <c r="F51" s="8" t="str">
        <f>IF(OR(C51="",D51="",D51=0),"",(C51-D51)/D51)</f>
        <v/>
      </c>
      <c r="G51" s="13" t="str">
        <f>IF(D51="","No adopted tariff",IF(ABS(C51-D51)&lt;=0.5,"MATCH","MISMATCH"))</f>
        <v>No adopted tariff</v>
      </c>
      <c r="H51" s="6" t="n">
        <v>11570</v>
      </c>
      <c r="I51" s="10" t="n"/>
      <c r="J51" s="13" t="str">
        <f>IF(I51="","Not in CEA MPR",IF(H51=I51,"MATCH","MISMATCH"))</f>
        <v>Not in CEA MPR</v>
      </c>
      <c r="K51" s="4" t="inlineStr">
        <is>
          <t>no AT petition traced</t>
        </is>
      </c>
      <c r="L51" s="4" t="inlineStr"/>
      <c r="M51" s="7" t="n"/>
      <c r="N51" s="14" t="n"/>
    </row>
    <row r="52">
      <c r="A52" s="4" t="n">
        <v>48</v>
      </c>
      <c r="B52" s="5" t="inlineStr">
        <is>
          <t>Robertsganj Power Transmission Ltd (SPV transfer pending)</t>
        </is>
      </c>
      <c r="C52" s="6" t="n">
        <v>4351</v>
      </c>
      <c r="D52" s="7" t="n"/>
      <c r="E52" s="7" t="str">
        <f>IF(OR(C52="",D52=""),"",C52-D52)</f>
        <v/>
      </c>
      <c r="F52" s="8" t="str">
        <f>IF(OR(C52="",D52="",D52=0),"",(C52-D52)/D52)</f>
        <v/>
      </c>
      <c r="G52" s="13" t="str">
        <f>IF(D52="","No adopted tariff",IF(ABS(C52-D52)&lt;=0.5,"MATCH","MISMATCH"))</f>
        <v>No adopted tariff</v>
      </c>
      <c r="H52" s="6" t="n">
        <v>36260</v>
      </c>
      <c r="I52" s="10" t="n"/>
      <c r="J52" s="13" t="str">
        <f>IF(I52="","Not in CEA MPR",IF(H52=I52,"MATCH","MISMATCH"))</f>
        <v>Not in CEA MPR</v>
      </c>
      <c r="K52" s="4" t="inlineStr">
        <is>
          <t>no AT petition traced</t>
        </is>
      </c>
      <c r="L52" s="4" t="inlineStr"/>
      <c r="M52" s="7" t="n"/>
      <c r="N52" s="14" t="n"/>
    </row>
    <row r="53">
      <c r="A53" s="4" t="n">
        <v>49</v>
      </c>
      <c r="B53" s="5" t="inlineStr">
        <is>
          <t>Humnabad Power Transmission Ltd - Bidar, Karnataka (InSTS, SPV transfer pending)</t>
        </is>
      </c>
      <c r="C53" s="6" t="n">
        <v>960</v>
      </c>
      <c r="D53" s="7" t="n"/>
      <c r="E53" s="7" t="str">
        <f>IF(OR(C53="",D53=""),"",C53-D53)</f>
        <v/>
      </c>
      <c r="F53" s="8" t="str">
        <f>IF(OR(C53="",D53="",D53=0),"",(C53-D53)/D53)</f>
        <v/>
      </c>
      <c r="G53" s="13" t="str">
        <f>IF(D53="","No adopted tariff",IF(ABS(C53-D53)&lt;=0.5,"MATCH","MISMATCH"))</f>
        <v>No adopted tariff</v>
      </c>
      <c r="H53" s="6" t="n">
        <v>8000</v>
      </c>
      <c r="I53" s="10" t="n"/>
      <c r="J53" s="13" t="str">
        <f>IF(I53="","Not in CEA MPR",IF(H53=I53,"MATCH","MISMATCH"))</f>
        <v>Not in CEA MPR</v>
      </c>
      <c r="K53" s="4" t="inlineStr">
        <is>
          <t>InSTS project - outside CERC/CEA ISTS ambit</t>
        </is>
      </c>
      <c r="L53" s="4" t="inlineStr"/>
      <c r="M53" s="7" t="n"/>
      <c r="N53" s="14" t="n"/>
    </row>
    <row r="54">
      <c r="A54" s="14" t="n"/>
      <c r="B54" s="15" t="inlineStr">
        <is>
          <t>Totals — tariff columns cover the 39 rows with an adopted tariff; capex columns cover the 44 rows present in the CEA report</t>
        </is>
      </c>
      <c r="C54" s="16">
        <f>SUMIF($G$5:$G$53,"&lt;&gt;No adopted tariff",C5:C53)</f>
        <v>128573</v>
      </c>
      <c r="D54" s="17">
        <f>SUM(D5:D53)</f>
        <v>133269.22</v>
      </c>
      <c r="E54" s="17">
        <f>C54-D54</f>
        <v>-4696.22</v>
      </c>
      <c r="F54" s="14" t="n"/>
      <c r="G54" s="14" t="n"/>
      <c r="H54" s="16">
        <f>SUMIF($J$5:$J$53,"&lt;&gt;Not in CEA MPR",H5:H53)</f>
        <v>1281180</v>
      </c>
      <c r="I54" s="16">
        <f>SUM(I5:I53)</f>
        <v>1281180</v>
      </c>
      <c r="J54" s="14" t="n"/>
      <c r="K54" s="14" t="n"/>
      <c r="L54" s="14" t="n"/>
      <c r="M54" s="14" t="n"/>
      <c r="N54" s="14" t="n"/>
    </row>
    <row r="56">
      <c r="B56" s="18" t="inlineStr">
        <is>
          <t>Legend: blue = figure as supplied by user; black = value read from the cited source document.</t>
        </is>
      </c>
    </row>
    <row r="57">
      <c r="B57" s="18" t="inlineStr">
        <is>
          <t>"Tariff adopted by CERC" is the single annual transmission charge adopted under Section 63 in the cited order, quoted to the paise.</t>
        </is>
      </c>
    </row>
    <row r="58">
      <c r="B58" s="18" t="inlineStr">
        <is>
          <t>Capex per CEA MPR = project cost (Rs. Cr) in the CEA report x 10, converted to Rs. million.</t>
        </is>
      </c>
    </row>
    <row r="59">
      <c r="B59" s="18" t="inlineStr">
        <is>
          <t>CERC est. project cost is the bid-stage cost estimate in the adoption order; it is a different basis from the CEA construction cost and is shown for context only, not as a check.</t>
        </is>
      </c>
    </row>
    <row r="60">
      <c r="B60" s="18" t="inlineStr">
        <is>
          <t>Note on row 19: order 72/AT/2025 prints the estimated cost as "Rs. 24610.94 million"; the magnitude is crore. Shown here as 246,109.4 Rs mn.</t>
        </is>
      </c>
    </row>
  </sheetData>
  <autoFilter ref="A4:N53"/>
  <mergeCells count="1">
    <mergeCell ref="A2:N2"/>
  </mergeCells>
  <hyperlinks>
    <hyperlink ref="N5" ns1:id="rId1"/>
    <hyperlink ref="N6" ns1:id="rId2"/>
    <hyperlink ref="N7" ns1:id="rId3"/>
    <hyperlink ref="N8" ns1:id="rId4"/>
    <hyperlink ref="N9" ns1:id="rId5"/>
    <hyperlink ref="N10" ns1:id="rId6"/>
    <hyperlink ref="N11" ns1:id="rId7"/>
    <hyperlink ref="N12" ns1:id="rId8"/>
    <hyperlink ref="N13" ns1:id="rId9"/>
    <hyperlink ref="N14" ns1:id="rId10"/>
    <hyperlink ref="N15" ns1:id="rId11"/>
    <hyperlink ref="N16" ns1:id="rId12"/>
    <hyperlink ref="N17" ns1:id="rId13"/>
    <hyperlink ref="N18" ns1:id="rId14"/>
    <hyperlink ref="N19" ns1:id="rId15"/>
    <hyperlink ref="N20" ns1:id="rId16"/>
    <hyperlink ref="N21" ns1:id="rId17"/>
    <hyperlink ref="N22" ns1:id="rId18"/>
    <hyperlink ref="N23" ns1:id="rId19"/>
    <hyperlink ref="N24" ns1:id="rId20"/>
    <hyperlink ref="N25" ns1:id="rId21"/>
    <hyperlink ref="N26" ns1:id="rId22"/>
    <hyperlink ref="N27" ns1:id="rId23"/>
    <hyperlink ref="N28" ns1:id="rId24"/>
    <hyperlink ref="N29" ns1:id="rId25"/>
    <hyperlink ref="N30" ns1:id="rId26"/>
    <hyperlink ref="N31" ns1:id="rId27"/>
    <hyperlink ref="N32" ns1:id="rId28"/>
    <hyperlink ref="N33" ns1:id="rId29"/>
    <hyperlink ref="N34" ns1:id="rId30"/>
    <hyperlink ref="N35" ns1:id="rId31"/>
    <hyperlink ref="N36" ns1:id="rId32"/>
    <hyperlink ref="N37" ns1:id="rId33"/>
    <hyperlink ref="N39" ns1:id="rId34"/>
    <hyperlink ref="N40" ns1:id="rId35"/>
    <hyperlink ref="N41" ns1:id="rId36"/>
    <hyperlink ref="N42" ns1:id="rId37"/>
    <hyperlink ref="N43" ns1:id="rId38"/>
    <hyperlink ref="N44" ns1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11" customWidth="1" min="4" max="4"/>
    <col width="13" customWidth="1" min="5" max="5"/>
    <col width="10" customWidth="1" min="6" max="6"/>
    <col width="58" customWidth="1" min="7" max="7"/>
  </cols>
  <sheetData>
    <row r="1">
      <c r="A1" s="1" t="inlineStr">
        <is>
          <t>Exceptions requiring correction</t>
        </is>
      </c>
    </row>
    <row r="3">
      <c r="A3" s="3" t="inlineStr">
        <is>
          <t>#</t>
        </is>
      </c>
      <c r="B3" s="3" t="inlineStr">
        <is>
          <t>SPV / Project</t>
        </is>
      </c>
      <c r="C3" s="3" t="inlineStr">
        <is>
          <t>Field</t>
        </is>
      </c>
      <c r="D3" s="3" t="inlineStr">
        <is>
          <t>As listed</t>
        </is>
      </c>
      <c r="E3" s="3" t="inlineStr">
        <is>
          <t>Verified value</t>
        </is>
      </c>
      <c r="F3" s="3" t="inlineStr">
        <is>
          <t>Diff</t>
        </is>
      </c>
      <c r="G3" s="3" t="inlineStr">
        <is>
          <t>Source / status</t>
        </is>
      </c>
    </row>
    <row r="4">
      <c r="A4" s="4" t="n">
        <v>1</v>
      </c>
      <c r="B4" s="5" t="inlineStr">
        <is>
          <t>POWERGRID Ramgarh II Transmission Ltd</t>
        </is>
      </c>
      <c r="C4" s="19" t="inlineStr">
        <is>
          <t>Tariff</t>
        </is>
      </c>
      <c r="D4" s="7" t="n">
        <v>1809</v>
      </c>
      <c r="E4" s="7" t="n">
        <v>1615.05</v>
      </c>
      <c r="F4" s="7">
        <f>D4-E4</f>
        <v>193.95</v>
      </c>
      <c r="G4" s="5" t="inlineStr">
        <is>
          <t>CERC order 365/AT/2023 dated 27th March, 2024 adopts Rs 1,615.05 mn/yr</t>
        </is>
      </c>
    </row>
    <row r="5">
      <c r="A5" s="4" t="n">
        <v>6</v>
      </c>
      <c r="B5" s="5" t="inlineStr">
        <is>
          <t>POWERGRID Bidar Transmission Ltd</t>
        </is>
      </c>
      <c r="C5" s="19" t="inlineStr">
        <is>
          <t>Tariff</t>
        </is>
      </c>
      <c r="D5" s="7" t="n">
        <v>2741</v>
      </c>
      <c r="E5" s="7" t="n">
        <v>2368.09</v>
      </c>
      <c r="F5" s="7">
        <f>D5-E5</f>
        <v>372.91</v>
      </c>
      <c r="G5" s="5" t="inlineStr">
        <is>
          <t>CERC order 117/AT/2024 dated 27th May, 2024 adopts Rs 2,368.09 mn/yr</t>
        </is>
      </c>
    </row>
    <row r="6">
      <c r="A6" s="4" t="n">
        <v>7</v>
      </c>
      <c r="B6" s="5" t="inlineStr">
        <is>
          <t>POWERGRID Sikar Khetri Transmission Ltd</t>
        </is>
      </c>
      <c r="C6" s="19" t="inlineStr">
        <is>
          <t>Tariff</t>
        </is>
      </c>
      <c r="D6" s="7" t="n">
        <v>2400</v>
      </c>
      <c r="E6" s="7" t="n">
        <v>2147.3</v>
      </c>
      <c r="F6" s="7">
        <f>D6-E6</f>
        <v>252.7</v>
      </c>
      <c r="G6" s="5" t="inlineStr">
        <is>
          <t>CERC order 115/AT/2024 dated 28th May, 2024 adopts Rs 2,147.30 mn/yr</t>
        </is>
      </c>
    </row>
    <row r="7">
      <c r="A7" s="4" t="n">
        <v>8</v>
      </c>
      <c r="B7" s="5" t="inlineStr">
        <is>
          <t>POWERGRID Khavda IV-E2 Power Transmission Ltd</t>
        </is>
      </c>
      <c r="C7" s="19" t="inlineStr">
        <is>
          <t>Tariff</t>
        </is>
      </c>
      <c r="D7" s="7" t="n">
        <v>815</v>
      </c>
      <c r="E7" s="7" t="n">
        <v>932.0700000000001</v>
      </c>
      <c r="F7" s="7">
        <f>D7-E7</f>
        <v>-117.07</v>
      </c>
      <c r="G7" s="5" t="inlineStr">
        <is>
          <t>CERC order 234/AT/2024 dated 18th November, 2024 adopts Rs 932.07 mn/yr</t>
        </is>
      </c>
    </row>
    <row r="8">
      <c r="A8" s="4" t="n">
        <v>14</v>
      </c>
      <c r="B8" s="5" t="inlineStr">
        <is>
          <t>POWERGRID Jam Khambaliya Transmission Ltd</t>
        </is>
      </c>
      <c r="C8" s="19" t="inlineStr">
        <is>
          <t>Tariff</t>
        </is>
      </c>
      <c r="D8" s="7" t="n">
        <v>395</v>
      </c>
      <c r="E8" s="7" t="n">
        <v>446.04</v>
      </c>
      <c r="F8" s="7">
        <f>D8-E8</f>
        <v>-51.04</v>
      </c>
      <c r="G8" s="5" t="inlineStr">
        <is>
          <t>CERC order 490/AT/2024 dated 11th March, 2025 adopts Rs 446.04 mn/yr</t>
        </is>
      </c>
    </row>
    <row r="9">
      <c r="A9" s="4" t="n">
        <v>29</v>
      </c>
      <c r="B9" s="5" t="inlineStr">
        <is>
          <t>POWERGRID Kurnool-IV Transmission Ltd</t>
        </is>
      </c>
      <c r="C9" s="19" t="inlineStr">
        <is>
          <t>Tariff</t>
        </is>
      </c>
      <c r="D9" s="7" t="n">
        <v>1010</v>
      </c>
      <c r="E9" s="7" t="n">
        <v>6451.06</v>
      </c>
      <c r="F9" s="7">
        <f>D9-E9</f>
        <v>-5441.06</v>
      </c>
      <c r="G9" s="5" t="inlineStr">
        <is>
          <t>CERC order 471/AT/2025 dated 30th June, 2025 adopts Rs 6,451.06 mn/yr</t>
        </is>
      </c>
    </row>
    <row r="10">
      <c r="A10" s="4" t="n">
        <v>36</v>
      </c>
      <c r="B10" s="5" t="inlineStr">
        <is>
          <t>POWERGRID Mandsaur Augmentation Transmission Ltd</t>
        </is>
      </c>
      <c r="C10" s="19" t="inlineStr">
        <is>
          <t>Tariff</t>
        </is>
      </c>
      <c r="D10" s="7" t="n">
        <v>538</v>
      </c>
      <c r="E10" s="7" t="n">
        <v>446.99</v>
      </c>
      <c r="F10" s="7">
        <f>D10-E10</f>
        <v>91.01</v>
      </c>
      <c r="G10" s="5" t="inlineStr">
        <is>
          <t>CERC order 870/AT/2025 dated 2nd February, 2026 adopts Rs 446.99 mn/yr</t>
        </is>
      </c>
    </row>
    <row r="11">
      <c r="A11" s="4" t="n">
        <v>34</v>
      </c>
      <c r="B11" s="5" t="inlineStr">
        <is>
          <t>POWERGRID Mahan Rewa Transmission Ltd</t>
        </is>
      </c>
      <c r="C11" s="20" t="inlineStr">
        <is>
          <t>Tariff</t>
        </is>
      </c>
      <c r="D11" s="7" t="n">
        <v>670</v>
      </c>
      <c r="E11" s="7" t="n"/>
      <c r="F11" s="7" t="n"/>
      <c r="G11" s="5" t="inlineStr">
        <is>
          <t>Not verifiable - MEL Power Transmission Ltd - Petn 690/AT/2025 ORDER RESERVED</t>
        </is>
      </c>
    </row>
    <row r="12">
      <c r="A12" s="4" t="n">
        <v>41</v>
      </c>
      <c r="B12" s="5" t="inlineStr">
        <is>
          <t>POWERGRID Tumkur-II Transmission Ltd</t>
        </is>
      </c>
      <c r="C12" s="20" t="inlineStr">
        <is>
          <t>Tariff</t>
        </is>
      </c>
      <c r="D12" s="7" t="n">
        <v>1261</v>
      </c>
      <c r="E12" s="7" t="n"/>
      <c r="F12" s="7" t="n"/>
      <c r="G12" s="5" t="inlineStr">
        <is>
          <t>Not verifiable - Tumkur II RE Transmission Ltd - Petn 328/AT/2026 IN HEARING</t>
        </is>
      </c>
    </row>
    <row r="13">
      <c r="A13" s="4" t="n">
        <v>42</v>
      </c>
      <c r="B13" s="5" t="inlineStr">
        <is>
          <t>WR-ER Inter-Regional Network Expansion Scheme Part-A (SPV TBA)</t>
        </is>
      </c>
      <c r="C13" s="20" t="inlineStr">
        <is>
          <t>Tariff</t>
        </is>
      </c>
      <c r="D13" s="7" t="n">
        <v>7701</v>
      </c>
      <c r="E13" s="7" t="n"/>
      <c r="F13" s="7" t="n"/>
      <c r="G13" s="5" t="inlineStr">
        <is>
          <t>Not verifiable - no AT petition filed as on 31-07-2026</t>
        </is>
      </c>
    </row>
    <row r="14">
      <c r="A14" s="4" t="n">
        <v>43</v>
      </c>
      <c r="B14" s="5" t="inlineStr">
        <is>
          <t>Kakinada Green Hydrogen / Green Ammonia Ph-I (SPV TBA)</t>
        </is>
      </c>
      <c r="C14" s="20" t="inlineStr">
        <is>
          <t>Tariff</t>
        </is>
      </c>
      <c r="D14" s="7" t="n">
        <v>1800</v>
      </c>
      <c r="E14" s="7" t="n"/>
      <c r="F14" s="7" t="n"/>
      <c r="G14" s="5" t="inlineStr">
        <is>
          <t>Not verifiable - no AT petition filed as on 31-07-2026</t>
        </is>
      </c>
    </row>
    <row r="15">
      <c r="A15" s="4" t="n">
        <v>44</v>
      </c>
      <c r="B15" s="5" t="inlineStr">
        <is>
          <t>Bhadla-III, Ramgarh PS &amp; Kanpur Augmentation (SPV TBA)</t>
        </is>
      </c>
      <c r="C15" s="20" t="inlineStr">
        <is>
          <t>Tariff</t>
        </is>
      </c>
      <c r="D15" s="7" t="n">
        <v>1193</v>
      </c>
      <c r="E15" s="7" t="n"/>
      <c r="F15" s="7" t="n"/>
      <c r="G15" s="5" t="inlineStr">
        <is>
          <t>Not verifiable - no AT petition filed as on 31-07-2026</t>
        </is>
      </c>
    </row>
    <row r="16">
      <c r="A16" s="4" t="n">
        <v>45</v>
      </c>
      <c r="B16" s="5" t="inlineStr">
        <is>
          <t>POWERGRID West Maharashtra Transmission Ltd (erstwhile NES Pune East New Transmission Ltd)</t>
        </is>
      </c>
      <c r="C16" s="20" t="inlineStr">
        <is>
          <t>Tariff</t>
        </is>
      </c>
      <c r="D16" s="7" t="n"/>
      <c r="E16" s="7" t="n"/>
      <c r="F16" s="7" t="n"/>
      <c r="G16" s="5" t="inlineStr">
        <is>
          <t>Not verifiable - not in CEA under-construction list; no AT petition traced</t>
        </is>
      </c>
    </row>
    <row r="17">
      <c r="A17" s="4" t="n">
        <v>46</v>
      </c>
      <c r="B17" s="5" t="inlineStr">
        <is>
          <t>POWERGRID Krishnagiri REZ Transmission Ltd</t>
        </is>
      </c>
      <c r="C17" s="20" t="inlineStr">
        <is>
          <t>Tariff</t>
        </is>
      </c>
      <c r="D17" s="7" t="n">
        <v>9152</v>
      </c>
      <c r="E17" s="7" t="n"/>
      <c r="F17" s="7" t="n"/>
      <c r="G17" s="5" t="inlineStr">
        <is>
          <t>Not verifiable - no AT petition traced</t>
        </is>
      </c>
    </row>
    <row r="18">
      <c r="A18" s="4" t="n">
        <v>47</v>
      </c>
      <c r="B18" s="5" t="inlineStr">
        <is>
          <t>POWERGRID Fatehgarh II Transmission Ltd (SynCon)</t>
        </is>
      </c>
      <c r="C18" s="20" t="inlineStr">
        <is>
          <t>Tariff</t>
        </is>
      </c>
      <c r="D18" s="7" t="n">
        <v>1388</v>
      </c>
      <c r="E18" s="7" t="n"/>
      <c r="F18" s="7" t="n"/>
      <c r="G18" s="5" t="inlineStr">
        <is>
          <t>Not verifiable - no AT petition traced</t>
        </is>
      </c>
    </row>
    <row r="19">
      <c r="A19" s="4" t="n">
        <v>48</v>
      </c>
      <c r="B19" s="5" t="inlineStr">
        <is>
          <t>Robertsganj Power Transmission Ltd (SPV transfer pending)</t>
        </is>
      </c>
      <c r="C19" s="20" t="inlineStr">
        <is>
          <t>Tariff</t>
        </is>
      </c>
      <c r="D19" s="7" t="n">
        <v>4351</v>
      </c>
      <c r="E19" s="7" t="n"/>
      <c r="F19" s="7" t="n"/>
      <c r="G19" s="5" t="inlineStr">
        <is>
          <t>Not verifiable - no AT petition traced</t>
        </is>
      </c>
    </row>
    <row r="20">
      <c r="A20" s="4" t="n">
        <v>49</v>
      </c>
      <c r="B20" s="5" t="inlineStr">
        <is>
          <t>Humnabad Power Transmission Ltd - Bidar, Karnataka (InSTS, SPV transfer pending)</t>
        </is>
      </c>
      <c r="C20" s="20" t="inlineStr">
        <is>
          <t>Tariff</t>
        </is>
      </c>
      <c r="D20" s="7" t="n">
        <v>960</v>
      </c>
      <c r="E20" s="7" t="n"/>
      <c r="F20" s="7" t="n"/>
      <c r="G20" s="5" t="inlineStr">
        <is>
          <t>Not verifiable - InSTS project - outside CERC/CEA ISTS ambit</t>
        </is>
      </c>
    </row>
    <row r="22">
      <c r="B22" s="18" t="inlineStr">
        <is>
          <t>Red = contradicted by the tariff-adoption order. Amber = no adoption order exists yet, so the figure cannot be confirmed.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Sources &amp; method</t>
        </is>
      </c>
    </row>
    <row r="3" ht="28" customHeight="1">
      <c r="A3" s="21" t="inlineStr">
        <is>
          <t>Capex source</t>
        </is>
      </c>
      <c r="B3" s="22" t="inlineStr">
        <is>
          <t>CEA, "Monthly Progress Report of Under Construction Transmission Projects awarded through TBCB Route", July 2026. Project cost column (Rs. Cr), PGCIL section, serial numbers 1-44.</t>
        </is>
      </c>
    </row>
    <row r="4" ht="42" customHeight="1">
      <c r="A4" s="21" t="inlineStr">
        <is>
          <t>Capex check</t>
        </is>
      </c>
      <c r="B4" s="22" t="inlineStr">
        <is>
          <t>Every one of the 44 listed projects that appears in the CEA report matches exactly (Rs. Cr x 10 = Rs. mn). The 44 project costs sum to Rs 128,118 Cr against the report summary figure of Rs 128,119 Cr (Re 1 Cr rounding).</t>
        </is>
      </c>
    </row>
    <row r="5" ht="42" customHeight="1">
      <c r="A5" s="21" t="inlineStr">
        <is>
          <t>Tariff source</t>
        </is>
      </c>
      <c r="B5" s="22" t="inlineStr">
        <is>
          <t>CERC orders under Section 63 of the Electricity Act, 2003 adopting the single annual transmission charge discovered through e-reverse auction. 200 "/AT/" orders published on cercind.gov.in for 2021-2026 were downloaded and text-extracted; the adopting paragraph was read in each.</t>
        </is>
      </c>
    </row>
    <row r="6" ht="56" customHeight="1">
      <c r="A6" s="21" t="inlineStr">
        <is>
          <t>Tariff matching</t>
        </is>
      </c>
      <c r="B6" s="22" t="inlineStr">
        <is>
          <t>Matched on the bid-stage SPV name (the petitioner) and the scheme scope in the order, cross-checked against the SPV name and scope in the CEA report. Bid-stage SPV names differ from the post-transfer POWERGRID names (e.g. Khavda V-A Power Transmission Ltd is now POWERGRID West Central Transmission Ltd).</t>
        </is>
      </c>
    </row>
    <row r="7" ht="42" customHeight="1">
      <c r="A7" s="21" t="inlineStr">
        <is>
          <t>Pending petitions</t>
        </is>
      </c>
      <c r="B7" s="22" t="inlineStr">
        <is>
          <t>CERC active-petitions list as on 31-07-2026 (Current_petitions_status_active.html) was used to confirm that projects with no adopted tariff have either a petition still in hearing or no petition on file.</t>
        </is>
      </c>
    </row>
    <row r="8" ht="15" customHeight="1">
      <c r="A8" s="21" t="inlineStr">
        <is>
          <t>CERC order index</t>
        </is>
      </c>
      <c r="B8" s="22" t="inlineStr">
        <is>
          <t>https://cercind.gov.in/recent_orders.html and the 2021-2025 archives</t>
        </is>
      </c>
    </row>
    <row r="9" ht="15" customHeight="1">
      <c r="A9" s="21" t="inlineStr">
        <is>
          <t>Disposed petitions</t>
        </is>
      </c>
      <c r="B9" s="22" t="inlineStr">
        <is>
          <t>https://www.cercind.gov.in/Current_Petition_diposed.html</t>
        </is>
      </c>
    </row>
    <row r="10" ht="15" customHeight="1">
      <c r="A10" s="21" t="inlineStr">
        <is>
          <t>Active petitions</t>
        </is>
      </c>
      <c r="B10" s="22" t="inlineStr">
        <is>
          <t>https://www.cercind.gov.in/Current_petitions_status_active.html</t>
        </is>
      </c>
    </row>
    <row r="11" ht="15" customHeight="1">
      <c r="A11" s="21" t="inlineStr">
        <is>
          <t>Prepared</t>
        </is>
      </c>
      <c r="B11" s="22" t="inlineStr">
        <is>
          <t>Verification run 29 August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2026-08-29T11:14:49Z</dcterms:created>
  <dcterms:modified xsi:type="dcterms:W3CDTF">2026-08-29T11:36:28Z</dcterms:modified>
</cp:coreProperties>
</file>