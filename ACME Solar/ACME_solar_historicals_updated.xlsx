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comments5.xml" ContentType="application/vnd.openxmlformats-officedocument.spreadsheetml.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192.168.20.12\Broking\9 Broking\Dheeraj\Acme Solar Model\"/>
    </mc:Choice>
  </mc:AlternateContent>
  <xr:revisionPtr revIDLastSave="0" documentId="13_ncr:1_{A78B4DFB-B2F4-43B3-980F-601A821B561D}" xr6:coauthVersionLast="47" xr6:coauthVersionMax="47" xr10:uidLastSave="{00000000-0000-0000-0000-000000000000}"/>
  <bookViews>
    <workbookView xWindow="-120" yWindow="-120" windowWidth="29040" windowHeight="15720" firstSheet="2" activeTab="2" xr2:uid="{A5AE46FE-0E60-4F43-BF78-666126F395E8}"/>
  </bookViews>
  <sheets>
    <sheet name="Key (2)" sheetId="17" r:id="rId1"/>
    <sheet name="Key_New" sheetId="21" r:id="rId2"/>
    <sheet name="Consolidated" sheetId="5" r:id="rId3"/>
    <sheet name="Assumptions" sheetId="9" r:id="rId4"/>
    <sheet name="Valuation" sheetId="12" r:id="rId5"/>
    <sheet name="Sheet1" sheetId="18" state="hidden" r:id="rId6"/>
    <sheet name="Key" sheetId="7" state="hidden" r:id="rId7"/>
    <sheet name="Charts" sheetId="19" state="hidden" r:id="rId8"/>
    <sheet name="Qtry" sheetId="15" r:id="rId9"/>
    <sheet name="DCF" sheetId="11" r:id="rId10"/>
    <sheet name="Power_unit_Conv" sheetId="14" state="hidden" r:id="rId11"/>
    <sheet name="IPRU" sheetId="16" r:id="rId12"/>
    <sheet name="Relative Valuation" sheetId="13"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s>
  <definedNames>
    <definedName name="\a" localSheetId="9">#REF!</definedName>
    <definedName name="\a">#REF!</definedName>
    <definedName name="\b" localSheetId="9">#REF!</definedName>
    <definedName name="\b">#REF!</definedName>
    <definedName name="\c" localSheetId="9">#REF!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l">#REF!</definedName>
    <definedName name="\M" localSheetId="10">[1]bajaj_copeland!$D$508</definedName>
    <definedName name="\M">#REF!</definedName>
    <definedName name="\n">#REF!</definedName>
    <definedName name="\o">#REF!</definedName>
    <definedName name="\p">#REF!</definedName>
    <definedName name="\q">#REF!</definedName>
    <definedName name="\r">#REF!</definedName>
    <definedName name="\s">#REF!</definedName>
    <definedName name="\t">#REF!</definedName>
    <definedName name="\u" localSheetId="4">#REF!</definedName>
    <definedName name="\u">[2]Header!#REF!</definedName>
    <definedName name="\v">#REF!</definedName>
    <definedName name="\VAL">#REF!</definedName>
    <definedName name="\w">#REF!</definedName>
    <definedName name="\x">#REF!</definedName>
    <definedName name="\y">#REF!</definedName>
    <definedName name="\z">#REF!</definedName>
    <definedName name="__________Less_Misc_expenditure">#REF!</definedName>
    <definedName name="__________Reserves_n_surplus">#REF!</definedName>
    <definedName name="__________Revaluation_reserves">#REF!</definedName>
    <definedName name="____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nn05" localSheetId="4" hidden="1">{#N/A,#N/A,FALSE,"Status of Projects";#N/A,#N/A,FALSE,"CEA-TEC";#N/A,#N/A,FALSE,"U-Constr.";#N/A,#N/A,FALSE,"summary";#N/A,#N/A,FALSE,"PPP-3 yrs"}</definedName>
    <definedName name="________nn05" hidden="1">{#N/A,#N/A,FALSE,"Status of Projects";#N/A,#N/A,FALSE,"CEA-TEC";#N/A,#N/A,FALSE,"U-Constr.";#N/A,#N/A,FALSE,"summary";#N/A,#N/A,FALSE,"PPP-3 yrs"}</definedName>
    <definedName name="________no1" localSheetId="4" hidden="1">{#N/A,#N/A,FALSE,"Status of Projects";#N/A,#N/A,FALSE,"CEA-TEC";#N/A,#N/A,FALSE,"U-Constr.";#N/A,#N/A,FALSE,"summary";#N/A,#N/A,FALSE,"PPP-3 yrs"}</definedName>
    <definedName name="________no1" hidden="1">{#N/A,#N/A,FALSE,"Status of Projects";#N/A,#N/A,FALSE,"CEA-TEC";#N/A,#N/A,FALSE,"U-Constr.";#N/A,#N/A,FALSE,"summary";#N/A,#N/A,FALSE,"PPP-3 yrs"}</definedName>
    <definedName name="____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nn05" localSheetId="4" hidden="1">{#N/A,#N/A,FALSE,"Status of Projects";#N/A,#N/A,FALSE,"CEA-TEC";#N/A,#N/A,FALSE,"U-Constr.";#N/A,#N/A,FALSE,"summary";#N/A,#N/A,FALSE,"PPP-3 yrs"}</definedName>
    <definedName name="_______nn05" hidden="1">{#N/A,#N/A,FALSE,"Status of Projects";#N/A,#N/A,FALSE,"CEA-TEC";#N/A,#N/A,FALSE,"U-Constr.";#N/A,#N/A,FALSE,"summary";#N/A,#N/A,FALSE,"PPP-3 yrs"}</definedName>
    <definedName name="_______no1" localSheetId="4" hidden="1">{#N/A,#N/A,FALSE,"Status of Projects";#N/A,#N/A,FALSE,"CEA-TEC";#N/A,#N/A,FALSE,"U-Constr.";#N/A,#N/A,FALSE,"summary";#N/A,#N/A,FALSE,"PPP-3 yrs"}</definedName>
    <definedName name="_______no1" hidden="1">{#N/A,#N/A,FALSE,"Status of Projects";#N/A,#N/A,FALSE,"CEA-TEC";#N/A,#N/A,FALSE,"U-Constr.";#N/A,#N/A,FALSE,"summary";#N/A,#N/A,FALSE,"PPP-3 yrs"}</definedName>
    <definedName name="___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Current_Year_maturity" localSheetId="9">#REF!</definedName>
    <definedName name="______Current_Year_maturity">#REF!</definedName>
    <definedName name="______Key1" localSheetId="9" hidden="1">#REF!</definedName>
    <definedName name="______Key1" localSheetId="10" hidden="1">'[3]#REF'!$A$3:$T$46</definedName>
    <definedName name="______Key1" hidden="1">#REF!</definedName>
    <definedName name="______Long_term_borrowings" localSheetId="9">#REF!</definedName>
    <definedName name="______Long_term_borrowings">#REF!</definedName>
    <definedName name="______nn05" localSheetId="4" hidden="1">{#N/A,#N/A,FALSE,"Status of Projects";#N/A,#N/A,FALSE,"CEA-TEC";#N/A,#N/A,FALSE,"U-Constr.";#N/A,#N/A,FALSE,"summary";#N/A,#N/A,FALSE,"PPP-3 yrs"}</definedName>
    <definedName name="______nn05" hidden="1">{#N/A,#N/A,FALSE,"Status of Projects";#N/A,#N/A,FALSE,"CEA-TEC";#N/A,#N/A,FALSE,"U-Constr.";#N/A,#N/A,FALSE,"summary";#N/A,#N/A,FALSE,"PPP-3 yrs"}</definedName>
    <definedName name="______no1" localSheetId="4" hidden="1">{#N/A,#N/A,FALSE,"Status of Projects";#N/A,#N/A,FALSE,"CEA-TEC";#N/A,#N/A,FALSE,"U-Constr.";#N/A,#N/A,FALSE,"summary";#N/A,#N/A,FALSE,"PPP-3 yrs"}</definedName>
    <definedName name="______no1" hidden="1">{#N/A,#N/A,FALSE,"Status of Projects";#N/A,#N/A,FALSE,"CEA-TEC";#N/A,#N/A,FALSE,"U-Constr.";#N/A,#N/A,FALSE,"summary";#N/A,#N/A,FALSE,"PPP-3 yrs"}</definedName>
    <definedName name="___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Short_term_borrowings" localSheetId="9">#REF!</definedName>
    <definedName name="______Short_term_borrowings">#REF!</definedName>
    <definedName name="______Trade_Payables" localSheetId="9">#REF!</definedName>
    <definedName name="______Trade_Payables">#REF!</definedName>
    <definedName name="___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2" localSheetId="9" hidden="1">{#N/A,#N/A,FALSE,"INPUTS";#N/A,#N/A,FALSE,"PROFORMA BSHEET";#N/A,#N/A,FALSE,"COMBINED";#N/A,#N/A,FALSE,"HIGH YIELD";#N/A,#N/A,FALSE,"COMB_GRAPHS"}</definedName>
    <definedName name="______wrn2" localSheetId="10" hidden="1">{#N/A,#N/A,FALSE,"INPUTS";#N/A,#N/A,FALSE,"PROFORMA BSHEET";#N/A,#N/A,FALSE,"COMBINED";#N/A,#N/A,FALSE,"HIGH YIELD";#N/A,#N/A,FALSE,"COMB_GRAPHS"}</definedName>
    <definedName name="______wrn2" localSheetId="4" hidden="1">{#N/A,#N/A,FALSE,"INPUTS";#N/A,#N/A,FALSE,"PROFORMA BSHEET";#N/A,#N/A,FALSE,"COMBINED";#N/A,#N/A,FALSE,"HIGH YIELD";#N/A,#N/A,FALSE,"COMB_GRAPHS"}</definedName>
    <definedName name="______wrn2" hidden="1">{#N/A,#N/A,FALSE,"INPUTS";#N/A,#N/A,FALSE,"PROFORMA BSHEET";#N/A,#N/A,FALSE,"COMBINED";#N/A,#N/A,FALSE,"HIGH YIELD";#N/A,#N/A,FALSE,"COMB_GRAPHS"}</definedName>
    <definedName name="______wrn3" localSheetId="9" hidden="1">{#N/A,#N/A,FALSE,"ACQ_GRAPHS";#N/A,#N/A,FALSE,"T_1 GRAPHS";#N/A,#N/A,FALSE,"T_2 GRAPHS";#N/A,#N/A,FALSE,"COMB_GRAPHS"}</definedName>
    <definedName name="______wrn3" localSheetId="10" hidden="1">{#N/A,#N/A,FALSE,"ACQ_GRAPHS";#N/A,#N/A,FALSE,"T_1 GRAPHS";#N/A,#N/A,FALSE,"T_2 GRAPHS";#N/A,#N/A,FALSE,"COMB_GRAPHS"}</definedName>
    <definedName name="______wrn3" localSheetId="4" hidden="1">{#N/A,#N/A,FALSE,"ACQ_GRAPHS";#N/A,#N/A,FALSE,"T_1 GRAPHS";#N/A,#N/A,FALSE,"T_2 GRAPHS";#N/A,#N/A,FALSE,"COMB_GRAPHS"}</definedName>
    <definedName name="______wrn3" hidden="1">{#N/A,#N/A,FALSE,"ACQ_GRAPHS";#N/A,#N/A,FALSE,"T_1 GRAPHS";#N/A,#N/A,FALSE,"T_2 GRAPHS";#N/A,#N/A,FALSE,"COMB_GRAPHS"}</definedName>
    <definedName name="______wrn4" localSheetId="9" hidden="1">{"vi1",#N/A,FALSE,"Financial Statements";"vi2",#N/A,FALSE,"Financial Statements";#N/A,#N/A,FALSE,"DCF"}</definedName>
    <definedName name="______wrn4" localSheetId="10" hidden="1">{"vi1",#N/A,FALSE,"Financial Statements";"vi2",#N/A,FALSE,"Financial Statements";#N/A,#N/A,FALSE,"DCF"}</definedName>
    <definedName name="______wrn4" localSheetId="4" hidden="1">{"vi1",#N/A,FALSE,"Financial Statements";"vi2",#N/A,FALSE,"Financial Statements";#N/A,#N/A,FALSE,"DCF"}</definedName>
    <definedName name="______wrn4" hidden="1">{"vi1",#N/A,FALSE,"Financial Statements";"vi2",#N/A,FALSE,"Financial Statements";#N/A,#N/A,FALSE,"DCF"}</definedName>
    <definedName name="______wrn5" localSheetId="9" hidden="1">{#N/A,#N/A,FALSE,"Valuation Assumptions";#N/A,#N/A,FALSE,"Summary";#N/A,#N/A,FALSE,"DCF";#N/A,#N/A,FALSE,"Valuation";#N/A,#N/A,FALSE,"WACC";#N/A,#N/A,FALSE,"UBVH";#N/A,#N/A,FALSE,"Free Cash Flow"}</definedName>
    <definedName name="______wrn5" localSheetId="10" hidden="1">{#N/A,#N/A,FALSE,"Valuation Assumptions";#N/A,#N/A,FALSE,"Summary";#N/A,#N/A,FALSE,"DCF";#N/A,#N/A,FALSE,"Valuation";#N/A,#N/A,FALSE,"WACC";#N/A,#N/A,FALSE,"UBVH";#N/A,#N/A,FALSE,"Free Cash Flow"}</definedName>
    <definedName name="______wrn5" localSheetId="4" hidden="1">{#N/A,#N/A,FALSE,"Valuation Assumptions";#N/A,#N/A,FALSE,"Summary";#N/A,#N/A,FALSE,"DCF";#N/A,#N/A,FALSE,"Valuation";#N/A,#N/A,FALSE,"WACC";#N/A,#N/A,FALSE,"UBVH";#N/A,#N/A,FALSE,"Free Cash Flow"}</definedName>
    <definedName name="______wrn5" hidden="1">{#N/A,#N/A,FALSE,"Valuation Assumptions";#N/A,#N/A,FALSE,"Summary";#N/A,#N/A,FALSE,"DCF";#N/A,#N/A,FALSE,"Valuation";#N/A,#N/A,FALSE,"WACC";#N/A,#N/A,FALSE,"UBVH";#N/A,#N/A,FALSE,"Free Cash Flow"}</definedName>
    <definedName name="______wrn6" localSheetId="9" hidden="1">{#N/A,#N/A,FALSE,"INPUTS";#N/A,#N/A,FALSE,"PROFORMA BSHEET";#N/A,#N/A,FALSE,"COMBINED";#N/A,#N/A,FALSE,"ACQUIROR";#N/A,#N/A,FALSE,"TARGET 1";#N/A,#N/A,FALSE,"TARGET 2";#N/A,#N/A,FALSE,"HIGH YIELD";#N/A,#N/A,FALSE,"OVERFUND"}</definedName>
    <definedName name="______wrn6" localSheetId="10" hidden="1">{#N/A,#N/A,FALSE,"INPUTS";#N/A,#N/A,FALSE,"PROFORMA BSHEET";#N/A,#N/A,FALSE,"COMBINED";#N/A,#N/A,FALSE,"ACQUIROR";#N/A,#N/A,FALSE,"TARGET 1";#N/A,#N/A,FALSE,"TARGET 2";#N/A,#N/A,FALSE,"HIGH YIELD";#N/A,#N/A,FALSE,"OVERFUND"}</definedName>
    <definedName name="______wrn6" localSheetId="4" hidden="1">{#N/A,#N/A,FALSE,"INPUTS";#N/A,#N/A,FALSE,"PROFORMA BSHEET";#N/A,#N/A,FALSE,"COMBINED";#N/A,#N/A,FALSE,"ACQUIROR";#N/A,#N/A,FALSE,"TARGET 1";#N/A,#N/A,FALSE,"TARGET 2";#N/A,#N/A,FALSE,"HIGH YIELD";#N/A,#N/A,FALSE,"OVERFUND"}</definedName>
    <definedName name="______wrn6" hidden="1">{#N/A,#N/A,FALSE,"INPUTS";#N/A,#N/A,FALSE,"PROFORMA BSHEET";#N/A,#N/A,FALSE,"COMBINED";#N/A,#N/A,FALSE,"ACQUIROR";#N/A,#N/A,FALSE,"TARGET 1";#N/A,#N/A,FALSE,"TARGET 2";#N/A,#N/A,FALSE,"HIGH YIELD";#N/A,#N/A,FALSE,"OVERFUND"}</definedName>
    <definedName name="_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Deferred_tax_Assets" localSheetId="9">#REF!</definedName>
    <definedName name="_____Deferred_tax_Assets">#REF!</definedName>
    <definedName name="_____Fixed_assets_Net_block" localSheetId="9">#REF!</definedName>
    <definedName name="_____Fixed_assets_Net_block">#REF!</definedName>
    <definedName name="_____Goodwill_on_Consolidation" localSheetId="9">#REF!</definedName>
    <definedName name="_____Goodwill_on_Consolidation">#REF!</definedName>
    <definedName name="_____Key1" localSheetId="10" hidden="1">'[3]#REF'!$A$3:$T$46</definedName>
    <definedName name="_____Key1" hidden="1">#REF!</definedName>
    <definedName name="_____Long_Term_loans_and_advances">#REF!</definedName>
    <definedName name="_____nn05" localSheetId="4" hidden="1">{#N/A,#N/A,FALSE,"Status of Projects";#N/A,#N/A,FALSE,"CEA-TEC";#N/A,#N/A,FALSE,"U-Constr.";#N/A,#N/A,FALSE,"summary";#N/A,#N/A,FALSE,"PPP-3 yrs"}</definedName>
    <definedName name="_____nn05" hidden="1">{#N/A,#N/A,FALSE,"Status of Projects";#N/A,#N/A,FALSE,"CEA-TEC";#N/A,#N/A,FALSE,"U-Constr.";#N/A,#N/A,FALSE,"summary";#N/A,#N/A,FALSE,"PPP-3 yrs"}</definedName>
    <definedName name="_____no1" localSheetId="4" hidden="1">{#N/A,#N/A,FALSE,"Status of Projects";#N/A,#N/A,FALSE,"CEA-TEC";#N/A,#N/A,FALSE,"U-Constr.";#N/A,#N/A,FALSE,"summary";#N/A,#N/A,FALSE,"PPP-3 yrs"}</definedName>
    <definedName name="_____no1" hidden="1">{#N/A,#N/A,FALSE,"Status of Projects";#N/A,#N/A,FALSE,"CEA-TEC";#N/A,#N/A,FALSE,"U-Constr.";#N/A,#N/A,FALSE,"summary";#N/A,#N/A,FALSE,"PPP-3 yrs"}</definedName>
    <definedName name="_____Non_current_Investments">#REF!</definedName>
    <definedName name="_____Other_non_current_assets">#REF!</definedName>
    <definedName name="__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Share_Capital" localSheetId="9">#REF!</definedName>
    <definedName name="_____Share_Capital">#REF!</definedName>
    <definedName name="__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2" localSheetId="9" hidden="1">{#N/A,#N/A,FALSE,"INPUTS";#N/A,#N/A,FALSE,"PROFORMA BSHEET";#N/A,#N/A,FALSE,"COMBINED";#N/A,#N/A,FALSE,"HIGH YIELD";#N/A,#N/A,FALSE,"COMB_GRAPHS"}</definedName>
    <definedName name="_____wrn2" localSheetId="10" hidden="1">{#N/A,#N/A,FALSE,"INPUTS";#N/A,#N/A,FALSE,"PROFORMA BSHEET";#N/A,#N/A,FALSE,"COMBINED";#N/A,#N/A,FALSE,"HIGH YIELD";#N/A,#N/A,FALSE,"COMB_GRAPHS"}</definedName>
    <definedName name="_____wrn2" localSheetId="4" hidden="1">{#N/A,#N/A,FALSE,"INPUTS";#N/A,#N/A,FALSE,"PROFORMA BSHEET";#N/A,#N/A,FALSE,"COMBINED";#N/A,#N/A,FALSE,"HIGH YIELD";#N/A,#N/A,FALSE,"COMB_GRAPHS"}</definedName>
    <definedName name="_____wrn2" hidden="1">{#N/A,#N/A,FALSE,"INPUTS";#N/A,#N/A,FALSE,"PROFORMA BSHEET";#N/A,#N/A,FALSE,"COMBINED";#N/A,#N/A,FALSE,"HIGH YIELD";#N/A,#N/A,FALSE,"COMB_GRAPHS"}</definedName>
    <definedName name="_____wrn3" localSheetId="9" hidden="1">{#N/A,#N/A,FALSE,"ACQ_GRAPHS";#N/A,#N/A,FALSE,"T_1 GRAPHS";#N/A,#N/A,FALSE,"T_2 GRAPHS";#N/A,#N/A,FALSE,"COMB_GRAPHS"}</definedName>
    <definedName name="_____wrn3" localSheetId="10" hidden="1">{#N/A,#N/A,FALSE,"ACQ_GRAPHS";#N/A,#N/A,FALSE,"T_1 GRAPHS";#N/A,#N/A,FALSE,"T_2 GRAPHS";#N/A,#N/A,FALSE,"COMB_GRAPHS"}</definedName>
    <definedName name="_____wrn3" localSheetId="4" hidden="1">{#N/A,#N/A,FALSE,"ACQ_GRAPHS";#N/A,#N/A,FALSE,"T_1 GRAPHS";#N/A,#N/A,FALSE,"T_2 GRAPHS";#N/A,#N/A,FALSE,"COMB_GRAPHS"}</definedName>
    <definedName name="_____wrn3" hidden="1">{#N/A,#N/A,FALSE,"ACQ_GRAPHS";#N/A,#N/A,FALSE,"T_1 GRAPHS";#N/A,#N/A,FALSE,"T_2 GRAPHS";#N/A,#N/A,FALSE,"COMB_GRAPHS"}</definedName>
    <definedName name="_____wrn4" localSheetId="9" hidden="1">{"vi1",#N/A,FALSE,"Financial Statements";"vi2",#N/A,FALSE,"Financial Statements";#N/A,#N/A,FALSE,"DCF"}</definedName>
    <definedName name="_____wrn4" localSheetId="10" hidden="1">{"vi1",#N/A,FALSE,"Financial Statements";"vi2",#N/A,FALSE,"Financial Statements";#N/A,#N/A,FALSE,"DCF"}</definedName>
    <definedName name="_____wrn4" localSheetId="4" hidden="1">{"vi1",#N/A,FALSE,"Financial Statements";"vi2",#N/A,FALSE,"Financial Statements";#N/A,#N/A,FALSE,"DCF"}</definedName>
    <definedName name="_____wrn4" hidden="1">{"vi1",#N/A,FALSE,"Financial Statements";"vi2",#N/A,FALSE,"Financial Statements";#N/A,#N/A,FALSE,"DCF"}</definedName>
    <definedName name="_____wrn5" localSheetId="9" hidden="1">{#N/A,#N/A,FALSE,"Valuation Assumptions";#N/A,#N/A,FALSE,"Summary";#N/A,#N/A,FALSE,"DCF";#N/A,#N/A,FALSE,"Valuation";#N/A,#N/A,FALSE,"WACC";#N/A,#N/A,FALSE,"UBVH";#N/A,#N/A,FALSE,"Free Cash Flow"}</definedName>
    <definedName name="_____wrn5" localSheetId="10" hidden="1">{#N/A,#N/A,FALSE,"Valuation Assumptions";#N/A,#N/A,FALSE,"Summary";#N/A,#N/A,FALSE,"DCF";#N/A,#N/A,FALSE,"Valuation";#N/A,#N/A,FALSE,"WACC";#N/A,#N/A,FALSE,"UBVH";#N/A,#N/A,FALSE,"Free Cash Flow"}</definedName>
    <definedName name="_____wrn5" localSheetId="4" hidden="1">{#N/A,#N/A,FALSE,"Valuation Assumptions";#N/A,#N/A,FALSE,"Summary";#N/A,#N/A,FALSE,"DCF";#N/A,#N/A,FALSE,"Valuation";#N/A,#N/A,FALSE,"WACC";#N/A,#N/A,FALSE,"UBVH";#N/A,#N/A,FALSE,"Free Cash Flow"}</definedName>
    <definedName name="_____wrn5" hidden="1">{#N/A,#N/A,FALSE,"Valuation Assumptions";#N/A,#N/A,FALSE,"Summary";#N/A,#N/A,FALSE,"DCF";#N/A,#N/A,FALSE,"Valuation";#N/A,#N/A,FALSE,"WACC";#N/A,#N/A,FALSE,"UBVH";#N/A,#N/A,FALSE,"Free Cash Flow"}</definedName>
    <definedName name="_____wrn6" localSheetId="9" hidden="1">{#N/A,#N/A,FALSE,"INPUTS";#N/A,#N/A,FALSE,"PROFORMA BSHEET";#N/A,#N/A,FALSE,"COMBINED";#N/A,#N/A,FALSE,"ACQUIROR";#N/A,#N/A,FALSE,"TARGET 1";#N/A,#N/A,FALSE,"TARGET 2";#N/A,#N/A,FALSE,"HIGH YIELD";#N/A,#N/A,FALSE,"OVERFUND"}</definedName>
    <definedName name="_____wrn6" localSheetId="10" hidden="1">{#N/A,#N/A,FALSE,"INPUTS";#N/A,#N/A,FALSE,"PROFORMA BSHEET";#N/A,#N/A,FALSE,"COMBINED";#N/A,#N/A,FALSE,"ACQUIROR";#N/A,#N/A,FALSE,"TARGET 1";#N/A,#N/A,FALSE,"TARGET 2";#N/A,#N/A,FALSE,"HIGH YIELD";#N/A,#N/A,FALSE,"OVERFUND"}</definedName>
    <definedName name="_____wrn6" localSheetId="4" hidden="1">{#N/A,#N/A,FALSE,"INPUTS";#N/A,#N/A,FALSE,"PROFORMA BSHEET";#N/A,#N/A,FALSE,"COMBINED";#N/A,#N/A,FALSE,"ACQUIROR";#N/A,#N/A,FALSE,"TARGET 1";#N/A,#N/A,FALSE,"TARGET 2";#N/A,#N/A,FALSE,"HIGH YIELD";#N/A,#N/A,FALSE,"OVERFUND"}</definedName>
    <definedName name="_____wrn6" hidden="1">{#N/A,#N/A,FALSE,"INPUTS";#N/A,#N/A,FALSE,"PROFORMA BSHEET";#N/A,#N/A,FALSE,"COMBINED";#N/A,#N/A,FALSE,"ACQUIROR";#N/A,#N/A,FALSE,"TARGET 1";#N/A,#N/A,FALSE,"TARGET 2";#N/A,#N/A,FALSE,"HIGH YIELD";#N/A,#N/A,FALSE,"OVERFUND"}</definedName>
    <definedName name="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Key1" localSheetId="9" hidden="1">#REF!</definedName>
    <definedName name="____Key1" localSheetId="10" hidden="1">'[3]#REF'!$A$3:$T$46</definedName>
    <definedName name="____Key1" hidden="1">#REF!</definedName>
    <definedName name="____Minorities_interests_BS" localSheetId="9">#REF!</definedName>
    <definedName name="____Minorities_interests_BS">#REF!</definedName>
    <definedName name="____nn05" localSheetId="4" hidden="1">{#N/A,#N/A,FALSE,"Status of Projects";#N/A,#N/A,FALSE,"CEA-TEC";#N/A,#N/A,FALSE,"U-Constr.";#N/A,#N/A,FALSE,"summary";#N/A,#N/A,FALSE,"PPP-3 yrs"}</definedName>
    <definedName name="____nn05" hidden="1">{#N/A,#N/A,FALSE,"Status of Projects";#N/A,#N/A,FALSE,"CEA-TEC";#N/A,#N/A,FALSE,"U-Constr.";#N/A,#N/A,FALSE,"summary";#N/A,#N/A,FALSE,"PPP-3 yrs"}</definedName>
    <definedName name="____no1" localSheetId="4" hidden="1">{#N/A,#N/A,FALSE,"Status of Projects";#N/A,#N/A,FALSE,"CEA-TEC";#N/A,#N/A,FALSE,"U-Constr.";#N/A,#N/A,FALSE,"summary";#N/A,#N/A,FALSE,"PPP-3 yrs"}</definedName>
    <definedName name="____no1" hidden="1">{#N/A,#N/A,FALSE,"Status of Projects";#N/A,#N/A,FALSE,"CEA-TEC";#N/A,#N/A,FALSE,"U-Constr.";#N/A,#N/A,FALSE,"summary";#N/A,#N/A,FALSE,"PPP-3 yrs"}</definedName>
    <definedName name="_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Share_application_money_pending_allotment" localSheetId="9">#REF!</definedName>
    <definedName name="____Share_application_money_pending_allotment">#REF!</definedName>
    <definedName name="____Shareholders_funds" localSheetId="9">#REF!</definedName>
    <definedName name="____Shareholders_funds">#REF!</definedName>
    <definedName name="_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2" localSheetId="9" hidden="1">{#N/A,#N/A,FALSE,"INPUTS";#N/A,#N/A,FALSE,"PROFORMA BSHEET";#N/A,#N/A,FALSE,"COMBINED";#N/A,#N/A,FALSE,"HIGH YIELD";#N/A,#N/A,FALSE,"COMB_GRAPHS"}</definedName>
    <definedName name="____wrn2" localSheetId="10" hidden="1">{#N/A,#N/A,FALSE,"INPUTS";#N/A,#N/A,FALSE,"PROFORMA BSHEET";#N/A,#N/A,FALSE,"COMBINED";#N/A,#N/A,FALSE,"HIGH YIELD";#N/A,#N/A,FALSE,"COMB_GRAPHS"}</definedName>
    <definedName name="____wrn2" localSheetId="4" hidden="1">{#N/A,#N/A,FALSE,"INPUTS";#N/A,#N/A,FALSE,"PROFORMA BSHEET";#N/A,#N/A,FALSE,"COMBINED";#N/A,#N/A,FALSE,"HIGH YIELD";#N/A,#N/A,FALSE,"COMB_GRAPHS"}</definedName>
    <definedName name="____wrn2" hidden="1">{#N/A,#N/A,FALSE,"INPUTS";#N/A,#N/A,FALSE,"PROFORMA BSHEET";#N/A,#N/A,FALSE,"COMBINED";#N/A,#N/A,FALSE,"HIGH YIELD";#N/A,#N/A,FALSE,"COMB_GRAPHS"}</definedName>
    <definedName name="____wrn3" localSheetId="9" hidden="1">{#N/A,#N/A,FALSE,"ACQ_GRAPHS";#N/A,#N/A,FALSE,"T_1 GRAPHS";#N/A,#N/A,FALSE,"T_2 GRAPHS";#N/A,#N/A,FALSE,"COMB_GRAPHS"}</definedName>
    <definedName name="____wrn3" localSheetId="10" hidden="1">{#N/A,#N/A,FALSE,"ACQ_GRAPHS";#N/A,#N/A,FALSE,"T_1 GRAPHS";#N/A,#N/A,FALSE,"T_2 GRAPHS";#N/A,#N/A,FALSE,"COMB_GRAPHS"}</definedName>
    <definedName name="____wrn3" localSheetId="4" hidden="1">{#N/A,#N/A,FALSE,"ACQ_GRAPHS";#N/A,#N/A,FALSE,"T_1 GRAPHS";#N/A,#N/A,FALSE,"T_2 GRAPHS";#N/A,#N/A,FALSE,"COMB_GRAPHS"}</definedName>
    <definedName name="____wrn3" hidden="1">{#N/A,#N/A,FALSE,"ACQ_GRAPHS";#N/A,#N/A,FALSE,"T_1 GRAPHS";#N/A,#N/A,FALSE,"T_2 GRAPHS";#N/A,#N/A,FALSE,"COMB_GRAPHS"}</definedName>
    <definedName name="____wrn4" localSheetId="9" hidden="1">{"vi1",#N/A,FALSE,"Financial Statements";"vi2",#N/A,FALSE,"Financial Statements";#N/A,#N/A,FALSE,"DCF"}</definedName>
    <definedName name="____wrn4" localSheetId="10" hidden="1">{"vi1",#N/A,FALSE,"Financial Statements";"vi2",#N/A,FALSE,"Financial Statements";#N/A,#N/A,FALSE,"DCF"}</definedName>
    <definedName name="____wrn4" localSheetId="4" hidden="1">{"vi1",#N/A,FALSE,"Financial Statements";"vi2",#N/A,FALSE,"Financial Statements";#N/A,#N/A,FALSE,"DCF"}</definedName>
    <definedName name="____wrn4" hidden="1">{"vi1",#N/A,FALSE,"Financial Statements";"vi2",#N/A,FALSE,"Financial Statements";#N/A,#N/A,FALSE,"DCF"}</definedName>
    <definedName name="____wrn5" localSheetId="9" hidden="1">{#N/A,#N/A,FALSE,"Valuation Assumptions";#N/A,#N/A,FALSE,"Summary";#N/A,#N/A,FALSE,"DCF";#N/A,#N/A,FALSE,"Valuation";#N/A,#N/A,FALSE,"WACC";#N/A,#N/A,FALSE,"UBVH";#N/A,#N/A,FALSE,"Free Cash Flow"}</definedName>
    <definedName name="____wrn5" localSheetId="10" hidden="1">{#N/A,#N/A,FALSE,"Valuation Assumptions";#N/A,#N/A,FALSE,"Summary";#N/A,#N/A,FALSE,"DCF";#N/A,#N/A,FALSE,"Valuation";#N/A,#N/A,FALSE,"WACC";#N/A,#N/A,FALSE,"UBVH";#N/A,#N/A,FALSE,"Free Cash Flow"}</definedName>
    <definedName name="____wrn5" localSheetId="4" hidden="1">{#N/A,#N/A,FALSE,"Valuation Assumptions";#N/A,#N/A,FALSE,"Summary";#N/A,#N/A,FALSE,"DCF";#N/A,#N/A,FALSE,"Valuation";#N/A,#N/A,FALSE,"WACC";#N/A,#N/A,FALSE,"UBVH";#N/A,#N/A,FALSE,"Free Cash Flow"}</definedName>
    <definedName name="____wrn5" hidden="1">{#N/A,#N/A,FALSE,"Valuation Assumptions";#N/A,#N/A,FALSE,"Summary";#N/A,#N/A,FALSE,"DCF";#N/A,#N/A,FALSE,"Valuation";#N/A,#N/A,FALSE,"WACC";#N/A,#N/A,FALSE,"UBVH";#N/A,#N/A,FALSE,"Free Cash Flow"}</definedName>
    <definedName name="____wrn6" localSheetId="9" hidden="1">{#N/A,#N/A,FALSE,"INPUTS";#N/A,#N/A,FALSE,"PROFORMA BSHEET";#N/A,#N/A,FALSE,"COMBINED";#N/A,#N/A,FALSE,"ACQUIROR";#N/A,#N/A,FALSE,"TARGET 1";#N/A,#N/A,FALSE,"TARGET 2";#N/A,#N/A,FALSE,"HIGH YIELD";#N/A,#N/A,FALSE,"OVERFUND"}</definedName>
    <definedName name="____wrn6" localSheetId="10" hidden="1">{#N/A,#N/A,FALSE,"INPUTS";#N/A,#N/A,FALSE,"PROFORMA BSHEET";#N/A,#N/A,FALSE,"COMBINED";#N/A,#N/A,FALSE,"ACQUIROR";#N/A,#N/A,FALSE,"TARGET 1";#N/A,#N/A,FALSE,"TARGET 2";#N/A,#N/A,FALSE,"HIGH YIELD";#N/A,#N/A,FALSE,"OVERFUND"}</definedName>
    <definedName name="____wrn6" localSheetId="4" hidden="1">{#N/A,#N/A,FALSE,"INPUTS";#N/A,#N/A,FALSE,"PROFORMA BSHEET";#N/A,#N/A,FALSE,"COMBINED";#N/A,#N/A,FALSE,"ACQUIROR";#N/A,#N/A,FALSE,"TARGET 1";#N/A,#N/A,FALSE,"TARGET 2";#N/A,#N/A,FALSE,"HIGH YIELD";#N/A,#N/A,FALSE,"OVERFUND"}</definedName>
    <definedName name="____wrn6" hidden="1">{#N/A,#N/A,FALSE,"INPUTS";#N/A,#N/A,FALSE,"PROFORMA BSHEET";#N/A,#N/A,FALSE,"COMBINED";#N/A,#N/A,FALSE,"ACQUIROR";#N/A,#N/A,FALSE,"TARGET 1";#N/A,#N/A,FALSE,"TARGET 2";#N/A,#N/A,FALSE,"HIGH YIELD";#N/A,#N/A,FALSE,"OVERFUND"}</definedName>
    <definedName name="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Adjusted_EPS_Rs" localSheetId="9">#REF!</definedName>
    <definedName name="___Adjusted_EPS_Rs">#REF!</definedName>
    <definedName name="___Adjustment_to_Profits" localSheetId="9">#REF!</definedName>
    <definedName name="___Adjustment_to_Profits">#REF!</definedName>
    <definedName name="___Book_NAV_share_Rs" localSheetId="9">#REF!</definedName>
    <definedName name="___Book_NAV_share_Rs">#REF!</definedName>
    <definedName name="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Cash_and_cash_equivalents" localSheetId="9">#REF!</definedName>
    <definedName name="___Cash_and_cash_equivalents">#REF!</definedName>
    <definedName name="___CEPS_Rs" localSheetId="9">#REF!</definedName>
    <definedName name="___CEPS_Rs">#REF!</definedName>
    <definedName name="___Current_Investments" localSheetId="9">#REF!</definedName>
    <definedName name="___Current_Investments">#REF!</definedName>
    <definedName name="___Deferred_tax">#REF!</definedName>
    <definedName name="___DPS_Rs">#REF!</definedName>
    <definedName name="___ee22">#N/A</definedName>
    <definedName name="___INDEX_SHEET___ASAP_Utilities">#REF!</definedName>
    <definedName name="___Inventories">#REF!</definedName>
    <definedName name="___Key1" localSheetId="10" hidden="1">'[3]#REF'!$A$3:$T$46</definedName>
    <definedName name="___Key1" hidden="1">#REF!</definedName>
    <definedName name="___nn05" localSheetId="4" hidden="1">{#N/A,#N/A,FALSE,"Status of Projects";#N/A,#N/A,FALSE,"CEA-TEC";#N/A,#N/A,FALSE,"U-Constr.";#N/A,#N/A,FALSE,"summary";#N/A,#N/A,FALSE,"PPP-3 yrs"}</definedName>
    <definedName name="___nn05" hidden="1">{#N/A,#N/A,FALSE,"Status of Projects";#N/A,#N/A,FALSE,"CEA-TEC";#N/A,#N/A,FALSE,"U-Constr.";#N/A,#N/A,FALSE,"summary";#N/A,#N/A,FALSE,"PPP-3 yrs"}</definedName>
    <definedName name="___no1" localSheetId="4" hidden="1">{#N/A,#N/A,FALSE,"Status of Projects";#N/A,#N/A,FALSE,"CEA-TEC";#N/A,#N/A,FALSE,"U-Constr.";#N/A,#N/A,FALSE,"summary";#N/A,#N/A,FALSE,"PPP-3 yrs"}</definedName>
    <definedName name="___no1" hidden="1">{#N/A,#N/A,FALSE,"Status of Projects";#N/A,#N/A,FALSE,"CEA-TEC";#N/A,#N/A,FALSE,"U-Constr.";#N/A,#N/A,FALSE,"summary";#N/A,#N/A,FALSE,"PPP-3 yrs"}</definedName>
    <definedName name="___Profit___Loss_from_Discontinuing_Operations">#REF!</definedName>
    <definedName name="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Tax_Expense_of_Discontinuing_Operations" localSheetId="9">#REF!</definedName>
    <definedName name="___Tax_Expense_of_Discontinuing_Operations">#REF!</definedName>
    <definedName name="___Tax_on_Adjustment_to_Profit" localSheetId="9">#REF!</definedName>
    <definedName name="___Tax_on_Adjustment_to_Profit">#REF!</definedName>
    <definedName name="___Tax_provided" localSheetId="9">#REF!</definedName>
    <definedName name="___Tax_provided">#REF!</definedName>
    <definedName name="___Tax_rate_PCT">#REF!</definedName>
    <definedName name="___Total_amortisation">#REF!</definedName>
    <definedName name="___Total_depreciation">#REF!</definedName>
    <definedName name="___Trade_Receivables">#REF!</definedName>
    <definedName name="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2" localSheetId="9" hidden="1">{#N/A,#N/A,FALSE,"INPUTS";#N/A,#N/A,FALSE,"PROFORMA BSHEET";#N/A,#N/A,FALSE,"COMBINED";#N/A,#N/A,FALSE,"HIGH YIELD";#N/A,#N/A,FALSE,"COMB_GRAPHS"}</definedName>
    <definedName name="___wrn2" localSheetId="10" hidden="1">{#N/A,#N/A,FALSE,"INPUTS";#N/A,#N/A,FALSE,"PROFORMA BSHEET";#N/A,#N/A,FALSE,"COMBINED";#N/A,#N/A,FALSE,"HIGH YIELD";#N/A,#N/A,FALSE,"COMB_GRAPHS"}</definedName>
    <definedName name="___wrn2" localSheetId="4" hidden="1">{#N/A,#N/A,FALSE,"INPUTS";#N/A,#N/A,FALSE,"PROFORMA BSHEET";#N/A,#N/A,FALSE,"COMBINED";#N/A,#N/A,FALSE,"HIGH YIELD";#N/A,#N/A,FALSE,"COMB_GRAPHS"}</definedName>
    <definedName name="___wrn2" hidden="1">{#N/A,#N/A,FALSE,"INPUTS";#N/A,#N/A,FALSE,"PROFORMA BSHEET";#N/A,#N/A,FALSE,"COMBINED";#N/A,#N/A,FALSE,"HIGH YIELD";#N/A,#N/A,FALSE,"COMB_GRAPHS"}</definedName>
    <definedName name="___wrn3" localSheetId="9" hidden="1">{#N/A,#N/A,FALSE,"ACQ_GRAPHS";#N/A,#N/A,FALSE,"T_1 GRAPHS";#N/A,#N/A,FALSE,"T_2 GRAPHS";#N/A,#N/A,FALSE,"COMB_GRAPHS"}</definedName>
    <definedName name="___wrn3" localSheetId="10" hidden="1">{#N/A,#N/A,FALSE,"ACQ_GRAPHS";#N/A,#N/A,FALSE,"T_1 GRAPHS";#N/A,#N/A,FALSE,"T_2 GRAPHS";#N/A,#N/A,FALSE,"COMB_GRAPHS"}</definedName>
    <definedName name="___wrn3" localSheetId="4" hidden="1">{#N/A,#N/A,FALSE,"ACQ_GRAPHS";#N/A,#N/A,FALSE,"T_1 GRAPHS";#N/A,#N/A,FALSE,"T_2 GRAPHS";#N/A,#N/A,FALSE,"COMB_GRAPHS"}</definedName>
    <definedName name="___wrn3" hidden="1">{#N/A,#N/A,FALSE,"ACQ_GRAPHS";#N/A,#N/A,FALSE,"T_1 GRAPHS";#N/A,#N/A,FALSE,"T_2 GRAPHS";#N/A,#N/A,FALSE,"COMB_GRAPHS"}</definedName>
    <definedName name="___wrn4" localSheetId="9" hidden="1">{"vi1",#N/A,FALSE,"Financial Statements";"vi2",#N/A,FALSE,"Financial Statements";#N/A,#N/A,FALSE,"DCF"}</definedName>
    <definedName name="___wrn4" localSheetId="10" hidden="1">{"vi1",#N/A,FALSE,"Financial Statements";"vi2",#N/A,FALSE,"Financial Statements";#N/A,#N/A,FALSE,"DCF"}</definedName>
    <definedName name="___wrn4" localSheetId="4" hidden="1">{"vi1",#N/A,FALSE,"Financial Statements";"vi2",#N/A,FALSE,"Financial Statements";#N/A,#N/A,FALSE,"DCF"}</definedName>
    <definedName name="___wrn4" hidden="1">{"vi1",#N/A,FALSE,"Financial Statements";"vi2",#N/A,FALSE,"Financial Statements";#N/A,#N/A,FALSE,"DCF"}</definedName>
    <definedName name="___wrn5" localSheetId="9" hidden="1">{#N/A,#N/A,FALSE,"Valuation Assumptions";#N/A,#N/A,FALSE,"Summary";#N/A,#N/A,FALSE,"DCF";#N/A,#N/A,FALSE,"Valuation";#N/A,#N/A,FALSE,"WACC";#N/A,#N/A,FALSE,"UBVH";#N/A,#N/A,FALSE,"Free Cash Flow"}</definedName>
    <definedName name="___wrn5" localSheetId="10" hidden="1">{#N/A,#N/A,FALSE,"Valuation Assumptions";#N/A,#N/A,FALSE,"Summary";#N/A,#N/A,FALSE,"DCF";#N/A,#N/A,FALSE,"Valuation";#N/A,#N/A,FALSE,"WACC";#N/A,#N/A,FALSE,"UBVH";#N/A,#N/A,FALSE,"Free Cash Flow"}</definedName>
    <definedName name="___wrn5" localSheetId="4" hidden="1">{#N/A,#N/A,FALSE,"Valuation Assumptions";#N/A,#N/A,FALSE,"Summary";#N/A,#N/A,FALSE,"DCF";#N/A,#N/A,FALSE,"Valuation";#N/A,#N/A,FALSE,"WACC";#N/A,#N/A,FALSE,"UBVH";#N/A,#N/A,FALSE,"Free Cash Flow"}</definedName>
    <definedName name="___wrn5" hidden="1">{#N/A,#N/A,FALSE,"Valuation Assumptions";#N/A,#N/A,FALSE,"Summary";#N/A,#N/A,FALSE,"DCF";#N/A,#N/A,FALSE,"Valuation";#N/A,#N/A,FALSE,"WACC";#N/A,#N/A,FALSE,"UBVH";#N/A,#N/A,FALSE,"Free Cash Flow"}</definedName>
    <definedName name="___wrn6" localSheetId="9" hidden="1">{#N/A,#N/A,FALSE,"INPUTS";#N/A,#N/A,FALSE,"PROFORMA BSHEET";#N/A,#N/A,FALSE,"COMBINED";#N/A,#N/A,FALSE,"ACQUIROR";#N/A,#N/A,FALSE,"TARGET 1";#N/A,#N/A,FALSE,"TARGET 2";#N/A,#N/A,FALSE,"HIGH YIELD";#N/A,#N/A,FALSE,"OVERFUND"}</definedName>
    <definedName name="___wrn6" localSheetId="10" hidden="1">{#N/A,#N/A,FALSE,"INPUTS";#N/A,#N/A,FALSE,"PROFORMA BSHEET";#N/A,#N/A,FALSE,"COMBINED";#N/A,#N/A,FALSE,"ACQUIROR";#N/A,#N/A,FALSE,"TARGET 1";#N/A,#N/A,FALSE,"TARGET 2";#N/A,#N/A,FALSE,"HIGH YIELD";#N/A,#N/A,FALSE,"OVERFUND"}</definedName>
    <definedName name="___wrn6" localSheetId="4" hidden="1">{#N/A,#N/A,FALSE,"INPUTS";#N/A,#N/A,FALSE,"PROFORMA BSHEET";#N/A,#N/A,FALSE,"COMBINED";#N/A,#N/A,FALSE,"ACQUIROR";#N/A,#N/A,FALSE,"TARGET 1";#N/A,#N/A,FALSE,"TARGET 2";#N/A,#N/A,FALSE,"HIGH YIELD";#N/A,#N/A,FALSE,"OVERFUND"}</definedName>
    <definedName name="___wrn6" hidden="1">{#N/A,#N/A,FALSE,"INPUTS";#N/A,#N/A,FALSE,"PROFORMA BSHEET";#N/A,#N/A,FALSE,"COMBINED";#N/A,#N/A,FALSE,"ACQUIROR";#N/A,#N/A,FALSE,"TARGET 1";#N/A,#N/A,FALSE,"TARGET 2";#N/A,#N/A,FALSE,"HIGH YIELD";#N/A,#N/A,FALSE,"OVERFUND"}</definedName>
    <definedName name="__123Graph_A" localSheetId="9" hidden="1">#REF!</definedName>
    <definedName name="__123Graph_A" localSheetId="10" hidden="1">[4]Hi_low!$AQ$6:$AQ$76</definedName>
    <definedName name="__123Graph_A" hidden="1">#REF!</definedName>
    <definedName name="__123Graph_ACAD" localSheetId="9" hidden="1">#REF!</definedName>
    <definedName name="__123Graph_ACAD" hidden="1">#REF!</definedName>
    <definedName name="__123Graph_ACAD1" localSheetId="9" hidden="1">#REF!</definedName>
    <definedName name="__123Graph_ACAD1" hidden="1">#REF!</definedName>
    <definedName name="__123Graph_ACAD2" localSheetId="4" hidden="1">#N/A</definedName>
    <definedName name="__123Graph_ACAD2" hidden="1">#REF!</definedName>
    <definedName name="__123Graph_AChart1" hidden="1">[5]BS!$C$7:$C$22</definedName>
    <definedName name="__123Graph_ACOL" hidden="1">#REF!</definedName>
    <definedName name="__123Graph_ACOL2" hidden="1">#REF!</definedName>
    <definedName name="__123Graph_ACOL3" hidden="1">#REF!</definedName>
    <definedName name="__123Graph_ACurrent" hidden="1">[5]BS!$C$7:$C$22</definedName>
    <definedName name="__123Graph_ACURVE" hidden="1">'[6]1'!$D$20:$D$31</definedName>
    <definedName name="__123Graph_AMM" hidden="1">#REF!</definedName>
    <definedName name="__123Graph_APAY" hidden="1">'[6]1'!$I$20:$I$46</definedName>
    <definedName name="__123Graph_B" localSheetId="10" hidden="1">[4]Hi_low!#REF!</definedName>
    <definedName name="__123Graph_B" hidden="1">#REF!</definedName>
    <definedName name="__123Graph_BCAD" hidden="1">#REF!</definedName>
    <definedName name="__123Graph_BCAD1" hidden="1">#REF!</definedName>
    <definedName name="__123Graph_BCAD2" localSheetId="4" hidden="1">#N/A</definedName>
    <definedName name="__123Graph_BCAD2" hidden="1">#REF!</definedName>
    <definedName name="__123Graph_BChart1" hidden="1">[5]BS!$D$7:$D$22</definedName>
    <definedName name="__123Graph_BCOL" hidden="1">#REF!</definedName>
    <definedName name="__123Graph_BCOL2" hidden="1">#REF!</definedName>
    <definedName name="__123Graph_BCOL3" hidden="1">#REF!</definedName>
    <definedName name="__123Graph_BCurrent" hidden="1">[5]BS!$D$7:$D$22</definedName>
    <definedName name="__123Graph_BMM" hidden="1">#REF!</definedName>
    <definedName name="__123Graph_C" localSheetId="10" hidden="1">[7]Financials!$D$20:$D$209</definedName>
    <definedName name="__123Graph_C" hidden="1">#REF!</definedName>
    <definedName name="__123Graph_CCAD" hidden="1">#REF!</definedName>
    <definedName name="__123Graph_CCAD1" hidden="1">#REF!</definedName>
    <definedName name="__123Graph_CCAD2" localSheetId="4" hidden="1">#N/A</definedName>
    <definedName name="__123Graph_CCAD2" hidden="1">#REF!</definedName>
    <definedName name="__123Graph_CChart1" hidden="1">[5]BS!$E$7:$E$22</definedName>
    <definedName name="__123Graph_CCOL" hidden="1">#REF!</definedName>
    <definedName name="__123Graph_CCOL2" hidden="1">#REF!</definedName>
    <definedName name="__123Graph_CCOL3" hidden="1">#REF!</definedName>
    <definedName name="__123Graph_CCurrent" hidden="1">[5]BS!$E$7:$E$22</definedName>
    <definedName name="__123Graph_D" localSheetId="10" hidden="1">[7]Financials!$E$20:$E$209</definedName>
    <definedName name="__123Graph_D" hidden="1">#REF!</definedName>
    <definedName name="__123Graph_DCAD" hidden="1">#REF!</definedName>
    <definedName name="__123Graph_DCAD1" hidden="1">#REF!</definedName>
    <definedName name="__123Graph_DCAD2" localSheetId="4" hidden="1">#N/A</definedName>
    <definedName name="__123Graph_DCAD2" hidden="1">#REF!</definedName>
    <definedName name="__123Graph_DChart1" hidden="1">[8]TB!$G$235:$G$283</definedName>
    <definedName name="__123Graph_DCOL" hidden="1">#REF!</definedName>
    <definedName name="__123Graph_DCOL2" hidden="1">#REF!</definedName>
    <definedName name="__123Graph_DCOL3" hidden="1">#REF!</definedName>
    <definedName name="__123Graph_DCurrent" hidden="1">[8]TB!$G$235:$G$283</definedName>
    <definedName name="__123Graph_E" localSheetId="10" hidden="1">[7]Financials!$F$20:$F$209</definedName>
    <definedName name="__123Graph_E" hidden="1">#REF!</definedName>
    <definedName name="__123Graph_ECAD" hidden="1">#REF!</definedName>
    <definedName name="__123Graph_ECAD1" hidden="1">#REF!</definedName>
    <definedName name="__123Graph_ECAD2" localSheetId="4" hidden="1">#N/A</definedName>
    <definedName name="__123Graph_ECAD2" hidden="1">#REF!</definedName>
    <definedName name="__123Graph_ECOL" hidden="1">#REF!</definedName>
    <definedName name="__123Graph_ECOL2" hidden="1">#REF!</definedName>
    <definedName name="__123Graph_ECOL3" hidden="1">#REF!</definedName>
    <definedName name="__123Graph_F" localSheetId="10" hidden="1">[7]Financials!$G$20:$G$209</definedName>
    <definedName name="__123Graph_F" hidden="1">#REF!</definedName>
    <definedName name="__123Graph_FCAD2" hidden="1">#REF!</definedName>
    <definedName name="__123Graph_FCOL3" hidden="1">#REF!</definedName>
    <definedName name="__123Graph_X" localSheetId="10" hidden="1">[4]Hi_low!$A$6:$A$76</definedName>
    <definedName name="__123Graph_X" hidden="1">#REF!</definedName>
    <definedName name="__123Graph_XCAD" hidden="1">#REF!</definedName>
    <definedName name="__123Graph_XCAD1" hidden="1">#REF!</definedName>
    <definedName name="__123Graph_XCAD2" localSheetId="4" hidden="1">#N/A</definedName>
    <definedName name="__123Graph_XCAD2" hidden="1">#REF!</definedName>
    <definedName name="__123Graph_XChart1" hidden="1">[8]TB!$C$235:$C$284</definedName>
    <definedName name="__123Graph_XCOL" hidden="1">#REF!</definedName>
    <definedName name="__123Graph_XCOL2" hidden="1">#REF!</definedName>
    <definedName name="__123Graph_XCOL3" hidden="1">#REF!</definedName>
    <definedName name="__123Graph_XCurrent" hidden="1">[9]TB!$B$350:$B$355</definedName>
    <definedName name="__123Graph_XCURVE" hidden="1">'[6]1'!$B$20:$B$31</definedName>
    <definedName name="__123Graph_XMM" hidden="1">#REF!</definedName>
    <definedName name="__123Graph_XPAY" hidden="1">'[6]1'!$B$20:$B$46</definedName>
    <definedName name="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ee22">#N/A</definedName>
    <definedName name="__FDS_HYPERLINK_TOGGLE_STATE__" hidden="1">"ON"</definedName>
    <definedName name="__FDS_UNIQUE_RANGE_ID_GENERATOR_COUNTER" hidden="1">1</definedName>
    <definedName name="__GROSS_SALES_T">#REF!</definedName>
    <definedName name="__Key1" localSheetId="9" hidden="1">#REF!</definedName>
    <definedName name="__Key1" localSheetId="10" hidden="1">'[3]#REF'!$A$3:$T$46</definedName>
    <definedName name="__Key1" hidden="1">#REF!</definedName>
    <definedName name="__NET_SALES_TO_">#REF!</definedName>
    <definedName name="__nn05" localSheetId="4" hidden="1">{#N/A,#N/A,FALSE,"Status of Projects";#N/A,#N/A,FALSE,"CEA-TEC";#N/A,#N/A,FALSE,"U-Constr.";#N/A,#N/A,FALSE,"summary";#N/A,#N/A,FALSE,"PPP-3 yrs"}</definedName>
    <definedName name="__nn05" hidden="1">{#N/A,#N/A,FALSE,"Status of Projects";#N/A,#N/A,FALSE,"CEA-TEC";#N/A,#N/A,FALSE,"U-Constr.";#N/A,#N/A,FALSE,"summary";#N/A,#N/A,FALSE,"PPP-3 yrs"}</definedName>
    <definedName name="__no1" localSheetId="4" hidden="1">{#N/A,#N/A,FALSE,"Status of Projects";#N/A,#N/A,FALSE,"CEA-TEC";#N/A,#N/A,FALSE,"U-Constr.";#N/A,#N/A,FALSE,"summary";#N/A,#N/A,FALSE,"PPP-3 yrs"}</definedName>
    <definedName name="__no1" hidden="1">{#N/A,#N/A,FALSE,"Status of Projects";#N/A,#N/A,FALSE,"CEA-TEC";#N/A,#N/A,FALSE,"U-Constr.";#N/A,#N/A,FALSE,"summary";#N/A,#N/A,FALSE,"PPP-3 yrs"}</definedName>
    <definedName name="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2" localSheetId="9" hidden="1">{#N/A,#N/A,FALSE,"INPUTS";#N/A,#N/A,FALSE,"PROFORMA BSHEET";#N/A,#N/A,FALSE,"COMBINED";#N/A,#N/A,FALSE,"HIGH YIELD";#N/A,#N/A,FALSE,"COMB_GRAPHS"}</definedName>
    <definedName name="__wrn2" localSheetId="10" hidden="1">{#N/A,#N/A,FALSE,"INPUTS";#N/A,#N/A,FALSE,"PROFORMA BSHEET";#N/A,#N/A,FALSE,"COMBINED";#N/A,#N/A,FALSE,"HIGH YIELD";#N/A,#N/A,FALSE,"COMB_GRAPHS"}</definedName>
    <definedName name="__wrn2" localSheetId="4" hidden="1">{#N/A,#N/A,FALSE,"INPUTS";#N/A,#N/A,FALSE,"PROFORMA BSHEET";#N/A,#N/A,FALSE,"COMBINED";#N/A,#N/A,FALSE,"HIGH YIELD";#N/A,#N/A,FALSE,"COMB_GRAPHS"}</definedName>
    <definedName name="__wrn2" hidden="1">{#N/A,#N/A,FALSE,"INPUTS";#N/A,#N/A,FALSE,"PROFORMA BSHEET";#N/A,#N/A,FALSE,"COMBINED";#N/A,#N/A,FALSE,"HIGH YIELD";#N/A,#N/A,FALSE,"COMB_GRAPHS"}</definedName>
    <definedName name="__wrn3" localSheetId="9" hidden="1">{#N/A,#N/A,FALSE,"ACQ_GRAPHS";#N/A,#N/A,FALSE,"T_1 GRAPHS";#N/A,#N/A,FALSE,"T_2 GRAPHS";#N/A,#N/A,FALSE,"COMB_GRAPHS"}</definedName>
    <definedName name="__wrn3" localSheetId="10" hidden="1">{#N/A,#N/A,FALSE,"ACQ_GRAPHS";#N/A,#N/A,FALSE,"T_1 GRAPHS";#N/A,#N/A,FALSE,"T_2 GRAPHS";#N/A,#N/A,FALSE,"COMB_GRAPHS"}</definedName>
    <definedName name="__wrn3" localSheetId="4" hidden="1">{#N/A,#N/A,FALSE,"ACQ_GRAPHS";#N/A,#N/A,FALSE,"T_1 GRAPHS";#N/A,#N/A,FALSE,"T_2 GRAPHS";#N/A,#N/A,FALSE,"COMB_GRAPHS"}</definedName>
    <definedName name="__wrn3" hidden="1">{#N/A,#N/A,FALSE,"ACQ_GRAPHS";#N/A,#N/A,FALSE,"T_1 GRAPHS";#N/A,#N/A,FALSE,"T_2 GRAPHS";#N/A,#N/A,FALSE,"COMB_GRAPHS"}</definedName>
    <definedName name="__wrn4" localSheetId="9" hidden="1">{"vi1",#N/A,FALSE,"Financial Statements";"vi2",#N/A,FALSE,"Financial Statements";#N/A,#N/A,FALSE,"DCF"}</definedName>
    <definedName name="__wrn4" localSheetId="10" hidden="1">{"vi1",#N/A,FALSE,"Financial Statements";"vi2",#N/A,FALSE,"Financial Statements";#N/A,#N/A,FALSE,"DCF"}</definedName>
    <definedName name="__wrn4" localSheetId="4" hidden="1">{"vi1",#N/A,FALSE,"Financial Statements";"vi2",#N/A,FALSE,"Financial Statements";#N/A,#N/A,FALSE,"DCF"}</definedName>
    <definedName name="__wrn4" hidden="1">{"vi1",#N/A,FALSE,"Financial Statements";"vi2",#N/A,FALSE,"Financial Statements";#N/A,#N/A,FALSE,"DCF"}</definedName>
    <definedName name="__wrn5" localSheetId="9" hidden="1">{#N/A,#N/A,FALSE,"Valuation Assumptions";#N/A,#N/A,FALSE,"Summary";#N/A,#N/A,FALSE,"DCF";#N/A,#N/A,FALSE,"Valuation";#N/A,#N/A,FALSE,"WACC";#N/A,#N/A,FALSE,"UBVH";#N/A,#N/A,FALSE,"Free Cash Flow"}</definedName>
    <definedName name="__wrn5" localSheetId="10" hidden="1">{#N/A,#N/A,FALSE,"Valuation Assumptions";#N/A,#N/A,FALSE,"Summary";#N/A,#N/A,FALSE,"DCF";#N/A,#N/A,FALSE,"Valuation";#N/A,#N/A,FALSE,"WACC";#N/A,#N/A,FALSE,"UBVH";#N/A,#N/A,FALSE,"Free Cash Flow"}</definedName>
    <definedName name="__wrn5" localSheetId="4" hidden="1">{#N/A,#N/A,FALSE,"Valuation Assumptions";#N/A,#N/A,FALSE,"Summary";#N/A,#N/A,FALSE,"DCF";#N/A,#N/A,FALSE,"Valuation";#N/A,#N/A,FALSE,"WACC";#N/A,#N/A,FALSE,"UBVH";#N/A,#N/A,FALSE,"Free Cash Flow"}</definedName>
    <definedName name="__wrn5" hidden="1">{#N/A,#N/A,FALSE,"Valuation Assumptions";#N/A,#N/A,FALSE,"Summary";#N/A,#N/A,FALSE,"DCF";#N/A,#N/A,FALSE,"Valuation";#N/A,#N/A,FALSE,"WACC";#N/A,#N/A,FALSE,"UBVH";#N/A,#N/A,FALSE,"Free Cash Flow"}</definedName>
    <definedName name="__wrn6" localSheetId="9" hidden="1">{#N/A,#N/A,FALSE,"INPUTS";#N/A,#N/A,FALSE,"PROFORMA BSHEET";#N/A,#N/A,FALSE,"COMBINED";#N/A,#N/A,FALSE,"ACQUIROR";#N/A,#N/A,FALSE,"TARGET 1";#N/A,#N/A,FALSE,"TARGET 2";#N/A,#N/A,FALSE,"HIGH YIELD";#N/A,#N/A,FALSE,"OVERFUND"}</definedName>
    <definedName name="__wrn6" localSheetId="10" hidden="1">{#N/A,#N/A,FALSE,"INPUTS";#N/A,#N/A,FALSE,"PROFORMA BSHEET";#N/A,#N/A,FALSE,"COMBINED";#N/A,#N/A,FALSE,"ACQUIROR";#N/A,#N/A,FALSE,"TARGET 1";#N/A,#N/A,FALSE,"TARGET 2";#N/A,#N/A,FALSE,"HIGH YIELD";#N/A,#N/A,FALSE,"OVERFUND"}</definedName>
    <definedName name="__wrn6" localSheetId="4" hidden="1">{#N/A,#N/A,FALSE,"INPUTS";#N/A,#N/A,FALSE,"PROFORMA BSHEET";#N/A,#N/A,FALSE,"COMBINED";#N/A,#N/A,FALSE,"ACQUIROR";#N/A,#N/A,FALSE,"TARGET 1";#N/A,#N/A,FALSE,"TARGET 2";#N/A,#N/A,FALSE,"HIGH YIELD";#N/A,#N/A,FALSE,"OVERFUND"}</definedName>
    <definedName name="__wrn6" hidden="1">{#N/A,#N/A,FALSE,"INPUTS";#N/A,#N/A,FALSE,"PROFORMA BSHEET";#N/A,#N/A,FALSE,"COMBINED";#N/A,#N/A,FALSE,"ACQUIROR";#N/A,#N/A,FALSE,"TARGET 1";#N/A,#N/A,FALSE,"TARGET 2";#N/A,#N/A,FALSE,"HIGH YIELD";#N/A,#N/A,FALSE,"OVERFUND"}</definedName>
    <definedName name="_1_" localSheetId="9">#REF!</definedName>
    <definedName name="_1_">#REF!</definedName>
    <definedName name="_1__123Graph_ACHART_2" hidden="1">#REF!</definedName>
    <definedName name="_1__FDSAUDITLINK__" localSheetId="9"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0"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4"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0EBITDA_Sh" localSheetId="9">#REF!</definedName>
    <definedName name="_1_0EBITDA_Sh">#REF!</definedName>
    <definedName name="_10__FDSAUDITLINK__" localSheetId="9"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0"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4"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0RMconsu" localSheetId="4">#REF!</definedName>
    <definedName name="_10_0RMconsu">[10]Old!#REF!</definedName>
    <definedName name="_100__FDSAUDITLINK__" localSheetId="9"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0"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4"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1__FDSAUDITLINK__" localSheetId="9"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0"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4"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2__FDSAUDITLINK__" localSheetId="9"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0"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4"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3__FDSAUDITLINK__" localSheetId="9"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0"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4"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4__FDSAUDITLINK__" localSheetId="9"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0"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4"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5__FDSAUDITLINK__" localSheetId="9"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0"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4"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6__FDSAUDITLINK__" localSheetId="9"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0"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4"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7__FDSAUDITLINK__" localSheetId="9"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0"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4"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8__FDSAUDITLINK__" localSheetId="9"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0"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4"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9__FDSAUDITLINK__" localSheetId="9"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0"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4"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FAMERangeDJ_BALA" localSheetId="4">#REF!</definedName>
    <definedName name="_10FAMERangeDJ_BALA">[2]Header!#REF!</definedName>
    <definedName name="_11__FDSAUDITLINK__" localSheetId="9"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0"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4"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0__FDSAUDITLINK__" localSheetId="9"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0"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4"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1__FDSAUDITLINK__" localSheetId="9"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0"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4"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2__FDSAUDITLINK__" localSheetId="9"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0"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4"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3__FDSAUDITLINK__" localSheetId="9"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0"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4"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4__FDSAUDITLINK__" localSheetId="9"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0"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4"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5__FDSAUDITLINK__" localSheetId="9"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0"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4"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6__FDSAUDITLINK__" localSheetId="9"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0"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4"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7__FDSAUDITLINK__" localSheetId="9"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0"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4"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8__FDSAUDITLINK__" localSheetId="9"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0"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4"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9__FDSAUDITLINK__" localSheetId="9"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0"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4"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FAMERangeDJ_BALA" localSheetId="4">#REF!</definedName>
    <definedName name="_11FAMERangeDJ_BALA">[2]Header!#REF!</definedName>
    <definedName name="_12__FDSAUDITLINK__" localSheetId="9"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0"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4"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0__FDSAUDITLINK__" localSheetId="9"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0"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4"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1__FDSAUDITLINK__" localSheetId="9"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0"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4"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2__FDSAUDITLINK__" localSheetId="9"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0"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4"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3__FDSAUDITLINK__" localSheetId="9"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0"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4"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4__FDSAUDITLINK__" localSheetId="9"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0"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4"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5__FDSAUDITLINK__" localSheetId="9"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0"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4"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6__FDSAUDITLINK__" localSheetId="9"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0"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4"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7__FDSAUDITLINK__" localSheetId="9"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0"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4"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8__FDSAUDITLINK__" localSheetId="9"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0"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4"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9__FDSAUDITLINK__" localSheetId="9"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0"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4"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FAMERangeDJ_BALA" localSheetId="4">#REF!</definedName>
    <definedName name="_12FAMERangeDJ_BALA">[2]Header!#REF!</definedName>
    <definedName name="_13__FDSAUDITLINK__" localSheetId="9"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0"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4"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0__FDSAUDITLINK__" localSheetId="9"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0"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4"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1__FDSAUDITLINK__" localSheetId="9"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0"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4"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2__FDSAUDITLINK__" localSheetId="9"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0"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4"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3__FDSAUDITLINK__" localSheetId="9"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0"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4"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4__FDSAUDITLINK__" localSheetId="9"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0"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4"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5__FDSAUDITLINK__" localSheetId="9"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0"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4"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6__FDSAUDITLINK__" localSheetId="9"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0"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4"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7__FDSAUDITLINK__" localSheetId="9"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0"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4"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8__FDSAUDITLINK__" localSheetId="9"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0"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4"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9__FDSAUDITLINK__" localSheetId="9"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0"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4"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FAMERangeGCI_BAL" localSheetId="4">#REF!</definedName>
    <definedName name="_13FAMERangeGCI_BAL">[2]Header!#REF!</definedName>
    <definedName name="_14__FDSAUDITLINK__" localSheetId="9"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0"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4"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0__FDSAUDITLINK__" localSheetId="9"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0"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4"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1__FDSAUDITLINK__" localSheetId="9"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0"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4"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2__FDSAUDITLINK__" localSheetId="9"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0"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4"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3__FDSAUDITLINK__" localSheetId="9"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0"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4"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4__FDSAUDITLINK__" localSheetId="9"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0"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4"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5__FDSAUDITLINK__" localSheetId="9"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0"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4"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6__FDSAUDITLINK__" localSheetId="9"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0"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4"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7__FDSAUDITLINK__" localSheetId="9"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0"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4"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8__FDSAUDITLINK__" localSheetId="9"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0"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4"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9__FDSAUDITLINK__" localSheetId="9"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0"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4"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Revenu" localSheetId="4">#REF!</definedName>
    <definedName name="_14Revenu">[2]Header!#REF!</definedName>
    <definedName name="_14RMconsu" localSheetId="4">#REF!</definedName>
    <definedName name="_14RMconsu">[11]Old!#REF!</definedName>
    <definedName name="_15__FDSAUDITLINK__" localSheetId="9"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0"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4"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0__FDSAUDITLINK__" localSheetId="9"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0"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4"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1__FDSAUDITLINK__" localSheetId="9"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0"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4"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2__FDSAUDITLINK__" localSheetId="9"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0"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4"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3__FDSAUDITLINK__" localSheetId="9"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0"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4"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4__FDSAUDITLINK__" localSheetId="9"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0"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4"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5__FDSAUDITLINK__" localSheetId="9"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0"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4"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6__FDSAUDITLINK__" localSheetId="9"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0"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4"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7__FDSAUDITLINK__" localSheetId="9"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0"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4"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8__FDSAUDITLINK__" localSheetId="9"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0"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4"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9__FDSAUDITLINK__" localSheetId="9"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0"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4"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UniqueRang" localSheetId="4">#REF!</definedName>
    <definedName name="_15UniqueRang">[2]Header!#REF!</definedName>
    <definedName name="_16__FDSAUDITLINK__" localSheetId="9"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0"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4"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0__FDSAUDITLINK__" localSheetId="9"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0"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4"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1__FDSAUDITLINK__" localSheetId="9"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0"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4"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2__FDSAUDITLINK__" localSheetId="9"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0"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4"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3__FDSAUDITLINK__" localSheetId="9"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0"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4"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4__FDSAUDITLINK__" localSheetId="9"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0"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4"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5__FDSAUDITLINK__" localSheetId="9"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0"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4"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6__FDSAUDITLINK__" localSheetId="9"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0"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4"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7__FDSAUDITLINK__" localSheetId="9"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0"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4"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8__FDSAUDITLINK__" localSheetId="9"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0"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4"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9__FDSAUDITLINK__" localSheetId="9"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0"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4"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7__FDSAUDITLINK__" localSheetId="9"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0"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4"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0__FDSAUDITLINK__" localSheetId="9"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0"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4"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1__FDSAUDITLINK__" localSheetId="9"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0"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4"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2__FDSAUDITLINK__" localSheetId="9"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0"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4"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3__FDSAUDITLINK__" localSheetId="9"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0"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4"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4__FDSAUDITLINK__" localSheetId="9"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0"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4"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5__FDSAUDITLINK__" localSheetId="9"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0"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4"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6__FDSAUDITLINK__" localSheetId="9"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0"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4"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7__FDSAUDITLINK__" localSheetId="9"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0"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4"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8__FDSAUDITLINK__" localSheetId="9"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0"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4"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9__FDSAUDITLINK__" localSheetId="9"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0"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4"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8__FDSAUDITLINK__" localSheetId="9"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0"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4"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0__FDSAUDITLINK__" localSheetId="9"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0"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4"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1__FDSAUDITLINK__" localSheetId="9"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0"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4"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2__FDSAUDITLINK__" localSheetId="9"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0"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4"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3__FDSAUDITLINK__" localSheetId="9"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0"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4"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4__FDSAUDITLINK__" localSheetId="9"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0"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4"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5__FDSAUDITLINK__" localSheetId="9"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0"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4"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6__FDSAUDITLINK__" localSheetId="9"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0"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4"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7__FDSAUDITLINK__" localSheetId="9"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0"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4"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8__FDSAUDITLINK__" localSheetId="9"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0"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4"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9__FDSAUDITLINK__" localSheetId="9"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0"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4"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9__FDSAUDITLINK__" localSheetId="9"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0"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4"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0__FDSAUDITLINK__" localSheetId="9"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0"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4"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1__FDSAUDITLINK__" localSheetId="9"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0"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4"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2__FDSAUDITLINK__" localSheetId="9"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0"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4"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3__FDSAUDITLINK__" localSheetId="9"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0"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4"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4__FDSAUDITLINK__" localSheetId="9"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0"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4"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5__FDSAUDITLINK__" localSheetId="9"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0"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4"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6__FDSAUDITLINK__" localSheetId="9"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0"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4"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7__FDSAUDITLINK__" localSheetId="9"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0"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4"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8__FDSAUDITLINK__" localSheetId="9"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0"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4"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9__FDSAUDITLINK__" localSheetId="9"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0"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4"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4">#REF!</definedName>
    <definedName name="_1995">#REF!</definedName>
    <definedName name="_1996">#REF!</definedName>
    <definedName name="_1997">#REF!</definedName>
    <definedName name="_1998">#REF!</definedName>
    <definedName name="_1999">#REF!</definedName>
    <definedName name="_1EBITDA_Sh" localSheetId="4">#REF!</definedName>
    <definedName name="_1EBITDA_Sh">[12]NOPAT_VDF!#REF!</definedName>
    <definedName name="_1Q94">#REF!</definedName>
    <definedName name="_1Q95">#REF!</definedName>
    <definedName name="_2__123Graph_XCHART_2" hidden="1">#REF!</definedName>
    <definedName name="_2__FDSAUDITLINK__" localSheetId="9"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0"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4"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0NOPAT_Sh" localSheetId="9">#REF!</definedName>
    <definedName name="_2_0NOPAT_Sh">#REF!</definedName>
    <definedName name="_20__FDSAUDITLINK__" localSheetId="9"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0"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4"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0__FDSAUDITLINK__" localSheetId="9"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0"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4"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1__FDSAUDITLINK__" localSheetId="9"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0"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4"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2__FDSAUDITLINK__" localSheetId="9"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0"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4"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3__FDSAUDITLINK__" localSheetId="9"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0"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4"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4__FDSAUDITLINK__" localSheetId="9"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0"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4"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5__FDSAUDITLINK__" localSheetId="9"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0"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4"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6__FDSAUDITLINK__" localSheetId="9"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0"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4"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7__FDSAUDITLINK__" localSheetId="9"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0"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4"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8__FDSAUDITLINK__" localSheetId="9"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0"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4"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9__FDSAUDITLINK__" localSheetId="9"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0"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4"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1__FDSAUDITLINK__" localSheetId="9"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0"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4"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0__FDSAUDITLINK__" localSheetId="9"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0"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4"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1__FDSAUDITLINK__" localSheetId="9"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0"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4"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2__FDSAUDITLINK__" localSheetId="9"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0"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4"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3__FDSAUDITLINK__" localSheetId="9"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0"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4"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4__FDSAUDITLINK__" localSheetId="9"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0"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4"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5__FDSAUDITLINK__" localSheetId="9"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0"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4"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6__FDSAUDITLINK__" localSheetId="9"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0"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4"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7__FDSAUDITLINK__" localSheetId="9"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0"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4"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8__FDSAUDITLINK__" localSheetId="9"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0"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4"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9__FDSAUDITLINK__" localSheetId="9"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0"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4"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2__FDSAUDITLINK__" localSheetId="9"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0"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4"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0__FDSAUDITLINK__" localSheetId="9"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0"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4"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1__FDSAUDITLINK__" localSheetId="9"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0"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4"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2__FDSAUDITLINK__" localSheetId="9"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0"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4"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3__FDSAUDITLINK__" localSheetId="9"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0"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4"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4__FDSAUDITLINK__" localSheetId="9"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0"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4"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5__FDSAUDITLINK__" localSheetId="9"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0"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4"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6__FDSAUDITLINK__" localSheetId="9"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0"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4"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7__FDSAUDITLINK__" localSheetId="9"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0"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4"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8__FDSAUDITLINK__" localSheetId="9"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0"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4"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9__FDSAUDITLINK__" localSheetId="9"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0"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4"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3__FDSAUDITLINK__" localSheetId="9"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0"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4"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0__FDSAUDITLINK__" localSheetId="9"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0"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4"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1__FDSAUDITLINK__" localSheetId="9"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0"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4"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2__FDSAUDITLINK__" localSheetId="9"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0"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4"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3__FDSAUDITLINK__" localSheetId="9"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0"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4"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4__FDSAUDITLINK__" localSheetId="9"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0"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4"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5__FDSAUDITLINK__" localSheetId="9"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0"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4"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6__FDSAUDITLINK__" localSheetId="9"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0"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4"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7__FDSAUDITLINK__" localSheetId="9"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0"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4"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8__FDSAUDITLINK__" localSheetId="9"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0"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4"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9__FDSAUDITLINK__" localSheetId="9"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0"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4"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4__FDSAUDITLINK__" localSheetId="9"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0"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4"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0__FDSAUDITLINK__" localSheetId="9"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0"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4"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1__FDSAUDITLINK__" localSheetId="9"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0"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4"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2__FDSAUDITLINK__" localSheetId="9"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0"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4"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3__FDSAUDITLINK__" localSheetId="9"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0"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4"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4__FDSAUDITLINK__" localSheetId="9"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0"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4"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5__FDSAUDITLINK__" localSheetId="9"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0"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4"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6__FDSAUDITLINK__" localSheetId="9"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0"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4"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7__FDSAUDITLINK__" localSheetId="9"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0"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4"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8__FDSAUDITLINK__" localSheetId="9"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0"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4"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9__FDSAUDITLINK__" localSheetId="9"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0"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4"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5__FDSAUDITLINK__" localSheetId="9"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0"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4"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0__FDSAUDITLINK__" localSheetId="9"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0"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4"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1__FDSAUDITLINK__" localSheetId="9"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0"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4"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2__FDSAUDITLINK__" localSheetId="9"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0"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4"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3__FDSAUDITLINK__" localSheetId="9"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0"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4"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4__FDSAUDITLINK__" localSheetId="9"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0"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4"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5__FDSAUDITLINK__" localSheetId="9"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0"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4"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6__FDSAUDITLINK__" localSheetId="9"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0"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4"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7__FDSAUDITLINK__" localSheetId="9"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0"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4"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8__FDSAUDITLINK__" localSheetId="9"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0"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4"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9__FDSAUDITLINK__" localSheetId="9"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0"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4"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6__FDSAUDITLINK__" localSheetId="9"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0"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4"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0__FDSAUDITLINK__" localSheetId="9"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0"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4"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1__FDSAUDITLINK__" localSheetId="9"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0"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4"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2__FDSAUDITLINK__" localSheetId="9"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0"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4"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3__FDSAUDITLINK__" localSheetId="9"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0"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4"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4__FDSAUDITLINK__" localSheetId="9"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0"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4"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5__FDSAUDITLINK__" localSheetId="9"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0"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4"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6__FDSAUDITLINK__" localSheetId="9"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0"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4"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7__FDSAUDITLINK__" localSheetId="9"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0"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4"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8__FDSAUDITLINK__" localSheetId="9"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0"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4"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9__FDSAUDITLINK__" localSheetId="9"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0"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4"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7__FDSAUDITLINK__" localSheetId="9"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0"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4"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0__FDSAUDITLINK__" localSheetId="9"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0"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4"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1__FDSAUDITLINK__" localSheetId="9"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0"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4"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2__FDSAUDITLINK__" localSheetId="9"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0"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4"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3__FDSAUDITLINK__" localSheetId="9"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0"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4"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4__FDSAUDITLINK__" localSheetId="9"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0"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4"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5__FDSAUDITLINK__" localSheetId="9"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0"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4"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6__FDSAUDITLINK__" localSheetId="9"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0"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4"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7__FDSAUDITLINK__" localSheetId="9"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0"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4"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8__FDSAUDITLINK__" localSheetId="9"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0"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4"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9__FDSAUDITLINK__" localSheetId="9"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0"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4"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8__FDSAUDITLINK__" localSheetId="9"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0"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4"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0__FDSAUDITLINK__" localSheetId="9"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0"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4"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1__FDSAUDITLINK__" localSheetId="9"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0"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4"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2__FDSAUDITLINK__" localSheetId="9"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0"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4"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3__FDSAUDITLINK__" localSheetId="9"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0"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4"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4__FDSAUDITLINK__" localSheetId="9"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0"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4"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5__FDSAUDITLINK__" localSheetId="9"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0"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4"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6__FDSAUDITLINK__" localSheetId="9"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0"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4"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7__FDSAUDITLINK__" localSheetId="9"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0"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4"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8__FDSAUDITLINK__" localSheetId="9"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0"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4"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9__FDSAUDITLINK__" localSheetId="9"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0"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4"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9__FDSAUDITLINK__" localSheetId="9"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0"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4"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0__FDSAUDITLINK__" localSheetId="9"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0"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4"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NOPAT_Sh" localSheetId="4">#REF!</definedName>
    <definedName name="_2NOPAT_Sh">[12]NOPAT_VDF!#REF!</definedName>
    <definedName name="_2Q94">#REF!</definedName>
    <definedName name="_2Q95">#REF!</definedName>
    <definedName name="_2RMconsu" localSheetId="9">#REF!</definedName>
    <definedName name="_2RMconsu">#REF!</definedName>
    <definedName name="_3_.__Gross_inc_gro" localSheetId="4">#REF!</definedName>
    <definedName name="_3_.__Gross_inc_gro">[12]NOPAT_VDF!#REF!</definedName>
    <definedName name="_3_._0Gross_inc_gro">#REF!</definedName>
    <definedName name="_3_._0Restructuring_char" localSheetId="9">#REF!</definedName>
    <definedName name="_3_._0Restructuring_char">#REF!</definedName>
    <definedName name="_3__FDSAUDITLINK__" localSheetId="9"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0"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4"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0__FDSAUDITLINK__" localSheetId="9"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0"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4"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1__FDSAUDITLINK__" localSheetId="9"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0"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4"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hidden="1">{"fdsup://Directions/FactSet Auditing Viewer?action=AUDIT_VALUE&amp;DB=129&amp;ID1=B10SSR&amp;VALUEID=01001&amp;SDATE=2008&amp;PERIODTYPE=ANN_STD&amp;window=popup_no_bar&amp;width=385&amp;height=120&amp;START_MAXIMIZED=FALSE&amp;creator=factset&amp;display_string=Audit"}</definedName>
    <definedName name="_32__FDSAUDITLINK__" localSheetId="9"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0"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4"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hidden="1">{"fdsup://Directions/FactSet Auditing Viewer?action=AUDIT_VALUE&amp;DB=129&amp;ID1=B1VJSG&amp;VALUEID=01001&amp;SDATE=2008&amp;PERIODTYPE=ANN_STD&amp;window=popup_no_bar&amp;width=385&amp;height=120&amp;START_MAXIMIZED=FALSE&amp;creator=factset&amp;display_string=Audit"}</definedName>
    <definedName name="_33__FDSAUDITLINK__" localSheetId="9"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0"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4"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hidden="1">{"fdsup://Directions/FactSet Auditing Viewer?action=AUDIT_VALUE&amp;DB=129&amp;ID1=B10SSP&amp;VALUEID=01001&amp;SDATE=2008&amp;PERIODTYPE=ANN_STD&amp;window=popup_no_bar&amp;width=385&amp;height=120&amp;START_MAXIMIZED=FALSE&amp;creator=factset&amp;display_string=Audit"}</definedName>
    <definedName name="_34__FDSAUDITLINK__" localSheetId="9"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0"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4"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hidden="1">{"fdsup://Directions/FactSet Auditing Viewer?action=AUDIT_VALUE&amp;DB=129&amp;ID1=B0DX8R&amp;VALUEID=01001&amp;SDATE=2008&amp;PERIODTYPE=ANN_STD&amp;window=popup_no_bar&amp;width=385&amp;height=120&amp;START_MAXIMIZED=FALSE&amp;creator=factset&amp;display_string=Audit"}</definedName>
    <definedName name="_35__FDSAUDITLINK__" localSheetId="9"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0"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4"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hidden="1">{"fdsup://Directions/FactSet Auditing Viewer?action=AUDIT_VALUE&amp;DB=129&amp;ID1=B29NPH&amp;VALUEID=01001&amp;SDATE=2008&amp;PERIODTYPE=ANN_STD&amp;window=popup_no_bar&amp;width=385&amp;height=120&amp;START_MAXIMIZED=FALSE&amp;creator=factset&amp;display_string=Audit"}</definedName>
    <definedName name="_36__FDSAUDITLINK__" localSheetId="9"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0"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4"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hidden="1">{"fdsup://Directions/FactSet Auditing Viewer?action=AUDIT_VALUE&amp;DB=129&amp;ID1=612952&amp;VALUEID=01001&amp;SDATE=2008&amp;PERIODTYPE=ANN_STD&amp;window=popup_no_bar&amp;width=385&amp;height=120&amp;START_MAXIMIZED=FALSE&amp;creator=factset&amp;display_string=Audit"}</definedName>
    <definedName name="_37__FDSAUDITLINK__" localSheetId="9"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0"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4"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hidden="1">{"fdsup://Directions/FactSet Auditing Viewer?action=AUDIT_VALUE&amp;DB=129&amp;ID1=613989&amp;VALUEID=01001&amp;SDATE=2007&amp;PERIODTYPE=ANN_STD&amp;window=popup_no_bar&amp;width=385&amp;height=120&amp;START_MAXIMIZED=FALSE&amp;creator=factset&amp;display_string=Audit"}</definedName>
    <definedName name="_38__FDSAUDITLINK__" localSheetId="9"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0"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4"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hidden="1">{"fdsup://Directions/FactSet Auditing Viewer?action=AUDIT_VALUE&amp;DB=129&amp;ID1=609986&amp;VALUEID=01001&amp;SDATE=2007&amp;PERIODTYPE=ANN_STD&amp;window=popup_no_bar&amp;width=385&amp;height=120&amp;START_MAXIMIZED=FALSE&amp;creator=factset&amp;display_string=Audit"}</definedName>
    <definedName name="_39__FDSAUDITLINK__" localSheetId="9"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0"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4"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hidden="1">{"fdsup://Directions/FactSet Auditing Viewer?action=AUDIT_VALUE&amp;DB=129&amp;ID1=B0388F&amp;VALUEID=01001&amp;SDATE=2007&amp;PERIODTYPE=ANN_STD&amp;window=popup_no_bar&amp;width=385&amp;height=120&amp;START_MAXIMIZED=FALSE&amp;creator=factset&amp;display_string=Audit"}</definedName>
    <definedName name="_3Q94">#REF!</definedName>
    <definedName name="_3Q95">#REF!</definedName>
    <definedName name="_4_" localSheetId="4">#REF!</definedName>
    <definedName name="_4_">[11]Sheet2!#REF!</definedName>
    <definedName name="_4_.__Restructuring_char" localSheetId="4">#REF!</definedName>
    <definedName name="_4_.__Restructuring_char">'[12]Invested capital_VDF'!#REF!</definedName>
    <definedName name="_4_._0Restructuring_char" localSheetId="4">#REF!</definedName>
    <definedName name="_4_._0Restructuring_char">'[13]1Q98'!#REF!</definedName>
    <definedName name="_4_._0SGA_gro">#REF!</definedName>
    <definedName name="_4__FDSAUDITLINK__" localSheetId="9"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0"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4"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0__FDSAUDITLINK__" localSheetId="9"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0"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4"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hidden="1">{"fdsup://Directions/FactSet Auditing Viewer?action=AUDIT_VALUE&amp;DB=129&amp;ID1=B13D25&amp;VALUEID=01001&amp;SDATE=2007&amp;PERIODTYPE=ANN_STD&amp;window=popup_no_bar&amp;width=385&amp;height=120&amp;START_MAXIMIZED=FALSE&amp;creator=factset&amp;display_string=Audit"}</definedName>
    <definedName name="_41__FDSAUDITLINK__" localSheetId="9"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0"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4"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hidden="1">{"fdsup://Directions/FactSet Auditing Viewer?action=AUDIT_VALUE&amp;DB=129&amp;ID1=B02N26&amp;VALUEID=01001&amp;SDATE=2007&amp;PERIODTYPE=ANN_STD&amp;window=popup_no_bar&amp;width=385&amp;height=120&amp;START_MAXIMIZED=FALSE&amp;creator=factset&amp;display_string=Audit"}</definedName>
    <definedName name="_42__FDSAUDITLINK__" localSheetId="9"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0"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4"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hidden="1">{"fdsup://Directions/FactSet Auditing Viewer?action=AUDIT_VALUE&amp;DB=129&amp;ID1=B0YJJ2&amp;VALUEID=01001&amp;SDATE=2007&amp;PERIODTYPE=ANN_STD&amp;window=popup_no_bar&amp;width=385&amp;height=120&amp;START_MAXIMIZED=FALSE&amp;creator=factset&amp;display_string=Audit"}</definedName>
    <definedName name="_43__FDSAUDITLINK__" localSheetId="9"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0"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4"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hidden="1">{"fdsup://Directions/FactSet Auditing Viewer?action=AUDIT_VALUE&amp;DB=129&amp;ID1=B18P3B&amp;VALUEID=01001&amp;SDATE=2007&amp;PERIODTYPE=ANN_STD&amp;window=popup_no_bar&amp;width=385&amp;height=120&amp;START_MAXIMIZED=FALSE&amp;creator=factset&amp;display_string=Audit"}</definedName>
    <definedName name="_44__FDSAUDITLINK__" localSheetId="9"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0"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4"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hidden="1">{"fdsup://Directions/FactSet Auditing Viewer?action=AUDIT_VALUE&amp;DB=129&amp;ID1=610098&amp;VALUEID=01001&amp;SDATE=2007&amp;PERIODTYPE=ANN_STD&amp;window=popup_no_bar&amp;width=385&amp;height=120&amp;START_MAXIMIZED=FALSE&amp;creator=factset&amp;display_string=Audit"}</definedName>
    <definedName name="_45__FDSAUDITLINK__" localSheetId="9"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0"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4"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hidden="1">{"fdsup://Directions/FactSet Auditing Viewer?action=AUDIT_VALUE&amp;DB=129&amp;ID1=B0XXJX&amp;VALUEID=01001&amp;SDATE=2007&amp;PERIODTYPE=ANN_STD&amp;window=popup_no_bar&amp;width=385&amp;height=120&amp;START_MAXIMIZED=FALSE&amp;creator=factset&amp;display_string=Audit"}</definedName>
    <definedName name="_46__FDSAUDITLINK__" localSheetId="9"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0"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4"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hidden="1">{"fdsup://Directions/FactSet Auditing Viewer?action=AUDIT_VALUE&amp;DB=129&amp;ID1=B2NXWC&amp;VALUEID=01001&amp;SDATE=2007&amp;PERIODTYPE=ANN_STD&amp;window=popup_no_bar&amp;width=385&amp;height=120&amp;START_MAXIMIZED=FALSE&amp;creator=factset&amp;display_string=Audit"}</definedName>
    <definedName name="_47__FDSAUDITLINK__" localSheetId="9"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0"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4"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hidden="1">{"fdsup://Directions/FactSet Auditing Viewer?action=AUDIT_VALUE&amp;DB=129&amp;ID1=B28XXH&amp;VALUEID=01001&amp;SDATE=2007&amp;PERIODTYPE=ANN_STD&amp;window=popup_no_bar&amp;width=385&amp;height=120&amp;START_MAXIMIZED=FALSE&amp;creator=factset&amp;display_string=Audit"}</definedName>
    <definedName name="_48__FDSAUDITLINK__" localSheetId="9"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0"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4"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hidden="1">{"fdsup://Directions/FactSet Auditing Viewer?action=AUDIT_VALUE&amp;DB=129&amp;ID1=B236TJ&amp;VALUEID=01001&amp;SDATE=2007&amp;PERIODTYPE=ANN_STD&amp;window=popup_no_bar&amp;width=385&amp;height=120&amp;START_MAXIMIZED=FALSE&amp;creator=factset&amp;display_string=Audit"}</definedName>
    <definedName name="_49__FDSAUDITLINK__" localSheetId="9"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0"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4"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hidden="1">{"fdsup://Directions/FactSet Auditing Viewer?action=AUDIT_VALUE&amp;DB=129&amp;ID1=B0FXGP&amp;VALUEID=01001&amp;SDATE=2007&amp;PERIODTYPE=ANN_STD&amp;window=popup_no_bar&amp;width=385&amp;height=120&amp;START_MAXIMIZED=FALSE&amp;creator=factset&amp;display_string=Audit"}</definedName>
    <definedName name="_4Q94">#REF!</definedName>
    <definedName name="_4Q95">#REF!</definedName>
    <definedName name="_5_.__SGA_gro" localSheetId="4">#REF!</definedName>
    <definedName name="_5_.__SGA_gro">[12]NOPAT_VDF!#REF!</definedName>
    <definedName name="_5_._0SGA_gro">#REF!</definedName>
    <definedName name="_5_._0Shares_repurchase_liabil">#REF!</definedName>
    <definedName name="_5__FDSAUDITLINK__" localSheetId="9"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0"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4"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0__FDSAUDITLINK__" localSheetId="9"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0"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4"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hidden="1">{"fdsup://Directions/FactSet Auditing Viewer?action=AUDIT_VALUE&amp;DB=129&amp;ID1=B10SSR&amp;VALUEID=01001&amp;SDATE=2007&amp;PERIODTYPE=ANN_STD&amp;window=popup_no_bar&amp;width=385&amp;height=120&amp;START_MAXIMIZED=FALSE&amp;creator=factset&amp;display_string=Audit"}</definedName>
    <definedName name="_51__FDSAUDITLINK__" localSheetId="9"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0"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4"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hidden="1">{"fdsup://Directions/FactSet Auditing Viewer?action=AUDIT_VALUE&amp;DB=129&amp;ID1=B1VJSG&amp;VALUEID=01001&amp;SDATE=2007&amp;PERIODTYPE=ANN_STD&amp;window=popup_no_bar&amp;width=385&amp;height=120&amp;START_MAXIMIZED=FALSE&amp;creator=factset&amp;display_string=Audit"}</definedName>
    <definedName name="_52__FDSAUDITLINK__" localSheetId="9"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0"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4"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hidden="1">{"fdsup://Directions/FactSet Auditing Viewer?action=AUDIT_VALUE&amp;DB=129&amp;ID1=B10SSP&amp;VALUEID=01001&amp;SDATE=2007&amp;PERIODTYPE=ANN_STD&amp;window=popup_no_bar&amp;width=385&amp;height=120&amp;START_MAXIMIZED=FALSE&amp;creator=factset&amp;display_string=Audit"}</definedName>
    <definedName name="_53__FDSAUDITLINK__" localSheetId="9"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0"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4"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hidden="1">{"fdsup://Directions/FactSet Auditing Viewer?action=AUDIT_VALUE&amp;DB=129&amp;ID1=B1FCQX&amp;VALUEID=01001&amp;SDATE=2007&amp;PERIODTYPE=ANN_STD&amp;window=popup_no_bar&amp;width=385&amp;height=120&amp;START_MAXIMIZED=FALSE&amp;creator=factset&amp;display_string=Audit"}</definedName>
    <definedName name="_54__FDSAUDITLINK__" localSheetId="9"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0"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4"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hidden="1">{"fdsup://Directions/FactSet Auditing Viewer?action=AUDIT_VALUE&amp;DB=129&amp;ID1=B29NPH&amp;VALUEID=01001&amp;SDATE=2007&amp;PERIODTYPE=ANN_STD&amp;window=popup_no_bar&amp;width=385&amp;height=120&amp;START_MAXIMIZED=FALSE&amp;creator=factset&amp;display_string=Audit"}</definedName>
    <definedName name="_55__FDSAUDITLINK__" localSheetId="9"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0"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4"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hidden="1">{"fdsup://Directions/FactSet Auditing Viewer?action=AUDIT_VALUE&amp;DB=129&amp;ID1=612952&amp;VALUEID=01001&amp;SDATE=2007&amp;PERIODTYPE=ANN_STD&amp;window=popup_no_bar&amp;width=385&amp;height=120&amp;START_MAXIMIZED=FALSE&amp;creator=factset&amp;display_string=Audit"}</definedName>
    <definedName name="_56__FDSAUDITLINK__" localSheetId="9"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0"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4"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hidden="1">{"fdsup://Directions/FactSet Auditing Viewer?action=AUDIT_VALUE&amp;DB=129&amp;ID1=B1FDHG&amp;VALUEID=01001&amp;SDATE=2008&amp;PERIODTYPE=ANN_STD&amp;window=popup_no_bar&amp;width=385&amp;height=120&amp;START_MAXIMIZED=FALSE&amp;creator=factset&amp;display_string=Audit"}</definedName>
    <definedName name="_57__FDSAUDITLINK__" localSheetId="9"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0"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4"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hidden="1">{"fdsup://Directions/FactSet Auditing Viewer?action=AUDIT_VALUE&amp;DB=129&amp;ID1=B1FDHG&amp;VALUEID=01001&amp;SDATE=2007&amp;PERIODTYPE=ANN_STD&amp;window=popup_no_bar&amp;width=385&amp;height=120&amp;START_MAXIMIZED=FALSE&amp;creator=factset&amp;display_string=Audit"}</definedName>
    <definedName name="_58__FDSAUDITLINK__" localSheetId="9"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0"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4"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9__FDSAUDITLINK__" localSheetId="9"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0"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4"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6_.__Shares_repurchase_liabil" localSheetId="4">#REF!</definedName>
    <definedName name="_6_.__Shares_repurchase_liabil">'[12]Invested capital_VDF'!#REF!</definedName>
    <definedName name="_6_._0Shares_repurchase_liabil" localSheetId="4">#REF!</definedName>
    <definedName name="_6_._0Shares_repurchase_liabil">'[13]1Q98'!#REF!</definedName>
    <definedName name="_6__FDSAUDITLINK__" localSheetId="9"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0"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4"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3_0Other_Segment_Reven" localSheetId="9">#REF!</definedName>
    <definedName name="_6_3_0Other_Segment_Reven">#REF!</definedName>
    <definedName name="_60__FDSAUDITLINK__" localSheetId="9"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0"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4"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1__FDSAUDITLINK__" localSheetId="9"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0"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4"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2__FDSAUDITLINK__" localSheetId="9"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0"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4"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3__FDSAUDITLINK__" localSheetId="9"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0"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4"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4__FDSAUDITLINK__" localSheetId="9"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0"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4"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5__FDSAUDITLINK__" localSheetId="9"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0"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4"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6__FDSAUDITLINK__" localSheetId="9"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0"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4"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7__FDSAUDITLINK__" localSheetId="9"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0"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4"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8__FDSAUDITLINK__" localSheetId="9"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0"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4"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9__FDSAUDITLINK__" localSheetId="9"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0"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4"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7__FDSAUDITLINK__" localSheetId="9"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0"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4"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3__Income_before_ta" localSheetId="4">#REF!</definedName>
    <definedName name="_7_3__Income_before_ta">[12]NOPAT_VDF!#REF!</definedName>
    <definedName name="_7_3_0Income_before_ta">#REF!</definedName>
    <definedName name="_70__FDSAUDITLINK__" localSheetId="9"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0"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4"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1__FDSAUDITLINK__" localSheetId="9"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0"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4"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2__FDSAUDITLINK__" localSheetId="9"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0"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4"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3__FDSAUDITLINK__" localSheetId="9"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0"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4"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4__FDSAUDITLINK__" localSheetId="9"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0"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4"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5__FDSAUDITLINK__" localSheetId="9"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0"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4"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6__FDSAUDITLINK__" localSheetId="9"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0"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4"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7__FDSAUDITLINK__" localSheetId="9"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0"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4"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8__FDSAUDITLINK__" localSheetId="9"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0"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4"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9__FDSAUDITLINK__" localSheetId="9"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0"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4"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8__FDSAUDITLINK__" localSheetId="9"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0"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4"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0RMconsu" localSheetId="4">#REF!</definedName>
    <definedName name="_8_0RMconsu">[14]Old!#REF!</definedName>
    <definedName name="_8_3__Increase_in_other_liabilit" localSheetId="4">#REF!</definedName>
    <definedName name="_8_3__Increase_in_other_liabilit">[12]NOPAT_VDF!#REF!</definedName>
    <definedName name="_8_3_0Increase_in_other_liabilit">#REF!</definedName>
    <definedName name="_80__FDSAUDITLINK__" localSheetId="9"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0"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4"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1__FDSAUDITLINK__" localSheetId="9"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0"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4"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2__FDSAUDITLINK__" localSheetId="9"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0"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4"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3__FDSAUDITLINK__" localSheetId="9"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0"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4"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4__FDSAUDITLINK__" localSheetId="9"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0"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4"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5__FDSAUDITLINK__" localSheetId="9"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0"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4"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6__FDSAUDITLINK__" localSheetId="9"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0"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4"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7__FDSAUDITLINK__" localSheetId="9"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0"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4"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8__FDSAUDITLINK__" localSheetId="9"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0"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4"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9__FDSAUDITLINK__" localSheetId="9"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0"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4"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9__FDSAUDITLINK__" localSheetId="9"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0"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4"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3__Other_Segment_Reven" localSheetId="4">#REF!</definedName>
    <definedName name="_9_3__Other_Segment_Reven">[12]NOPAT_VDF!#REF!</definedName>
    <definedName name="_9_3_0Other_Segment_Reven">#REF!</definedName>
    <definedName name="_90__FDSAUDITLINK__" localSheetId="9"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0"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4"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1__FDSAUDITLINK__" localSheetId="9"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0"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4"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2__FDSAUDITLINK__" localSheetId="9"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0"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4"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3__FDSAUDITLINK__" localSheetId="9"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0"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4"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4__FDSAUDITLINK__" localSheetId="9"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0"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4"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5__FDSAUDITLINK__" localSheetId="9"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0"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4"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6__FDSAUDITLINK__" localSheetId="9"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0"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4"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7__FDSAUDITLINK__" localSheetId="9"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0"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4"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8__FDSAUDITLINK__" localSheetId="9"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0"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4"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9__FDSAUDITLINK__" localSheetId="9"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0"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4"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lt2">#REF!</definedName>
    <definedName name="_bmi1">#REF!</definedName>
    <definedName name="_bnd1">#REF!</definedName>
    <definedName name="_bnf1">#REF!</definedName>
    <definedName name="_boc1">#REF!</definedName>
    <definedName name="_bol1">#REF!</definedName>
    <definedName name="_bor1">#REF!</definedName>
    <definedName name="_bot1">#REF!</definedName>
    <definedName name="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p1">#REF!</definedName>
    <definedName name="_bpu1">#REF!</definedName>
    <definedName name="_bs2" localSheetId="4">#REF!</definedName>
    <definedName name="_bs2">[15]Fin!$A$98</definedName>
    <definedName name="_C__CP_BREAKDOWN_ITEMS">"c_PUB_DRIVER:B1,B2,B3,B4"</definedName>
    <definedName name="_C__CP_BREAKDOWN_NAMES">"c_PUB_DRIVER:Number of listings,% of paid campaigns,Revenue per campaign,EBITDA margin"</definedName>
    <definedName name="_C__CP_EXPANDED_ITEMS">"PROP|cp_3135373"</definedName>
    <definedName name="_C_B_CAP_WORKING_PD">"_C_B_CAP_WORKING_PS_7_2010_2019"</definedName>
    <definedName name="_C_BALANCE_DATE_PD">"_C_BALANCE_DATE_PS_7_2010_2019"</definedName>
    <definedName name="_C_c_ANAV_PS_PD">"_C_c_ANAV_PS_PS_7_2010_2019"</definedName>
    <definedName name="_C_c_AVG_CS_ROA_EBIT_PD">"_C_c_AVG_CS_ROA_EBIT_PS_7_2010_2019"</definedName>
    <definedName name="_C_c_AVG_CS_ROA_PD">"_C_c_AVG_CS_ROA_PS_7_2010_2019"</definedName>
    <definedName name="_C_c_AVG_CS_ROE_PD">"_C_c_AVG_CS_ROE_PS_7_2010_2019"</definedName>
    <definedName name="_C_c_AVG_CS_ROTE_INT_PD">"_C_c_AVG_CS_ROTE_INT_PS_7_2010_2019"</definedName>
    <definedName name="_C_c_AVG_STATED_ROA_PD">"_C_c_AVG_STATED_ROA_PS_7_2010_2019"</definedName>
    <definedName name="_C_c_AVG_STATED_ROE_PD">"_C_c_AVG_STATED_ROE_PS_7_2010_2019"</definedName>
    <definedName name="_C_c_B_AVG_TANGIBLE_EQ_PD">"_C_c_B_AVG_TANGIBLE_EQ_PS_7_2010_2019"</definedName>
    <definedName name="_C_c_B_BRAND_PD">"_C_c_B_BRAND_PS_7_2010_2019"</definedName>
    <definedName name="_C_c_B_BV_GW_PD">"_C_c_B_BV_GW_PS_7_2010_2019"</definedName>
    <definedName name="_C_c_B_CA_BAD_DEBT_PROV_PD">"_C_c_B_CA_BAD_DEBT_PROV_PS_7_2010_2019"</definedName>
    <definedName name="_C_c_B_CA_CON_CR_FA_PD">"_C_c_B_CA_CON_CR_FA_PS_7_2010_2019"</definedName>
    <definedName name="_C_c_B_CA_DEFCOST_PD">"_C_c_B_CA_DEFCOST_PS_7_2010_2019"</definedName>
    <definedName name="_C_c_B_CA_INV_PD">"_C_c_B_CA_INV_PS_7_2010_2019"</definedName>
    <definedName name="_C_c_B_CA_INVEST_PD">"_C_c_B_CA_INVEST_PS_7_2010_2019"</definedName>
    <definedName name="_C_c_B_CA_OTH_REC_PD">"_C_c_B_CA_OTH_REC_PS_7_2010_2019"</definedName>
    <definedName name="_C_c_B_CA_OTHER_PD">"_C_c_B_CA_OTHER_PS_7_2010_2019"</definedName>
    <definedName name="_C_c_B_CA_PREPAY_PD">"_C_c_B_CA_PREPAY_PS_7_2010_2019"</definedName>
    <definedName name="_C_c_B_CA_REC_PD">"_C_c_B_CA_REC_PS_7_2010_2019"</definedName>
    <definedName name="_C_c_B_CA_TRADE_REC_PD">"_C_c_B_CA_TRADE_REC_PS_7_2010_2019"</definedName>
    <definedName name="_C_c_B_CAP_EXP_PD">"_C_c_B_CAP_EXP_PS_7_2010_2019"</definedName>
    <definedName name="_C_c_B_CASH_OPER_PD">"_C_c_B_CASH_OPER_PS_7_2010_2019"</definedName>
    <definedName name="_C_c_B_CASH_PD">"_C_c_B_CASH_PS_7_2010_2019"</definedName>
    <definedName name="_C_c_B_CL_ACCREXP_PD">"_C_c_B_CL_ACCREXP_PS_7_2010_2019"</definedName>
    <definedName name="_C_c_B_CL_CON_CR_REFIN_PD">"_C_c_B_CL_CON_CR_REFIN_PS_7_2010_2019"</definedName>
    <definedName name="_C_c_B_CL_CUSTADV_PD">"_C_c_B_CL_CUSTADV_PS_7_2010_2019"</definedName>
    <definedName name="_C_c_B_CL_DEF_REV_PD">"_C_c_B_CL_DEF_REV_PS_7_2010_2019"</definedName>
    <definedName name="_C_c_B_CL_DIV_PROV_PD">"_C_c_B_CL_DIV_PROV_PS_7_2010_2019"</definedName>
    <definedName name="_C_c_B_CL_EMP_PROV_PD">"_C_c_B_CL_EMP_PROV_PS_7_2010_2019"</definedName>
    <definedName name="_C_c_B_CL_LEASE_PD">"_C_c_B_CL_LEASE_PS_7_2010_2019"</definedName>
    <definedName name="_C_c_B_CL_OTH_PROV_PD">"_C_c_B_CL_OTH_PROV_PS_7_2010_2019"</definedName>
    <definedName name="_C_c_B_CL_PROV_PD">"_C_c_B_CL_PROV_PS_7_2010_2019"</definedName>
    <definedName name="_C_c_B_CL_RESTR_PROV_PD">"_C_c_B_CL_RESTR_PROV_PS_7_2010_2019"</definedName>
    <definedName name="_C_c_B_CL_TAX_PROV_PD">"_C_c_B_CL_TAX_PROV_PS_7_2010_2019"</definedName>
    <definedName name="_C_c_B_CURR_ASS_PD">"_C_c_B_CURR_ASS_PS_7_2010_2019"</definedName>
    <definedName name="_C_c_B_CURR_BORROW_PD">"_C_c_B_CURR_BORROW_PS_7_2010_2019"</definedName>
    <definedName name="_C_c_B_CURR_CRED_PD">"_C_c_B_CURR_CRED_PS_7_2010_2019"</definedName>
    <definedName name="_C_c_B_CURR_DEBT_PD">"_C_c_B_CURR_DEBT_PS_7_2010_2019"</definedName>
    <definedName name="_C_c_B_CURR_LIAB_PD">"_C_c_B_CURR_LIAB_PS_7_2010_2019"</definedName>
    <definedName name="_C_c_B_DERIV_PD">"_C_c_B_DERIV_PS_7_2010_2019"</definedName>
    <definedName name="_C_c_B_DERIVLIAB_PD">"_C_c_B_DERIVLIAB_PS_7_2010_2019"</definedName>
    <definedName name="_C_c_B_EV_ADJASSOC_PD">"_C_c_B_EV_ADJASSOC_PS_7_2010_2019"</definedName>
    <definedName name="_C_c_B_EV_ADJINV_PD">"_C_c_B_EV_ADJINV_PS_7_2010_2019"</definedName>
    <definedName name="_C_c_B_EV_ADJLEAS_PD">"_C_c_B_EV_ADJLEAS_PS_7_2010_2019"</definedName>
    <definedName name="_C_c_B_EV_ADJMINOR_PD">"_C_c_B_EV_ADJMINOR_PS_7_2010_2019"</definedName>
    <definedName name="_C_c_B_EV_ADJMLP_PD">"_C_c_B_EV_ADJMLP_PS_7_2010_2019"</definedName>
    <definedName name="_C_c_B_EV_ADJNONC_PD">"_C_c_B_EV_ADJNONC_PS_7_2010_2019"</definedName>
    <definedName name="_C_c_B_EV_ADJOBLIG_PD">"_C_c_B_EV_ADJOBLIG_PS_7_2010_2019"</definedName>
    <definedName name="_C_c_B_EV_ADJPENS_PD">"_C_c_B_EV_ADJPENS_PS_7_2010_2019"</definedName>
    <definedName name="_C_c_B_EV_ADJUST_PD">"_C_c_B_EV_ADJUST_PS_7_2010_2019"</definedName>
    <definedName name="_C_c_B_FUT_TAX_PD">"_C_c_B_FUT_TAX_PS_7_2010_2019"</definedName>
    <definedName name="_C_c_B_GW_AMORT_PD">"_C_c_B_GW_AMORT_PS_7_2010_2019"</definedName>
    <definedName name="_C_c_B_GW_PD">"_C_c_B_GW_PS_7_2010_2019"</definedName>
    <definedName name="_C_c_B_INTANG_PD">"_C_c_B_INTANG_PS_7_2010_2019"</definedName>
    <definedName name="_C_c_B_NCA_AGRIC_PD">"_C_c_B_NCA_AGRIC_PS_7_2010_2019"</definedName>
    <definedName name="_C_c_B_NCA_ASSOC_PD">"_C_c_B_NCA_ASSOC_PS_7_2010_2019"</definedName>
    <definedName name="_C_c_B_NCA_CWIP_PD">"_C_c_B_NCA_CWIP_PS_7_2010_2019"</definedName>
    <definedName name="_C_c_B_NCA_DERIV_PD">"_C_c_B_NCA_DERIV_PS_7_2010_2019"</definedName>
    <definedName name="_C_c_B_NCA_INV_PD">"_C_c_B_NCA_INV_PS_7_2010_2019"</definedName>
    <definedName name="_C_c_B_NCA_INVEST_PD">"_C_c_B_NCA_INVEST_PS_7_2010_2019"</definedName>
    <definedName name="_C_c_B_NCA_OTHINV_PD">"_C_c_B_NCA_OTHINV_PS_7_2010_2019"</definedName>
    <definedName name="_C_c_B_NCA_REC_PD">"_C_c_B_NCA_REC_PS_7_2010_2019"</definedName>
    <definedName name="_C_c_B_NCL_BONDS_PD">"_C_c_B_NCL_BONDS_PS_7_2010_2019"</definedName>
    <definedName name="_C_c_B_NCL_BORROW_PD">"_C_c_B_NCL_BORROW_PS_7_2010_2019"</definedName>
    <definedName name="_C_c_B_NCL_CONV_DEBT_PD">"_C_c_B_NCL_CONV_DEBT_PS_7_2010_2019"</definedName>
    <definedName name="_C_c_B_NCL_CRED_PD">"_C_c_B_NCL_CRED_PS_7_2010_2019"</definedName>
    <definedName name="_C_c_B_NCL_DERIV_PD">"_C_c_B_NCL_DERIV_PS_7_2010_2019"</definedName>
    <definedName name="_C_c_B_NCL_EMP_PROV_PD">"_C_c_B_NCL_EMP_PROV_PS_7_2010_2019"</definedName>
    <definedName name="_C_c_B_NCL_LEASES_PD">"_C_c_B_NCL_LEASES_PS_7_2010_2019"</definedName>
    <definedName name="_C_c_B_NCL_OTH_PROV_PD">"_C_c_B_NCL_OTH_PROV_PS_7_2010_2019"</definedName>
    <definedName name="_C_c_B_NCL_PROV_PD">"_C_c_B_NCL_PROV_PS_7_2010_2019"</definedName>
    <definedName name="_C_c_B_NCL_RESTR_PROV_PD">"_C_c_B_NCL_RESTR_PROV_PS_7_2010_2019"</definedName>
    <definedName name="_C_c_B_NCL_TAX_PROV_PD">"_C_c_B_NCL_TAX_PROV_PS_7_2010_2019"</definedName>
    <definedName name="_C_c_B_NON_CURR_ASS_PD">"_C_c_B_NON_CURR_ASS_PS_7_2010_2019"</definedName>
    <definedName name="_C_c_B_NON_CURR_LIAB_PD">"_C_c_B_NON_CURR_LIAB_PS_7_2010_2019"</definedName>
    <definedName name="_C_c_B_OBSF_PV_PD">"_C_c_B_OBSF_PV_PS_7_2010_2019"</definedName>
    <definedName name="_C_c_B_OTH_INT_PD">"_C_c_B_OTH_INT_PS_7_2010_2019"</definedName>
    <definedName name="_C_c_B_OTH_NCA_PD">"_C_c_B_OTH_NCA_PS_7_2010_2019"</definedName>
    <definedName name="_C_c_B_OTHER_CL_PD">"_C_c_B_OTHER_CL_PS_7_2010_2019"</definedName>
    <definedName name="_C_c_B_OTHER_CRED_PD">"_C_c_B_OTHER_CRED_PS_7_2010_2019"</definedName>
    <definedName name="_C_c_B_OTHER_NCL_PD">"_C_c_B_OTHER_NCL_PS_7_2010_2019"</definedName>
    <definedName name="_C_c_B_PPE_ACC_DEPR_PD">"_C_c_B_PPE_ACC_DEPR_PS_7_2010_2019"</definedName>
    <definedName name="_C_c_B_PPE_BOOK_VAL_PD">"_C_c_B_PPE_BOOK_VAL_PS_7_2010_2019"</definedName>
    <definedName name="_C_c_B_PPE_LEASE_IMP_PD">"_C_c_B_PPE_LEASE_IMP_PS_7_2010_2019"</definedName>
    <definedName name="_C_c_B_PPE_PD">"_C_c_B_PPE_PS_7_2010_2019"</definedName>
    <definedName name="_C_c_B_RESTR_CASH_PD">"_C_c_B_RESTR_CASH_PS_7_2010_2019"</definedName>
    <definedName name="_C_c_B_SECURITIES_PD">"_C_c_B_SECURITIES_PS_7_2010_2019"</definedName>
    <definedName name="_C_c_B_TANGIBLES_EQ_PD">"_C_c_B_TANGIBLES_EQ_PS_7_2010_2019"</definedName>
    <definedName name="_C_c_B_TOT_ASS_PD">"_C_c_B_TOT_ASS_PS_7_2010_2019"</definedName>
    <definedName name="_C_c_B_TOT_LIAB_PD">"_C_c_B_TOT_LIAB_PS_7_2010_2019"</definedName>
    <definedName name="_C_c_BORROW_PD">"_C_c_BORROW_PS_7_2010_2019"</definedName>
    <definedName name="_C_c_BPS_PD">"_C_c_BPS_PS_7_2010_2019"</definedName>
    <definedName name="_C_c_BPS_TOTEQ_PD">"_C_c_BPS_TOTEQ_PS_7_2010_2019"</definedName>
    <definedName name="_C_c_C_ACQUISITIONS_PD">"_C_c_C_ACQUISITIONS_PS_7_2010_2019"</definedName>
    <definedName name="_C_c_C_ASSOC_INV_PD">"_C_c_C_ASSOC_INV_PS_7_2010_2019"</definedName>
    <definedName name="_C_c_C_CAP_RAISING_PD">"_C_c_C_CAP_RAISING_PS_7_2010_2019"</definedName>
    <definedName name="_C_c_C_CAPEX_PD">"_C_c_C_CAPEX_PS_7_2010_2019"</definedName>
    <definedName name="_C_c_C_CHG_WC_PD">"_C_c_C_CHG_WC_PS_7_2010_2019"</definedName>
    <definedName name="_C_c_C_DISC_PD">"_C_c_C_DISC_PS_7_2010_2019"</definedName>
    <definedName name="_C_c_C_DISPOSALES_PD">"_C_c_C_DISPOSALES_PS_7_2010_2019"</definedName>
    <definedName name="_C_c_C_DIV_PAID_PD">"_C_c_C_DIV_PAID_PS_7_2010_2019"</definedName>
    <definedName name="_C_c_C_DIV_REC_PD">"_C_c_C_DIV_REC_PS_7_2010_2019"</definedName>
    <definedName name="_C_c_C_EBIT_PD">"_C_c_C_EBIT_PS_7_2010_2019"</definedName>
    <definedName name="_C_c_C_EXP_CAPEX_PD">"_C_c_C_EXP_CAPEX_PS_7_2010_2019"</definedName>
    <definedName name="_C_c_C_EXPLORATION_PD">"_C_c_C_EXPLORATION_PS_7_2010_2019"</definedName>
    <definedName name="_C_c_C_FINANCING_PD">"_C_c_C_FINANCING_PS_7_2010_2019"</definedName>
    <definedName name="_C_c_C_FOREX_PD">"_C_c_C_FOREX_PS_7_2010_2019"</definedName>
    <definedName name="_C_c_C_GROSS_PROFIT_PD">"_C_c_C_GROSS_PROFIT_PS_7_2010_2019"</definedName>
    <definedName name="_C_c_C_INT_PAID_PD">"_C_c_C_INT_PAID_PS_7_2010_2019"</definedName>
    <definedName name="_C_c_C_INT_REC_PD">"_C_c_C_INT_REC_PS_7_2010_2019"</definedName>
    <definedName name="_C_c_C_INTANG_CAP_PD">"_C_c_C_INTANG_CAP_PS_7_2010_2019"</definedName>
    <definedName name="_C_c_C_INTEREST_PD">"_C_c_C_INTEREST_PS_7_2010_2019"</definedName>
    <definedName name="_C_c_C_INVESTING_PD">"_C_c_C_INVESTING_PS_7_2010_2019"</definedName>
    <definedName name="_C_c_C_LEASE_FIN_PD">"_C_c_C_LEASE_FIN_PS_7_2010_2019"</definedName>
    <definedName name="_C_c_C_MAINT_CAPEX_PD">"_C_c_C_MAINT_CAPEX_PS_7_2010_2019"</definedName>
    <definedName name="_C_c_C_NET_BORROW_PD">"_C_c_C_NET_BORROW_PS_7_2010_2019"</definedName>
    <definedName name="_C_c_C_NON_CASH_PD">"_C_c_C_NON_CASH_PS_7_2010_2019"</definedName>
    <definedName name="_C_c_C_OPERATING_PD">"_C_c_C_OPERATING_PS_7_2010_2019"</definedName>
    <definedName name="_C_c_C_OTHER_FC_PD">"_C_c_C_OTHER_FC_PS_7_2010_2019"</definedName>
    <definedName name="_C_c_C_OTHER_IC_PD">"_C_c_C_OTHER_IC_PS_7_2010_2019"</definedName>
    <definedName name="_C_c_C_OTHER_OC_PD">"_C_c_C_OTHER_OC_PS_7_2010_2019"</definedName>
    <definedName name="_C_c_C_PAYMENTS_PD">"_C_c_C_PAYMENTS_PS_7_2010_2019"</definedName>
    <definedName name="_C_c_C_PURCHASE_PPE_PD">"_C_c_C_PURCHASE_PPE_PS_7_2010_2019"</definedName>
    <definedName name="_C_c_C_RECEIPTS_PD">"_C_c_C_RECEIPTS_PS_7_2010_2019"</definedName>
    <definedName name="_C_c_C_ROYALTIES_PD">"_C_c_C_ROYALTIES_PS_7_2010_2019"</definedName>
    <definedName name="_C_c_C_SALE_PPE_PD">"_C_c_C_SALE_PPE_PS_7_2010_2019"</definedName>
    <definedName name="_C_c_C_STOCK_BUYBACK_PD">"_C_c_C_STOCK_BUYBACK_PS_7_2010_2019"</definedName>
    <definedName name="_C_c_C_STOCK_ISSUED_PD">"_C_c_C_STOCK_ISSUED_PS_7_2010_2019"</definedName>
    <definedName name="_C_c_C_TAX_PD">"_C_c_C_TAX_PS_7_2010_2019"</definedName>
    <definedName name="_C_c_CASH_CHANGE_PD">"_C_c_CASH_CHANGE_PS_7_2010_2019"</definedName>
    <definedName name="_C_c_COMP_EPS_PD">"_C_c_COMP_EPS_PS_7_2010_2019"</definedName>
    <definedName name="_C_c_CORE_COMP_EPS_PD">"_C_c_CORE_COMP_EPS_PS_7_2010_2019"</definedName>
    <definedName name="_C_c_CORE_EPS_BASIC_PD">"_C_c_CORE_EPS_BASIC_PS_7_2010_2019"</definedName>
    <definedName name="_C_c_CP_CONVERTIBLE_PD">"_C_c_CP_CONVERTIBLE_PS_7_2010_2019"</definedName>
    <definedName name="_C_c_CP_LIMITED_VOTE_PD">"_C_c_CP_LIMITED_VOTE_PS_7_2010_2019"</definedName>
    <definedName name="_C_c_CP_OPTIONS_PD">"_C_c_CP_OPTIONS_PS_7_2010_2019"</definedName>
    <definedName name="_C_c_CP_ORDINARY_PD">"_C_c_CP_ORDINARY_PS_7_2010_2019"</definedName>
    <definedName name="_C_c_CP_OTHER_PD">"_C_c_CP_OTHER_PS_7_2010_2019"</definedName>
    <definedName name="_C_c_CP_PARTLY_PAID_PD">"_C_c_CP_PARTLY_PAID_PS_7_2010_2019"</definedName>
    <definedName name="_C_c_CP_PREF_DEBT_PD">"_C_c_CP_PREF_DEBT_PS_7_2010_2019"</definedName>
    <definedName name="_C_c_CP_PREF_EQUITY_PD">"_C_c_CP_PREF_EQUITY_PS_7_2010_2019"</definedName>
    <definedName name="_C_c_CP_SHARES_PD">"_C_c_CP_SHARES_PS_7_2010_2019"</definedName>
    <definedName name="_C_c_CP_TREASURY_PD">"_C_c_CP_TREASURY_PS_7_2010_2019"</definedName>
    <definedName name="_C_c_CPS_PD">"_C_c_CPS_PS_7_2010_2019"</definedName>
    <definedName name="_C_c_CS_BPS_PD">"_C_c_CS_BPS_PS_7_2010_2019"</definedName>
    <definedName name="_C_c_CS_EPS_BASIC_PD">"_C_c_CS_EPS_BASIC_PS_7_2010_2019"</definedName>
    <definedName name="_C_c_CT_CONVERTIBLE_PD">"_C_c_CT_CONVERTIBLE_PS_7_2010_2019"</definedName>
    <definedName name="_C_c_CT_LIMITED_VOTE_PD">"_C_c_CT_LIMITED_VOTE_PS_7_2010_2019"</definedName>
    <definedName name="_C_c_CT_OPTIONS_PD">"_C_c_CT_OPTIONS_PS_7_2010_2019"</definedName>
    <definedName name="_C_c_CT_ORDINARY_PD">"_C_c_CT_ORDINARY_PS_7_2010_2019"</definedName>
    <definedName name="_C_c_CT_OTHER_PD">"_C_c_CT_OTHER_PS_7_2010_2019"</definedName>
    <definedName name="_C_c_CT_PARTLY_PAID_PD">"_C_c_CT_PARTLY_PAID_PS_7_2010_2019"</definedName>
    <definedName name="_C_c_CT_PREF_DEBT_PD">"_C_c_CT_PREF_DEBT_PS_7_2010_2019"</definedName>
    <definedName name="_C_c_CT_PREF_EQUITY_PD">"_C_c_CT_PREF_EQUITY_PS_7_2010_2019"</definedName>
    <definedName name="_C_c_CT_SHARES_PD">"_C_c_CT_SHARES_PS_7_2010_2019"</definedName>
    <definedName name="_C_c_CT_TREASURY_PD">"_C_c_CT_TREASURY_PS_7_2010_2019"</definedName>
    <definedName name="_C_c_DEBT_MATURE_PD">"_C_c_DEBT_MATURE_PS_7_2010_2019"</definedName>
    <definedName name="_C_c_DIV_YIELD_PD">"_C_c_DIV_YIELD_PS_7_2010_2019"</definedName>
    <definedName name="_C_c_DPS_FINAL_EX_PD">"_C_c_DPS_FINAL_EX_PS_7_2010_2019"</definedName>
    <definedName name="_C_c_DPS_FINAL_PD">"_C_c_DPS_FINAL_PS_7_2010_2019"</definedName>
    <definedName name="_C_c_DPS_INTERIM_EX_PD">"_C_c_DPS_INTERIM_EX_PS_7_2010_2019"</definedName>
    <definedName name="_C_c_DPS_INTERIM_PD">"_C_c_DPS_INTERIM_PS_7_2010_2019"</definedName>
    <definedName name="_C_c_DPS_PD">"_C_c_DPS_PS_7_2010_2019"</definedName>
    <definedName name="_C_c_DPS_SPECIAL_EX_PD">"_C_c_DPS_SPECIAL_EX_PS_7_2010_2019"</definedName>
    <definedName name="_C_c_DPS_SPECIAL_PD">"_C_c_DPS_SPECIAL_PS_7_2010_2019"</definedName>
    <definedName name="_C_c_EBIT_MARGIN_PD">"_C_c_EBIT_MARGIN_PS_7_2010_2019"</definedName>
    <definedName name="_C_c_EBIT_MULTIPLE_AN_PD">"_C_c_EBIT_MULTIPLE_AN_PS_7_2010_2019"</definedName>
    <definedName name="_C_c_EBIT_MULTIPLE_CURR_PD">"_C_c_EBIT_MULTIPLE_CURR_PS_7_2010_2019"</definedName>
    <definedName name="_C_c_EBIT_MULTIPLE_PD">"_C_c_EBIT_MULTIPLE_PS_7_2010_2019"</definedName>
    <definedName name="_C_c_EBITDA_MARGIN_PD">"_C_c_EBITDA_MARGIN_PS_7_2010_2019"</definedName>
    <definedName name="_C_c_EBITDA_MULTIPLE_AN_PD">"_C_c_EBITDA_MULTIPLE_AN_PS_7_2010_2019"</definedName>
    <definedName name="_C_c_EBITDA_MULTIPLE_CU_PD">"_C_c_EBITDA_MULTIPLE_CU_PS_7_2010_2019"</definedName>
    <definedName name="_C_c_EBITDA_MULTIPLE_PD">"_C_c_EBITDA_MULTIPLE_PS_7_2010_2019"</definedName>
    <definedName name="_C_c_EBITDAR_MULTIPLE_A_PD">"_C_c_EBITDAR_MULTIPLE_A_PS_7_2010_2019"</definedName>
    <definedName name="_C_c_EBITDAR_MULTIPLE_C_PD">"_C_c_EBITDAR_MULTIPLE_C_PS_7_2010_2019"</definedName>
    <definedName name="_C_c_EBITDAR_MULTIPLE_PD">"_C_c_EBITDAR_MULTIPLE_PS_7_2010_2019"</definedName>
    <definedName name="_C_c_ENTVAL_ANNUAL_PD">"_C_c_ENTVAL_ANNUAL_PS_7_2010_2019"</definedName>
    <definedName name="_C_c_ENTVAL_CURR_PD">"_C_c_ENTVAL_CURR_PS_7_2010_2019"</definedName>
    <definedName name="_C_c_EPS_PD">"_C_c_EPS_PS_7_2010_2019"</definedName>
    <definedName name="_C_c_EPS_PRE_AMO_PD">"_C_c_EPS_PRE_AMO_PS_7_2010_2019"</definedName>
    <definedName name="_C_c_EPS_PRE_GW_PD">"_C_c_EPS_PRE_GW_PS_7_2010_2019"</definedName>
    <definedName name="_C_c_EPS_PRE_GWO_PD">"_C_c_EPS_PRE_GWO_PS_7_2010_2019"</definedName>
    <definedName name="_C_c_EPS_SHARES_PD">"_C_c_EPS_SHARES_PS_7_2010_2019"</definedName>
    <definedName name="_C_c_EQ_COMMON_PD">"_C_c_EQ_COMMON_PS_7_2010_2019"</definedName>
    <definedName name="_C_c_EQ_CONVERT_PD">"_C_c_EQ_CONVERT_PS_7_2010_2019"</definedName>
    <definedName name="_C_c_EQ_LIFE_FUND_PD">"_C_c_EQ_LIFE_FUND_PS_7_2010_2019"</definedName>
    <definedName name="_C_c_EQ_MINOR_PD">"_C_c_EQ_MINOR_PS_7_2010_2019"</definedName>
    <definedName name="_C_c_EQ_OTHER_PD">"_C_c_EQ_OTHER_PS_7_2010_2019"</definedName>
    <definedName name="_C_c_EQ_PREF_PD">"_C_c_EQ_PREF_PS_7_2010_2019"</definedName>
    <definedName name="_C_c_EQ_RESERV_ASSREV_PD">"_C_c_EQ_RESERV_ASSREV_PS_7_2010_2019"</definedName>
    <definedName name="_C_c_EQ_RESERV_OTHER_PD">"_C_c_EQ_RESERV_OTHER_PS_7_2010_2019"</definedName>
    <definedName name="_C_c_EQ_RESERV_PD">"_C_c_EQ_RESERV_PS_7_2010_2019"</definedName>
    <definedName name="_C_c_EQ_RETAIN_PROF_PD">"_C_c_EQ_RETAIN_PROF_PS_7_2010_2019"</definedName>
    <definedName name="_C_c_EQ_SHARE_RESERV_PD">"_C_c_EQ_SHARE_RESERV_PS_7_2010_2019"</definedName>
    <definedName name="_C_c_EQ_SHAREHOLD_PD">"_C_c_EQ_SHAREHOLD_PS_7_2010_2019"</definedName>
    <definedName name="_C_c_EQ_SUM_PD">"_C_c_EQ_SUM_PS_7_2010_2019"</definedName>
    <definedName name="_C_c_FCF_PS_PD">"_C_c_FCF_PS_PS_7_2010_2019"</definedName>
    <definedName name="_C_c_FCF_YIELD_PD">"_C_c_FCF_YIELD_PS_7_2010_2019"</definedName>
    <definedName name="_C_c_FREE_CASH_ADJ_PD">"_C_c_FREE_CASH_ADJ_PS_7_2010_2019"</definedName>
    <definedName name="_C_C_FREE_CF_PD">"_C_C_FREE_CF_PS_7_2010_2019"</definedName>
    <definedName name="_C_c_GEARING_PD">"_C_c_GEARING_PS_7_2010_2019"</definedName>
    <definedName name="_C_c_GROSS_MARGIN_PD">"_C_c_GROSS_MARGIN_PS_7_2010_2019"</definedName>
    <definedName name="_C_c_I_ABNORMAL_NPAT_PD">"_C_c_I_ABNORMAL_NPAT_PS_7_2010_2019"</definedName>
    <definedName name="_C_c_I_ABNORMAL_PBT_PD">"_C_c_I_ABNORMAL_PBT_PS_7_2010_2019"</definedName>
    <definedName name="_C_c_I_ABNORMAL_TAX_PD">"_C_c_I_ABNORMAL_TAX_PS_7_2010_2019"</definedName>
    <definedName name="_C_c_I_AMORT_GW_NOP_PD">"_C_c_I_AMORT_GW_NOP_PS_7_2010_2019"</definedName>
    <definedName name="_C_c_I_AMORT_GW_PD">"_C_c_I_AMORT_GW_PS_7_2010_2019"</definedName>
    <definedName name="_C_c_I_AMORT_INTAN_PD">"_C_c_I_AMORT_INTAN_PS_7_2010_2019"</definedName>
    <definedName name="_C_c_I_AMORT_OTHER_PD">"_C_c_I_AMORT_OTHER_PS_7_2010_2019"</definedName>
    <definedName name="_C_c_I_ANALYST_ADJ_CORE_PD">"_C_c_I_ANALYST_ADJ_CORE_PS_7_2010_2019"</definedName>
    <definedName name="_C_c_I_ANALYST_ADJ_PD">"_C_c_I_ANALYST_ADJ_PS_7_2010_2019"</definedName>
    <definedName name="_C_c_I_ASSET_SALES_PD">"_C_c_I_ASSET_SALES_PS_7_2010_2019"</definedName>
    <definedName name="_C_c_I_B_BRCOM_EXP_PD">"_C_c_I_B_BRCOM_EXP_PS_7_2010_2019"</definedName>
    <definedName name="_C_c_I_B_FAIR_VALUE_PD">"_C_c_I_B_FAIR_VALUE_PS_7_2010_2019"</definedName>
    <definedName name="_C_c_I_CAPGAINS_NRO_PD">"_C_c_I_CAPGAINS_NRO_PS_7_2010_2019"</definedName>
    <definedName name="_C_c_I_COGS_PD">"_C_c_I_COGS_PS_7_2010_2019"</definedName>
    <definedName name="_C_c_I_CORE_EBIT_PD">"_C_c_I_CORE_EBIT_PS_7_2010_2019"</definedName>
    <definedName name="_C_c_I_CORE_EBITA_PD">"_C_c_I_CORE_EBITA_PS_7_2010_2019"</definedName>
    <definedName name="_C_c_I_CORE_EBITDA_PD">"_C_c_I_CORE_EBITDA_PS_7_2010_2019"</definedName>
    <definedName name="_C_c_I_CORE_NPAT_PD">"_C_c_I_CORE_NPAT_PS_7_2010_2019"</definedName>
    <definedName name="_C_c_I_CORE_PBT_PD">"_C_c_I_CORE_PBT_PS_7_2010_2019"</definedName>
    <definedName name="_C_c_I_CORE_PBTADJ_PD">"_C_c_I_CORE_PBTADJ_PS_7_2010_2019"</definedName>
    <definedName name="_C_c_I_CORE_TAX_PD">"_C_c_I_CORE_TAX_PS_7_2010_2019"</definedName>
    <definedName name="_C_c_I_CORE_TAX_RATE_PD">"_C_c_I_CORE_TAX_RATE_PS_7_2010_2019"</definedName>
    <definedName name="_C_c_I_DEFINED_BEN_PD">"_C_c_I_DEFINED_BEN_PS_7_2010_2019"</definedName>
    <definedName name="_C_c_I_DEPR_AMORT_PD">"_C_c_I_DEPR_AMORT_PS_7_2010_2019"</definedName>
    <definedName name="_C_c_I_DEPR_PD">"_C_c_I_DEPR_PS_7_2010_2019"</definedName>
    <definedName name="_C_c_I_DIVIDENDS_PD">"_C_c_I_DIVIDENDS_PS_7_2010_2019"</definedName>
    <definedName name="_C_c_I_EBIT_PD">"_C_c_I_EBIT_PS_7_2010_2019"</definedName>
    <definedName name="_C_c_I_EBITA_PD">"_C_c_I_EBITA_PS_7_2010_2019"</definedName>
    <definedName name="_C_c_I_EBITDA_PD">"_C_c_I_EBITDA_PS_7_2010_2019"</definedName>
    <definedName name="_C_c_I_EMP_COST_PD">"_C_c_I_EMP_COST_PS_7_2010_2019"</definedName>
    <definedName name="_C_c_I_EMP_PERF_PD">"_C_c_I_EMP_PERF_PS_7_2010_2019"</definedName>
    <definedName name="_C_c_I_EMP_SHARES_NR_PD">"_C_c_I_EMP_SHARES_NR_PS_7_2010_2019"</definedName>
    <definedName name="_C_c_I_EMP_SHARES_PD">"_C_c_I_EMP_SHARES_PS_7_2010_2019"</definedName>
    <definedName name="_C_c_I_EMP_TOTAL_PD">"_C_c_I_EMP_TOTAL_PS_7_2010_2019"</definedName>
    <definedName name="_C_c_I_EPS_ADJ_PD">"_C_c_I_EPS_ADJ_PS_7_2010_2019"</definedName>
    <definedName name="_C_c_I_EQ_ACC_PAT_PD">"_C_c_I_EQ_ACC_PAT_PS_7_2010_2019"</definedName>
    <definedName name="_C_c_I_EQ_ACC_PBT_PD">"_C_c_I_EQ_ACC_PBT_PS_7_2010_2019"</definedName>
    <definedName name="_C_c_I_EQ_ACC_TAX_PD">"_C_c_I_EQ_ACC_TAX_PS_7_2010_2019"</definedName>
    <definedName name="_C_c_I_EXPENSES_PD">"_C_c_I_EXPENSES_PS_7_2010_2019"</definedName>
    <definedName name="_C_c_I_FINANCE_INC_PD">"_C_c_I_FINANCE_INC_PS_7_2010_2019"</definedName>
    <definedName name="_C_c_I_FOREX_LOSS_PD">"_C_c_I_FOREX_LOSS_PS_7_2010_2019"</definedName>
    <definedName name="_C_c_I_FRANCH_PD">"_C_c_I_FRANCH_PS_7_2010_2019"</definedName>
    <definedName name="_C_c_I_GROSS_PROFIT_PD">"_C_c_I_GROSS_PROFIT_PS_7_2010_2019"</definedName>
    <definedName name="_C_c_I_HEDGE_EXP_PD">"_C_c_I_HEDGE_EXP_PS_7_2010_2019"</definedName>
    <definedName name="_C_c_I_IMPAIRMENT_NRO_PD">"_C_c_I_IMPAIRMENT_NRO_PS_7_2010_2019"</definedName>
    <definedName name="_C_c_I_IMPAIRMENT_PD">"_C_c_I_IMPAIRMENT_PS_7_2010_2019"</definedName>
    <definedName name="_C_c_I_INC_DISC_PD">"_C_c_I_INC_DISC_PS_7_2010_2019"</definedName>
    <definedName name="_C_c_I_INC_TAX_PD">"_C_c_I_INC_TAX_PS_7_2010_2019"</definedName>
    <definedName name="_C_c_I_INDINC_PD">"_C_c_I_INDINC_PS_7_2010_2019"</definedName>
    <definedName name="_C_c_I_INT_CONV_EXP_PD">"_C_c_I_INT_CONV_EXP_PS_7_2010_2019"</definedName>
    <definedName name="_C_c_I_INT_EXP_PD">"_C_c_I_INT_EXP_PS_7_2010_2019"</definedName>
    <definedName name="_C_c_I_INT_INCOME_PD">"_C_c_I_INT_INCOME_PS_7_2010_2019"</definedName>
    <definedName name="_C_c_I_INT_LEASE_EXP_PD">"_C_c_I_INT_LEASE_EXP_PS_7_2010_2019"</definedName>
    <definedName name="_C_c_I_INVEST_INCOME_PD">"_C_c_I_INVEST_INCOME_PS_7_2010_2019"</definedName>
    <definedName name="_C_c_I_LEASING_EXP_PD">"_C_c_I_LEASING_EXP_PS_7_2010_2019"</definedName>
    <definedName name="_C_c_I_MINOR_PD">"_C_c_I_MINOR_PS_7_2010_2019"</definedName>
    <definedName name="_C_c_I_NET_INTEREST_PD">"_C_c_I_NET_INTEREST_PS_7_2010_2019"</definedName>
    <definedName name="_C_c_I_NONREC_ITEMS_PD">"_C_c_I_NONREC_ITEMS_PS_7_2010_2019"</definedName>
    <definedName name="_C_c_I_NOP_ITEMS_PD">"_C_c_I_NOP_ITEMS_PS_7_2010_2019"</definedName>
    <definedName name="_C_c_I_NPAT_ADJ_PD">"_C_c_I_NPAT_ADJ_PS_7_2010_2019"</definedName>
    <definedName name="_C_c_I_NPAT_PD">"_C_c_I_NPAT_PS_7_2010_2019"</definedName>
    <definedName name="_C_c_I_NRO_ITEMS_PD">"_C_c_I_NRO_ITEMS_PS_7_2010_2019"</definedName>
    <definedName name="_C_c_I_OCC_IT_COST_PD">"_C_c_I_OCC_IT_COST_PS_7_2010_2019"</definedName>
    <definedName name="_C_c_I_OOP_EXPENSES_PD">"_C_c_I_OOP_EXPENSES_PS_7_2010_2019"</definedName>
    <definedName name="_C_c_I_OOP_INCOME_PD">"_C_c_I_OOP_INCOME_PS_7_2010_2019"</definedName>
    <definedName name="_C_c_I_OOP_ITEMS_PD">"_C_c_I_OOP_ITEMS_PS_7_2010_2019"</definedName>
    <definedName name="_C_c_I_OP_DIVIDEND_PD">"_C_c_I_OP_DIVIDEND_PS_7_2010_2019"</definedName>
    <definedName name="_C_c_I_OPERATING_INC_PD">"_C_c_I_OPERATING_INC_PS_7_2010_2019"</definedName>
    <definedName name="_C_c_I_OTH_COREEBITAADJ_PD">"_C_c_I_OTH_COREEBITAADJ_PS_7_2010_2019"</definedName>
    <definedName name="_C_c_I_OTH_COREEBITADJ_PD">"_C_c_I_OTH_COREEBITADJ_PS_7_2010_2019"</definedName>
    <definedName name="_C_c_I_OTH_COREEBITDAAD_PD">"_C_c_I_OTH_COREEBITDAAD_PS_7_2010_2019"</definedName>
    <definedName name="_C_c_I_OTH_EBITADJ_PD">"_C_c_I_OTH_EBITADJ_PS_7_2010_2019"</definedName>
    <definedName name="_C_c_I_OTH_EBITDA_PD">"_C_c_I_OTH_EBITDA_PS_7_2010_2019"</definedName>
    <definedName name="_C_c_I_OTH_EXP_PD">"_C_c_I_OTH_EXP_PS_7_2010_2019"</definedName>
    <definedName name="_C_c_I_OTH_NO_AMORT_PD">"_C_c_I_OTH_NO_AMORT_PS_7_2010_2019"</definedName>
    <definedName name="_C_c_I_OTH_NO_DEPR_PD">"_C_c_I_OTH_NO_DEPR_PS_7_2010_2019"</definedName>
    <definedName name="_C_c_I_OTHER_PAT_PD">"_C_c_I_OTHER_PAT_PS_7_2010_2019"</definedName>
    <definedName name="_C_c_I_OTHER_PBT_PD">"_C_c_I_OTHER_PBT_PS_7_2010_2019"</definedName>
    <definedName name="_C_c_I_OTHER_PD">"_C_c_I_OTHER_PS_7_2010_2019"</definedName>
    <definedName name="_C_c_I_OTHER_TAX_PD">"_C_c_I_OTHER_TAX_PS_7_2010_2019"</definedName>
    <definedName name="_C_c_I_PBT_PD">"_C_c_I_PBT_PS_7_2010_2019"</definedName>
    <definedName name="_C_c_I_PBT_REPORTED_PD">"_C_c_I_PBT_REPORTED_PS_7_2010_2019"</definedName>
    <definedName name="_C_c_I_PREF_DIV_PAID_PD">"_C_c_I_PREF_DIV_PAID_PS_7_2010_2019"</definedName>
    <definedName name="_C_c_I_PROPINC_PD">"_C_c_I_PROPINC_PS_7_2010_2019"</definedName>
    <definedName name="_C_c_I_PROVISIONS_PD">"_C_c_I_PROVISIONS_PS_7_2010_2019"</definedName>
    <definedName name="_C_c_I_REP_EBIT_PD">"_C_c_I_REP_EBIT_PS_7_2010_2019"</definedName>
    <definedName name="_C_c_I_REP_EBITA_PD">"_C_c_I_REP_EBITA_PS_7_2010_2019"</definedName>
    <definedName name="_C_c_I_REP_EBITAADJ_PD">"_C_c_I_REP_EBITAADJ_PS_7_2010_2019"</definedName>
    <definedName name="_C_c_I_REP_EBITDA_PD">"_C_c_I_REP_EBITDA_PS_7_2010_2019"</definedName>
    <definedName name="_C_c_I_REP_EBITDAADJ_PD">"_C_c_I_REP_EBITDAADJ_PS_7_2010_2019"</definedName>
    <definedName name="_C_c_I_REP_NPAT_PD">"_C_c_I_REP_NPAT_PS_7_2010_2019"</definedName>
    <definedName name="_C_c_I_REP_PAT_PD">"_C_c_I_REP_PAT_PS_7_2010_2019"</definedName>
    <definedName name="_C_c_I_RES_AND_DEV_PD">"_C_c_I_RES_AND_DEV_PS_7_2010_2019"</definedName>
    <definedName name="_C_c_I_RESTRUCT_EXP_NRO_PD">"_C_c_I_RESTRUCT_EXP_NRO_PS_7_2010_2019"</definedName>
    <definedName name="_C_c_I_RESTRUCT_EXP_PD">"_C_c_I_RESTRUCT_EXP_PS_7_2010_2019"</definedName>
    <definedName name="_C_c_I_REVAL_NONREC_PD">"_C_c_I_REVAL_NONREC_PS_7_2010_2019"</definedName>
    <definedName name="_C_c_I_REVALUATIONS_PD">"_C_c_I_REVALUATIONS_PS_7_2010_2019"</definedName>
    <definedName name="_C_c_I_REVENUES_PD">"_C_c_I_REVENUES_PS_7_2010_2019"</definedName>
    <definedName name="_C_c_I_ROYALTIES_PD">"_C_c_I_ROYALTIES_PS_7_2010_2019"</definedName>
    <definedName name="_C_c_I_SALES_GWTH_PD">"_C_c_I_SALES_GWTH_PS_7_2010_2019"</definedName>
    <definedName name="_C_c_I_SALES_PD">"_C_c_I_SALES_PS_7_2010_2019"</definedName>
    <definedName name="_C_c_I_SGA_PD">"_C_c_I_SGA_PS_7_2010_2019"</definedName>
    <definedName name="_C_c_I_TAX_PD">"_C_c_I_TAX_PS_7_2010_2019"</definedName>
    <definedName name="_C_c_INT_COVER_PD">"_C_c_INT_COVER_PS_7_2010_2019"</definedName>
    <definedName name="_C_c_INV_CAP_ADJ_PD">"_C_c_INV_CAP_ADJ_PS_7_2010_2019"</definedName>
    <definedName name="_C_c_INV_CAP_OTH_PD">"_C_c_INV_CAP_OTH_PS_7_2010_2019"</definedName>
    <definedName name="_C_c_IRR_PD">"_C_c_IRR_PS_7_2010_2019"</definedName>
    <definedName name="_C_c_KD_ANN_PD">"_C_c_KD_ANN_PS_7_2010_2019"</definedName>
    <definedName name="_C_c_KE_ANN_PD">"_C_c_KE_ANN_PS_7_2010_2019"</definedName>
    <definedName name="_C_c_LEVERAGE_AVG_PD">"_C_c_LEVERAGE_AVG_PS_7_2010_2019"</definedName>
    <definedName name="_C_c_LEVERAGE_PD">"_C_c_LEVERAGE_PS_7_2010_2019"</definedName>
    <definedName name="_C_c_MVI_PD">"_C_c_MVI_PS_7_2010_2019"</definedName>
    <definedName name="_C_c_NDE_PD">"_C_c_NDE_PS_7_2010_2019"</definedName>
    <definedName name="_C_c_NET_DEBT_ADJ_PD">"_C_c_NET_DEBT_ADJ_PS_7_2010_2019"</definedName>
    <definedName name="_C_c_NET_DEBT_PD">"_C_c_NET_DEBT_PS_7_2010_2019"</definedName>
    <definedName name="_C_c_NOT_INTEREST_PD">"_C_c_NOT_INTEREST_PS_7_2010_2019"</definedName>
    <definedName name="_C_c_NTA_PD">"_C_c_NTA_PS_7_2010_2019"</definedName>
    <definedName name="_C_c_NTA_PS_PD">"_C_c_NTA_PS_PS_7_2010_2019"</definedName>
    <definedName name="_C_c_OTHER_NONREC_OP_PD">"_C_c_OTHER_NONREC_OP_PS_7_2010_2019"</definedName>
    <definedName name="_C_c_OTHER_NONREC_PD">"_C_c_OTHER_NONREC_PS_7_2010_2019"</definedName>
    <definedName name="_C_c_PAYOUT_PD">"_C_c_PAYOUT_PS_7_2010_2019"</definedName>
    <definedName name="_C_c_PB_PD">"_C_c_PB_PS_7_2010_2019"</definedName>
    <definedName name="_C_c_PE_MVI_PD">"_C_c_PE_MVI_PS_7_2010_2019"</definedName>
    <definedName name="_C_c_PE_PD">"_C_c_PE_PS_7_2010_2019"</definedName>
    <definedName name="_C_c_PEN_LIAB_PD">"_C_c_PEN_LIAB_PS_7_2010_2019"</definedName>
    <definedName name="_C_c_PNTA_PD">"_C_c_PNTA_PS_7_2010_2019"</definedName>
    <definedName name="_C_c_PSALES_PD">"_C_c_PSALES_PS_7_2010_2019"</definedName>
    <definedName name="_C_c_PUB_ADJENTVAL_PD">"_C_c_PUB_ADJENTVAL_PS_7_2010_2019"</definedName>
    <definedName name="_C_c_PUB_AVAIL_DEBTFCLT_PD">"_C_c_PUB_AVAIL_DEBTFCLT_PS_7_2010_2019"</definedName>
    <definedName name="_C_c_PUB_DPS_PD">"_C_c_PUB_DPS_PS_7_2010_2019"</definedName>
    <definedName name="_C_c_PUB_DRIVER_B1_PD">"_C_c_PUB_DRIVER_B1_PS_7_2010_2019"</definedName>
    <definedName name="_C_c_PUB_DRIVER_B2_PD">"_C_c_PUB_DRIVER_B2_PS_7_2010_2019"</definedName>
    <definedName name="_C_c_PUB_DRIVER_B3_PD">"_C_c_PUB_DRIVER_B3_PS_7_2010_2019"</definedName>
    <definedName name="_C_c_PUB_DRIVER_B4_PD">"_C_c_PUB_DRIVER_B4_PS_7_2010_2019"</definedName>
    <definedName name="_C_c_PUB_DRIVER_PD">"_C_c_PUB_DRIVER_PS_7_2010_2019"</definedName>
    <definedName name="_C_c_PUB_EBITDA_PD">"_C_c_PUB_EBITDA_PS_7_2010_2019"</definedName>
    <definedName name="_C_c_PUB_EMPLOYEE_PD">"_C_c_PUB_EMPLOYEE_PS_7_2010_2019"</definedName>
    <definedName name="_C_c_PUB_EPS_PD">"_C_c_PUB_EPS_PS_7_2010_2019"</definedName>
    <definedName name="_C_c_PUB_NETINC_PD">"_C_c_PUB_NETINC_PS_7_2010_2019"</definedName>
    <definedName name="_C_c_PUB_OP_INCOME_PD">"_C_c_PUB_OP_INCOME_PS_7_2010_2019"</definedName>
    <definedName name="_C_c_PUB_ORGANIC_GWTH_PD">"_C_c_PUB_ORGANIC_GWTH_PS_7_2010_2019"</definedName>
    <definedName name="_C_c_PUB_PBT_PD">"_C_c_PUB_PBT_PS_7_2010_2019"</definedName>
    <definedName name="_C_c_PUB_RECURRING_PROF_PD">"_C_c_PUB_RECURRING_PROF_PS_7_2010_2019"</definedName>
    <definedName name="_C_c_PUB_REVENUES_PD">"_C_c_PUB_REVENUES_PS_7_2010_2019"</definedName>
    <definedName name="_C_c_REP_EPS_BASIC_PD">"_C_c_REP_EPS_BASIC_PS_7_2010_2019"</definedName>
    <definedName name="_C_c_REP_EPS_PD">"_C_c_REP_EPS_PS_7_2010_2019"</definedName>
    <definedName name="_C_c_ROA_PD">"_C_c_ROA_PS_7_2010_2019"</definedName>
    <definedName name="_C_c_ROE_PD">"_C_c_ROE_PS_7_2010_2019"</definedName>
    <definedName name="_C_c_ROIC_PD">"_C_c_ROIC_PS_7_2010_2019"</definedName>
    <definedName name="_C_c_SHR_REPUR_PRICE_PD">"_C_c_SHR_REPUR_PRICE_PS_7_2010_2019"</definedName>
    <definedName name="_C_c_SHR_REPURCHASE_PD">"_C_c_SHR_REPURCHASE_PS_7_2010_2019"</definedName>
    <definedName name="_C_c_SOC_ADJ_PD">"_C_c_SOC_ADJ_PS_7_2010_2019"</definedName>
    <definedName name="_C_c_SOC_PD">"_C_c_SOC_PS_7_2010_2019"</definedName>
    <definedName name="_C_c_TAX_RATE_PD">"_C_c_TAX_RATE_PS_7_2010_2019"</definedName>
    <definedName name="_C_c_TAX_RATE_PF_PD">"_C_c_TAX_RATE_PF_PS_7_2010_2019"</definedName>
    <definedName name="_C_c_TBPS_EFPOWA_PD">"_C_c_TBPS_EFPOWA_PS_7_2010_2019"</definedName>
    <definedName name="_C_c_TOTAL_CF_PD">"_C_c_TOTAL_CF_PS_7_2010_2019"</definedName>
    <definedName name="_C_C_UNLEV_FREE_CF_PD">"_C_C_UNLEV_FREE_CF_PS_7_2010_2019"</definedName>
    <definedName name="_C_c_WACC_PD">"_C_c_WACC_PS_7_2010_2019"</definedName>
    <definedName name="_C_EVtoIC_PD">"_C_EVtoIC_PS_7_2010_2019"</definedName>
    <definedName name="_C_EXPENSE_CHF_PD">"_C_EXPENSE_CHF_PS_7_2010_2019"</definedName>
    <definedName name="_C_EXPENSES_CCYTOT_PD">"_C_EXPENSES_CCYTOT_PS_7_2010_2019"</definedName>
    <definedName name="_C_EXPENSES_EUR_PD">"_C_EXPENSES_EUR_PS_7_2010_2019"</definedName>
    <definedName name="_C_EXPENSES_GBP_PD">"_C_EXPENSES_GBP_PS_7_2010_2019"</definedName>
    <definedName name="_C_EXPENSES_JPY_PD">"_C_EXPENSES_JPY_PS_7_2010_2019"</definedName>
    <definedName name="_C_EXPENSES_OTH_PD">"_C_EXPENSES_OTH_PS_7_2010_2019"</definedName>
    <definedName name="_C_EXPENSES_USD_PD">"_C_EXPENSES_USD_PS_7_2010_2019"</definedName>
    <definedName name="_C_GSALES_AE_PD">"_C_GSALES_AE_PS_7_2010_2019"</definedName>
    <definedName name="_C_GSALES_AFRICA_PD">"_C_GSALES_AFRICA_PS_7_2010_2019"</definedName>
    <definedName name="_C_GSALES_AMERICAS_PD">"_C_GSALES_AMERICAS_PS_7_2010_2019"</definedName>
    <definedName name="_C_GSALES_AR_PD">"_C_GSALES_AR_PS_7_2010_2019"</definedName>
    <definedName name="_C_GSALES_ASIA_PD">"_C_GSALES_ASIA_PS_7_2010_2019"</definedName>
    <definedName name="_C_GSALES_AT_PD">"_C_GSALES_AT_PS_7_2010_2019"</definedName>
    <definedName name="_C_GSALES_AU_PD">"_C_GSALES_AU_PS_7_2010_2019"</definedName>
    <definedName name="_C_GSALES_BE_PD">"_C_GSALES_BE_PS_7_2010_2019"</definedName>
    <definedName name="_C_GSALES_BG_PD">"_C_GSALES_BG_PS_7_2010_2019"</definedName>
    <definedName name="_C_GSALES_BR_PD">"_C_GSALES_BR_PS_7_2010_2019"</definedName>
    <definedName name="_C_GSALES_CA_PD">"_C_GSALES_CA_PS_7_2010_2019"</definedName>
    <definedName name="_C_GSALES_CH_PD">"_C_GSALES_CH_PS_7_2010_2019"</definedName>
    <definedName name="_C_GSALES_CL_PD">"_C_GSALES_CL_PS_7_2010_2019"</definedName>
    <definedName name="_C_GSALES_CN_PD">"_C_GSALES_CN_PS_7_2010_2019"</definedName>
    <definedName name="_C_GSALES_CO_PD">"_C_GSALES_CO_PS_7_2010_2019"</definedName>
    <definedName name="_C_GSALES_CZ_PD">"_C_GSALES_CZ_PS_7_2010_2019"</definedName>
    <definedName name="_C_GSALES_DE_PD">"_C_GSALES_DE_PS_7_2010_2019"</definedName>
    <definedName name="_C_GSALES_DEV_EUR_PD">"_C_GSALES_DEV_EUR_PS_7_2010_2019"</definedName>
    <definedName name="_C_GSALES_DK_PD">"_C_GSALES_DK_PS_7_2010_2019"</definedName>
    <definedName name="_C_GSALES_EG_PD">"_C_GSALES_EG_PS_7_2010_2019"</definedName>
    <definedName name="_C_GSALES_EME_PD">"_C_GSALES_EME_PS_7_2010_2019"</definedName>
    <definedName name="_C_GSALES_ES_PD">"_C_GSALES_ES_PS_7_2010_2019"</definedName>
    <definedName name="_C_GSALES_EUROPE_PD">"_C_GSALES_EUROPE_PS_7_2010_2019"</definedName>
    <definedName name="_C_GSALES_EUROZ_PD">"_C_GSALES_EUROZ_PS_7_2010_2019"</definedName>
    <definedName name="_C_GSALES_FI_PD">"_C_GSALES_FI_PS_7_2010_2019"</definedName>
    <definedName name="_C_GSALES_FR_PD">"_C_GSALES_FR_PS_7_2010_2019"</definedName>
    <definedName name="_C_GSALES_GB_PD">"_C_GSALES_GB_PS_7_2010_2019"</definedName>
    <definedName name="_C_GSALES_GR_PD">"_C_GSALES_GR_PS_7_2010_2019"</definedName>
    <definedName name="_C_GSALES_HK_PD">"_C_GSALES_HK_PS_7_2010_2019"</definedName>
    <definedName name="_C_GSALES_HR_PD">"_C_GSALES_HR_PS_7_2010_2019"</definedName>
    <definedName name="_C_GSALES_HU_PD">"_C_GSALES_HU_PS_7_2010_2019"</definedName>
    <definedName name="_C_GSALES_ID_PD">"_C_GSALES_ID_PS_7_2010_2019"</definedName>
    <definedName name="_C_GSALES_IE_PD">"_C_GSALES_IE_PS_7_2010_2019"</definedName>
    <definedName name="_C_GSALES_IL_PD">"_C_GSALES_IL_PS_7_2010_2019"</definedName>
    <definedName name="_C_GSALES_IN_PD">"_C_GSALES_IN_PS_7_2010_2019"</definedName>
    <definedName name="_C_GSALES_IOC_PD">"_C_GSALES_IOC_PS_7_2010_2019"</definedName>
    <definedName name="_C_GSALES_IT_PD">"_C_GSALES_IT_PS_7_2010_2019"</definedName>
    <definedName name="_C_GSALES_JP_PD">"_C_GSALES_JP_PS_7_2010_2019"</definedName>
    <definedName name="_C_GSALES_KR_PD">"_C_GSALES_KR_PS_7_2010_2019"</definedName>
    <definedName name="_C_GSALES_KZ_PD">"_C_GSALES_KZ_PS_7_2010_2019"</definedName>
    <definedName name="_C_GSALES_LU_PD">"_C_GSALES_LU_PS_7_2010_2019"</definedName>
    <definedName name="_C_GSALES_MA_PD">"_C_GSALES_MA_PS_7_2010_2019"</definedName>
    <definedName name="_C_GSALES_MD_PD">"_C_GSALES_MD_PS_7_2010_2019"</definedName>
    <definedName name="_C_GSALES_MIDEAST_PD">"_C_GSALES_MIDEAST_PS_7_2010_2019"</definedName>
    <definedName name="_C_GSALES_MX_PD">"_C_GSALES_MX_PS_7_2010_2019"</definedName>
    <definedName name="_C_GSALES_MY_PD">"_C_GSALES_MY_PS_7_2010_2019"</definedName>
    <definedName name="_C_GSALES_NG_PD">"_C_GSALES_NG_PS_7_2010_2019"</definedName>
    <definedName name="_C_GSALES_NJA_PD">"_C_GSALES_NJA_PS_7_2010_2019"</definedName>
    <definedName name="_C_GSALES_NL_PD">"_C_GSALES_NL_PS_7_2010_2019"</definedName>
    <definedName name="_C_GSALES_NO_PD">"_C_GSALES_NO_PS_7_2010_2019"</definedName>
    <definedName name="_C_GSALES_NOR_PD">"_C_GSALES_NOR_PS_7_2010_2019"</definedName>
    <definedName name="_C_GSALES_NTHAM_PD">"_C_GSALES_NTHAM_PS_7_2010_2019"</definedName>
    <definedName name="_C_GSALES_NZ_PD">"_C_GSALES_NZ_PS_7_2010_2019"</definedName>
    <definedName name="_C_GSALES_OAFRICA_PD">"_C_GSALES_OAFRICA_PS_7_2010_2019"</definedName>
    <definedName name="_C_GSALES_OAMERICAS_PD">"_C_GSALES_OAMERICAS_PS_7_2010_2019"</definedName>
    <definedName name="_C_GSALES_OASIA_PD">"_C_GSALES_OASIA_PS_7_2010_2019"</definedName>
    <definedName name="_C_GSALES_OCEANIA_PD">"_C_GSALES_OCEANIA_PS_7_2010_2019"</definedName>
    <definedName name="_C_GSALES_ODE_PD">"_C_GSALES_ODE_PS_7_2010_2019"</definedName>
    <definedName name="_C_GSALES_OEUROPE_PD">"_C_GSALES_OEUROPE_PS_7_2010_2019"</definedName>
    <definedName name="_C_GSALES_OME_PD">"_C_GSALES_OME_PS_7_2010_2019"</definedName>
    <definedName name="_C_GSALES_OTHER_PD">"_C_GSALES_OTHER_PS_7_2010_2019"</definedName>
    <definedName name="_C_GSALES_PH_PD">"_C_GSALES_PH_PS_7_2010_2019"</definedName>
    <definedName name="_C_GSALES_PK_PD">"_C_GSALES_PK_PS_7_2010_2019"</definedName>
    <definedName name="_C_GSALES_PL_PD">"_C_GSALES_PL_PS_7_2010_2019"</definedName>
    <definedName name="_C_GSALES_PT_PD">"_C_GSALES_PT_PS_7_2010_2019"</definedName>
    <definedName name="_C_GSALES_QA_PD">"_C_GSALES_QA_PS_7_2010_2019"</definedName>
    <definedName name="_C_GSALES_RO_PD">"_C_GSALES_RO_PS_7_2010_2019"</definedName>
    <definedName name="_C_GSALES_RS_PD">"_C_GSALES_RS_PS_7_2010_2019"</definedName>
    <definedName name="_C_GSALES_RU_PD">"_C_GSALES_RU_PS_7_2010_2019"</definedName>
    <definedName name="_C_GSALES_SA_PD">"_C_GSALES_SA_PS_7_2010_2019"</definedName>
    <definedName name="_C_GSALES_SE_PD">"_C_GSALES_SE_PS_7_2010_2019"</definedName>
    <definedName name="_C_GSALES_SG_PD">"_C_GSALES_SG_PS_7_2010_2019"</definedName>
    <definedName name="_C_GSALES_SK_PD">"_C_GSALES_SK_PS_7_2010_2019"</definedName>
    <definedName name="_C_GSALES_STHAM_PD">"_C_GSALES_STHAM_PS_7_2010_2019"</definedName>
    <definedName name="_C_GSALES_TH_PD">"_C_GSALES_TH_PS_7_2010_2019"</definedName>
    <definedName name="_C_GSALES_TOTAL_PD">"_C_GSALES_TOTAL_PS_7_2010_2019"</definedName>
    <definedName name="_C_GSALES_TR_PD">"_C_GSALES_TR_PS_7_2010_2019"</definedName>
    <definedName name="_C_GSALES_TW_PD">"_C_GSALES_TW_PS_7_2010_2019"</definedName>
    <definedName name="_C_GSALES_UA_PD">"_C_GSALES_UA_PS_7_2010_2019"</definedName>
    <definedName name="_C_GSALES_US_PD">"_C_GSALES_US_PS_7_2010_2019"</definedName>
    <definedName name="_C_GSALES_UY_PD">"_C_GSALES_UY_PS_7_2010_2019"</definedName>
    <definedName name="_C_GSALES_VN_PD">"_C_GSALES_VN_PS_7_2010_2019"</definedName>
    <definedName name="_C_GSALES_ZA_PD">"_C_GSALES_ZA_PS_7_2010_2019"</definedName>
    <definedName name="_C_OPEN_ASSUMPTION_PAGES">"RAT|PUB|GEOS"</definedName>
    <definedName name="_C_TARGET_PRICE">#REF!</definedName>
    <definedName name="_C_TEMPLATE_BUSINESS_TYPES">"NONFIN"</definedName>
    <definedName name="_C_TEMPLATE_COIN_DISPLAY">"DEFAULT"</definedName>
    <definedName name="_C_TEMPLATE_CREATED">"#15-Sep-2014 18:23#"</definedName>
    <definedName name="_C_TEMPLATE_CREATED_BY">"njain56"</definedName>
    <definedName name="_C_TEMPLATE_TEMPLATE_NAME">"LIVE"</definedName>
    <definedName name="_CAP88" localSheetId="4">#REF!</definedName>
    <definedName name="_CAP88">'[16]foundry '!#REF!</definedName>
    <definedName name="_CD201..D205__">#REF!</definedName>
    <definedName name="_Cf1" localSheetId="9">#REF!</definedName>
    <definedName name="_Cf1">#REF!</definedName>
    <definedName name="_DAT1">#REF!</definedName>
    <definedName name="_DAT10">#REF!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t_Values" localSheetId="9" hidden="1">#REF!</definedName>
    <definedName name="_Dist_Values" hidden="1">#REF!</definedName>
    <definedName name="_DOWN_" localSheetId="9">#REF!</definedName>
    <definedName name="_DOWN_">#REF!</definedName>
    <definedName name="_EDIT__HOME__DE">#REF!</definedName>
    <definedName name="_ee22">#N/A</definedName>
    <definedName name="_emailFILE" localSheetId="4">#REF!</definedName>
    <definedName name="_emailFILE">'[17]#REF'!$F$11</definedName>
    <definedName name="_EPS99" localSheetId="4">#REF!</definedName>
    <definedName name="_EPS99">'[18]Income Statement'!$K$32</definedName>
    <definedName name="_eva2">#REF!</definedName>
    <definedName name="_Fill" hidden="1">#REF!</definedName>
    <definedName name="_xlnm._FilterDatabase" localSheetId="3" hidden="1">Assumptions!$B$49:$N$139</definedName>
    <definedName name="_xlnm._FilterDatabase" localSheetId="0" hidden="1">'Key (2)'!$B$2:$J$54</definedName>
    <definedName name="_kd01">#REF!</definedName>
    <definedName name="_kd02">#REF!</definedName>
    <definedName name="_kd03">#REF!</definedName>
    <definedName name="_kd04">#REF!</definedName>
    <definedName name="_kd05">#REF!</definedName>
    <definedName name="_kd06">#REF!</definedName>
    <definedName name="_kd07">#REF!</definedName>
    <definedName name="_kd08">#REF!</definedName>
    <definedName name="_kd09">#REF!</definedName>
    <definedName name="_kd10">#REF!</definedName>
    <definedName name="_kd11">#REF!</definedName>
    <definedName name="_kd12">#REF!</definedName>
    <definedName name="_kd13">#REF!</definedName>
    <definedName name="_kd14">#REF!</definedName>
    <definedName name="_kd15">#REF!</definedName>
    <definedName name="_kd16">#REF!</definedName>
    <definedName name="_kd17">#REF!</definedName>
    <definedName name="_kd18">#REF!</definedName>
    <definedName name="_kd19">#REF!</definedName>
    <definedName name="_kd20">#REF!</definedName>
    <definedName name="_kd21">#REF!</definedName>
    <definedName name="_kd22">#REF!</definedName>
    <definedName name="_kd23">#REF!</definedName>
    <definedName name="_kd24">#REF!</definedName>
    <definedName name="_kd25">#REF!</definedName>
    <definedName name="_Key1" localSheetId="9" hidden="1">#REF!</definedName>
    <definedName name="_Key1" hidden="1">#REF!</definedName>
    <definedName name="_Key2" hidden="1">#REF!</definedName>
    <definedName name="_MatInverse_In" hidden="1">#N/A</definedName>
    <definedName name="_MatInverse_Out" localSheetId="9" hidden="1">#REF!</definedName>
    <definedName name="_MatInverse_Out" localSheetId="10" hidden="1">[4]Hi_low!#REF!</definedName>
    <definedName name="_MatInverse_Out" hidden="1">#REF!</definedName>
    <definedName name="_May01">#REF!</definedName>
    <definedName name="_mySheetRange" localSheetId="4">#REF!</definedName>
    <definedName name="_mySheetRange">[19]systems!#REF!</definedName>
    <definedName name="_NG_044ff_F" localSheetId="4">#REF!</definedName>
    <definedName name="_NG_044ff_F">[20]EE!#REF!</definedName>
    <definedName name="_NG_13a75_F" localSheetId="4">#REF!</definedName>
    <definedName name="_NG_13a75_F">'[21]Orders booked by BHEL'!#REF!</definedName>
    <definedName name="_NG_13a75_T" localSheetId="4">#REF!</definedName>
    <definedName name="_NG_13a75_T">'[21]Orders booked by BHEL'!#REF!</definedName>
    <definedName name="_NG_35688_F" localSheetId="4">#REF!</definedName>
    <definedName name="_NG_35688_F">[20]EE!#REF!</definedName>
    <definedName name="_NG_64efb" localSheetId="4">#REF!</definedName>
    <definedName name="_NG_64efb">'[20]BHEL(P)'!#REF!</definedName>
    <definedName name="_NG_c4895" localSheetId="4">#REF!</definedName>
    <definedName name="_NG_c4895" xml:space="preserve">                                                      [20]EE!$I$50:$M$57</definedName>
    <definedName name="_NG_c9457_F" localSheetId="4">#REF!</definedName>
    <definedName name="_NG_c9457_F">[20]Data!#REF!</definedName>
    <definedName name="_nn05" localSheetId="4" hidden="1">{#N/A,#N/A,FALSE,"Status of Projects";#N/A,#N/A,FALSE,"CEA-TEC";#N/A,#N/A,FALSE,"U-Constr.";#N/A,#N/A,FALSE,"summary";#N/A,#N/A,FALSE,"PPP-3 yrs"}</definedName>
    <definedName name="_nn05" hidden="1">{#N/A,#N/A,FALSE,"Status of Projects";#N/A,#N/A,FALSE,"CEA-TEC";#N/A,#N/A,FALSE,"U-Constr.";#N/A,#N/A,FALSE,"summary";#N/A,#N/A,FALSE,"PPP-3 yrs"}</definedName>
    <definedName name="_no1" localSheetId="4" hidden="1">{#N/A,#N/A,FALSE,"Status of Projects";#N/A,#N/A,FALSE,"CEA-TEC";#N/A,#N/A,FALSE,"U-Constr.";#N/A,#N/A,FALSE,"summary";#N/A,#N/A,FALSE,"PPP-3 yrs"}</definedName>
    <definedName name="_no1" hidden="1">{#N/A,#N/A,FALSE,"Status of Projects";#N/A,#N/A,FALSE,"CEA-TEC";#N/A,#N/A,FALSE,"U-Constr.";#N/A,#N/A,FALSE,"summary";#N/A,#N/A,FALSE,"PPP-3 yrs"}</definedName>
    <definedName name="_Order1" localSheetId="4" hidden="1">0</definedName>
    <definedName name="_Order1" hidden="1">255</definedName>
    <definedName name="_Order2" hidden="1">255</definedName>
    <definedName name="_pap1">#REF!</definedName>
    <definedName name="_Parse_Out" localSheetId="9" hidden="1">#REF!</definedName>
    <definedName name="_Parse_Out" hidden="1">#REF!</definedName>
    <definedName name="_pc01">#REF!</definedName>
    <definedName name="_pc02">#REF!</definedName>
    <definedName name="_pc03">#REF!</definedName>
    <definedName name="_pc04">#REF!</definedName>
    <definedName name="_PG1">#REF!</definedName>
    <definedName name="_pr01">#REF!</definedName>
    <definedName name="_pr02">#REF!</definedName>
    <definedName name="_pr03">#REF!</definedName>
    <definedName name="_pr04">#REF!</definedName>
    <definedName name="_pr05">#REF!</definedName>
    <definedName name="_Q1" localSheetId="4" hidden="1">{"'Standalone List Price Trends'!$A$1:$X$56"}</definedName>
    <definedName name="_Q1" hidden="1">{"'Standalone List Price Trends'!$A$1:$X$56"}</definedName>
    <definedName name="_Q2" localSheetId="4" hidden="1">{"'Standalone List Price Trends'!$A$1:$X$56"}</definedName>
    <definedName name="_Q2" hidden="1">{"'Standalone List Price Trends'!$A$1:$X$56"}</definedName>
    <definedName name="_Q3" localSheetId="4" hidden="1">{"'Standalone List Price Trends'!$A$1:$X$56"}</definedName>
    <definedName name="_Q3" hidden="1">{"'Standalone List Price Trends'!$A$1:$X$56"}</definedName>
    <definedName name="_Q4" localSheetId="4" hidden="1">{"'Standalone List Price Trends'!$A$1:$X$56"}</definedName>
    <definedName name="_Q4" hidden="1">{"'Standalone List Price Trends'!$A$1:$X$56"}</definedName>
    <definedName name="_Q5" localSheetId="4" hidden="1">{"'Standalone List Price Trends'!$A$1:$X$56"}</definedName>
    <definedName name="_Q5" hidden="1">{"'Standalone List Price Trends'!$A$1:$X$56"}</definedName>
    <definedName name="_Q9" localSheetId="4" hidden="1">{"'Standalone List Price Trends'!$A$1:$X$56"}</definedName>
    <definedName name="_Q9" hidden="1">{"'Standalone List Price Trends'!$A$1:$X$56"}</definedName>
    <definedName name="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recomms" localSheetId="4">#REF!</definedName>
    <definedName name="_recomms">[19]systems!#REF!</definedName>
    <definedName name="_Regression_Int" hidden="1">1</definedName>
    <definedName name="_Regression_Out" localSheetId="9" hidden="1">#REF!</definedName>
    <definedName name="_Regression_Out" localSheetId="10" hidden="1">[22]Internet!#REF!</definedName>
    <definedName name="_Regression_Out" hidden="1">#REF!</definedName>
    <definedName name="_Regression_X" localSheetId="9" hidden="1">#REF!</definedName>
    <definedName name="_Regression_X" localSheetId="10" hidden="1">[4]Hi_low!$E$131:$E$245</definedName>
    <definedName name="_Regression_X" hidden="1">#REF!</definedName>
    <definedName name="_Regression_Y" localSheetId="9" hidden="1">#REF!</definedName>
    <definedName name="_Regression_Y" localSheetId="10" hidden="1">[4]Hi_low!$D$131:$D$245</definedName>
    <definedName name="_Regression_Y" hidden="1">#REF!</definedName>
    <definedName name="_rev99" localSheetId="4">#REF!</definedName>
    <definedName name="_rev99">'[23]Income Statement'!$AY$17</definedName>
    <definedName name="_RT1">#REF!</definedName>
    <definedName name="_RT2">#REF!</definedName>
    <definedName name="_RT3">#REF!</definedName>
    <definedName name="_RV__">#REF!</definedName>
    <definedName name="_Sort" hidden="1">#REF!</definedName>
    <definedName name="_Sort2" hidden="1">#REF!</definedName>
    <definedName name="_Table1_In1" hidden="1">#REF!</definedName>
    <definedName name="_Table1_Out" hidden="1">#REF!</definedName>
    <definedName name="_Table2_In1" localSheetId="10" hidden="1">'[24]CV Financials'!$C$847</definedName>
    <definedName name="_Table2_In1" hidden="1">#REF!</definedName>
    <definedName name="_Table2_In2" hidden="1">#REF!</definedName>
    <definedName name="_Table2_Out" localSheetId="10" hidden="1">[1]Charts!#REF!</definedName>
    <definedName name="_Table2_Out" hidden="1">#REF!</definedName>
    <definedName name="_TL1">#REF!</definedName>
    <definedName name="_ton95" localSheetId="4">#REF!</definedName>
    <definedName name="_ton95">[25]Sales!#REF!</definedName>
    <definedName name="_ton96" localSheetId="4">#REF!</definedName>
    <definedName name="_ton96">[25]Sales!#REF!</definedName>
    <definedName name="_ton97" localSheetId="4">#REF!</definedName>
    <definedName name="_ton97">[25]Sales!#REF!</definedName>
    <definedName name="_ton98" localSheetId="4">#REF!</definedName>
    <definedName name="_ton98">[25]Sales!#REF!</definedName>
    <definedName name="_ton99" localSheetId="4">#REF!</definedName>
    <definedName name="_ton99">[25]Sales!#REF!</definedName>
    <definedName name="_TX1">#REF!</definedName>
    <definedName name="_usw2">#REF!</definedName>
    <definedName name="_val95" localSheetId="4">#REF!</definedName>
    <definedName name="_val95">[25]Sales!#REF!</definedName>
    <definedName name="_val96" localSheetId="4">#REF!</definedName>
    <definedName name="_val96">[25]Sales!#REF!</definedName>
    <definedName name="_val97" localSheetId="4">#REF!</definedName>
    <definedName name="_val97">[25]Sales!#REF!</definedName>
    <definedName name="_val98" localSheetId="4">#REF!</definedName>
    <definedName name="_val98">[25]Sales!#REF!</definedName>
    <definedName name="_val99" localSheetId="4">#REF!</definedName>
    <definedName name="_val99">[25]Sales!#REF!</definedName>
    <definedName name="_validate" localSheetId="4">#REF!</definedName>
    <definedName name="_validate">[19]systems!#REF!</definedName>
    <definedName name="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2" localSheetId="9" hidden="1">{#N/A,#N/A,FALSE,"INPUTS";#N/A,#N/A,FALSE,"PROFORMA BSHEET";#N/A,#N/A,FALSE,"COMBINED";#N/A,#N/A,FALSE,"HIGH YIELD";#N/A,#N/A,FALSE,"COMB_GRAPHS"}</definedName>
    <definedName name="_wrn2" localSheetId="10" hidden="1">{#N/A,#N/A,FALSE,"INPUTS";#N/A,#N/A,FALSE,"PROFORMA BSHEET";#N/A,#N/A,FALSE,"COMBINED";#N/A,#N/A,FALSE,"HIGH YIELD";#N/A,#N/A,FALSE,"COMB_GRAPHS"}</definedName>
    <definedName name="_wrn2" localSheetId="4" hidden="1">{#N/A,#N/A,FALSE,"INPUTS";#N/A,#N/A,FALSE,"PROFORMA BSHEET";#N/A,#N/A,FALSE,"COMBINED";#N/A,#N/A,FALSE,"HIGH YIELD";#N/A,#N/A,FALSE,"COMB_GRAPHS"}</definedName>
    <definedName name="_wrn2" hidden="1">{#N/A,#N/A,FALSE,"INPUTS";#N/A,#N/A,FALSE,"PROFORMA BSHEET";#N/A,#N/A,FALSE,"COMBINED";#N/A,#N/A,FALSE,"HIGH YIELD";#N/A,#N/A,FALSE,"COMB_GRAPHS"}</definedName>
    <definedName name="_wrn3" localSheetId="9" hidden="1">{#N/A,#N/A,FALSE,"ACQ_GRAPHS";#N/A,#N/A,FALSE,"T_1 GRAPHS";#N/A,#N/A,FALSE,"T_2 GRAPHS";#N/A,#N/A,FALSE,"COMB_GRAPHS"}</definedName>
    <definedName name="_wrn3" localSheetId="10" hidden="1">{#N/A,#N/A,FALSE,"ACQ_GRAPHS";#N/A,#N/A,FALSE,"T_1 GRAPHS";#N/A,#N/A,FALSE,"T_2 GRAPHS";#N/A,#N/A,FALSE,"COMB_GRAPHS"}</definedName>
    <definedName name="_wrn3" localSheetId="4" hidden="1">{#N/A,#N/A,FALSE,"ACQ_GRAPHS";#N/A,#N/A,FALSE,"T_1 GRAPHS";#N/A,#N/A,FALSE,"T_2 GRAPHS";#N/A,#N/A,FALSE,"COMB_GRAPHS"}</definedName>
    <definedName name="_wrn3" hidden="1">{#N/A,#N/A,FALSE,"ACQ_GRAPHS";#N/A,#N/A,FALSE,"T_1 GRAPHS";#N/A,#N/A,FALSE,"T_2 GRAPHS";#N/A,#N/A,FALSE,"COMB_GRAPHS"}</definedName>
    <definedName name="_wrn4" localSheetId="9" hidden="1">{"vi1",#N/A,FALSE,"Financial Statements";"vi2",#N/A,FALSE,"Financial Statements";#N/A,#N/A,FALSE,"DCF"}</definedName>
    <definedName name="_wrn4" localSheetId="10" hidden="1">{"vi1",#N/A,FALSE,"Financial Statements";"vi2",#N/A,FALSE,"Financial Statements";#N/A,#N/A,FALSE,"DCF"}</definedName>
    <definedName name="_wrn4" localSheetId="4" hidden="1">{"vi1",#N/A,FALSE,"Financial Statements";"vi2",#N/A,FALSE,"Financial Statements";#N/A,#N/A,FALSE,"DCF"}</definedName>
    <definedName name="_wrn4" hidden="1">{"vi1",#N/A,FALSE,"Financial Statements";"vi2",#N/A,FALSE,"Financial Statements";#N/A,#N/A,FALSE,"DCF"}</definedName>
    <definedName name="_wrn5" localSheetId="9" hidden="1">{#N/A,#N/A,FALSE,"Valuation Assumptions";#N/A,#N/A,FALSE,"Summary";#N/A,#N/A,FALSE,"DCF";#N/A,#N/A,FALSE,"Valuation";#N/A,#N/A,FALSE,"WACC";#N/A,#N/A,FALSE,"UBVH";#N/A,#N/A,FALSE,"Free Cash Flow"}</definedName>
    <definedName name="_wrn5" localSheetId="10" hidden="1">{#N/A,#N/A,FALSE,"Valuation Assumptions";#N/A,#N/A,FALSE,"Summary";#N/A,#N/A,FALSE,"DCF";#N/A,#N/A,FALSE,"Valuation";#N/A,#N/A,FALSE,"WACC";#N/A,#N/A,FALSE,"UBVH";#N/A,#N/A,FALSE,"Free Cash Flow"}</definedName>
    <definedName name="_wrn5" localSheetId="4" hidden="1">{#N/A,#N/A,FALSE,"Valuation Assumptions";#N/A,#N/A,FALSE,"Summary";#N/A,#N/A,FALSE,"DCF";#N/A,#N/A,FALSE,"Valuation";#N/A,#N/A,FALSE,"WACC";#N/A,#N/A,FALSE,"UBVH";#N/A,#N/A,FALSE,"Free Cash Flow"}</definedName>
    <definedName name="_wrn5" hidden="1">{#N/A,#N/A,FALSE,"Valuation Assumptions";#N/A,#N/A,FALSE,"Summary";#N/A,#N/A,FALSE,"DCF";#N/A,#N/A,FALSE,"Valuation";#N/A,#N/A,FALSE,"WACC";#N/A,#N/A,FALSE,"UBVH";#N/A,#N/A,FALSE,"Free Cash Flow"}</definedName>
    <definedName name="_wrn6" localSheetId="9" hidden="1">{#N/A,#N/A,FALSE,"INPUTS";#N/A,#N/A,FALSE,"PROFORMA BSHEET";#N/A,#N/A,FALSE,"COMBINED";#N/A,#N/A,FALSE,"ACQUIROR";#N/A,#N/A,FALSE,"TARGET 1";#N/A,#N/A,FALSE,"TARGET 2";#N/A,#N/A,FALSE,"HIGH YIELD";#N/A,#N/A,FALSE,"OVERFUND"}</definedName>
    <definedName name="_wrn6" localSheetId="10" hidden="1">{#N/A,#N/A,FALSE,"INPUTS";#N/A,#N/A,FALSE,"PROFORMA BSHEET";#N/A,#N/A,FALSE,"COMBINED";#N/A,#N/A,FALSE,"ACQUIROR";#N/A,#N/A,FALSE,"TARGET 1";#N/A,#N/A,FALSE,"TARGET 2";#N/A,#N/A,FALSE,"HIGH YIELD";#N/A,#N/A,FALSE,"OVERFUND"}</definedName>
    <definedName name="_wrn6" localSheetId="4" hidden="1">{#N/A,#N/A,FALSE,"INPUTS";#N/A,#N/A,FALSE,"PROFORMA BSHEET";#N/A,#N/A,FALSE,"COMBINED";#N/A,#N/A,FALSE,"ACQUIROR";#N/A,#N/A,FALSE,"TARGET 1";#N/A,#N/A,FALSE,"TARGET 2";#N/A,#N/A,FALSE,"HIGH YIELD";#N/A,#N/A,FALSE,"OVERFUND"}</definedName>
    <definedName name="_wrn6" hidden="1">{#N/A,#N/A,FALSE,"INPUTS";#N/A,#N/A,FALSE,"PROFORMA BSHEET";#N/A,#N/A,FALSE,"COMBINED";#N/A,#N/A,FALSE,"ACQUIROR";#N/A,#N/A,FALSE,"TARGET 1";#N/A,#N/A,FALSE,"TARGET 2";#N/A,#N/A,FALSE,"HIGH YIELD";#N/A,#N/A,FALSE,"OVERFUND"}</definedName>
    <definedName name="_YR90">#REF!</definedName>
    <definedName name="_YR91">#REF!</definedName>
    <definedName name="A" localSheetId="9">#REF!</definedName>
    <definedName name="A">#REF!</definedName>
    <definedName name="A_Price">#REF!</definedName>
    <definedName name="a_Q" localSheetId="4">#REF!</definedName>
    <definedName name="a_Q">[26]FinancialsNew!#REF!</definedName>
    <definedName name="aa" localSheetId="9">#REF!</definedName>
    <definedName name="aa"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a">#REF!</definedName>
    <definedName name="aaa" localSheetId="4" hidden="1">{"'PS-SOTM'!$A$1","'PS-SOTM'!$A$2:$M$30","'PS-SOTM'!$A$31:$A$38"}</definedName>
    <definedName name="aaa" hidden="1">{"'PS-SOTM'!$A$1","'PS-SOTM'!$A$2:$M$30","'PS-SOTM'!$A$31:$A$38"}</definedName>
    <definedName name="AAA_DOCTOPS" hidden="1">"AAA_SET"</definedName>
    <definedName name="AAA_duser" hidden="1">"OFF"</definedName>
    <definedName name="aaaa">#REF!</definedName>
    <definedName name="aaaaa" localSheetId="4">#REF!</definedName>
    <definedName name="aaaaa">'[27]P&amp;L(F)'!$E$13:$G$13</definedName>
    <definedName name="aaaaaa" localSheetId="4">{#N/A,#N/A,FALSE,"One Pager";#N/A,#N/A,FALSE,"Technical"}</definedName>
    <definedName name="aaaaaa">{#N/A,#N/A,FALSE,"One Pager";#N/A,#N/A,FALSE,"Technical"}</definedName>
    <definedName name="AAB_Addin5" hidden="1">"AAB_Description for addin 5,Description for addin 5,Description for addin 5,Description for addin 5,Description for addin 5,Description for addin 5"</definedName>
    <definedName name="aaddd">#REF!</definedName>
    <definedName name="abc" localSheetId="4">#REF!</definedName>
    <definedName name="ABC"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ca">#REF!</definedName>
    <definedName name="acc" localSheetId="9" hidden="1">{#N/A,#N/A,FALSE,"Status of Projects";#N/A,#N/A,FALSE,"CEA-TEC";#N/A,#N/A,FALSE,"U-Constr.";#N/A,#N/A,FALSE,"summary";#N/A,#N/A,FALSE,"PPP-3 yrs"}</definedName>
    <definedName name="acc" localSheetId="10" hidden="1">{#N/A,#N/A,FALSE,"Status of Projects";#N/A,#N/A,FALSE,"CEA-TEC";#N/A,#N/A,FALSE,"U-Constr.";#N/A,#N/A,FALSE,"summary";#N/A,#N/A,FALSE,"PPP-3 yrs"}</definedName>
    <definedName name="acc" localSheetId="4" hidden="1">{#N/A,#N/A,FALSE,"Status of Projects";#N/A,#N/A,FALSE,"CEA-TEC";#N/A,#N/A,FALSE,"U-Constr.";#N/A,#N/A,FALSE,"summary";#N/A,#N/A,FALSE,"PPP-3 yrs"}</definedName>
    <definedName name="acc" hidden="1">{#N/A,#N/A,FALSE,"Status of Projects";#N/A,#N/A,FALSE,"CEA-TEC";#N/A,#N/A,FALSE,"U-Constr.";#N/A,#N/A,FALSE,"summary";#N/A,#N/A,FALSE,"PPP-3 yrs"}</definedName>
    <definedName name="Acc_payable" localSheetId="9">#REF!</definedName>
    <definedName name="Acc_payable">#REF!</definedName>
    <definedName name="Acc_payable_growth_fore" localSheetId="9">#REF!</definedName>
    <definedName name="Acc_payable_growth_fore">#REF!</definedName>
    <definedName name="Acc_Rec" localSheetId="9">#REF!</definedName>
    <definedName name="Acc_Rec">#REF!</definedName>
    <definedName name="Acc_Rec_growth_fore">#REF!</definedName>
    <definedName name="Acc_Rec_turns">#REF!</definedName>
    <definedName name="AccAmortGood" localSheetId="4">#REF!</definedName>
    <definedName name="AccAmortGood">[26]FinancialsNew!#REF!</definedName>
    <definedName name="Accel_Ratio">#REF!</definedName>
    <definedName name="AccessDatabase" hidden="1">"D:\MIS\TALLY  31.09.04 sep\AS PER TALLY 31.09.04.mdb"</definedName>
    <definedName name="accretion_to_reserves">#REF!</definedName>
    <definedName name="Accrued_compensation" localSheetId="9">#REF!</definedName>
    <definedName name="Accrued_compensation">#REF!</definedName>
    <definedName name="Accrued_compensation_growth_fore" localSheetId="9">#REF!</definedName>
    <definedName name="Accrued_compensation_growth_fore">#REF!</definedName>
    <definedName name="Accrued_expenses" localSheetId="9">#REF!</definedName>
    <definedName name="Accrued_expenses">#REF!</definedName>
    <definedName name="Accrued_expenses_growth_fore">#REF!</definedName>
    <definedName name="accrued_interest">#REF!</definedName>
    <definedName name="Accum_Cap_Expenses">#REF!</definedName>
    <definedName name="Accum_Cap_Expenses_growth_fore">#REF!</definedName>
    <definedName name="Accum_Goodwill_Amort">#REF!</definedName>
    <definedName name="Accum_Goodwill_Amort_growth_fore">#REF!</definedName>
    <definedName name="Accum_Other_Amort.">#REF!</definedName>
    <definedName name="accumulated_depraciation">#REF!</definedName>
    <definedName name="Accumulated_depreciation_total">#REF!</definedName>
    <definedName name="AcidTestRatio">#REF!</definedName>
    <definedName name="acl">#REF!</definedName>
    <definedName name="acquisition_disposal_of_subsidiaries">#REF!</definedName>
    <definedName name="Acquition">#REF!</definedName>
    <definedName name="act">#REF!</definedName>
    <definedName name="ActDepr">#REF!</definedName>
    <definedName name="actual_estimates">#REF!</definedName>
    <definedName name="ActualEarningsPerShare">#REF!</definedName>
    <definedName name="ActualEPS">#REF!</definedName>
    <definedName name="additional_charge" localSheetId="10">[28]Template!$D$388:$T$388</definedName>
    <definedName name="additional_charge">#REF!</definedName>
    <definedName name="Additional_provision_for_Non_Performing_Assets">#REF!</definedName>
    <definedName name="adep" localSheetId="4">#REF!</definedName>
    <definedName name="adep">[29]UploaderV4!$F$138:$AE$138</definedName>
    <definedName name="adepint" localSheetId="4">#REF!</definedName>
    <definedName name="adepint">[29]UploaderV4!$F$140:$AE$140</definedName>
    <definedName name="adept" localSheetId="4">#REF!</definedName>
    <definedName name="adept">[29]UploaderV4!$F$139:$AE$139</definedName>
    <definedName name="adj._eps">#REF!</definedName>
    <definedName name="Adj._Net_Operating_profit">#REF!</definedName>
    <definedName name="adj_below_net_profit">#REF!</definedName>
    <definedName name="adj_book_value_per_share" localSheetId="4">#REF!</definedName>
    <definedName name="adj_book_value_per_share">'[30]Annual Temp'!#REF!</definedName>
    <definedName name="adj_eps" localSheetId="4">#REF!</definedName>
    <definedName name="adj_eps">'[30]Annual Temp'!#REF!</definedName>
    <definedName name="Adj_net_oper_fore">#REF!</definedName>
    <definedName name="adj_net_profit">#REF!</definedName>
    <definedName name="adj_net_profit_ex_eo_forex_Q">#REF!</definedName>
    <definedName name="adj_net_profit_ex_eo_Q">#REF!</definedName>
    <definedName name="adj_net_profit_growth">#REF!</definedName>
    <definedName name="adj_pat_Q">#REF!</definedName>
    <definedName name="Adj_Price_Rs_at_Period_End">#REF!</definedName>
    <definedName name="adjpat" localSheetId="4">#REF!</definedName>
    <definedName name="adjpat">[29]UploaderV4!$F$82:$AE$82</definedName>
    <definedName name="AdjPE">#REF!</definedName>
    <definedName name="Adjusted_book_value_Rs">#REF!</definedName>
    <definedName name="Adjusted_Common_Equity">#REF!</definedName>
    <definedName name="adjusted_eps">#REF!</definedName>
    <definedName name="Adjusted_Income_Available_to_Common">#REF!</definedName>
    <definedName name="adjusted_NAV_share">#REF!</definedName>
    <definedName name="Adjusted_Net_Operating_Profit">#REF!</definedName>
    <definedName name="adjusted_net_profit">#REF!</definedName>
    <definedName name="adjusted_net_profit_qtr">#REF!</definedName>
    <definedName name="Adjusted_Net_profit6">#REF!</definedName>
    <definedName name="Adjusted_Profit_after_tax">#REF!</definedName>
    <definedName name="Adjusted_profit_after_tax_Q">#REF!</definedName>
    <definedName name="AdmExp">#REF!</definedName>
    <definedName name="AdmExpSer" localSheetId="10" hidden="1">[31]Profile!$AT$5:$AT$12</definedName>
    <definedName name="AdmExpSer" hidden="1">#REF!</definedName>
    <definedName name="administrative_expenses">#REF!</definedName>
    <definedName name="ADR_EXRATE">#REF!</definedName>
    <definedName name="adsf">#REF!</definedName>
    <definedName name="Advance_payment_of_tax">#REF!</definedName>
    <definedName name="advances_avg">#REF!</definedName>
    <definedName name="advances_Q">#REF!</definedName>
    <definedName name="advertising">#REF!</definedName>
    <definedName name="advlt" localSheetId="4">#REF!</definedName>
    <definedName name="advlt">[29]UploaderV4!$F$156:$AE$156</definedName>
    <definedName name="advst" localSheetId="4">#REF!</definedName>
    <definedName name="advst">[29]UploaderV4!$F$157:$AE$157</definedName>
    <definedName name="AF">#REF!</definedName>
    <definedName name="afa">#REF!</definedName>
    <definedName name="afc">#REF!</definedName>
    <definedName name="afgdfgfd" localSheetId="9" hidden="1">#REF!,#REF!,#REF!,#REF!,#REF!,#REF!,#REF!,#REF!</definedName>
    <definedName name="afgdfgfd" localSheetId="10" hidden="1">[32]Input!$K$162:$Y$162,[32]Input!$K$180:$Y$180,[32]Input!$K$198:$Y$198,[32]Input!$K$216:$Y$216,[32]Input!$K$234:$Y$234,[32]Input!$K$252:$Y$252,[32]Input!$K$270:$Y$270,[32]Input!$K$288:$Y$288</definedName>
    <definedName name="afgdfgfd" hidden="1">#REF!,#REF!,#REF!,#REF!,#REF!,#REF!,#REF!,#REF!</definedName>
    <definedName name="After_tax_charge" localSheetId="9">#REF!</definedName>
    <definedName name="After_tax_charge">#REF!</definedName>
    <definedName name="After_Tax_charges_gains" localSheetId="9">#REF!</definedName>
    <definedName name="After_Tax_charges_gains">#REF!</definedName>
    <definedName name="aie">#REF!</definedName>
    <definedName name="ajaj" localSheetId="4" hidden="1">{#N/A,#N/A,FALSE,"Status of Projects";#N/A,#N/A,FALSE,"CEA-TEC";#N/A,#N/A,FALSE,"U-Constr.";#N/A,#N/A,FALSE,"summary";#N/A,#N/A,FALSE,"PPP-3 yrs"}</definedName>
    <definedName name="ajaj" hidden="1">{#N/A,#N/A,FALSE,"Status of Projects";#N/A,#N/A,FALSE,"CEA-TEC";#N/A,#N/A,FALSE,"U-Constr.";#N/A,#N/A,FALSE,"summary";#N/A,#N/A,FALSE,"PPP-3 yrs"}</definedName>
    <definedName name="ajay" localSheetId="4" hidden="1">{#N/A,#N/A,FALSE,"Status of Projects";#N/A,#N/A,FALSE,"CEA-TEC";#N/A,#N/A,FALSE,"U-Constr.";#N/A,#N/A,FALSE,"summary";#N/A,#N/A,FALSE,"PPP-3 yrs"}</definedName>
    <definedName name="ajay" hidden="1">{#N/A,#N/A,FALSE,"Status of Projects";#N/A,#N/A,FALSE,"CEA-TEC";#N/A,#N/A,FALSE,"U-Constr.";#N/A,#N/A,FALSE,"summary";#N/A,#N/A,FALSE,"PPP-3 yrs"}</definedName>
    <definedName name="AL_Sector" localSheetId="4">#REF!</definedName>
    <definedName name="AL_Sector">[33]EquityTemplate!$C$5</definedName>
    <definedName name="AL_SectorNm" localSheetId="4">#REF!</definedName>
    <definedName name="AL_SectorNm">[33]EquityTemplate!$C$6</definedName>
    <definedName name="ALBK_AccInt" localSheetId="4">#REF!</definedName>
    <definedName name="ALBK_AccInt">[33]EquityTemplate!$A$217:$IV$217</definedName>
    <definedName name="ALBK_AddShares" localSheetId="4">#REF!</definedName>
    <definedName name="ALBK_AddShares">[33]EquityTemplate!$A$60:$IV$60</definedName>
    <definedName name="ALBK_AdjBVPS" localSheetId="4">#REF!</definedName>
    <definedName name="ALBK_AdjBVPS">[33]EquityTemplate!$A$259:$IV$259</definedName>
    <definedName name="ALBK_AdjPB" localSheetId="4">#REF!</definedName>
    <definedName name="ALBK_AdjPB">[33]EquityTemplate!$A$260:$IV$260</definedName>
    <definedName name="ALBK_AdjSHFunds" localSheetId="4">#REF!</definedName>
    <definedName name="ALBK_AdjSHFunds">[33]EquityTemplate!$A$258:$IV$258</definedName>
    <definedName name="ALBK_ADR_EXRATE" localSheetId="4">#REF!</definedName>
    <definedName name="ALBK_ADR_EXRATE">[33]EquityTemplate!$A$272:$IV$272</definedName>
    <definedName name="ALBK_AfTaxInc" localSheetId="4">#REF!</definedName>
    <definedName name="ALBK_AfTaxInc">[33]EquityTemplate!$A$53:$IV$53</definedName>
    <definedName name="ALBK_Associates" localSheetId="4">#REF!</definedName>
    <definedName name="ALBK_Associates">[33]EquityTemplate!$A$32:$IV$32</definedName>
    <definedName name="ALBK_AttribProf" localSheetId="4">#REF!</definedName>
    <definedName name="ALBK_AttribProf">[33]EquityTemplate!$A$38:$IV$38</definedName>
    <definedName name="ALBK_AttribProf_AvgAsset" localSheetId="4">#REF!</definedName>
    <definedName name="ALBK_AttribProf_AvgAsset">[33]EquityTemplate!$A$189:$IV$189</definedName>
    <definedName name="ALBK_AttribProf_Branch" localSheetId="4">#REF!</definedName>
    <definedName name="ALBK_AttribProf_Branch">[33]EquityTemplate!$A$103:$IV$103</definedName>
    <definedName name="ALBK_AttribProf_Emps" localSheetId="4">#REF!</definedName>
    <definedName name="ALBK_AttribProf_Emps">[33]EquityTemplate!$A$95:$IV$95</definedName>
    <definedName name="ALBK_AvgAsset" localSheetId="4">#REF!</definedName>
    <definedName name="ALBK_AvgAsset">[33]EquityTemplate!$A$154:$IV$154</definedName>
    <definedName name="ALBK_AvgEarnAssets" localSheetId="4">#REF!</definedName>
    <definedName name="ALBK_AvgEarnAssets">[33]EquityTemplate!$A$65:$IV$65</definedName>
    <definedName name="ALBK_AvgFDShares" localSheetId="4">#REF!</definedName>
    <definedName name="ALBK_AvgFDShares">[33]EquityTemplate!$A$62:$IV$62</definedName>
    <definedName name="ALBK_AvgGrossAdv" localSheetId="4">#REF!</definedName>
    <definedName name="ALBK_AvgGrossAdv">[33]EquityTemplate!$A$106:$IV$106</definedName>
    <definedName name="ALBK_AvgShares" localSheetId="4">#REF!</definedName>
    <definedName name="ALBK_AvgShares">[33]EquityTemplate!$A$50:$IV$50</definedName>
    <definedName name="ALBK_AvgSHFunds" localSheetId="4">#REF!</definedName>
    <definedName name="ALBK_AvgSHFunds">[33]EquityTemplate!$A$155:$IV$155</definedName>
    <definedName name="ALBK_Branch" localSheetId="4">#REF!</definedName>
    <definedName name="ALBK_Branch">[33]EquityTemplate!$A$79:$IV$79</definedName>
    <definedName name="ALBK_BVPS" localSheetId="4">#REF!</definedName>
    <definedName name="ALBK_BVPS">[33]EquityTemplate!$A$254:$IV$254</definedName>
    <definedName name="ALBK_C_IRatio" localSheetId="4">#REF!</definedName>
    <definedName name="ALBK_C_IRatio">[33]EquityTemplate!$A$75:$IV$75</definedName>
    <definedName name="ALBK_CAR" localSheetId="4">#REF!</definedName>
    <definedName name="ALBK_CAR">[33]EquityTemplate!$A$150:$IV$150</definedName>
    <definedName name="ALBK_CD" localSheetId="4">#REF!</definedName>
    <definedName name="ALBK_CD">[33]EquityTemplate!$A$195:$IV$195</definedName>
    <definedName name="ALBK_Cover" localSheetId="4">#REF!</definedName>
    <definedName name="ALBK_Cover">[33]EquityTemplate!$A$131:$IV$131</definedName>
    <definedName name="ALBK_DC" localSheetId="4">#REF!</definedName>
    <definedName name="ALBK_DC">[33]EquityTemplate!$A$45:$IV$45</definedName>
    <definedName name="ALBK_DealInc" localSheetId="4">#REF!</definedName>
    <definedName name="ALBK_DealInc">[33]EquityTemplate!$A$17:$IV$17</definedName>
    <definedName name="ALBK_DepExp" localSheetId="4">#REF!</definedName>
    <definedName name="ALBK_DepExp">[33]EquityTemplate!$A$23:$IV$23</definedName>
    <definedName name="ALBK_Deposits" localSheetId="4">#REF!</definedName>
    <definedName name="ALBK_Deposits">[33]EquityTemplate!$A$82:$IV$82</definedName>
    <definedName name="ALBK_Deposits_Branch" localSheetId="4">#REF!</definedName>
    <definedName name="ALBK_Deposits_Branch">[33]EquityTemplate!$A$98:$IV$98</definedName>
    <definedName name="ALBK_Deposits_Emps" localSheetId="4">#REF!</definedName>
    <definedName name="ALBK_Deposits_Emps">[33]EquityTemplate!$A$90:$IV$90</definedName>
    <definedName name="ALBK_Disposals" localSheetId="4">#REF!</definedName>
    <definedName name="ALBK_Disposals">[33]EquityTemplate!$A$33:$IV$33</definedName>
    <definedName name="ALBK_Dividends" localSheetId="4">#REF!</definedName>
    <definedName name="ALBK_Dividends">[33]EquityTemplate!$A$39:$IV$39</definedName>
    <definedName name="ALBK_DivInc" localSheetId="4">#REF!</definedName>
    <definedName name="ALBK_DivInc">[33]EquityTemplate!$A$16:$IV$16</definedName>
    <definedName name="ALBK_DPS" localSheetId="4">#REF!</definedName>
    <definedName name="ALBK_DPS">[33]EquityTemplate!$A$44:$IV$44</definedName>
    <definedName name="ALBK_E_A" localSheetId="4">#REF!</definedName>
    <definedName name="ALBK_E_A">[33]EquityTemplate!$A$149:$IV$149</definedName>
    <definedName name="ALBK_EffTaxrate" localSheetId="4">#REF!</definedName>
    <definedName name="ALBK_EffTaxrate">[33]EquityTemplate!$A$139:$IV$139</definedName>
    <definedName name="ALBK_Emps" localSheetId="4">#REF!</definedName>
    <definedName name="ALBK_Emps">[33]EquityTemplate!$A$78:$IV$78</definedName>
    <definedName name="ALBK_EPS" localSheetId="4">#REF!</definedName>
    <definedName name="ALBK_EPS">[33]EquityTemplate!$A$43:$IV$43</definedName>
    <definedName name="ALBK_EquipExp" localSheetId="4">#REF!</definedName>
    <definedName name="ALBK_EquipExp">[33]EquityTemplate!$A$22:$IV$22</definedName>
    <definedName name="ALBK_FDDC" localSheetId="4">#REF!</definedName>
    <definedName name="ALBK_FDDC">[33]EquityTemplate!$A$56:$IV$56</definedName>
    <definedName name="ALBK_FDEPS" localSheetId="4">#REF!</definedName>
    <definedName name="ALBK_FDEPS">[33]EquityTemplate!$A$54:$IV$54</definedName>
    <definedName name="ALBK_FDPER" localSheetId="4">#REF!</definedName>
    <definedName name="ALBK_FDPER">[33]EquityTemplate!$A$242:$IV$242</definedName>
    <definedName name="ALBK_FDPER_Growth" localSheetId="4">#REF!</definedName>
    <definedName name="ALBK_FDPER_Growth">[33]EquityTemplate!$A$246:$IV$246</definedName>
    <definedName name="ALBK_FDPERRel" localSheetId="4">#REF!</definedName>
    <definedName name="ALBK_FDPERRel">[33]EquityTemplate!$A$243:$IV$243</definedName>
    <definedName name="ALBK_FDPreexDC" localSheetId="4">#REF!</definedName>
    <definedName name="ALBK_FDPreexDC">[33]EquityTemplate!$A$59:$IV$59</definedName>
    <definedName name="ALBK_FDPreexEPS" localSheetId="4">#REF!</definedName>
    <definedName name="ALBK_FDPreexEPS">[33]EquityTemplate!$A$57:$IV$57</definedName>
    <definedName name="ALBK_FDPreexPER" localSheetId="4">#REF!</definedName>
    <definedName name="ALBK_FDPreexPER">[33]EquityTemplate!$A$244:$IV$244</definedName>
    <definedName name="ALBK_FDPreexPER_Growth" localSheetId="4">#REF!</definedName>
    <definedName name="ALBK_FDPreexPER_Growth">[33]EquityTemplate!$A$247:$IV$247</definedName>
    <definedName name="ALBK_FDPreexPERRel" localSheetId="4">#REF!</definedName>
    <definedName name="ALBK_FDPreexPERRel">[33]EquityTemplate!$A$245:$IV$245</definedName>
    <definedName name="ALBK_FDShares" localSheetId="4">#REF!</definedName>
    <definedName name="ALBK_FDShares">[33]EquityTemplate!$A$61:$IV$61</definedName>
    <definedName name="ALBK_ForexAsset" localSheetId="4">#REF!</definedName>
    <definedName name="ALBK_ForexAsset">[33]EquityTemplate!$A$204:$IV$204</definedName>
    <definedName name="ALBK_ForexAsset_TotAsset" localSheetId="4">#REF!</definedName>
    <definedName name="ALBK_ForexAsset_TotAsset">[33]EquityTemplate!$A$209:$IV$209</definedName>
    <definedName name="ALBK_ForexLiab" localSheetId="4">#REF!</definedName>
    <definedName name="ALBK_ForexLiab">[33]EquityTemplate!$A$207:$IV$207</definedName>
    <definedName name="ALBK_ForexLiab_TotAsset" localSheetId="4">#REF!</definedName>
    <definedName name="ALBK_ForexLiab_TotAsset">[33]EquityTemplate!$A$210:$IV$210</definedName>
    <definedName name="ALBK_FreeFloat" localSheetId="4">#REF!</definedName>
    <definedName name="ALBK_FreeFloat">[33]EquityTemplate!$A$262:$IV$262</definedName>
    <definedName name="ALBK_GDR_EXRATE" localSheetId="4">#REF!</definedName>
    <definedName name="ALBK_GDR_EXRATE">[33]EquityTemplate!$A$273:$IV$273</definedName>
    <definedName name="ALBK_GenAllow" localSheetId="4">#REF!</definedName>
    <definedName name="ALBK_GenAllow">[33]EquityTemplate!$A$120:$IV$120</definedName>
    <definedName name="ALBK_GenAllow_PEGrossAdv" localSheetId="4">#REF!</definedName>
    <definedName name="ALBK_GenAllow_PEGrossAdv">[33]EquityTemplate!$A$119:$IV$119</definedName>
    <definedName name="ALBK_GenProv" localSheetId="4">#REF!</definedName>
    <definedName name="ALBK_GenProv">[33]EquityTemplate!$A$111:$IV$111</definedName>
    <definedName name="ALBK_GenProv_AvgGrossAdv" localSheetId="4">#REF!</definedName>
    <definedName name="ALBK_GenProv_AvgGrossAdv">[33]EquityTemplate!$A$110:$IV$110</definedName>
    <definedName name="ALBK_GrossAdv" localSheetId="4">#REF!</definedName>
    <definedName name="ALBK_GrossAdv">[33]EquityTemplate!$A$81:$IV$81</definedName>
    <definedName name="ALBK_GrossAdv_Branch" localSheetId="4">#REF!</definedName>
    <definedName name="ALBK_GrossAdv_Branch">[33]EquityTemplate!$A$97:$IV$97</definedName>
    <definedName name="ALBK_GrossAdv_Emps" localSheetId="4">#REF!</definedName>
    <definedName name="ALBK_GrossAdv_Emps">[33]EquityTemplate!$A$89:$IV$89</definedName>
    <definedName name="ALBK_IntAcc" localSheetId="4">#REF!</definedName>
    <definedName name="ALBK_IntAcc">[33]EquityTemplate!$A$126:$IV$126</definedName>
    <definedName name="ALBK_IntAcc_PEGrossAdv" localSheetId="4">#REF!</definedName>
    <definedName name="ALBK_IntAcc_PEGrossAdv">[33]EquityTemplate!$A$125:$IV$125</definedName>
    <definedName name="ALBK_IntExp" localSheetId="4">#REF!</definedName>
    <definedName name="ALBK_IntExp">[33]EquityTemplate!$A$14:$IV$14</definedName>
    <definedName name="ALBK_IntInc" localSheetId="4">#REF!</definedName>
    <definedName name="ALBK_IntInc">[33]EquityTemplate!$A$13:$IV$13</definedName>
    <definedName name="ALBK_LCDR" localSheetId="4">#REF!</definedName>
    <definedName name="ALBK_LCDR">[33]EquityTemplate!$A$198:$IV$198</definedName>
    <definedName name="ALBK_LDR" localSheetId="4">#REF!</definedName>
    <definedName name="ALBK_LDR">[33]EquityTemplate!$A$197:$IV$197</definedName>
    <definedName name="ALBK_LiqAsset" localSheetId="4">#REF!</definedName>
    <definedName name="ALBK_LiqAsset">[33]EquityTemplate!$A$193:$IV$193</definedName>
    <definedName name="ALBK_Liquidity" localSheetId="4">#REF!</definedName>
    <definedName name="ALBK_Liquidity">[33]EquityTemplate!$A$200:$IV$200</definedName>
    <definedName name="ALBK_LocalAsset" localSheetId="4">#REF!</definedName>
    <definedName name="ALBK_LocalAsset">[33]EquityTemplate!$A$203:$IV$203</definedName>
    <definedName name="ALBK_LocalLiab" localSheetId="4">#REF!</definedName>
    <definedName name="ALBK_LocalLiab">[33]EquityTemplate!$A$206:$IV$206</definedName>
    <definedName name="ALBK_LOtherFunds" localSheetId="4">#REF!</definedName>
    <definedName name="ALBK_LOtherFunds">[33]EquityTemplate!$A$199:$IV$199</definedName>
    <definedName name="ALBK_LTL_CAP" localSheetId="4">#REF!</definedName>
    <definedName name="ALBK_LTL_CAP">[33]EquityTemplate!$A$261:$IV$261</definedName>
    <definedName name="ALBK_MarketCap" localSheetId="4">#REF!</definedName>
    <definedName name="ALBK_MarketCap">[33]EquityTemplate!$A$224:$IV$224</definedName>
    <definedName name="ALBK_MarketPER" localSheetId="4">#REF!</definedName>
    <definedName name="ALBK_MarketPER">[33]EquityTemplate!$A$226:$IV$226</definedName>
    <definedName name="ALBK_Minority" localSheetId="4">#REF!</definedName>
    <definedName name="ALBK_Minority">[33]EquityTemplate!$A$37:$IV$37</definedName>
    <definedName name="ALBK_MYield" localSheetId="4">#REF!</definedName>
    <definedName name="ALBK_MYield">[33]EquityTemplate!$A$228:$IV$228</definedName>
    <definedName name="ALBK_NIInc" localSheetId="4">#REF!</definedName>
    <definedName name="ALBK_NIInc">[33]EquityTemplate!$A$15:$IV$15</definedName>
    <definedName name="ALBK_NIInc_AvgAsset" localSheetId="4">#REF!</definedName>
    <definedName name="ALBK_NIInc_AvgAsset">[33]EquityTemplate!$A$179:$IV$179</definedName>
    <definedName name="ALBK_NIInc_TotOpInc" localSheetId="4">#REF!</definedName>
    <definedName name="ALBK_NIInc_TotOpInc">[33]EquityTemplate!$A$74:$IV$74</definedName>
    <definedName name="ALBK_NIM" localSheetId="4">#REF!</definedName>
    <definedName name="ALBK_NIM">[33]EquityTemplate!$A$67:$IV$67</definedName>
    <definedName name="ALBK_NPL" localSheetId="4">#REF!</definedName>
    <definedName name="ALBK_NPL">[33]EquityTemplate!$A$129:$IV$129</definedName>
    <definedName name="ALBK_NPL_PEGrossAdv" localSheetId="4">#REF!</definedName>
    <definedName name="ALBK_NPL_PEGrossAdv">[33]EquityTemplate!$A$128:$IV$128</definedName>
    <definedName name="ALBK_OpCF" localSheetId="4">#REF!</definedName>
    <definedName name="ALBK_OpCF">[33]EquityTemplate!$A$218:$IV$218</definedName>
    <definedName name="ALBK_OpProf" localSheetId="4">#REF!</definedName>
    <definedName name="ALBK_OpProf">[33]EquityTemplate!$A$31:$IV$31</definedName>
    <definedName name="ALBK_OpProf_AvgAsset" localSheetId="4">#REF!</definedName>
    <definedName name="ALBK_OpProf_AvgAsset">[33]EquityTemplate!$A$185:$IV$185</definedName>
    <definedName name="ALBK_OpProf_Branch" localSheetId="4">#REF!</definedName>
    <definedName name="ALBK_OpProf_Branch">[33]EquityTemplate!$A$102:$IV$102</definedName>
    <definedName name="ALBK_OpProf_Emps" localSheetId="4">#REF!</definedName>
    <definedName name="ALBK_OpProf_Emps">[33]EquityTemplate!$A$94:$IV$94</definedName>
    <definedName name="ALBK_OpProfTaxrate" localSheetId="4">#REF!</definedName>
    <definedName name="ALBK_OpProfTaxrate">[33]EquityTemplate!$A$136:$IV$136</definedName>
    <definedName name="ALBK_OtherFunds" localSheetId="4">#REF!</definedName>
    <definedName name="ALBK_OtherFunds">[33]EquityTemplate!$A$196:$IV$196</definedName>
    <definedName name="ALBK_OtherInc" localSheetId="4">#REF!</definedName>
    <definedName name="ALBK_OtherInc">[33]EquityTemplate!$A$175:$IV$175</definedName>
    <definedName name="ALBK_OtherInc_AvgAsset" localSheetId="4">#REF!</definedName>
    <definedName name="ALBK_OtherInc_AvgAsset">[33]EquityTemplate!$A$186:$IV$186</definedName>
    <definedName name="ALBK_OthExcept" localSheetId="4">#REF!</definedName>
    <definedName name="ALBK_OthExcept">[33]EquityTemplate!$A$34:$IV$34</definedName>
    <definedName name="ALBK_OthInc" localSheetId="4">#REF!</definedName>
    <definedName name="ALBK_OthInc">[33]EquityTemplate!$A$18:$IV$18</definedName>
    <definedName name="ALBK_OthOpExp" localSheetId="4">#REF!</definedName>
    <definedName name="ALBK_OthOpExp">[33]EquityTemplate!$A$25:$IV$25</definedName>
    <definedName name="ALBK_OthOpInc" localSheetId="4">#REF!</definedName>
    <definedName name="ALBK_OthOpInc">[33]EquityTemplate!$A$19:$IV$19</definedName>
    <definedName name="ALBK_OthOpInc_AvgAsset" localSheetId="4">#REF!</definedName>
    <definedName name="ALBK_OthOpInc_AvgAsset">[33]EquityTemplate!$A$180:$IV$180</definedName>
    <definedName name="ALBK_PB" localSheetId="4">#REF!</definedName>
    <definedName name="ALBK_PB">[33]EquityTemplate!$A$255:$IV$255</definedName>
    <definedName name="ALBK_PER" localSheetId="4">#REF!</definedName>
    <definedName name="ALBK_PER">[33]EquityTemplate!$A$232:$IV$232</definedName>
    <definedName name="ALBK_PER_Growth" localSheetId="4">#REF!</definedName>
    <definedName name="ALBK_PER_Growth">[33]EquityTemplate!$A$238:$IV$238</definedName>
    <definedName name="ALBK_PERRel" localSheetId="4">#REF!</definedName>
    <definedName name="ALBK_PERRel">[33]EquityTemplate!$A$233:$IV$233</definedName>
    <definedName name="ALBK_PostTotProvNIInc" localSheetId="4">#REF!</definedName>
    <definedName name="ALBK_PostTotProvNIInc">[33]EquityTemplate!$A$69:$IV$69</definedName>
    <definedName name="ALBK_PostTotProvNIM" localSheetId="4">#REF!</definedName>
    <definedName name="ALBK_PostTotProvNIM">[33]EquityTemplate!$A$70:$IV$70</definedName>
    <definedName name="ALBK_PPProf" localSheetId="4">#REF!</definedName>
    <definedName name="ALBK_PPProf">[33]EquityTemplate!$A$27:$IV$27</definedName>
    <definedName name="ALBK_PPProf_AvgAsset" localSheetId="4">#REF!</definedName>
    <definedName name="ALBK_PPProf_AvgAsset">[33]EquityTemplate!$A$183:$IV$183</definedName>
    <definedName name="ALBK_PPProf_Branch" localSheetId="4">#REF!</definedName>
    <definedName name="ALBK_PPProf_Branch">[33]EquityTemplate!$A$101:$IV$101</definedName>
    <definedName name="ALBK_PPProf_Emps" localSheetId="4">#REF!</definedName>
    <definedName name="ALBK_PPProf_Emps">[33]EquityTemplate!$A$93:$IV$93</definedName>
    <definedName name="ALBK_PPProfit" localSheetId="4">#REF!</definedName>
    <definedName name="ALBK_PPProfit">[33]EquityTemplate!$A$158:$IV$158</definedName>
    <definedName name="ALBK_PPRoA" localSheetId="4">#REF!</definedName>
    <definedName name="ALBK_PPRoA">[33]EquityTemplate!$A$161:$IV$161</definedName>
    <definedName name="ALBK_PPRoE" localSheetId="4">#REF!</definedName>
    <definedName name="ALBK_PPRoE">[33]EquityTemplate!$A$164:$IV$164</definedName>
    <definedName name="ALBK_PreExAttribProf" localSheetId="4">#REF!</definedName>
    <definedName name="ALBK_PreExAttribProf">[33]EquityTemplate!$A$157:$IV$157</definedName>
    <definedName name="ALBK_PreexDC" localSheetId="4">#REF!</definedName>
    <definedName name="ALBK_PreexDC">[33]EquityTemplate!$A$48:$IV$48</definedName>
    <definedName name="ALBK_PreexEPS" localSheetId="4">#REF!</definedName>
    <definedName name="ALBK_PreexEPS">[33]EquityTemplate!$A$46:$IV$46</definedName>
    <definedName name="ALBK_PreexMarketPER" localSheetId="4">#REF!</definedName>
    <definedName name="ALBK_PreexMarketPER">[33]EquityTemplate!$A$227:$IV$227</definedName>
    <definedName name="ALBK_PreexPER" localSheetId="4">#REF!</definedName>
    <definedName name="ALBK_PreexPER">[33]EquityTemplate!$A$234:$IV$234</definedName>
    <definedName name="ALBK_PreexPER_Growth" localSheetId="4">#REF!</definedName>
    <definedName name="ALBK_PreexPER_Growth">[33]EquityTemplate!$A$239:$IV$239</definedName>
    <definedName name="ALBK_PreexPERRel" localSheetId="4">#REF!</definedName>
    <definedName name="ALBK_PreexPERRel">[33]EquityTemplate!$A$235:$IV$235</definedName>
    <definedName name="ALBK_PreexRoA" localSheetId="4">#REF!</definedName>
    <definedName name="ALBK_PreexRoA">[33]EquityTemplate!$A$160:$IV$160</definedName>
    <definedName name="ALBK_PreexRoE" localSheetId="4">#REF!</definedName>
    <definedName name="ALBK_PreexRoE">[33]EquityTemplate!$A$163:$IV$163</definedName>
    <definedName name="ALBK_PretaxProf" localSheetId="4">#REF!</definedName>
    <definedName name="ALBK_PretaxProf">[33]EquityTemplate!$A$35:$IV$35</definedName>
    <definedName name="ALBK_PretaxProf_AvgAsset" localSheetId="4">#REF!</definedName>
    <definedName name="ALBK_PretaxProf_AvgAsset">[33]EquityTemplate!$A$187:$IV$187</definedName>
    <definedName name="ALBK_Price" localSheetId="4">#REF!</definedName>
    <definedName name="ALBK_Price">[33]EquityTemplate!$A$221:$IV$221</definedName>
    <definedName name="ALBK_Price_OpProf" localSheetId="4">#REF!</definedName>
    <definedName name="ALBK_Price_OpProf">[33]EquityTemplate!$A$252:$IV$252</definedName>
    <definedName name="ALBK_Price_PPProf" localSheetId="4">#REF!</definedName>
    <definedName name="ALBK_Price_PPProf">[33]EquityTemplate!$A$251:$IV$251</definedName>
    <definedName name="ALBK_Price_PretaxProf" localSheetId="4">#REF!</definedName>
    <definedName name="ALBK_Price_PretaxProf">[33]EquityTemplate!$A$253:$IV$253</definedName>
    <definedName name="ALBK_PV_CFPS" localSheetId="4">#REF!</definedName>
    <definedName name="ALBK_PV_CFPS">[33]EquityTemplate!$A$265:$IV$265</definedName>
    <definedName name="ALBK_PV_DPS" localSheetId="4">#REF!</definedName>
    <definedName name="ALBK_PV_DPS">[33]EquityTemplate!$A$266:$IV$266</definedName>
    <definedName name="ALBK_PV_EPS" localSheetId="4">#REF!</definedName>
    <definedName name="ALBK_PV_EPS">[33]EquityTemplate!$A$267:$IV$267</definedName>
    <definedName name="ALBK_PV_NP" localSheetId="4">#REF!</definedName>
    <definedName name="ALBK_PV_NP">[33]EquityTemplate!$A$268:$IV$268</definedName>
    <definedName name="ALBK_PV_PRETAX" localSheetId="4">#REF!</definedName>
    <definedName name="ALBK_PV_PRETAX">[33]EquityTemplate!$A$269:$IV$269</definedName>
    <definedName name="ALBK_RetProf" localSheetId="4">#REF!</definedName>
    <definedName name="ALBK_RetProf">[33]EquityTemplate!$A$40:$IV$40</definedName>
    <definedName name="ALBK_RoA" localSheetId="4">#REF!</definedName>
    <definedName name="ALBK_RoA">[33]EquityTemplate!$A$159:$IV$159</definedName>
    <definedName name="ALBK_RoE" localSheetId="4">#REF!</definedName>
    <definedName name="ALBK_RoE">[33]EquityTemplate!$A$162:$IV$162</definedName>
    <definedName name="ALBK_Shares" localSheetId="4">#REF!</definedName>
    <definedName name="ALBK_Shares">[33]EquityTemplate!$A$49:$IV$49</definedName>
    <definedName name="ALBK_SHFunds" localSheetId="4">#REF!</definedName>
    <definedName name="ALBK_SHFunds">[33]EquityTemplate!$A$145:$IV$145</definedName>
    <definedName name="ALBK_SpecAllow" localSheetId="4">#REF!</definedName>
    <definedName name="ALBK_SpecAllow">[33]EquityTemplate!$A$117:$IV$117</definedName>
    <definedName name="ALBK_SpecAllow_PEGrossAdv" localSheetId="4">#REF!</definedName>
    <definedName name="ALBK_SpecAllow_PEGrossAdv">[33]EquityTemplate!$A$116:$IV$116</definedName>
    <definedName name="ALBK_SpecProv" localSheetId="4">#REF!</definedName>
    <definedName name="ALBK_SpecProv">[33]EquityTemplate!$A$108:$IV$108</definedName>
    <definedName name="ALBK_SpecProv_AvgGrossAdv" localSheetId="4">#REF!</definedName>
    <definedName name="ALBK_SpecProv_AvgGrossAdv">[33]EquityTemplate!$A$107:$IV$107</definedName>
    <definedName name="ALBK_StaffExp" localSheetId="4">#REF!</definedName>
    <definedName name="ALBK_StaffExp">[33]EquityTemplate!$A$21:$IV$21</definedName>
    <definedName name="ALBK_TaxExp" localSheetId="4">#REF!</definedName>
    <definedName name="ALBK_TaxExp">[33]EquityTemplate!$A$137:$IV$137</definedName>
    <definedName name="ALBK_TaxExp_AvgAsset" localSheetId="4">#REF!</definedName>
    <definedName name="ALBK_TaxExp_AvgAsset">[33]EquityTemplate!$A$188:$IV$188</definedName>
    <definedName name="ALBK_TaxMExp" localSheetId="4">#REF!</definedName>
    <definedName name="ALBK_TaxMExp">[33]EquityTemplate!$A$177:$IV$177</definedName>
    <definedName name="ALBK_Tier1" localSheetId="4">#REF!</definedName>
    <definedName name="ALBK_Tier1">[33]EquityTemplate!$A$151:$IV$151</definedName>
    <definedName name="ALBK_Tier1Cap" localSheetId="4">#REF!</definedName>
    <definedName name="ALBK_Tier1Cap">[33]EquityTemplate!$A$146:$IV$146</definedName>
    <definedName name="ALBK_Tier2Cap" localSheetId="4">#REF!</definedName>
    <definedName name="ALBK_Tier2Cap">[33]EquityTemplate!$A$147:$IV$147</definedName>
    <definedName name="ALBK_TotAllow" localSheetId="4">#REF!</definedName>
    <definedName name="ALBK_TotAllow">[33]EquityTemplate!$A$123:$IV$123</definedName>
    <definedName name="ALBK_TotAllow_PEGrossAdv" localSheetId="4">#REF!</definedName>
    <definedName name="ALBK_TotAllow_PEGrossAdv">[33]EquityTemplate!$A$122:$IV$122</definedName>
    <definedName name="ALBK_TotAsset" localSheetId="4">#REF!</definedName>
    <definedName name="ALBK_TotAsset">[33]EquityTemplate!$A$80:$IV$80</definedName>
    <definedName name="ALBK_TotAsset_Branch" localSheetId="4">#REF!</definedName>
    <definedName name="ALBK_TotAsset_Branch">[33]EquityTemplate!$A$96:$IV$96</definedName>
    <definedName name="ALBK_TotAsset_Emps" localSheetId="4">#REF!</definedName>
    <definedName name="ALBK_TotAsset_Emps">[33]EquityTemplate!$A$88:$IV$88</definedName>
    <definedName name="ALBK_TotCap" localSheetId="4">#REF!</definedName>
    <definedName name="ALBK_TotCap">[33]EquityTemplate!$A$148:$IV$148</definedName>
    <definedName name="ALBK_TotEquipExp" localSheetId="4">#REF!</definedName>
    <definedName name="ALBK_TotEquipExp">[33]EquityTemplate!$A$24:$IV$24</definedName>
    <definedName name="ALBK_TotLiab" localSheetId="4">#REF!</definedName>
    <definedName name="ALBK_TotLiab">[33]EquityTemplate!$A$208:$IV$208</definedName>
    <definedName name="ALBK_TotOpExp" localSheetId="4">#REF!</definedName>
    <definedName name="ALBK_TotOpExp">[33]EquityTemplate!$A$26:$IV$26</definedName>
    <definedName name="ALBK_TotOpExp_AvgAsset" localSheetId="4">#REF!</definedName>
    <definedName name="ALBK_TotOpExp_AvgAsset">[33]EquityTemplate!$A$182:$IV$182</definedName>
    <definedName name="ALBK_TotOpExp_Branch" localSheetId="4">#REF!</definedName>
    <definedName name="ALBK_TotOpExp_Branch">[33]EquityTemplate!$A$100:$IV$100</definedName>
    <definedName name="ALBK_TotOpExp_Emps" localSheetId="4">#REF!</definedName>
    <definedName name="ALBK_TotOpExp_Emps">[33]EquityTemplate!$A$92:$IV$92</definedName>
    <definedName name="ALBK_TotOpInc" localSheetId="4">#REF!</definedName>
    <definedName name="ALBK_TotOpInc">[33]EquityTemplate!$A$20:$IV$20</definedName>
    <definedName name="ALBK_TotOpInc_AvgAsset" localSheetId="4">#REF!</definedName>
    <definedName name="ALBK_TotOpInc_AvgAsset">[33]EquityTemplate!$A$181:$IV$181</definedName>
    <definedName name="ALBK_TotOpInc_Branch" localSheetId="4">#REF!</definedName>
    <definedName name="ALBK_TotOpInc_Branch">[33]EquityTemplate!$A$99:$IV$99</definedName>
    <definedName name="ALBK_TotOpInc_Emps" localSheetId="4">#REF!</definedName>
    <definedName name="ALBK_TotOpInc_Emps">[33]EquityTemplate!$A$91:$IV$91</definedName>
    <definedName name="ALBK_TotProv" localSheetId="4">#REF!</definedName>
    <definedName name="ALBK_TotProv">[33]EquityTemplate!$A$30:$IV$30</definedName>
    <definedName name="ALBK_TotProv_AvgAsset" localSheetId="4">#REF!</definedName>
    <definedName name="ALBK_TotProv_AvgAsset">[33]EquityTemplate!$A$184:$IV$184</definedName>
    <definedName name="ALBK_TotProv_AvgGrossAdv" localSheetId="4">#REF!</definedName>
    <definedName name="ALBK_TotProv_AvgGrossAdv">[33]EquityTemplate!$A$113:$IV$113</definedName>
    <definedName name="ALBK_WRA" localSheetId="4">#REF!</definedName>
    <definedName name="ALBK_WRA">[33]EquityTemplate!$A$144:$IV$144</definedName>
    <definedName name="ALBK_Yield" localSheetId="4">#REF!</definedName>
    <definedName name="ALBK_Yield">[33]EquityTemplate!$A$236:$IV$236</definedName>
    <definedName name="ALBK_YieldRel" localSheetId="4">#REF!</definedName>
    <definedName name="ALBK_YieldRel">[33]EquityTemplate!$A$237:$IV$237</definedName>
    <definedName name="All_00_PS" localSheetId="4">#REF!</definedName>
    <definedName name="All_00_PS">'[12]#REF'!$AJ$225</definedName>
    <definedName name="All_00_Rev" localSheetId="4">#REF!</definedName>
    <definedName name="All_00_Rev">'[12]#REF'!$AG$225</definedName>
    <definedName name="All_97_PS" localSheetId="4">#REF!</definedName>
    <definedName name="All_97_PS">'[12]#REF'!#REF!</definedName>
    <definedName name="All_97_Rev" localSheetId="4">#REF!</definedName>
    <definedName name="All_97_Rev">'[12]#REF'!$AD$225</definedName>
    <definedName name="All_98_PS" localSheetId="4">#REF!</definedName>
    <definedName name="All_98_PS">'[12]#REF'!$AH$225</definedName>
    <definedName name="All_98_Rev" localSheetId="4">#REF!</definedName>
    <definedName name="All_98_Rev">'[12]#REF'!$AE$225</definedName>
    <definedName name="All_99_PS" localSheetId="4">#REF!</definedName>
    <definedName name="All_99_PS">'[12]#REF'!$AI$225</definedName>
    <definedName name="All_99_Rev" localSheetId="4">#REF!</definedName>
    <definedName name="All_99_Rev">'[12]#REF'!$AF$225</definedName>
    <definedName name="All_EPS_00" localSheetId="4">#REF!</definedName>
    <definedName name="All_EPS_00">'[12]#REF'!$AC$225</definedName>
    <definedName name="All_EPS_98" localSheetId="4">#REF!</definedName>
    <definedName name="All_EPS_98">'[12]#REF'!$AA$225</definedName>
    <definedName name="All_EPS_99" localSheetId="4">#REF!</definedName>
    <definedName name="All_EPS_99">'[12]#REF'!$AB$225</definedName>
    <definedName name="All_Mkt_Cap" localSheetId="4">#REF!</definedName>
    <definedName name="All_Mkt_Cap">'[12]#REF'!$T$225</definedName>
    <definedName name="All_Off_High" localSheetId="4">#REF!</definedName>
    <definedName name="All_Off_High">'[12]#REF'!$N$225</definedName>
    <definedName name="All_Stocks" localSheetId="4">#REF!</definedName>
    <definedName name="All_Stocks">'[12]#REF'!$C$225</definedName>
    <definedName name="alogin">#REF!</definedName>
    <definedName name="ammbwgt">#REF!</definedName>
    <definedName name="amor" localSheetId="4">#REF!</definedName>
    <definedName name="amor">[29]UploaderV4!$F$40:$AE$40</definedName>
    <definedName name="amortisation">#REF!</definedName>
    <definedName name="amortisation_goodwill" localSheetId="9">#REF!</definedName>
    <definedName name="amortisation_goodwill" localSheetId="10">[28]Template!$D$91:$T$91</definedName>
    <definedName name="amortisation_goodwill">#REF!</definedName>
    <definedName name="Amortisation_of_Intangible_Assets">#REF!</definedName>
    <definedName name="amortisation_other_intangibles" localSheetId="10">[28]Template!$D$92:$T$92</definedName>
    <definedName name="amortisation_other_intangibles">#REF!</definedName>
    <definedName name="Amount_Received_in_advance_from_ESOS_Trust">#REF!</definedName>
    <definedName name="Analyst">#REF!</definedName>
    <definedName name="analyst_code">#REF!</definedName>
    <definedName name="analyst_email">#REF!</definedName>
    <definedName name="analyst_phone">#REF!</definedName>
    <definedName name="AnchorPoint">#REF!</definedName>
    <definedName name="and">#REF!</definedName>
    <definedName name="anf">#REF!</definedName>
    <definedName name="anl">#REF!</definedName>
    <definedName name="annual" localSheetId="4">#REF!</definedName>
    <definedName name="annual">[34]model!#REF!</definedName>
    <definedName name="anscount" localSheetId="9" hidden="1">1</definedName>
    <definedName name="anscount" localSheetId="10" hidden="1">1</definedName>
    <definedName name="anscount" hidden="1">3</definedName>
    <definedName name="APAT">#REF!</definedName>
    <definedName name="APBT">#REF!</definedName>
    <definedName name="appa" localSheetId="4">#REF!</definedName>
    <definedName name="appa">'[35]#REF'!$AA$94:$AA$94</definedName>
    <definedName name="application">#REF!</definedName>
    <definedName name="application1">#REF!</definedName>
    <definedName name="Appropriations" localSheetId="9">#REF!</definedName>
    <definedName name="Appropriations">#REF!</definedName>
    <definedName name="Apr">#REF!</definedName>
    <definedName name="aratio">#REF!</definedName>
    <definedName name="area" localSheetId="9">#REF!</definedName>
    <definedName name="area">#REF!</definedName>
    <definedName name="Argentina" localSheetId="9">#REF!</definedName>
    <definedName name="Argentina">#REF!</definedName>
    <definedName name="as" localSheetId="4">#REF!</definedName>
    <definedName name="as">'[35]#REF'!#REF!</definedName>
    <definedName name="As___of_Net_Sales">#REF!</definedName>
    <definedName name="As_of">#REF!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asa" localSheetId="4" hidden="1">{"'PS-SOTM'!$A$1","'PS-SOTM'!$A$2:$M$30","'PS-SOTM'!$A$31:$A$38"}</definedName>
    <definedName name="asasa" hidden="1">{"'PS-SOTM'!$A$1","'PS-SOTM'!$A$2:$M$30","'PS-SOTM'!$A$31:$A$38"}</definedName>
    <definedName name="asd" localSheetId="9" hidden="1">{"Print Summary",#N/A,FALSE,"Bal_Graphs";"Print Summary",#N/A,FALSE,"DCF";"Print Summary",#N/A,FALSE,"Graphs";"Print Summary",#N/A,FALSE,"Summary"}</definedName>
    <definedName name="asd" localSheetId="10" hidden="1">{"Print Summary",#N/A,FALSE,"Bal_Graphs";"Print Summary",#N/A,FALSE,"DCF";"Print Summary",#N/A,FALSE,"Graphs";"Print Summary",#N/A,FALSE,"Summary"}</definedName>
    <definedName name="asd"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asd"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sdas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sdfd"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sdf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sf">#REF!</definedName>
    <definedName name="AsFc">#REF!</definedName>
    <definedName name="ASKRJCOST">#REF!</definedName>
    <definedName name="ASKRJCOSTS">#REF!</definedName>
    <definedName name="Asset_composition">#REF!</definedName>
    <definedName name="ASSET_PEN" localSheetId="9">#REF!</definedName>
    <definedName name="ASSET_PEN" localSheetId="10">[1]bajaj_copeland!$C$422</definedName>
    <definedName name="ASSET_PEN">#REF!</definedName>
    <definedName name="ASSET_SALES" localSheetId="9">#REF!</definedName>
    <definedName name="ASSET_SALES">#REF!</definedName>
    <definedName name="asset_turn">#REF!</definedName>
    <definedName name="asset_turnover" localSheetId="9">#REF!</definedName>
    <definedName name="asset_turnover">#REF!</definedName>
    <definedName name="ASSETS_TOTAL">#REF!</definedName>
    <definedName name="asso" localSheetId="4">#REF!</definedName>
    <definedName name="asso">[29]UploaderV4!$F$61:$AE$61</definedName>
    <definedName name="associate" localSheetId="4">#REF!</definedName>
    <definedName name="associate">[29]UploaderV4!$F$62:$AE$62</definedName>
    <definedName name="associate_company_pl">#REF!</definedName>
    <definedName name="associate_dividends_received" localSheetId="10">[28]Template!$D$97:$T$97</definedName>
    <definedName name="associate_dividends_received">#REF!</definedName>
    <definedName name="associates">#REF!</definedName>
    <definedName name="associates_pl" localSheetId="10">[28]Template!$D$56:$T$56</definedName>
    <definedName name="associates_pl">#REF!</definedName>
    <definedName name="associates_pl_A">#REF!</definedName>
    <definedName name="associates_pl_Q">#REF!</definedName>
    <definedName name="associates_tax_charge">#REF!</definedName>
    <definedName name="AssociatesCash" localSheetId="4">#REF!</definedName>
    <definedName name="AssociatesCash">[26]FinancialsNew!#REF!</definedName>
    <definedName name="assume" localSheetId="4">#REF!</definedName>
    <definedName name="assume">[15]Fin!$A$521</definedName>
    <definedName name="ata">#REF!</definedName>
    <definedName name="ate">#REF!</definedName>
    <definedName name="ATO" localSheetId="10">[1]Financials!#REF!</definedName>
    <definedName name="ATO">#REF!</definedName>
    <definedName name="att">#REF!</definedName>
    <definedName name="ATTR_PROFIT">#REF!</definedName>
    <definedName name="Attributable_To_Ordinary_Shareholders">#REF!</definedName>
    <definedName name="Attrition">#REF!</definedName>
    <definedName name="Attrition1">#REF!</definedName>
    <definedName name="attrpat" localSheetId="4">#REF!</definedName>
    <definedName name="attrpat">[29]UploaderV4!$F$64:$AE$64</definedName>
    <definedName name="attrpatequity" localSheetId="4">#REF!</definedName>
    <definedName name="attrpatequity">[29]UploaderV4!$F$66:$AE$66</definedName>
    <definedName name="atype">#REF!</definedName>
    <definedName name="Audit_Fees">#REF!</definedName>
    <definedName name="Audit_Other_Services">#REF!</definedName>
    <definedName name="aux_bhira">#REF!</definedName>
    <definedName name="aux_bhivpuri">#REF!</definedName>
    <definedName name="aux_khopoli">#REF!</definedName>
    <definedName name="Average">#REF!</definedName>
    <definedName name="Average_assets_Q">#REF!</definedName>
    <definedName name="Average_borrowings_Q">#REF!</definedName>
    <definedName name="average_employees">#REF!</definedName>
    <definedName name="Average_invested_capital">#REF!</definedName>
    <definedName name="Average_Invested_Capital_Core">#REF!</definedName>
    <definedName name="Average_invested_capital_DCF">#REF!</definedName>
    <definedName name="Average_liabilities_Q">#REF!</definedName>
    <definedName name="Average_loans_Q">#REF!</definedName>
    <definedName name="Average_net_worth_Q">#REF!</definedName>
    <definedName name="Average_Shares_In_Issue">#REF!</definedName>
    <definedName name="Average_thereafter">#REF!</definedName>
    <definedName name="Average_Total_debt">#REF!</definedName>
    <definedName name="avg">#REF!</definedName>
    <definedName name="Avg._Invetsed_Capital_Core">#REF!</definedName>
    <definedName name="avg_advances_Q">#REF!</definedName>
    <definedName name="avg_assets_Q">#REF!</definedName>
    <definedName name="avg_borrowings_Q">#REF!</definedName>
    <definedName name="avg_cash_bank_Q">#REF!</definedName>
    <definedName name="avg_deposits_Q">#REF!</definedName>
    <definedName name="Avg_Invested_Capital">#REF!</definedName>
    <definedName name="avg_investments_Q">#REF!</definedName>
    <definedName name="avg_liabilities_Q">#REF!</definedName>
    <definedName name="avg_shareholders_equity_Q">#REF!</definedName>
    <definedName name="AVG_TV">#REF!</definedName>
    <definedName name="avg_vol_3m">#REF!</definedName>
    <definedName name="AvgDebt">#REF!</definedName>
    <definedName name="AVGFDSHARES">#REF!</definedName>
    <definedName name="AvgIntRate">#REF!</definedName>
    <definedName name="AvgNW">#REF!</definedName>
    <definedName name="AvgSellPr" localSheetId="9" hidden="1">#REF!,#REF!,#REF!,#REF!,#REF!,#REF!,#REF!,#REF!</definedName>
    <definedName name="AvgSellPr" localSheetId="10" hidden="1">[36]Input!$K$162:$Y$162,[36]Input!$K$180:$Y$180,[36]Input!$K$198:$Y$198,[36]Input!$K$216:$Y$216,[36]Input!$K$234:$Y$234,[36]Input!$K$252:$Y$252,[36]Input!$K$270:$Y$270,[36]Input!$K$288:$Y$288</definedName>
    <definedName name="AvgSellPr" hidden="1">#REF!,#REF!,#REF!,#REF!,#REF!,#REF!,#REF!,#REF!</definedName>
    <definedName name="AVGSHARES" localSheetId="9">#REF!</definedName>
    <definedName name="AVGSHARES">#REF!</definedName>
    <definedName name="avs" localSheetId="4">#REF!</definedName>
    <definedName name="avs">'[37]Input_FS(Q)'!#REF!</definedName>
    <definedName name="b" localSheetId="9">#REF!</definedName>
    <definedName name="b">#REF!</definedName>
    <definedName name="b.g.n" localSheetId="9">#REF!</definedName>
    <definedName name="b.g.n">#REF!</definedName>
    <definedName name="b_manual" localSheetId="10">[1]bajaj_copeland!$C$54</definedName>
    <definedName name="b_manual">#REF!</definedName>
    <definedName name="B_S">#REF!</definedName>
    <definedName name="B_S_ratios">#REF!</definedName>
    <definedName name="B_S1">#REF!</definedName>
    <definedName name="bab">#REF!</definedName>
    <definedName name="babyfood">#REF!</definedName>
    <definedName name="back_page">#REF!</definedName>
    <definedName name="bad">#REF!</definedName>
    <definedName name="bad_and_doubtful_debts_charge">#REF!</definedName>
    <definedName name="bad_debt_provision" localSheetId="10">[28]Template!$D$82:$T$82</definedName>
    <definedName name="bad_debt_provision">#REF!</definedName>
    <definedName name="Bad_Debts_and_Write_offs">#REF!</definedName>
    <definedName name="bae">#REF!</definedName>
    <definedName name="BAL_AssetRevaluationNonCashFlow">#REF!</definedName>
    <definedName name="BAL_CAOther">#REF!</definedName>
    <definedName name="BAL_CAOtherInterestBearing">#REF!</definedName>
    <definedName name="BAL_CAOtherNonCash">#REF!</definedName>
    <definedName name="BAL_CapitalizedInterest">#REF!</definedName>
    <definedName name="BAL_Cash">#REF!</definedName>
    <definedName name="BAL_Cash_STInvestments">#REF!</definedName>
    <definedName name="BAL_CashForeign">#REF!</definedName>
    <definedName name="BAL_CLCurrentPortion">#REF!</definedName>
    <definedName name="BAL_CLOther">#REF!</definedName>
    <definedName name="BAL_CLOtherInterestBearing">#REF!</definedName>
    <definedName name="BAL_CLOtherNonCash">#REF!</definedName>
    <definedName name="BAL_CLTechnicalReserves">#REF!</definedName>
    <definedName name="BAL_CLUnearnedPremium">#REF!</definedName>
    <definedName name="BAL_Creditors">#REF!</definedName>
    <definedName name="BAL_CurrentAssets">#REF!</definedName>
    <definedName name="BAL_CurrentLiabilities">#REF!</definedName>
    <definedName name="BAL_Debtors">#REF!</definedName>
    <definedName name="BAL_EquityRevaluationNonCashFlow">#REF!</definedName>
    <definedName name="BAL_FixedAssets">#REF!</definedName>
    <definedName name="BAL_FixedAssetsTotal">#REF!</definedName>
    <definedName name="BAL_Inventory">#REF!</definedName>
    <definedName name="BAL_Investments">#REF!</definedName>
    <definedName name="BAL_LiabilitiesRevaluationNonCashFlow">#REF!</definedName>
    <definedName name="BAL_LongTermAssets">#REF!</definedName>
    <definedName name="BAL_LongTermLiabilities">#REF!</definedName>
    <definedName name="BAL_LookUpYears">#REF!</definedName>
    <definedName name="BAL_LTAssets">#REF!</definedName>
    <definedName name="BAL_LTAssetsAssociates">#REF!</definedName>
    <definedName name="BAL_LTAssetsInvestmentExcAssociates">#REF!</definedName>
    <definedName name="BAL_LTAssetsOther">#REF!</definedName>
    <definedName name="BAL_LTAssetsTotalInvestments">#REF!</definedName>
    <definedName name="BAL_LTDebt">#REF!</definedName>
    <definedName name="BAL_LTLiabilities">#REF!</definedName>
    <definedName name="BAL_LTLiabilitiesDeferredTax">#REF!</definedName>
    <definedName name="BAL_LTLiabilitiesOther">#REF!</definedName>
    <definedName name="BAL_LTOtherAssets">#REF!</definedName>
    <definedName name="BAL_LTOutstandingClaims">#REF!</definedName>
    <definedName name="BAL_LTUnearnedPremium">#REF!</definedName>
    <definedName name="BAL_Minorities">#REF!</definedName>
    <definedName name="BAL_NetAmortizedAssets">#REF!</definedName>
    <definedName name="BAL_NetAssets">#REF!</definedName>
    <definedName name="BAL_OffBalanceSheetAssets">#REF!</definedName>
    <definedName name="BAL_OffBalanceSheetLiabilities">#REF!</definedName>
    <definedName name="BAL_OtherEquity">#REF!</definedName>
    <definedName name="BAL_Reserves">#REF!</definedName>
    <definedName name="BAL_ShareCapital">#REF!</definedName>
    <definedName name="BAL_ShareholdersFunds">#REF!</definedName>
    <definedName name="BAL_SharePremium">#REF!</definedName>
    <definedName name="BAL_SharePremiumCapital">#REF!</definedName>
    <definedName name="Bal_sheet">#REF!</definedName>
    <definedName name="BAL_STDebt">#REF!</definedName>
    <definedName name="BAL_STInvestments">#REF!</definedName>
    <definedName name="BAL_TotalAssets">#REF!</definedName>
    <definedName name="BAL_TotalEquity">#REF!</definedName>
    <definedName name="BAL_TotalLiabilities">#REF!</definedName>
    <definedName name="bal_with_RBI_Q">#REF!</definedName>
    <definedName name="BALANCE" localSheetId="10">[1]bajaj_copeland!$C$52:$L$98</definedName>
    <definedName name="BALANCE">#REF!</definedName>
    <definedName name="Balance_in_Unclaimed_dividend_Bank_account">#REF!</definedName>
    <definedName name="Balance_Sheet">#REF!</definedName>
    <definedName name="Balance_with_Scheduled_Bank_in_Cash_Credit">#REF!</definedName>
    <definedName name="Balance_with_Scheduled_Bank_in_current_account">#REF!</definedName>
    <definedName name="baliwgt">#REF!</definedName>
    <definedName name="Balloon">#REF!</definedName>
    <definedName name="Balloon_Amount">#REF!</definedName>
    <definedName name="balsh">#REF!</definedName>
    <definedName name="bank_balances_and_call_money">#REF!</definedName>
    <definedName name="Bank_Charges">#REF!</definedName>
    <definedName name="BanksOnly" localSheetId="4">#REF!,#REF!,#REF!,#REF!,#REF!,#REF!,#REF!,#REF!,#REF!,#REF!</definedName>
    <definedName name="BanksOnly">[38]Database!$A$156:$IV$156,[38]Database!$A$159:$IV$174,[38]Database!$A$194:$IV$195,[38]Database!$A$204:$IV$210,[38]Database!$A$224:$IV$224,[38]Database!$A$237:$IV$243,[38]Database!$A$245:$IV$245,[38]Database!$A$247:$IV$248,[38]Database!$A$360:$IV$369,[38]Database!$A$373:$IV$406</definedName>
    <definedName name="bao">#REF!</definedName>
    <definedName name="bap">#REF!</definedName>
    <definedName name="BASE" localSheetId="10">[1]bajaj_copeland!#REF!</definedName>
    <definedName name="BASE">#REF!</definedName>
    <definedName name="BaseName" localSheetId="4">#REF!</definedName>
    <definedName name="BaseName">'[39]Sample Layout'!$Z$19</definedName>
    <definedName name="BasicEPS">#REF!</definedName>
    <definedName name="BasicSharesOutstandingR">#REF!</definedName>
    <definedName name="bat">#REF!</definedName>
    <definedName name="BATTERYMARCH">#REF!</definedName>
    <definedName name="bay">#REF!</definedName>
    <definedName name="baywgt">#REF!</definedName>
    <definedName name="bb">#REF!</definedName>
    <definedName name="bba">#REF!</definedName>
    <definedName name="bbb">#REF!</definedName>
    <definedName name="bbf">#REF!</definedName>
    <definedName name="bblwgt">#REF!</definedName>
    <definedName name="bbx">#REF!</definedName>
    <definedName name="bca">#REF!</definedName>
    <definedName name="bcb">#REF!</definedName>
    <definedName name="bcd">#REF!</definedName>
    <definedName name="bce">#REF!</definedName>
    <definedName name="bcl">#REF!</definedName>
    <definedName name="bcm">#REF!</definedName>
    <definedName name="bcp">#REF!</definedName>
    <definedName name="bcr">#REF!</definedName>
    <definedName name="bct">#REF!</definedName>
    <definedName name="bcw">#REF!</definedName>
    <definedName name="bdb">#REF!</definedName>
    <definedName name="bdc">#REF!</definedName>
    <definedName name="bdd">#REF!</definedName>
    <definedName name="bdi">#REF!</definedName>
    <definedName name="bdniwgt">#REF!</definedName>
    <definedName name="bdp">#REF!</definedName>
    <definedName name="bds">#REF!</definedName>
    <definedName name="bdt">#REF!</definedName>
    <definedName name="BE1.0">#REF!</definedName>
    <definedName name="BE2.0" localSheetId="9">#REF!,#REF!,#REF!</definedName>
    <definedName name="BE2.0">#REF!,#REF!,#REF!</definedName>
    <definedName name="BE3.0" localSheetId="9">#REF!,#REF!,#REF!</definedName>
    <definedName name="BE3.0">#REF!,#REF!,#REF!</definedName>
    <definedName name="BE4.0">#REF!,#REF!,#REF!</definedName>
    <definedName name="BE5.0">#REF!,#REF!,#REF!</definedName>
    <definedName name="beawgt">#REF!</definedName>
    <definedName name="beq">#REF!</definedName>
    <definedName name="BESale" localSheetId="9">#REF!</definedName>
    <definedName name="BESale">#REF!</definedName>
    <definedName name="BESaleVal" localSheetId="9">#REF!</definedName>
    <definedName name="BESaleVal">#REF!</definedName>
    <definedName name="Best">#REF!</definedName>
    <definedName name="best_eps" localSheetId="9">#REF!</definedName>
    <definedName name="best_eps">#REF!</definedName>
    <definedName name="best_eps1">#REF!</definedName>
    <definedName name="bet">#REF!</definedName>
    <definedName name="Beta">#REF!</definedName>
    <definedName name="bfa">#REF!</definedName>
    <definedName name="bfc">#REF!</definedName>
    <definedName name="bfcc" localSheetId="4">#REF!</definedName>
    <definedName name="bfcc">'[40]Aardvark-Y'!$A$282:$IV$282</definedName>
    <definedName name="bfghhghsghs">#REF!</definedName>
    <definedName name="BFPT" localSheetId="4">#REF!</definedName>
    <definedName name="BFPT">[41]DATABOX!#REF!</definedName>
    <definedName name="BG_Del" hidden="1">15</definedName>
    <definedName name="BG_Ins" hidden="1">4</definedName>
    <definedName name="BG_Mod" hidden="1">6</definedName>
    <definedName name="bia">#REF!</definedName>
    <definedName name="bib">#REF!</definedName>
    <definedName name="bie">#REF!</definedName>
    <definedName name="bii">#REF!</definedName>
    <definedName name="biiwgt">#REF!</definedName>
    <definedName name="Bill_rates">#REF!</definedName>
    <definedName name="Bills_of_Exchange" localSheetId="9">#REF!</definedName>
    <definedName name="Bills_of_Exchange">#REF!</definedName>
    <definedName name="bills_payable">#REF!</definedName>
    <definedName name="bills_purchased_and_discounted">#REF!</definedName>
    <definedName name="bin">#REF!</definedName>
    <definedName name="bio">#REF!</definedName>
    <definedName name="bir">#REF!</definedName>
    <definedName name="bit">#REF!</definedName>
    <definedName name="BL1.0">#REF!</definedName>
    <definedName name="BL2.0">#REF!,#REF!,#REF!</definedName>
    <definedName name="BL3.0">#REF!,#REF!,#REF!</definedName>
    <definedName name="BL4.0">#REF!,#REF!,#REF!</definedName>
    <definedName name="BL5.0">#REF!,#REF!,#REF!</definedName>
    <definedName name="bll">#REF!</definedName>
    <definedName name="block.balancesheet.blue" localSheetId="9">#REF!</definedName>
    <definedName name="block.balancesheet.blue">#REF!</definedName>
    <definedName name="block.businessbackground.blue" localSheetId="9">#REF!</definedName>
    <definedName name="block.businessbackground.blue">#REF!</definedName>
    <definedName name="block.capitalhistory.blue">#REF!</definedName>
    <definedName name="block.cashflow.blue">#REF!</definedName>
    <definedName name="block.checksum.blue" localSheetId="4">#REF!</definedName>
    <definedName name="block.checksum.blue">'[39]Check Sums'!$C$24:$M$42</definedName>
    <definedName name="block.expansionplans.blue">#REF!</definedName>
    <definedName name="block.fiveyrhistory.blue" localSheetId="4">#REF!</definedName>
    <definedName name="block.fiveyrhistory.blue">'[39]Sample Layout'!$AF$165:$AN$171</definedName>
    <definedName name="block.forecastandratings.blue" localSheetId="4">#REF!</definedName>
    <definedName name="block.forecastandratings.blue">'[39]Sample Layout'!$B$31:$J$46</definedName>
    <definedName name="block.forecasts.blue">#REF!</definedName>
    <definedName name="block.identity.blue" localSheetId="4">#REF!</definedName>
    <definedName name="block.identity.blue">'[39]Sample Layout'!$W$4:$AG$21</definedName>
    <definedName name="block.identityblock.blue">#REF!</definedName>
    <definedName name="block.incomestatement.blue">#REF!</definedName>
    <definedName name="block.investmentargument.blue">#REF!</definedName>
    <definedName name="block.keyassumptions.blue">#REF!</definedName>
    <definedName name="block.keyassumptions2.blue">#REF!</definedName>
    <definedName name="block.mainpoints.red">#REF!</definedName>
    <definedName name="block.majorshareholders.blue" localSheetId="4">#REF!</definedName>
    <definedName name="block.majorshareholders.blue">'[39]Sample Layout'!$L$19:$T$29</definedName>
    <definedName name="block.miscellaneous.none" localSheetId="4">#REF!</definedName>
    <definedName name="block.miscellaneous.none">'[39]Sample Layout'!$AF$136:$AN$154</definedName>
    <definedName name="block.outlook.blue" localSheetId="4">#REF!</definedName>
    <definedName name="block.outlook.blue">'[39]Sample Layout'!$L$48:$T$85</definedName>
    <definedName name="block.PEBANDS.none">#REF!</definedName>
    <definedName name="block.perrel.none">#REF!</definedName>
    <definedName name="block.pricechart.none" localSheetId="4">#REF!</definedName>
    <definedName name="block.pricechart.none">'[39]Sample Layout'!$L$31:$T$46</definedName>
    <definedName name="block.pricetrends.none">#REF!</definedName>
    <definedName name="block.profitassumptions.blue" localSheetId="4">#REF!</definedName>
    <definedName name="block.profitassumptions.blue">'[39]Sample Layout'!$V$119:$AD$134</definedName>
    <definedName name="block.profitbreakdown.blue" localSheetId="4">#REF!</definedName>
    <definedName name="block.profitbreakdown.blue">'[39]Sample Layout'!$V$89:$AD$117</definedName>
    <definedName name="block.ratioanalysis.blue">#REF!</definedName>
    <definedName name="block.rationanalysis.blue" localSheetId="4">#REF!</definedName>
    <definedName name="block.rationanalysis.blue">'[39]Sample Layout'!$V$165:$AD$171</definedName>
    <definedName name="block.salesbreakdown.none">#REF!</definedName>
    <definedName name="block.sharedata.blue" localSheetId="4">#REF!</definedName>
    <definedName name="block.sharedata.blue">'[39]Sample Layout'!$L$4:$T$8</definedName>
    <definedName name="block.shareholdingpattern.blue">#REF!</definedName>
    <definedName name="block.subsidiaries.blue" localSheetId="4">#REF!</definedName>
    <definedName name="block.subsidiaries.blue">'[39]Sample Layout'!$AF$155:$AN$164</definedName>
    <definedName name="block.title.blue">#REF!</definedName>
    <definedName name="bloomberg_code">#REF!</definedName>
    <definedName name="BLPH1" localSheetId="10" hidden="1">[4]check!$A$3</definedName>
    <definedName name="BLPH1" hidden="1">#REF!</definedName>
    <definedName name="BLPH10" localSheetId="10" hidden="1">[42]Sheet1!#REF!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localSheetId="10" hidden="1">[42]Sheet1!#REF!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0" hidden="1">[42]Sheet1!#REF!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localSheetId="10" hidden="1">[42]Sheet1!#REF!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lrdata" localSheetId="10">[43]Sheet1!$A$5:$L$58</definedName>
    <definedName name="blrdata">#REF!</definedName>
    <definedName name="blt">#REF!</definedName>
    <definedName name="blts" localSheetId="4">#REF!</definedName>
    <definedName name="blts">'[40]Aardvark-Y'!$A$283:$IV$283</definedName>
    <definedName name="bltu" localSheetId="4">#REF!</definedName>
    <definedName name="bltu">'[40]Aardvark-Y'!$A$284:$IV$284</definedName>
    <definedName name="bmi">#REF!</definedName>
    <definedName name="bn">1000000000</definedName>
    <definedName name="bncbvnbm" hidden="1">#N/A</definedName>
    <definedName name="bnd">#REF!</definedName>
    <definedName name="bnf">#REF!</definedName>
    <definedName name="bngjd" hidden="1">#N/A</definedName>
    <definedName name="bni">#REF!</definedName>
    <definedName name="bnl">#REF!</definedName>
    <definedName name="bnm" localSheetId="9" hidden="1">{"'PS-SOTM'!$A$1","'PS-SOTM'!$A$2:$M$30","'PS-SOTM'!$A$31:$A$38"}</definedName>
    <definedName name="bnm" localSheetId="10" hidden="1">{"'PS-SOTM'!$A$1","'PS-SOTM'!$A$2:$M$30","'PS-SOTM'!$A$31:$A$38"}</definedName>
    <definedName name="bnm" localSheetId="4" hidden="1">{"'PS-SOTM'!$A$1","'PS-SOTM'!$A$2:$M$30","'PS-SOTM'!$A$31:$A$38"}</definedName>
    <definedName name="bnm" hidden="1">{"'PS-SOTM'!$A$1","'PS-SOTM'!$A$2:$M$30","'PS-SOTM'!$A$31:$A$38"}</definedName>
    <definedName name="bnxnb" hidden="1">#N/A</definedName>
    <definedName name="board" localSheetId="9">#REF!</definedName>
    <definedName name="board">#REF!</definedName>
    <definedName name="boawgt">#REF!</definedName>
    <definedName name="boc" localSheetId="9">#REF!</definedName>
    <definedName name="boc">#REF!</definedName>
    <definedName name="boi">#REF!</definedName>
    <definedName name="bol" localSheetId="9">#REF!</definedName>
    <definedName name="bol">#REF!</definedName>
    <definedName name="Bond_rating">#REF!</definedName>
    <definedName name="bonds" localSheetId="10">[28]Template!$D$208:$T$208</definedName>
    <definedName name="bonds">#REF!</definedName>
    <definedName name="bonds_debenture">#REF!</definedName>
    <definedName name="Bonds_Redemption_Reserve_PL">#REF!</definedName>
    <definedName name="bonus" localSheetId="4">#REF!</definedName>
    <definedName name="bonus">[29]UploaderV4!$F$278:$AE$278</definedName>
    <definedName name="bonusfv" localSheetId="4">#REF!</definedName>
    <definedName name="bonusfv">[29]UploaderV4!$F$277:$AE$277</definedName>
    <definedName name="boo">#REF!</definedName>
    <definedName name="book_nav_share" localSheetId="10">[28]Template!$D$308:$T$308</definedName>
    <definedName name="book_nav_share">#REF!</definedName>
    <definedName name="book_nav_share_A">#REF!</definedName>
    <definedName name="book_value">#REF!</definedName>
    <definedName name="book_value_per_share">#REF!</definedName>
    <definedName name="Book_value_Rs">#REF!</definedName>
    <definedName name="Book_value_Rs_Q">#REF!</definedName>
    <definedName name="BookDepr">#REF!</definedName>
    <definedName name="bor">#REF!</definedName>
    <definedName name="BORDERTOP">#REF!</definedName>
    <definedName name="BorrowingGrowth12">#REF!</definedName>
    <definedName name="BorrowingGrowth13">#REF!</definedName>
    <definedName name="borrowings_external_borrowings">#REF!</definedName>
    <definedName name="borrowings_from_other_banks">#REF!</definedName>
    <definedName name="borrowings_from_other_institutions_and_agencies">#REF!</definedName>
    <definedName name="borrowings_from_rbi">#REF!</definedName>
    <definedName name="borrowings_Q">#REF!</definedName>
    <definedName name="Borrowings_total">#REF!</definedName>
    <definedName name="Borrowings_total_average">#REF!</definedName>
    <definedName name="bot">#REF!</definedName>
    <definedName name="bpiwgt">#REF!</definedName>
    <definedName name="bpp">#REF!</definedName>
    <definedName name="bpr">#REF!</definedName>
    <definedName name="bpu">#REF!</definedName>
    <definedName name="brands_patents_rights" localSheetId="10">[28]Template!$D$242:$T$242</definedName>
    <definedName name="brands_patents_rights">#REF!</definedName>
    <definedName name="bre">#REF!</definedName>
    <definedName name="Breakdown">#REF!</definedName>
    <definedName name="bri">#REF!</definedName>
    <definedName name="BriefCoName">#REF!</definedName>
    <definedName name="BriefDate">#REF!</definedName>
    <definedName name="BriefInvPlay">#REF!</definedName>
    <definedName name="BriefPrevDate">#REF!</definedName>
    <definedName name="BriefPrevRecom">#REF!</definedName>
    <definedName name="BriefRationale">#REF!</definedName>
    <definedName name="BriefRecom">#REF!</definedName>
    <definedName name="BriefSummary">#REF!</definedName>
    <definedName name="BriefTime">#REF!</definedName>
    <definedName name="BROADCASTING">#REF!</definedName>
    <definedName name="brr">#REF!</definedName>
    <definedName name="BS">#REF!</definedName>
    <definedName name="bs_jb">#REF!</definedName>
    <definedName name="bs_ratio_jb">#REF!</definedName>
    <definedName name="bs_sski">#REF!</definedName>
    <definedName name="bsd">#REF!</definedName>
    <definedName name="BSDiff">#REF!</definedName>
    <definedName name="BSE">#REF!</definedName>
    <definedName name="bsf">#REF!</definedName>
    <definedName name="BSR" localSheetId="4">#REF!</definedName>
    <definedName name="BSR">[2]Header!#REF!</definedName>
    <definedName name="bst">#REF!</definedName>
    <definedName name="bt" localSheetId="10">[1]EVA1!$T$11</definedName>
    <definedName name="bt">#REF!</definedName>
    <definedName name="bta">#REF!</definedName>
    <definedName name="btd">#REF!</definedName>
    <definedName name="bte">#REF!</definedName>
    <definedName name="btl">#REF!</definedName>
    <definedName name="BTOP">#REF!</definedName>
    <definedName name="btp">#REF!</definedName>
    <definedName name="btt">#REF!</definedName>
    <definedName name="bud">#REF!</definedName>
    <definedName name="BusEc" localSheetId="4">#REF!</definedName>
    <definedName name="BusEc">[26]FinancialsNew!#REF!</definedName>
    <definedName name="Button_2">"Submittals_Status_Drawing__2__List"</definedName>
    <definedName name="Button2" localSheetId="4">{"Mcp08.PrintRep",""}</definedName>
    <definedName name="Button2">{"Mcp08.PrintRep",""}</definedName>
    <definedName name="Buy_Out_Of_Minorities">#REF!</definedName>
    <definedName name="buyback">#REF!</definedName>
    <definedName name="bv">#REF!</definedName>
    <definedName name="BVPS">#REF!</definedName>
    <definedName name="bvpsex" localSheetId="4">#REF!</definedName>
    <definedName name="bvpsex">[29]UploaderV4!$F$231:$AE$231</definedName>
    <definedName name="C_Factor">#REF!</definedName>
    <definedName name="CA">#REF!</definedName>
    <definedName name="CA_CASH">#REF!</definedName>
    <definedName name="CA_RECS">#REF!</definedName>
    <definedName name="CA_STK">#REF!</definedName>
    <definedName name="CABLE" localSheetId="10">'[1]#REF'!#REF!</definedName>
    <definedName name="CABLE">#REF!</definedName>
    <definedName name="cac">#REF!</definedName>
    <definedName name="cahgwgt">#REF!</definedName>
    <definedName name="cal_CFO00">#REF!</definedName>
    <definedName name="cal_CFO01">#REF!</definedName>
    <definedName name="cal_CFO02">#REF!</definedName>
    <definedName name="cal_cfo03">#REF!</definedName>
    <definedName name="cal_cfo04">#REF!</definedName>
    <definedName name="cal_cfo05">#REF!</definedName>
    <definedName name="cal_cfo06">#REF!</definedName>
    <definedName name="cal_cfo07">#REF!</definedName>
    <definedName name="cal_CFO98">#REF!</definedName>
    <definedName name="cal_CFO99">#REF!</definedName>
    <definedName name="cal_FCF00">#REF!</definedName>
    <definedName name="cal_FCF01">#REF!</definedName>
    <definedName name="cal_FCF02">#REF!</definedName>
    <definedName name="cal_FCF03">#REF!</definedName>
    <definedName name="cal_FCF04">#REF!</definedName>
    <definedName name="cal_FCF05">#REF!</definedName>
    <definedName name="cal_FCF06">#REF!</definedName>
    <definedName name="cal_FCF07">#REF!</definedName>
    <definedName name="cal_FCF98">#REF!</definedName>
    <definedName name="cal_FCF99">#REF!</definedName>
    <definedName name="cal_ni00">#REF!</definedName>
    <definedName name="cal_ni01">#REF!</definedName>
    <definedName name="cal_ni02">#REF!</definedName>
    <definedName name="cal_ni03">#REF!</definedName>
    <definedName name="cal_ni04">#REF!</definedName>
    <definedName name="cal_ni05">#REF!</definedName>
    <definedName name="cal_ni05_eso">#REF!</definedName>
    <definedName name="cal_ni06">#REF!</definedName>
    <definedName name="cal_ni06_eso">#REF!</definedName>
    <definedName name="cal_ni07">#REF!</definedName>
    <definedName name="cal_ni07_eso">#REF!</definedName>
    <definedName name="cal_ni95">#REF!</definedName>
    <definedName name="cal_ni96">#REF!</definedName>
    <definedName name="cal_ni97">#REF!</definedName>
    <definedName name="cal_ni98">#REF!</definedName>
    <definedName name="cal_ni99">#REF!</definedName>
    <definedName name="cal_op00">#REF!</definedName>
    <definedName name="cal_op01">#REF!</definedName>
    <definedName name="cal_op02">#REF!</definedName>
    <definedName name="cal_op03">#REF!</definedName>
    <definedName name="cal_op04">#REF!</definedName>
    <definedName name="cal_op05">#REF!</definedName>
    <definedName name="cal_op05_eso">#REF!</definedName>
    <definedName name="cal_op06">#REF!</definedName>
    <definedName name="cal_op06_eso">#REF!</definedName>
    <definedName name="cal_op07">#REF!</definedName>
    <definedName name="cal_op07_eso">#REF!</definedName>
    <definedName name="cal_op95">#REF!</definedName>
    <definedName name="cal_op96">#REF!</definedName>
    <definedName name="cal_op97">#REF!</definedName>
    <definedName name="cal_op98">#REF!</definedName>
    <definedName name="cal_op99">#REF!</definedName>
    <definedName name="cal_shrs00">#REF!</definedName>
    <definedName name="cal_shrs01">#REF!</definedName>
    <definedName name="cal_shrs02">#REF!</definedName>
    <definedName name="cal_shrs03">#REF!</definedName>
    <definedName name="cal_shrs04">#REF!</definedName>
    <definedName name="cal_shrs05">#REF!</definedName>
    <definedName name="cal_shrs06">#REF!</definedName>
    <definedName name="cal_shrs07">#REF!</definedName>
    <definedName name="cal_shrs95">#REF!</definedName>
    <definedName name="cal_shrs96">#REF!</definedName>
    <definedName name="cal_shrs97">#REF!</definedName>
    <definedName name="cal_shrs98">#REF!</definedName>
    <definedName name="cal_shrs99">#REF!</definedName>
    <definedName name="cal00_ebitdashr">#REF!</definedName>
    <definedName name="cal00_eps">#REF!</definedName>
    <definedName name="cal00_opinc">#REF!</definedName>
    <definedName name="cal00_rev">#REF!</definedName>
    <definedName name="cal00_revshr">#REF!</definedName>
    <definedName name="cal01_ebitdashr">#REF!</definedName>
    <definedName name="cal01_eps">#REF!</definedName>
    <definedName name="cal01_rev">#REF!</definedName>
    <definedName name="cal01_revshr">#REF!</definedName>
    <definedName name="cal02_ebitdashr">#REF!</definedName>
    <definedName name="cal02_eps">#REF!</definedName>
    <definedName name="Cal02_epsIND">#REF!</definedName>
    <definedName name="cal02_rev">#REF!</definedName>
    <definedName name="Cal02_revIND">#REF!</definedName>
    <definedName name="cal02_revshr">#REF!</definedName>
    <definedName name="cal03_ebitdashr">#REF!</definedName>
    <definedName name="cal03_eps">#REF!</definedName>
    <definedName name="Cal03_epsIND">#REF!</definedName>
    <definedName name="cal03_rev">#REF!</definedName>
    <definedName name="Cal03_revIND">#REF!</definedName>
    <definedName name="cal03_revshr">#REF!</definedName>
    <definedName name="cal04_ebitdashr">#REF!</definedName>
    <definedName name="cal04_eps">#REF!</definedName>
    <definedName name="Cal04_epsIND">#REF!</definedName>
    <definedName name="cal04_rev">#REF!</definedName>
    <definedName name="Cal04_revIND">#REF!</definedName>
    <definedName name="cal04_revshr">#REF!</definedName>
    <definedName name="cal05_ebitdashr">#REF!</definedName>
    <definedName name="cal05_eps">#REF!</definedName>
    <definedName name="cal05_eps_eso">#REF!</definedName>
    <definedName name="Cal05_epsIND">#REF!</definedName>
    <definedName name="cal05_rev">#REF!</definedName>
    <definedName name="Cal05_revIND">#REF!</definedName>
    <definedName name="cal05_revshr">#REF!</definedName>
    <definedName name="cal06_ebitdashr">#REF!</definedName>
    <definedName name="cal06_eps">#REF!</definedName>
    <definedName name="cal06_eps_eso">#REF!</definedName>
    <definedName name="Cal06_epsIND">#REF!</definedName>
    <definedName name="cal06_rev">#REF!</definedName>
    <definedName name="Cal06_revIND">#REF!</definedName>
    <definedName name="cal06_revshr">#REF!</definedName>
    <definedName name="cal07_ebitdashr">#REF!</definedName>
    <definedName name="cal07_eps">#REF!</definedName>
    <definedName name="cal07_eps_eso">#REF!</definedName>
    <definedName name="cal07_rev">#REF!</definedName>
    <definedName name="cal07_revshr">#REF!</definedName>
    <definedName name="cal95_eps">#REF!</definedName>
    <definedName name="cal95_rev">#REF!</definedName>
    <definedName name="cal96_eps">#REF!</definedName>
    <definedName name="cal96_rev">#REF!</definedName>
    <definedName name="cal97_eps">#REF!</definedName>
    <definedName name="cal97_rev">#REF!</definedName>
    <definedName name="cal98_eps">#REF!</definedName>
    <definedName name="cal98_rev">#REF!</definedName>
    <definedName name="cal99_ebitdashr">#REF!</definedName>
    <definedName name="cal99_eps">#REF!</definedName>
    <definedName name="cal99_opinc">#REF!</definedName>
    <definedName name="cal99_rev">#REF!</definedName>
    <definedName name="cal99_revshr">#REF!</definedName>
    <definedName name="CALC" localSheetId="10">[1]bajaj_copeland!$C$285</definedName>
    <definedName name="CALC">#REF!</definedName>
    <definedName name="calendar">#REF!</definedName>
    <definedName name="CALL">#REF!</definedName>
    <definedName name="cam">#REF!</definedName>
    <definedName name="cap" localSheetId="4">#REF!</definedName>
    <definedName name="cap">[2]Header!#REF!</definedName>
    <definedName name="Cap._RnD_Asset_net_of_RnD_amort.">#REF!</definedName>
    <definedName name="cap_opex">#REF!</definedName>
    <definedName name="CAP_WIP">#REF!</definedName>
    <definedName name="capacity">#REF!</definedName>
    <definedName name="Capacity_percentage">#REF!</definedName>
    <definedName name="Capacity_Utilisation">#REF!</definedName>
    <definedName name="capemploy" localSheetId="4">#REF!</definedName>
    <definedName name="capemploy">[29]UploaderV4!$F$134:$AE$134</definedName>
    <definedName name="CAPEX">#REF!</definedName>
    <definedName name="Capex_Data" localSheetId="4">#REF!</definedName>
    <definedName name="Capex_Data">[44]Capex!$B$5:$O$90</definedName>
    <definedName name="capital" localSheetId="10">[1]bajaj_copeland!$C$148:$L$180</definedName>
    <definedName name="capital">#REF!</definedName>
    <definedName name="CAPITAL_DEPLOYE">#REF!</definedName>
    <definedName name="CAPITAL_EMPLOYE">#REF!</definedName>
    <definedName name="capital_employed" localSheetId="10">[28]Template!$D$251:$T$251</definedName>
    <definedName name="capital_employed">#REF!</definedName>
    <definedName name="capital_employed_A">#REF!</definedName>
    <definedName name="capital_employed_avg" localSheetId="10">[28]Template!$D$252:$T$252</definedName>
    <definedName name="capital_employed_avg">#REF!</definedName>
    <definedName name="capital_employed_avg_A">#REF!</definedName>
    <definedName name="Capital_employed6">#REF!</definedName>
    <definedName name="capital_expenditure">#REF!</definedName>
    <definedName name="Capital_Redemption_Reserve">#REF!</definedName>
    <definedName name="capital_wip" localSheetId="10">[28]Template!$D$193:$T$193</definedName>
    <definedName name="capital_wip">#REF!</definedName>
    <definedName name="capital_wip_A">#REF!</definedName>
    <definedName name="Capital_work_in_progress_AD">#REF!</definedName>
    <definedName name="Capital_work_in_progress_GB">#REF!</definedName>
    <definedName name="Capital_Work_in_Progress_NB">#REF!</definedName>
    <definedName name="CapitalEmployed">#REF!</definedName>
    <definedName name="capitalexp">#REF!</definedName>
    <definedName name="capitalised_int">#REF!</definedName>
    <definedName name="Capitalization" localSheetId="4">#REF!</definedName>
    <definedName name="Capitalization">[2]Header!$U$17:$V$20</definedName>
    <definedName name="CAPUTIL" localSheetId="4">#REF!</definedName>
    <definedName name="CAPUTIL">'[45]Stand alone Main'!#REF!</definedName>
    <definedName name="capx_as_per_revs">#REF!</definedName>
    <definedName name="CardCoName">#REF!</definedName>
    <definedName name="CardDate">#REF!</definedName>
    <definedName name="CardInvPlay">#REF!</definedName>
    <definedName name="CardPrevDate">#REF!</definedName>
    <definedName name="CardPrevRecom">#REF!</definedName>
    <definedName name="CardRationale">#REF!</definedName>
    <definedName name="CardRecom">#REF!</definedName>
    <definedName name="CardSummary">#REF!</definedName>
    <definedName name="CardTime">#REF!</definedName>
    <definedName name="CAS_Amortization">#REF!</definedName>
    <definedName name="CAS_CashFlowFinancing">#REF!</definedName>
    <definedName name="CAS_CashFlowGross">#REF!</definedName>
    <definedName name="CAS_CashFlowInvestment">#REF!</definedName>
    <definedName name="CAS_CashFlowNetDebt">#REF!</definedName>
    <definedName name="CAS_CashFlowOperational">#REF!</definedName>
    <definedName name="CAS_CFAssetsInterestBearing">#REF!</definedName>
    <definedName name="CAS_CFAssetsNonInterestBearing">#REF!</definedName>
    <definedName name="CAS_CFAssociatesAssets">#REF!</definedName>
    <definedName name="CAS_CFFixedAssets">#REF!</definedName>
    <definedName name="CAS_ChgCashSTInvestment">#REF!</definedName>
    <definedName name="CAS_ChgCurrentOutstandingClaims">#REF!</definedName>
    <definedName name="CAS_ChgCurrentUnearnedPremium">#REF!</definedName>
    <definedName name="CAS_ChgDeferredTax">#REF!</definedName>
    <definedName name="CAS_ChgDividendPayout">#REF!</definedName>
    <definedName name="CAS_ChgGrossDebt">#REF!</definedName>
    <definedName name="CAS_ChgInventory">#REF!</definedName>
    <definedName name="CAS_ChgInvestment">#REF!</definedName>
    <definedName name="CAS_ChgLTDebt">#REF!</definedName>
    <definedName name="CAS_ChgLTOutstandingClaims">#REF!</definedName>
    <definedName name="CAS_ChgLTUnearnedPremium">#REF!</definedName>
    <definedName name="CAS_ChgMinorityInterest">#REF!</definedName>
    <definedName name="CAS_ChgNewEquity">#REF!</definedName>
    <definedName name="CAS_ChgOtherEquity">#REF!</definedName>
    <definedName name="CAS_ChgOtherLiability">#REF!</definedName>
    <definedName name="CAS_ChgPayables">#REF!</definedName>
    <definedName name="CAS_ChgPremiumPaidUpCapital">#REF!</definedName>
    <definedName name="CAS_ChgReceivables">#REF!</definedName>
    <definedName name="CAS_ChgShareCapital">#REF!</definedName>
    <definedName name="CAS_ChgSTDebt">#REF!</definedName>
    <definedName name="CAS_ChgTotalSharePaidUpCapitalLiability">#REF!</definedName>
    <definedName name="CAS_Depreciation">#REF!</definedName>
    <definedName name="CAS_DepreciationAmortization">#REF!</definedName>
    <definedName name="CAS_Dividends">#REF!</definedName>
    <definedName name="CAS_IncomeAssociatesAfterDividends">#REF!</definedName>
    <definedName name="CAS_LookUpYears">#REF!</definedName>
    <definedName name="CAS_NetProfit">#REF!</definedName>
    <definedName name="CAS_Provisions">#REF!</definedName>
    <definedName name="CAS_PurchasesLessDisposals">#REF!</definedName>
    <definedName name="CAS_TotalChangeinWC">#REF!</definedName>
    <definedName name="CASH" localSheetId="10">[1]bajaj_copeland!$C$182:$L$245</definedName>
    <definedName name="CASH">#REF!</definedName>
    <definedName name="cash_avg_A">#REF!</definedName>
    <definedName name="cash_bank" localSheetId="10">[28]Template!$D$182:$T$182</definedName>
    <definedName name="cash_bank">#REF!</definedName>
    <definedName name="cash_bank_A">#REF!</definedName>
    <definedName name="cash_bank_avg">#REF!</definedName>
    <definedName name="Cash_Bank_balances">#REF!</definedName>
    <definedName name="cash_bank_Q">#REF!</definedName>
    <definedName name="Cash_Cheques_on_hand">#REF!</definedName>
    <definedName name="cash_credit_and_loans_repayable_on_demand">#REF!</definedName>
    <definedName name="Cash_Credit_Secured">#REF!</definedName>
    <definedName name="Cash_DCF">#REF!</definedName>
    <definedName name="Cash_EPS">#REF!</definedName>
    <definedName name="CASH_FLOW" localSheetId="10">[1]bajaj_copeland!$E$414</definedName>
    <definedName name="CASH_FLOW">#REF!</definedName>
    <definedName name="cash_flow_from_financing">#REF!</definedName>
    <definedName name="cash_flow_from_financing_activities" localSheetId="10">[28]Template!$D$144:$T$144</definedName>
    <definedName name="cash_flow_from_financing_activities">#REF!</definedName>
    <definedName name="cash_flow_from_financing_activities_A">#REF!</definedName>
    <definedName name="Cash_flow_from_financing6">#REF!</definedName>
    <definedName name="cash_flow_from_investing">#REF!</definedName>
    <definedName name="cash_flow_from_investing_activities" localSheetId="10">[28]Template!$D$137:$T$137</definedName>
    <definedName name="cash_flow_from_investing_activities">#REF!</definedName>
    <definedName name="cash_flow_from_investing_activities_A">#REF!</definedName>
    <definedName name="Cash_flow_from_investing6">#REF!</definedName>
    <definedName name="cash_flow_from_operating_activities" localSheetId="10">[28]Template!$D$129:$T$129</definedName>
    <definedName name="cash_flow_from_operating_activities">#REF!</definedName>
    <definedName name="cash_flow_from_operating_activities_A">#REF!</definedName>
    <definedName name="cash_flow_from_operations">#REF!</definedName>
    <definedName name="cash_flow_from_operations6">#REF!</definedName>
    <definedName name="Cash_Flow_Statement">#REF!</definedName>
    <definedName name="Cash_fore">#REF!</definedName>
    <definedName name="Cash_growth">#REF!</definedName>
    <definedName name="Cash_growth_fore">#REF!</definedName>
    <definedName name="cash_in_hand">#REF!</definedName>
    <definedName name="Cash_Op._Taxes">#REF!</definedName>
    <definedName name="Cash_Op._Taxes_Core">#REF!</definedName>
    <definedName name="Cash_Operating_Taxes">#REF!</definedName>
    <definedName name="Cash_Operating_taxes_Core">#REF!</definedName>
    <definedName name="Cash_operating_taxes_core_fore">#REF!</definedName>
    <definedName name="Cash_operating_taxes_fore">#REF!</definedName>
    <definedName name="cash_per_shr">#REF!</definedName>
    <definedName name="CASHADJ" localSheetId="4">#REF!</definedName>
    <definedName name="CASHADJ">[46]PLold!$A$330:$K$334</definedName>
    <definedName name="CashBankBalances">#REF!</definedName>
    <definedName name="cashbk" localSheetId="4">#REF!</definedName>
    <definedName name="cashbk">[29]UploaderV4!$F$149:$AE$149</definedName>
    <definedName name="cashchange" localSheetId="4">#REF!</definedName>
    <definedName name="cashchange">[29]UploaderV4!$F$218:$AE$218</definedName>
    <definedName name="CashChg">#REF!</definedName>
    <definedName name="CashCr">#REF!</definedName>
    <definedName name="cashcur" localSheetId="4">#REF!</definedName>
    <definedName name="cashcur">[29]UploaderV4!$F$150:$AE$150</definedName>
    <definedName name="casheps" localSheetId="4">#REF!</definedName>
    <definedName name="casheps">[29]UploaderV4!$F$229:$AE$229</definedName>
    <definedName name="casheq" localSheetId="4">#REF!</definedName>
    <definedName name="casheq">[29]UploaderV4!$F$148:$AE$148</definedName>
    <definedName name="CASHFLOW">#REF!</definedName>
    <definedName name="cashnoncur" localSheetId="4">#REF!</definedName>
    <definedName name="cashnoncur">[29]UploaderV4!$F$151:$AE$151</definedName>
    <definedName name="CashPr">#REF!</definedName>
    <definedName name="CASHTAX" localSheetId="10">[1]bajaj_copeland!$AF$574</definedName>
    <definedName name="CASHTAX">#REF!</definedName>
    <definedName name="Catalog_Path" localSheetId="4">#REF!</definedName>
    <definedName name="Catalog_Path">[2]Header!$AD$5</definedName>
    <definedName name="catdry">#REF!</definedName>
    <definedName name="catmoist">#REF!</definedName>
    <definedName name="catsup">#REF!</definedName>
    <definedName name="catwet">#REF!</definedName>
    <definedName name="caz_bs">#REF!</definedName>
    <definedName name="caz_cf">#REF!</definedName>
    <definedName name="caz_pl">#REF!</definedName>
    <definedName name="caz_ratio">#REF!</definedName>
    <definedName name="cbkwgt">#REF!</definedName>
    <definedName name="CBORDER" localSheetId="10">[1]bajaj_copeland!$A$1:$B$1</definedName>
    <definedName name="CBORDER">#REF!</definedName>
    <definedName name="CBS">#REF!</definedName>
    <definedName name="CBS_BM11">#REF!</definedName>
    <definedName name="CBS_BM110">#REF!</definedName>
    <definedName name="CBS_BM111">#REF!</definedName>
    <definedName name="CBS_BM112">#REF!</definedName>
    <definedName name="CBS_BM113">#REF!</definedName>
    <definedName name="CBS_BM114">#REF!</definedName>
    <definedName name="CBS_BM115">#REF!</definedName>
    <definedName name="CBS_BM116">#REF!</definedName>
    <definedName name="CBS_BM117">#REF!</definedName>
    <definedName name="CBS_BM118">#REF!</definedName>
    <definedName name="CBS_BM119">#REF!</definedName>
    <definedName name="CBS_BM12">#REF!</definedName>
    <definedName name="CBS_BM120">#REF!</definedName>
    <definedName name="CBS_BM121">#REF!</definedName>
    <definedName name="CBS_BM122">#REF!</definedName>
    <definedName name="CBS_BM123">#REF!</definedName>
    <definedName name="CBS_BM124">#REF!</definedName>
    <definedName name="CBS_BM125">#REF!</definedName>
    <definedName name="CBS_BM13">#REF!</definedName>
    <definedName name="CBS_BM14">#REF!</definedName>
    <definedName name="CBS_BM15">#REF!</definedName>
    <definedName name="CBS_BM16">#REF!</definedName>
    <definedName name="CBS_BM17">#REF!</definedName>
    <definedName name="CBS_BM18">#REF!</definedName>
    <definedName name="CBS_BM19">#REF!</definedName>
    <definedName name="CBS_BM21">#REF!</definedName>
    <definedName name="CBS_BM210_N0">#REF!</definedName>
    <definedName name="CBS_BM211_N0">#REF!</definedName>
    <definedName name="CBS_BM212_N0">#REF!</definedName>
    <definedName name="CBS_BM213_N0">#REF!</definedName>
    <definedName name="CBS_BM214_N0">#REF!</definedName>
    <definedName name="CBS_BM215_N0">#REF!</definedName>
    <definedName name="CBS_BM216_N0">#REF!</definedName>
    <definedName name="CBS_BM217_N0">#REF!</definedName>
    <definedName name="CBS_BM218_N0">#REF!</definedName>
    <definedName name="CBS_BM219_N0">#REF!</definedName>
    <definedName name="CBS_BM22_N0">#REF!</definedName>
    <definedName name="CBS_BM220_N1">#REF!</definedName>
    <definedName name="CBS_BM221_N1">#REF!</definedName>
    <definedName name="CBS_BM222_N1">#REF!</definedName>
    <definedName name="CBS_BM223_N1">#REF!</definedName>
    <definedName name="CBS_BM224_N1">#REF!</definedName>
    <definedName name="CBS_BM225_N1">#REF!</definedName>
    <definedName name="CBS_BM23_N0">#REF!</definedName>
    <definedName name="CBS_BM24_N0">#REF!</definedName>
    <definedName name="CBS_BM25_N0">#REF!</definedName>
    <definedName name="CBS_BM26_N0">#REF!</definedName>
    <definedName name="CBS_BM27_N0">#REF!</definedName>
    <definedName name="CBS_BM28_N0">#REF!</definedName>
    <definedName name="CBS_BM29_N0">#REF!</definedName>
    <definedName name="CBS_BM31">#REF!</definedName>
    <definedName name="CBS_BM310_N0">#REF!</definedName>
    <definedName name="CBS_BM311_N0">#REF!</definedName>
    <definedName name="CBS_BM312_N0">#REF!</definedName>
    <definedName name="CBS_BM313_N0">#REF!</definedName>
    <definedName name="CBS_BM314_N0">#REF!</definedName>
    <definedName name="CBS_BM315_N0">#REF!</definedName>
    <definedName name="CBS_BM316_N0">#REF!</definedName>
    <definedName name="CBS_BM317_N0">#REF!</definedName>
    <definedName name="CBS_BM318_N0">#REF!</definedName>
    <definedName name="CBS_BM319_N0">#REF!</definedName>
    <definedName name="CBS_BM32_N0">#REF!</definedName>
    <definedName name="CBS_BM322_N1">#REF!</definedName>
    <definedName name="CBS_BM323_N1">#REF!</definedName>
    <definedName name="CBS_BM324_N1">#REF!</definedName>
    <definedName name="CBS_BM325_N1">#REF!</definedName>
    <definedName name="CBS_BM33_N0">#REF!</definedName>
    <definedName name="CBS_BM34_N0">#REF!</definedName>
    <definedName name="CBS_BM35_N0">#REF!</definedName>
    <definedName name="CBS_BM36_N0">#REF!</definedName>
    <definedName name="CBS_BM37_N0">#REF!</definedName>
    <definedName name="CBS_BM38_N0">#REF!</definedName>
    <definedName name="CBS_BM39_N0">#REF!</definedName>
    <definedName name="CBS_BM41">#REF!</definedName>
    <definedName name="CBS_BM410_N0">#REF!</definedName>
    <definedName name="CBS_BM411_N0">#REF!</definedName>
    <definedName name="CBS_BM412_N0">#REF!</definedName>
    <definedName name="CBS_BM413_N0">#REF!</definedName>
    <definedName name="CBS_BM414_N0">#REF!</definedName>
    <definedName name="CBS_BM415_N0">#REF!</definedName>
    <definedName name="CBS_BM416_N0">#REF!</definedName>
    <definedName name="CBS_BM417_N0">#REF!</definedName>
    <definedName name="CBS_BM418_N0">#REF!</definedName>
    <definedName name="CBS_BM419_N0">#REF!</definedName>
    <definedName name="CBS_BM42_N0">#REF!</definedName>
    <definedName name="CBS_BM420_N1">#REF!</definedName>
    <definedName name="CBS_BM421_N1">#REF!</definedName>
    <definedName name="CBS_BM422_N1">#REF!</definedName>
    <definedName name="CBS_BM423_N1">#REF!</definedName>
    <definedName name="CBS_BM424_N1">#REF!</definedName>
    <definedName name="CBS_BM425_N1">#REF!</definedName>
    <definedName name="CBS_BM43_N0">#REF!</definedName>
    <definedName name="CBS_BM44_N0">#REF!</definedName>
    <definedName name="CBS_BM45_N0">#REF!</definedName>
    <definedName name="CBS_BM46_N0">#REF!</definedName>
    <definedName name="CBS_BM47_N0">#REF!</definedName>
    <definedName name="CBS_BM48_N0">#REF!</definedName>
    <definedName name="CBS_BM49_N0">#REF!</definedName>
    <definedName name="CBS_BM51">#REF!</definedName>
    <definedName name="CBS_BM510_N0">#REF!</definedName>
    <definedName name="CBS_BM511_N0">#REF!</definedName>
    <definedName name="CBS_BM512_N0">#REF!</definedName>
    <definedName name="CBS_BM513_N0">#REF!</definedName>
    <definedName name="CBS_BM514_N0">#REF!</definedName>
    <definedName name="CBS_BM515_N0">#REF!</definedName>
    <definedName name="CBS_BM516_N0">#REF!</definedName>
    <definedName name="CBS_BM517_N0">#REF!</definedName>
    <definedName name="CBS_BM518_N0">#REF!</definedName>
    <definedName name="CBS_BM519_N0">#REF!</definedName>
    <definedName name="CBS_BM52_N0">#REF!</definedName>
    <definedName name="CBS_BM520_N1">#REF!</definedName>
    <definedName name="CBS_BM521_N1">#REF!</definedName>
    <definedName name="CBS_BM522_N1">#REF!</definedName>
    <definedName name="CBS_BM523_N1">#REF!</definedName>
    <definedName name="CBS_BM524_N1">#REF!</definedName>
    <definedName name="CBS_BM525_N1">#REF!</definedName>
    <definedName name="CBS_BM53_N0">#REF!</definedName>
    <definedName name="CBS_BM54_N0">#REF!</definedName>
    <definedName name="CBS_BM55_N0">#REF!</definedName>
    <definedName name="CBS_BM56_N0">#REF!</definedName>
    <definedName name="CBS_BM57_N0">#REF!</definedName>
    <definedName name="CBS_BM58_N0">#REF!</definedName>
    <definedName name="CBS_BM59_N0">#REF!</definedName>
    <definedName name="CCC">#REF!</definedName>
    <definedName name="cce">#REF!</definedName>
    <definedName name="CCF">#REF!</definedName>
    <definedName name="CCF_BM11">#REF!</definedName>
    <definedName name="CCF_BM110">#REF!</definedName>
    <definedName name="CCF_BM111">#REF!</definedName>
    <definedName name="CCF_BM112">#REF!</definedName>
    <definedName name="CCF_BM113">#REF!</definedName>
    <definedName name="CCF_BM114">#REF!</definedName>
    <definedName name="CCF_BM115">#REF!</definedName>
    <definedName name="CCF_BM116">#REF!</definedName>
    <definedName name="CCF_BM117">#REF!</definedName>
    <definedName name="CCF_BM118">#REF!</definedName>
    <definedName name="CCF_BM120">#REF!</definedName>
    <definedName name="CCF_BM121">#REF!</definedName>
    <definedName name="CCF_BM122">#REF!</definedName>
    <definedName name="CCF_BM123">#REF!</definedName>
    <definedName name="CCF_BM124">#REF!</definedName>
    <definedName name="CCF_BM125">#REF!</definedName>
    <definedName name="CCF_BM126">#REF!</definedName>
    <definedName name="CCF_BM13">#REF!</definedName>
    <definedName name="CCF_BM14">#REF!</definedName>
    <definedName name="CCF_BM15">#REF!</definedName>
    <definedName name="CCF_BM16">#REF!</definedName>
    <definedName name="CCF_BM17">#REF!</definedName>
    <definedName name="CCF_BM18">#REF!</definedName>
    <definedName name="CCF_BM19">#REF!</definedName>
    <definedName name="CCF_BM21">#REF!</definedName>
    <definedName name="CCF_BM210_N0">#REF!</definedName>
    <definedName name="CCF_BM211_N0">#REF!</definedName>
    <definedName name="CCF_BM212_N0">#REF!</definedName>
    <definedName name="CCF_BM213_N0">#REF!</definedName>
    <definedName name="CCF_BM214_N0">#REF!</definedName>
    <definedName name="CCF_BM215_N0">#REF!</definedName>
    <definedName name="CCF_BM216_N0">#REF!</definedName>
    <definedName name="CCF_BM217_P0">#REF!</definedName>
    <definedName name="CCF_BM218">#REF!</definedName>
    <definedName name="CCF_BM218_P0">#REF!</definedName>
    <definedName name="CCF_BM219_P0">#REF!</definedName>
    <definedName name="CCF_BM22_N0">#REF!</definedName>
    <definedName name="CCF_BM220_P0">#REF!</definedName>
    <definedName name="CCF_BM221_N1">#REF!</definedName>
    <definedName name="CCF_BM222_N1">#REF!</definedName>
    <definedName name="CCF_BM223_N1">#REF!</definedName>
    <definedName name="CCF_BM224_N1">#REF!</definedName>
    <definedName name="CCF_BM225_N1">#REF!</definedName>
    <definedName name="CCF_BM226_P1">#REF!</definedName>
    <definedName name="CCF_BM23_N0">#REF!</definedName>
    <definedName name="CCF_BM24_N0">#REF!</definedName>
    <definedName name="CCF_BM25_N0">#REF!</definedName>
    <definedName name="CCF_BM26_N0">#REF!</definedName>
    <definedName name="CCF_BM27_N0">#REF!</definedName>
    <definedName name="CCF_BM28_N0">#REF!</definedName>
    <definedName name="CCF_BM29_N0">#REF!</definedName>
    <definedName name="CCF_BM31">#REF!</definedName>
    <definedName name="CCF_BM310_N0">#REF!</definedName>
    <definedName name="CCF_BM311_N0">#REF!</definedName>
    <definedName name="CCF_BM312_N0">#REF!</definedName>
    <definedName name="CCF_BM313_N0">#REF!</definedName>
    <definedName name="CCF_BM314_N0">#REF!</definedName>
    <definedName name="CCF_BM315_N0">#REF!</definedName>
    <definedName name="CCF_BM316_N0">#REF!</definedName>
    <definedName name="CCF_BM317_P0">#REF!</definedName>
    <definedName name="CCF_BM318">#REF!</definedName>
    <definedName name="CCF_BM318_P0">#REF!</definedName>
    <definedName name="CCF_BM319_P0">#REF!</definedName>
    <definedName name="CCF_BM32_N0">#REF!</definedName>
    <definedName name="CCF_BM320_P0">#REF!</definedName>
    <definedName name="CCF_BM321_N1">#REF!</definedName>
    <definedName name="CCF_BM322_N1">#REF!</definedName>
    <definedName name="CCF_BM323_N1">#REF!</definedName>
    <definedName name="CCF_BM324_N1">#REF!</definedName>
    <definedName name="CCF_BM325_N1">#REF!</definedName>
    <definedName name="CCF_BM326_P1">#REF!</definedName>
    <definedName name="CCF_BM33_N0">#REF!</definedName>
    <definedName name="CCF_BM34_N0">#REF!</definedName>
    <definedName name="CCF_BM35_N0">#REF!</definedName>
    <definedName name="CCF_BM36_N0">#REF!</definedName>
    <definedName name="CCF_BM37_N0">#REF!</definedName>
    <definedName name="CCF_BM38_N0">#REF!</definedName>
    <definedName name="CCF_BM39_N0">#REF!</definedName>
    <definedName name="CCF_BM41">#REF!</definedName>
    <definedName name="CCF_BM410_N0">#REF!</definedName>
    <definedName name="CCF_BM411_N0">#REF!</definedName>
    <definedName name="CCF_BM412_N0">#REF!</definedName>
    <definedName name="CCF_BM413_N0">#REF!</definedName>
    <definedName name="CCF_BM414_N0">#REF!</definedName>
    <definedName name="CCF_BM415_N0">#REF!</definedName>
    <definedName name="CCF_BM416_N0">#REF!</definedName>
    <definedName name="CCF_BM417_P0">#REF!</definedName>
    <definedName name="CCF_BM418">#REF!</definedName>
    <definedName name="CCF_BM418_P0">#REF!</definedName>
    <definedName name="CCF_BM419_P0">#REF!</definedName>
    <definedName name="CCF_BM42_N0">#REF!</definedName>
    <definedName name="CCF_BM420_P0">#REF!</definedName>
    <definedName name="CCF_BM421_N1">#REF!</definedName>
    <definedName name="CCF_BM422_N1">#REF!</definedName>
    <definedName name="CCF_BM423_N1">#REF!</definedName>
    <definedName name="CCF_BM424_N1">#REF!</definedName>
    <definedName name="CCF_BM425_N1">#REF!</definedName>
    <definedName name="CCF_BM426_P1">#REF!</definedName>
    <definedName name="CCF_BM43_N0">#REF!</definedName>
    <definedName name="CCF_BM44_N0">#REF!</definedName>
    <definedName name="CCF_BM45_N0">#REF!</definedName>
    <definedName name="CCF_BM46_N0">#REF!</definedName>
    <definedName name="CCF_BM47_N0">#REF!</definedName>
    <definedName name="CCF_BM48_N0">#REF!</definedName>
    <definedName name="CCF_BM49_N0">#REF!</definedName>
    <definedName name="CCF_BM51">#REF!</definedName>
    <definedName name="CCF_BM510_N0">#REF!</definedName>
    <definedName name="CCF_BM511_N0">#REF!</definedName>
    <definedName name="CCF_BM512_N0">#REF!</definedName>
    <definedName name="CCF_BM513_N0">#REF!</definedName>
    <definedName name="CCF_BM514_N0">#REF!</definedName>
    <definedName name="CCF_BM515_N0">#REF!</definedName>
    <definedName name="CCF_BM516_N0">#REF!</definedName>
    <definedName name="CCF_BM517_P0">#REF!</definedName>
    <definedName name="CCF_BM518">#REF!</definedName>
    <definedName name="CCF_BM518_P0">#REF!</definedName>
    <definedName name="CCF_BM519_P0">#REF!</definedName>
    <definedName name="CCF_BM52_N0">#REF!</definedName>
    <definedName name="CCF_BM520_P0">#REF!</definedName>
    <definedName name="CCF_BM521_N1">#REF!</definedName>
    <definedName name="CCF_BM522_N1">#REF!</definedName>
    <definedName name="CCF_BM523_N1">#REF!</definedName>
    <definedName name="CCF_BM524_N1">#REF!</definedName>
    <definedName name="CCF_BM525_N1">#REF!</definedName>
    <definedName name="CCF_BM526_P1">#REF!</definedName>
    <definedName name="CCF_BM53_N0">#REF!</definedName>
    <definedName name="CCF_BM54_N0">#REF!</definedName>
    <definedName name="CCF_BM55_N0">#REF!</definedName>
    <definedName name="CCF_BM56_N0">#REF!</definedName>
    <definedName name="CCF_BM57_N0">#REF!</definedName>
    <definedName name="CCF_BM58_N0">#REF!</definedName>
    <definedName name="CCF_BM59_N0">#REF!</definedName>
    <definedName name="ccn">#REF!</definedName>
    <definedName name="ccode">#REF!</definedName>
    <definedName name="cde">#REF!</definedName>
    <definedName name="cdi">#REF!</definedName>
    <definedName name="cdp">#REF!</definedName>
    <definedName name="ce" localSheetId="4" hidden="1">{#N/A,#N/A,FALSE,"Status of Projects";#N/A,#N/A,FALSE,"CEA-TEC";#N/A,#N/A,FALSE,"U-Constr.";#N/A,#N/A,FALSE,"summary";#N/A,#N/A,FALSE,"PPP-3 yrs"}</definedName>
    <definedName name="CE">#REF!</definedName>
    <definedName name="CE_BM11">#REF!</definedName>
    <definedName name="CE_BM12">#REF!</definedName>
    <definedName name="CE_BM13">#REF!</definedName>
    <definedName name="CE_BM14">#REF!</definedName>
    <definedName name="CE_BM15">#REF!</definedName>
    <definedName name="CE_BM16">#REF!</definedName>
    <definedName name="CE_BM17">#REF!</definedName>
    <definedName name="CE_BM21">#REF!</definedName>
    <definedName name="CE_BM22_N1">#REF!</definedName>
    <definedName name="CE_BM23_N1">#REF!</definedName>
    <definedName name="CE_BM24_N0">#REF!</definedName>
    <definedName name="CE_BM25_N0">#REF!</definedName>
    <definedName name="CE_BM26_N0">#REF!</definedName>
    <definedName name="CE_BM27_N0">#REF!</definedName>
    <definedName name="CE_BM31">#REF!</definedName>
    <definedName name="CE_BM32_N1">#REF!</definedName>
    <definedName name="CE_BM33_N1">#REF!</definedName>
    <definedName name="CE_BM34_N0">#REF!</definedName>
    <definedName name="CE_BM35_N0">#REF!</definedName>
    <definedName name="CE_BM36_N0">#REF!</definedName>
    <definedName name="CE_BM37_N0">#REF!</definedName>
    <definedName name="CE_BM41">#REF!</definedName>
    <definedName name="CE_BM42_P0">#REF!</definedName>
    <definedName name="CE_BM43_P0">#REF!</definedName>
    <definedName name="CE_BM44_P0">#REF!</definedName>
    <definedName name="CE_BM45_P0">#REF!</definedName>
    <definedName name="CE_BM46_P0">#REF!</definedName>
    <definedName name="CE_BM47_P0">#REF!</definedName>
    <definedName name="cefuroxime">#REF!</definedName>
    <definedName name="cell">#REF!</definedName>
    <definedName name="cell1">#REF!</definedName>
    <definedName name="cem" localSheetId="9" hidden="1">{#N/A,#N/A,FALSE,"Status of Projects";#N/A,#N/A,FALSE,"CEA-TEC";#N/A,#N/A,FALSE,"U-Constr.";#N/A,#N/A,FALSE,"summary";#N/A,#N/A,FALSE,"PPP-3 yrs"}</definedName>
    <definedName name="cem" localSheetId="10" hidden="1">{#N/A,#N/A,FALSE,"Status of Projects";#N/A,#N/A,FALSE,"CEA-TEC";#N/A,#N/A,FALSE,"U-Constr.";#N/A,#N/A,FALSE,"summary";#N/A,#N/A,FALSE,"PPP-3 yrs"}</definedName>
    <definedName name="cem" localSheetId="4" hidden="1">{#N/A,#N/A,FALSE,"Status of Projects";#N/A,#N/A,FALSE,"CEA-TEC";#N/A,#N/A,FALSE,"U-Constr.";#N/A,#N/A,FALSE,"summary";#N/A,#N/A,FALSE,"PPP-3 yrs"}</definedName>
    <definedName name="cem" hidden="1">{#N/A,#N/A,FALSE,"Status of Projects";#N/A,#N/A,FALSE,"CEA-TEC";#N/A,#N/A,FALSE,"U-Constr.";#N/A,#N/A,FALSE,"summary";#N/A,#N/A,FALSE,"PPP-3 yrs"}</definedName>
    <definedName name="centre.1" localSheetId="9">#REF!</definedName>
    <definedName name="centre.1">#REF!</definedName>
    <definedName name="centre.2" localSheetId="9">#REF!</definedName>
    <definedName name="centre.2">#REF!</definedName>
    <definedName name="ceps" localSheetId="9">#REF!</definedName>
    <definedName name="ceps" localSheetId="10">[28]Template!$D$305:$T$305</definedName>
    <definedName name="ceps">#REF!</definedName>
    <definedName name="CF">#REF!</definedName>
    <definedName name="CF_ASSOC">#REF!</definedName>
    <definedName name="CF_BM11">#REF!</definedName>
    <definedName name="CF_BM110">#REF!</definedName>
    <definedName name="CF_BM111">#REF!</definedName>
    <definedName name="CF_BM112">#REF!</definedName>
    <definedName name="CF_BM113">#REF!</definedName>
    <definedName name="CF_BM114">#REF!</definedName>
    <definedName name="CF_BM115">#REF!</definedName>
    <definedName name="CF_BM116">#REF!</definedName>
    <definedName name="CF_BM117">#REF!</definedName>
    <definedName name="CF_BM118">#REF!</definedName>
    <definedName name="CF_BM119">#REF!</definedName>
    <definedName name="CF_BM12">#REF!</definedName>
    <definedName name="CF_BM120">#REF!</definedName>
    <definedName name="CF_BM121">#REF!</definedName>
    <definedName name="CF_BM122">#REF!</definedName>
    <definedName name="CF_BM123">#REF!</definedName>
    <definedName name="CF_BM13">#REF!</definedName>
    <definedName name="CF_BM14">#REF!</definedName>
    <definedName name="CF_BM15">#REF!</definedName>
    <definedName name="CF_BM16">#REF!</definedName>
    <definedName name="CF_BM17">#REF!</definedName>
    <definedName name="CF_BM18">#REF!</definedName>
    <definedName name="CF_BM19">#REF!</definedName>
    <definedName name="CF_BM21">#REF!</definedName>
    <definedName name="CF_BM210_N0">#REF!</definedName>
    <definedName name="CF_BM211_N0">#REF!</definedName>
    <definedName name="CF_BM212">#REF!</definedName>
    <definedName name="CF_BM213_N1">#REF!</definedName>
    <definedName name="CF_BM214_N0">#REF!</definedName>
    <definedName name="CF_BM215_N1">#REF!</definedName>
    <definedName name="CF_BM216_N1">#REF!</definedName>
    <definedName name="CF_BM217_N1">#REF!</definedName>
    <definedName name="CF_BM218_N1">#REF!</definedName>
    <definedName name="CF_BM219_N1">#REF!</definedName>
    <definedName name="CF_BM22_N0">#REF!</definedName>
    <definedName name="CF_BM220_P0">#REF!</definedName>
    <definedName name="CF_BM221_P0">#REF!</definedName>
    <definedName name="CF_BM222_P0">#REF!</definedName>
    <definedName name="CF_BM223_P0">#REF!</definedName>
    <definedName name="CF_BM23_N0">#REF!</definedName>
    <definedName name="CF_BM24_N0">#REF!</definedName>
    <definedName name="CF_BM25_N0">#REF!</definedName>
    <definedName name="CF_BM26_N0">#REF!</definedName>
    <definedName name="CF_BM27_N0">#REF!</definedName>
    <definedName name="CF_BM28_N0">#REF!</definedName>
    <definedName name="CF_BM29_N0">#REF!</definedName>
    <definedName name="CF_BM31">#REF!</definedName>
    <definedName name="CF_BM310_N0">#REF!</definedName>
    <definedName name="CF_BM311_N0">#REF!</definedName>
    <definedName name="CF_BM312">#REF!</definedName>
    <definedName name="CF_BM313_N1">#REF!</definedName>
    <definedName name="CF_BM314_N0">#REF!</definedName>
    <definedName name="CF_BM315_N1">#REF!</definedName>
    <definedName name="CF_BM316_N1">#REF!</definedName>
    <definedName name="CF_BM317_N1">#REF!</definedName>
    <definedName name="CF_BM318_N1">#REF!</definedName>
    <definedName name="CF_BM319_N1">#REF!</definedName>
    <definedName name="CF_BM32_N0">#REF!</definedName>
    <definedName name="CF_BM320_P0">#REF!</definedName>
    <definedName name="CF_BM321_P0">#REF!</definedName>
    <definedName name="CF_BM322_P0">#REF!</definedName>
    <definedName name="CF_BM323_P0">#REF!</definedName>
    <definedName name="CF_BM33_N0">#REF!</definedName>
    <definedName name="CF_BM34_N0">#REF!</definedName>
    <definedName name="CF_BM35_N0">#REF!</definedName>
    <definedName name="CF_BM36_N0">#REF!</definedName>
    <definedName name="CF_BM37_N0">#REF!</definedName>
    <definedName name="CF_BM38_N0">#REF!</definedName>
    <definedName name="CF_BM39_N0">#REF!</definedName>
    <definedName name="CF_BM41">#REF!</definedName>
    <definedName name="CF_BM410_N0">#REF!</definedName>
    <definedName name="CF_BM411_N0">#REF!</definedName>
    <definedName name="CF_BM412">#REF!</definedName>
    <definedName name="CF_BM413_N1">#REF!</definedName>
    <definedName name="CF_BM414_N0">#REF!</definedName>
    <definedName name="CF_BM415_N1">#REF!</definedName>
    <definedName name="CF_BM416_N1">#REF!</definedName>
    <definedName name="CF_BM417_N1">#REF!</definedName>
    <definedName name="CF_BM418_N1">#REF!</definedName>
    <definedName name="CF_BM419_N1">#REF!</definedName>
    <definedName name="CF_BM42_N0">#REF!</definedName>
    <definedName name="CF_BM420_P0">#REF!</definedName>
    <definedName name="CF_BM421_P0">#REF!</definedName>
    <definedName name="CF_BM422_P0">#REF!</definedName>
    <definedName name="CF_BM423_P0">#REF!</definedName>
    <definedName name="CF_BM43_N0">#REF!</definedName>
    <definedName name="CF_BM44_N0">#REF!</definedName>
    <definedName name="CF_BM45_N0">#REF!</definedName>
    <definedName name="CF_BM46_N0">#REF!</definedName>
    <definedName name="CF_BM47_N0">#REF!</definedName>
    <definedName name="CF_BM48_N0">#REF!</definedName>
    <definedName name="CF_BM49_N0">#REF!</definedName>
    <definedName name="CF_BM51">#REF!</definedName>
    <definedName name="CF_BM510_N0">#REF!</definedName>
    <definedName name="CF_BM511_N0">#REF!</definedName>
    <definedName name="CF_BM512">#REF!</definedName>
    <definedName name="CF_BM513_N1">#REF!</definedName>
    <definedName name="CF_BM514_N0">#REF!</definedName>
    <definedName name="CF_BM515_N1">#REF!</definedName>
    <definedName name="CF_BM516_N1">#REF!</definedName>
    <definedName name="CF_BM517_N1">#REF!</definedName>
    <definedName name="CF_BM518_N1">#REF!</definedName>
    <definedName name="CF_BM519_N1">#REF!</definedName>
    <definedName name="CF_BM52_N0">#REF!</definedName>
    <definedName name="CF_BM520_P0">#REF!</definedName>
    <definedName name="CF_BM521_P0">#REF!</definedName>
    <definedName name="CF_BM522_P0">#REF!</definedName>
    <definedName name="CF_BM523_P0">#REF!</definedName>
    <definedName name="CF_BM53_N0">#REF!</definedName>
    <definedName name="CF_BM54_N0">#REF!</definedName>
    <definedName name="CF_BM55_N0">#REF!</definedName>
    <definedName name="CF_BM56_N0">#REF!</definedName>
    <definedName name="CF_BM57_N0">#REF!</definedName>
    <definedName name="CF_BM58_N0">#REF!</definedName>
    <definedName name="CF_BM59_N0">#REF!</definedName>
    <definedName name="CF_CTP">#REF!</definedName>
    <definedName name="CF_DEPR">#REF!</definedName>
    <definedName name="CF_GAIN_LOSS">#REF!</definedName>
    <definedName name="cf_ganesh">#REF!</definedName>
    <definedName name="cf_jb">#REF!</definedName>
    <definedName name="CF_MIN">#REF!</definedName>
    <definedName name="CF_MIN_INT">#REF!</definedName>
    <definedName name="CF_PBT">#REF!</definedName>
    <definedName name="CF_WC">#REF!</definedName>
    <definedName name="cfc">#REF!</definedName>
    <definedName name="CFDiff">#REF!</definedName>
    <definedName name="cff" localSheetId="4">#REF!</definedName>
    <definedName name="cff">[29]UploaderV4!$F$216:$AE$216</definedName>
    <definedName name="cfgr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i" localSheetId="4">#REF!</definedName>
    <definedName name="cfi">[29]UploaderV4!$F$210:$AE$210</definedName>
    <definedName name="Cflow" localSheetId="9">#REF!</definedName>
    <definedName name="Cflow">#REF!</definedName>
    <definedName name="CFlow1" localSheetId="9">#REF!</definedName>
    <definedName name="CFlow1">#REF!</definedName>
    <definedName name="cfo" localSheetId="4">#REF!</definedName>
    <definedName name="cfo">[29]UploaderV4!$F$202:$AE$202</definedName>
    <definedName name="cfobwc" localSheetId="4">#REF!</definedName>
    <definedName name="cfobwc">[29]UploaderV4!$F$198:$AE$198</definedName>
    <definedName name="CFormats" localSheetId="4">#REF!</definedName>
    <definedName name="CFormats">[2]Header!$AO$2:$AO$17</definedName>
    <definedName name="CFPS" localSheetId="9">#REF!</definedName>
    <definedName name="CFPS">#REF!</definedName>
    <definedName name="CFPS_Curr_Yr">#REF!</definedName>
    <definedName name="CFPS_Lst_Yr">#REF!</definedName>
    <definedName name="CFPS_Next_Yr">#REF!</definedName>
    <definedName name="CFR" localSheetId="4">#REF!</definedName>
    <definedName name="CFR">[2]Header!#REF!</definedName>
    <definedName name="cfs">#REF!</definedName>
    <definedName name="cfx">#REF!</definedName>
    <definedName name="ChangeInCreditors">#REF!</definedName>
    <definedName name="ChangeInDebtors">#REF!</definedName>
    <definedName name="ChangeInFixedAssets">#REF!</definedName>
    <definedName name="ChangeInInvestments">#REF!</definedName>
    <definedName name="ChangeInStocks">#REF!</definedName>
    <definedName name="ChangeInTotalDebt">#REF!</definedName>
    <definedName name="ChangeInWorkingCapital">#REF!</definedName>
    <definedName name="changwgt">#REF!</definedName>
    <definedName name="Charts1">#REF!</definedName>
    <definedName name="Charts2">#REF!</definedName>
    <definedName name="chbwgt">#REF!</definedName>
    <definedName name="check"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heck"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HECKLIST" localSheetId="9">#REF!</definedName>
    <definedName name="CHECKLIST">#REF!</definedName>
    <definedName name="chg" localSheetId="4">#REF!</definedName>
    <definedName name="chg">[2]Header!$AA$12:$AK$12</definedName>
    <definedName name="chg_in_associates" localSheetId="4">#REF!</definedName>
    <definedName name="chg_in_associates">'[47]RMF Annual'!$E$72:$U$72</definedName>
    <definedName name="chg_in_current_liabilities" localSheetId="9">#REF!</definedName>
    <definedName name="chg_in_current_liabilities">#REF!</definedName>
    <definedName name="chg_in_debt">#REF!</definedName>
    <definedName name="chg_in_debtors">#REF!</definedName>
    <definedName name="Chg_in_fixed_assets">#REF!</definedName>
    <definedName name="chg_in_inventory">#REF!</definedName>
    <definedName name="chg_in_investment">#REF!</definedName>
    <definedName name="chg_in_investments" localSheetId="4">#REF!</definedName>
    <definedName name="chg_in_investments">'[47]RMF Annual'!$E$70:$U$70</definedName>
    <definedName name="chg_in_loans_advances">#REF!</definedName>
    <definedName name="chg_in_marketable_securities">#REF!</definedName>
    <definedName name="chg_in_minorities" localSheetId="4">#REF!</definedName>
    <definedName name="chg_in_minorities">'[30]Annual Temp'!#REF!</definedName>
    <definedName name="Chg_in_other_assets">#REF!</definedName>
    <definedName name="chg_in_other_current_assets">#REF!</definedName>
    <definedName name="chg_in_other_non_current_assets" localSheetId="4">#REF!</definedName>
    <definedName name="chg_in_other_non_current_assets">'[47]RMF Annual'!$E$65:$U$65</definedName>
    <definedName name="chg_in_provisions" localSheetId="10">[28]Template!$D$124:$T$124</definedName>
    <definedName name="chg_in_provisions">#REF!</definedName>
    <definedName name="chg_in_total_investments">#REF!</definedName>
    <definedName name="chg_in_wk_cap">#REF!</definedName>
    <definedName name="chg_in_working_cap" localSheetId="10">[28]Template!$D$166:$T$166</definedName>
    <definedName name="chg_in_working_cap">#REF!</definedName>
    <definedName name="Chg_in_working_capital">#REF!</definedName>
    <definedName name="Chile1">#REF!</definedName>
    <definedName name="Chile2">#REF!</definedName>
    <definedName name="China_map" localSheetId="4">#REF!</definedName>
    <definedName name="China_map">'[12]#REF'!$U$17:$V$20</definedName>
    <definedName name="chndata" localSheetId="10">'[48]CHN WIP'!$B$5:$Z$114</definedName>
    <definedName name="chndata">#REF!</definedName>
    <definedName name="chnold">#REF!</definedName>
    <definedName name="Choices_Wrapper">#N/A</definedName>
    <definedName name="cii">#REF!</definedName>
    <definedName name="Cipro">#REF!</definedName>
    <definedName name="CIQWBGuid" hidden="1">"cf8bf3f9-ae57-4def-bbe2-2300d4a03470"</definedName>
    <definedName name="civ">#REF!</definedName>
    <definedName name="CL" localSheetId="9">#REF!</definedName>
    <definedName name="CL">#REF!</definedName>
    <definedName name="CL_DEBT" localSheetId="9">#REF!</definedName>
    <definedName name="CL_DEBT">#REF!</definedName>
    <definedName name="CL_MIN_INT">#REF!</definedName>
    <definedName name="CL_PAY">#REF!</definedName>
    <definedName name="ClEqSh">#REF!</definedName>
    <definedName name="Closed_End">#REF!</definedName>
    <definedName name="CloseDate">#REF!</definedName>
    <definedName name="Closing_price">#REF!</definedName>
    <definedName name="CMP">#REF!</definedName>
    <definedName name="cni">#REF!</definedName>
    <definedName name="coalworking">#REF!</definedName>
    <definedName name="CoBorr12">#REF!</definedName>
    <definedName name="CoBorr13">#REF!</definedName>
    <definedName name="coc">#REF!</definedName>
    <definedName name="Cochin">#REF!</definedName>
    <definedName name="cod">#REF!</definedName>
    <definedName name="Code">#REF!</definedName>
    <definedName name="codeDestination" localSheetId="4">#REF!</definedName>
    <definedName name="codeDestination">[2]Header!$K$9</definedName>
    <definedName name="CODELK_Path" localSheetId="4">#REF!</definedName>
    <definedName name="CODELK_Path">[2]Header!$AD$4</definedName>
    <definedName name="COE" localSheetId="4">#REF!</definedName>
    <definedName name="COE">'[45]Stand alone Main'!#REF!</definedName>
    <definedName name="COGS" localSheetId="10">[1]bajaj_copeland!$AV$546</definedName>
    <definedName name="COGS">#REF!</definedName>
    <definedName name="coi">#REF!</definedName>
    <definedName name="Colend">#REF!</definedName>
    <definedName name="colocation">#REF!</definedName>
    <definedName name="colocation1">#REF!</definedName>
    <definedName name="ColumnCurrentYear">#REF!</definedName>
    <definedName name="COM_AnalystName">#REF!</definedName>
    <definedName name="COM_Bloomberg">#REF!</definedName>
    <definedName name="COM_CompanyName">#REF!</definedName>
    <definedName name="COM_CompanyType">#REF!</definedName>
    <definedName name="COM_DailyVolume">#REF!</definedName>
    <definedName name="COM_Datastream">#REF!</definedName>
    <definedName name="COM_DateofLastUpdate">#REF!</definedName>
    <definedName name="COM_Float">#REF!</definedName>
    <definedName name="COM_IndexLevel">#REF!</definedName>
    <definedName name="COM_IndexWeighting">#REF!</definedName>
    <definedName name="COM_IssuedCapital">#REF!</definedName>
    <definedName name="COM_IssuedCapitalForeignAuto">#REF!</definedName>
    <definedName name="COM_IssuedCapitalForeignManual">#REF!</definedName>
    <definedName name="COM_IssuedCapitalStdAuto">#REF!</definedName>
    <definedName name="COM_IssuedCapitalStdManual">#REF!</definedName>
    <definedName name="COM_ListedCapital">#REF!</definedName>
    <definedName name="COM_ListedCapitalForeignAuto">#REF!</definedName>
    <definedName name="COM_ListedCapitalForeignManual">#REF!</definedName>
    <definedName name="COM_ListedCapitalStdAuto">#REF!</definedName>
    <definedName name="COM_ListedCapitalStdManual">#REF!</definedName>
    <definedName name="COM_ListedMarketCap">#REF!</definedName>
    <definedName name="COM_ListedMarketCapForeignAuto">#REF!</definedName>
    <definedName name="COM_ListedMarketCapForeignManual">#REF!</definedName>
    <definedName name="COM_ListedMarketCapStdAuto">#REF!</definedName>
    <definedName name="COM_ListedMarketCapStdManual">#REF!</definedName>
    <definedName name="COM_MarketCap">#REF!</definedName>
    <definedName name="COM_MarketCapForeignAuto">#REF!</definedName>
    <definedName name="COM_MarketCapForeignManual">#REF!</definedName>
    <definedName name="COM_MarketCapStdAuto">#REF!</definedName>
    <definedName name="COM_MarketCapStdManual">#REF!</definedName>
    <definedName name="COM_MarketEPSGrowth">#REF!</definedName>
    <definedName name="COM_MarketName">#REF!</definedName>
    <definedName name="COM_MarketPE">#REF!</definedName>
    <definedName name="COM_MonthlyVolume">#REF!</definedName>
    <definedName name="COM_Price">#REF!</definedName>
    <definedName name="COM_Price12MHigh">#REF!</definedName>
    <definedName name="COM_Price12MLow">#REF!</definedName>
    <definedName name="COM_Price12Mth">#REF!</definedName>
    <definedName name="COM_Price1Mth">#REF!</definedName>
    <definedName name="COM_Price3Mth">#REF!</definedName>
    <definedName name="COM_PriceActual12MthStdAuto">#REF!</definedName>
    <definedName name="COM_PriceActual12MthStdManual">#REF!</definedName>
    <definedName name="COM_PriceActual1MthStdAuto">#REF!</definedName>
    <definedName name="COM_PriceActual1MthStdManual">#REF!</definedName>
    <definedName name="COM_PriceActual3MthStdAuto">#REF!</definedName>
    <definedName name="COM_PriceActual3mthStdManual">#REF!</definedName>
    <definedName name="COM_PriceForeign12MHighAuto">#REF!</definedName>
    <definedName name="COM_PriceForeign12MHighManual">#REF!</definedName>
    <definedName name="COM_PriceForeign12MLowAuto">#REF!</definedName>
    <definedName name="COM_PriceForeign12MLowManual">#REF!</definedName>
    <definedName name="COM_PriceForeignActual12MthStdAuto">#REF!</definedName>
    <definedName name="COM_PriceForeignActual12MthStdManual">#REF!</definedName>
    <definedName name="COM_PriceForeignActual1MthStdAuto">#REF!</definedName>
    <definedName name="COM_PriceForeignActual1MthStdManual">#REF!</definedName>
    <definedName name="COM_PriceForeignActual3MthStdAuto">#REF!</definedName>
    <definedName name="COM_PriceForeignActual3mthStdManual">#REF!</definedName>
    <definedName name="COM_PriceForeignAuto">#REF!</definedName>
    <definedName name="COM_PriceForeignManual">#REF!</definedName>
    <definedName name="COM_PriceForeignRelative12MthStdAuto">#REF!</definedName>
    <definedName name="COM_PriceForeignRelative12MthStdManual">#REF!</definedName>
    <definedName name="COM_PriceForeignRelative1MthStdAuto">#REF!</definedName>
    <definedName name="COM_PriceForeignRelative1MthStdManual">#REF!</definedName>
    <definedName name="COM_PriceForeignRelative3MthStdAuto">#REF!</definedName>
    <definedName name="COM_PriceForeignRelative3MthStdManual">#REF!</definedName>
    <definedName name="COM_PriceR12Mth">#REF!</definedName>
    <definedName name="COM_PriceR1Mth">#REF!</definedName>
    <definedName name="COM_PriceR3Mth">#REF!</definedName>
    <definedName name="COM_PriceRelative12mthStdAuto">#REF!</definedName>
    <definedName name="COM_PriceRelative12MthStdManual">#REF!</definedName>
    <definedName name="COM_PriceRelative1MthStdAuto">#REF!</definedName>
    <definedName name="COM_PriceRelative1MthStdManual">#REF!</definedName>
    <definedName name="COM_PriceRelative3MthStdAuto">#REF!</definedName>
    <definedName name="COM_PriceRelative3MthStdManual">#REF!</definedName>
    <definedName name="COM_PriceStd12MHighAuto">#REF!</definedName>
    <definedName name="COM_PriceStd12MHighManual">#REF!</definedName>
    <definedName name="COM_PriceStd12MLowAuto">#REF!</definedName>
    <definedName name="COM_PriceStd12MLowManual">#REF!</definedName>
    <definedName name="COM_PriceStdAuto">#REF!</definedName>
    <definedName name="COM_PriceStdManual">#REF!</definedName>
    <definedName name="COM_Recommendation">#REF!</definedName>
    <definedName name="COM_RecommendationDate">#REF!</definedName>
    <definedName name="COM_RecommendationPrice">#REF!</definedName>
    <definedName name="COM_Reuters">#REF!</definedName>
    <definedName name="COM_SET">#REF!</definedName>
    <definedName name="COM_Spare1">#REF!</definedName>
    <definedName name="COM_Spare2">#REF!</definedName>
    <definedName name="COM_TodaysDate">#REF!</definedName>
    <definedName name="Combining_Type">#REF!</definedName>
    <definedName name="Comm_fee">#REF!</definedName>
    <definedName name="commerce">#REF!</definedName>
    <definedName name="Commercial_paper">#REF!</definedName>
    <definedName name="Commercial_Paper_Unsecured">#REF!</definedName>
    <definedName name="Commission_Brokerage">#REF!</definedName>
    <definedName name="commission_exchange_brokerage">#REF!</definedName>
    <definedName name="comp" localSheetId="4">#REF!</definedName>
    <definedName name="comp">[49]Sheet2!$DU$1</definedName>
    <definedName name="Companies" localSheetId="4">#REF!</definedName>
    <definedName name="Companies">[44]Capex!$A$5:$A$90</definedName>
    <definedName name="company">#REF!</definedName>
    <definedName name="company_name">#REF!</definedName>
    <definedName name="company_nameh">#REF!</definedName>
    <definedName name="Company_reported_exceptionals" localSheetId="4">#REF!</definedName>
    <definedName name="Company_reported_exceptionals">[50]Figures!#REF!</definedName>
    <definedName name="COMPANYA">#REF!</definedName>
    <definedName name="CompanyName" localSheetId="4">#REF!</definedName>
    <definedName name="CompanyName">[49]Sheet2!$DH$1</definedName>
    <definedName name="Computers_AD">#REF!</definedName>
    <definedName name="Computers_Dep">#REF!</definedName>
    <definedName name="Computers_GB">#REF!</definedName>
    <definedName name="Computers_NB">#REF!</definedName>
    <definedName name="CoName" localSheetId="10" hidden="1">[51]Profile!$D$4</definedName>
    <definedName name="CoName" hidden="1">#REF!</definedName>
    <definedName name="connectivity">#REF!</definedName>
    <definedName name="connectivity1">#REF!</definedName>
    <definedName name="consol_standalone">#REF!</definedName>
    <definedName name="CONSTANT" localSheetId="10">[1]bajaj_copeland!#REF!</definedName>
    <definedName name="CONSTANT">#REF!</definedName>
    <definedName name="CONSTORE" localSheetId="4">#REF!</definedName>
    <definedName name="CONSTORE">[46]PLold!$A$193:$K$197</definedName>
    <definedName name="consumption">#REF!</definedName>
    <definedName name="contincapex" localSheetId="4">#REF!</definedName>
    <definedName name="contincapex">[29]UploaderV4!$F$177:$AE$177</definedName>
    <definedName name="contingent_liabilities">#REF!</definedName>
    <definedName name="contingrnt" localSheetId="4">#REF!</definedName>
    <definedName name="contingrnt">[29]UploaderV4!$F$174:$AE$174</definedName>
    <definedName name="continoth" localSheetId="4">#REF!</definedName>
    <definedName name="continoth">[29]UploaderV4!$F$175:$AE$175</definedName>
    <definedName name="continpur" localSheetId="4">#REF!</definedName>
    <definedName name="continpur">[29]UploaderV4!$F$176:$AE$176</definedName>
    <definedName name="continrcbl" localSheetId="4">#REF!</definedName>
    <definedName name="continrcbl">[29]UploaderV4!$F$173:$AE$173</definedName>
    <definedName name="continrw" localSheetId="4">#REF!</definedName>
    <definedName name="continrw">[29]UploaderV4!$F$171:$AE$171</definedName>
    <definedName name="contintax" localSheetId="4">#REF!</definedName>
    <definedName name="contintax">[29]UploaderV4!$F$172:$AE$172</definedName>
    <definedName name="Contracts_Awarded_Qtrly">#REF!</definedName>
    <definedName name="ContrbUnit">#REF!</definedName>
    <definedName name="ContrbVal">#REF!</definedName>
    <definedName name="Contribution_to_PF">#REF!</definedName>
    <definedName name="ConversionOfDebentures">#REF!</definedName>
    <definedName name="convertible_bonds" localSheetId="10">[28]Template!$D$209:$T$209</definedName>
    <definedName name="convertible_bonds">#REF!</definedName>
    <definedName name="cop">#REF!</definedName>
    <definedName name="Core_Average_Invested_Capital_Actual">#REF!</definedName>
    <definedName name="Core_EBIT">#REF!</definedName>
    <definedName name="Core_EBITDA">#REF!</definedName>
    <definedName name="core_employee_expenses">#REF!</definedName>
    <definedName name="Core_Incremental_Invested_Capital">#REF!</definedName>
    <definedName name="Core_Invested_Capital_Actual">#REF!</definedName>
    <definedName name="Core_Invested_Capital_growth">#REF!</definedName>
    <definedName name="Core_Invested_Capital_turns">#REF!</definedName>
    <definedName name="Core_Net_Cash_Debt">#REF!</definedName>
    <definedName name="Core_Sales">#REF!</definedName>
    <definedName name="Corporate_Dividend_Tax_BS">#REF!</definedName>
    <definedName name="Corporate_Dividend_Tax_PL">#REF!</definedName>
    <definedName name="Corporate_Value">#REF!</definedName>
    <definedName name="Cost" localSheetId="10">[52]Validation!#REF!</definedName>
    <definedName name="Cost">#REF!</definedName>
    <definedName name="Cost_of_borrowings_Q">#REF!</definedName>
    <definedName name="cost_of_cap_growth">#REF!</definedName>
    <definedName name="cost_of_debt" localSheetId="10">[28]Template!$D$389:$T$389</definedName>
    <definedName name="cost_of_debt">#REF!</definedName>
    <definedName name="cost_of_equity" localSheetId="10">[28]Template!$D$393:$T$393</definedName>
    <definedName name="cost_of_equity">#REF!</definedName>
    <definedName name="Cost_of_funds_Q">#REF!</definedName>
    <definedName name="cost_of_good_sold">#REF!</definedName>
    <definedName name="Cost_of_interest_bearing_liabilities">#REF!</definedName>
    <definedName name="COST_OF_SALES">#REF!</definedName>
    <definedName name="Cost_of_sales_net_of_D_A">#REF!</definedName>
    <definedName name="costdebt" localSheetId="4">#REF!</definedName>
    <definedName name="costdebt">[29]UploaderV4!$F$304:$AE$304</definedName>
    <definedName name="costequity" localSheetId="4">#REF!</definedName>
    <definedName name="costequity">[29]UploaderV4!$F$308:$AE$308</definedName>
    <definedName name="Costing">#REF!</definedName>
    <definedName name="costs_les_employee_costs">#REF!</definedName>
    <definedName name="costs_less_employee_costs">#REF!</definedName>
    <definedName name="cot">#REF!</definedName>
    <definedName name="CoTD12">#REF!</definedName>
    <definedName name="CoTD13">#REF!</definedName>
    <definedName name="COUNTRY" localSheetId="4">#REF!</definedName>
    <definedName name="Country">"UK"</definedName>
    <definedName name="COUNTRY1">#REF!</definedName>
    <definedName name="COUNTRY1a">#REF!</definedName>
    <definedName name="COUNTRYa">#REF!</definedName>
    <definedName name="Cov_00_PS" localSheetId="4">#REF!</definedName>
    <definedName name="Cov_00_PS">'[12]#REF'!$AJ$229</definedName>
    <definedName name="Cov_00_Rev" localSheetId="4">#REF!</definedName>
    <definedName name="Cov_00_Rev">'[12]#REF'!$AG$226</definedName>
    <definedName name="Cov_97_PS" localSheetId="4">#REF!</definedName>
    <definedName name="Cov_97_PS">'[12]#REF'!#REF!</definedName>
    <definedName name="Cov_97_Rev" localSheetId="4">#REF!</definedName>
    <definedName name="Cov_97_Rev">'[12]#REF'!$AD$226</definedName>
    <definedName name="Cov_98_PS" localSheetId="4">#REF!</definedName>
    <definedName name="Cov_98_PS">'[12]#REF'!$AH$229</definedName>
    <definedName name="Cov_98_Rev" localSheetId="4">#REF!</definedName>
    <definedName name="Cov_98_Rev">'[12]#REF'!$AE$226</definedName>
    <definedName name="Cov_99_PS" localSheetId="4">#REF!</definedName>
    <definedName name="Cov_99_PS">'[12]#REF'!$AI$229</definedName>
    <definedName name="Cov_99_Rev" localSheetId="4">#REF!</definedName>
    <definedName name="Cov_99_Rev">'[12]#REF'!$AF$226</definedName>
    <definedName name="Cov_EPS_00" localSheetId="4">#REF!</definedName>
    <definedName name="Cov_EPS_00">'[12]#REF'!$AC$229</definedName>
    <definedName name="Cov_EPS_98" localSheetId="4">#REF!</definedName>
    <definedName name="Cov_EPS_98">'[12]#REF'!$AA$229</definedName>
    <definedName name="Cov_EPS_99" localSheetId="4">#REF!</definedName>
    <definedName name="Cov_EPS_99">'[12]#REF'!$AB$229</definedName>
    <definedName name="Cov_Mkt_Cap" localSheetId="4">#REF!</definedName>
    <definedName name="Cov_Mkt_Cap">'[12]#REF'!$T$226</definedName>
    <definedName name="Cov_Off_High" localSheetId="4">#REF!</definedName>
    <definedName name="Cov_Off_High">'[12]#REF'!$N$225</definedName>
    <definedName name="Cov_Perf_97" localSheetId="4">#REF!</definedName>
    <definedName name="Cov_Perf_97">'[12]#REF'!$O$229</definedName>
    <definedName name="Cov_Perf_98" localSheetId="4">#REF!</definedName>
    <definedName name="Cov_Perf_98">'[12]#REF'!$P$229</definedName>
    <definedName name="Cov_Perf_99" localSheetId="4">#REF!</definedName>
    <definedName name="Cov_Perf_99">'[12]#REF'!$Q$229</definedName>
    <definedName name="cov_perf_99b" localSheetId="4">#REF!</definedName>
    <definedName name="cov_perf_99b">[2]Header!$Q$162</definedName>
    <definedName name="Cov_Univ_Avg" localSheetId="4">#REF!</definedName>
    <definedName name="Cov_Univ_Avg">'[12]#REF'!$C$229</definedName>
    <definedName name="Cov_Univ_Total" localSheetId="4">#REF!</definedName>
    <definedName name="Cov_Univ_Total">'[12]#REF'!$C$226</definedName>
    <definedName name="cover" localSheetId="0">[53]!Macro2</definedName>
    <definedName name="cover" localSheetId="4">#REF!</definedName>
    <definedName name="cover">[53]!Macro2</definedName>
    <definedName name="CP">#REF!</definedName>
    <definedName name="CPL">#REF!</definedName>
    <definedName name="CPL_BM112">#REF!</definedName>
    <definedName name="CPL_BM113">#REF!</definedName>
    <definedName name="CPL_BM114">#REF!</definedName>
    <definedName name="CPL_BM115">#REF!</definedName>
    <definedName name="CPL_BM116">#REF!</definedName>
    <definedName name="CPL_BM117">#REF!</definedName>
    <definedName name="CPL_BM118">#REF!</definedName>
    <definedName name="CPL_BM120">#REF!</definedName>
    <definedName name="CPL_BM121">#REF!</definedName>
    <definedName name="CPL_BM122">#REF!</definedName>
    <definedName name="CPL_BM123">#REF!</definedName>
    <definedName name="CPL_BM124">#REF!</definedName>
    <definedName name="CPL_BM125">#REF!</definedName>
    <definedName name="CPL_BM126">#REF!</definedName>
    <definedName name="CPL_BM13">#REF!</definedName>
    <definedName name="CPL_BM14">#REF!</definedName>
    <definedName name="CPL_BM15">#REF!</definedName>
    <definedName name="CPL_BM16">#REF!</definedName>
    <definedName name="CPL_BM17">#REF!</definedName>
    <definedName name="CPL_BM18">#REF!</definedName>
    <definedName name="CPL_BM19">#REF!</definedName>
    <definedName name="CPL_BM21">#REF!</definedName>
    <definedName name="CPL_BM210_N0">#REF!</definedName>
    <definedName name="CPL_BM211_N0">#REF!</definedName>
    <definedName name="CPL_BM212_N0">#REF!</definedName>
    <definedName name="CPL_BM213_N0">#REF!</definedName>
    <definedName name="CPL_BM214_N0">#REF!</definedName>
    <definedName name="CPL_BM215_N0">#REF!</definedName>
    <definedName name="CPL_BM216_N0">#REF!</definedName>
    <definedName name="CPL_BM217_N1">#REF!</definedName>
    <definedName name="CPL_BM218">#REF!</definedName>
    <definedName name="CPL_BM218_N1">#REF!</definedName>
    <definedName name="CPL_BM219_N1">#REF!</definedName>
    <definedName name="CPL_BM22_N0">#REF!</definedName>
    <definedName name="CPL_BM220_N1">#REF!</definedName>
    <definedName name="CPL_BM221_N1">#REF!</definedName>
    <definedName name="CPL_BM222_P0">#REF!</definedName>
    <definedName name="CPL_BM223_P0">#REF!</definedName>
    <definedName name="CPL_BM224_P0">#REF!</definedName>
    <definedName name="CPL_BM225_P0">#REF!</definedName>
    <definedName name="CPL_BM226_P0">#REF!</definedName>
    <definedName name="CPL_BM23_N0">#REF!</definedName>
    <definedName name="CPL_BM24_N0">#REF!</definedName>
    <definedName name="CPL_BM25_N0">#REF!</definedName>
    <definedName name="CPL_BM26_N0">#REF!</definedName>
    <definedName name="CPL_BM27_N0">#REF!</definedName>
    <definedName name="CPL_BM28_N0">#REF!</definedName>
    <definedName name="CPL_BM29_N0">#REF!</definedName>
    <definedName name="CPL_BM31">#REF!</definedName>
    <definedName name="CPL_BM310_N0">#REF!</definedName>
    <definedName name="CPL_BM311_N0">#REF!</definedName>
    <definedName name="CPL_BM312_N0">#REF!</definedName>
    <definedName name="CPL_BM313_N0">#REF!</definedName>
    <definedName name="CPL_BM314_N0">#REF!</definedName>
    <definedName name="CPL_BM315_N0">#REF!</definedName>
    <definedName name="CPL_BM316_N0">#REF!</definedName>
    <definedName name="CPL_BM317_N1">#REF!</definedName>
    <definedName name="CPL_BM318">#REF!</definedName>
    <definedName name="CPL_BM318_N1">#REF!</definedName>
    <definedName name="CPL_BM319_N1">#REF!</definedName>
    <definedName name="CPL_BM32_N0">#REF!</definedName>
    <definedName name="CPL_BM320_N1">#REF!</definedName>
    <definedName name="CPL_BM321_N1">#REF!</definedName>
    <definedName name="CPL_BM322_P0">#REF!</definedName>
    <definedName name="CPL_BM323_P0">#REF!</definedName>
    <definedName name="CPL_BM324_P0">#REF!</definedName>
    <definedName name="CPL_BM325_P0">#REF!</definedName>
    <definedName name="CPL_BM326_P0">#REF!</definedName>
    <definedName name="CPL_BM33_N0">#REF!</definedName>
    <definedName name="CPL_BM34_N0">#REF!</definedName>
    <definedName name="CPL_BM35_N0">#REF!</definedName>
    <definedName name="CPL_BM36_N0">#REF!</definedName>
    <definedName name="CPL_BM37_N0">#REF!</definedName>
    <definedName name="CPL_BM38_N0">#REF!</definedName>
    <definedName name="CPL_BM39_N0">#REF!</definedName>
    <definedName name="CPL_BM41">#REF!</definedName>
    <definedName name="CPL_BM410_N0">#REF!</definedName>
    <definedName name="CPL_BM411_N0">#REF!</definedName>
    <definedName name="CPL_BM412_N0">#REF!</definedName>
    <definedName name="CPL_BM413_N0">#REF!</definedName>
    <definedName name="CPL_BM414_N0">#REF!</definedName>
    <definedName name="CPL_BM415_N0">#REF!</definedName>
    <definedName name="CPL_BM416_N0">#REF!</definedName>
    <definedName name="CPL_BM417_N1">#REF!</definedName>
    <definedName name="CPL_BM418">#REF!</definedName>
    <definedName name="CPL_BM418_N1">#REF!</definedName>
    <definedName name="CPL_BM419_N1">#REF!</definedName>
    <definedName name="CPL_BM42_N0">#REF!</definedName>
    <definedName name="CPL_BM420_N1">#REF!</definedName>
    <definedName name="CPL_BM421_N1">#REF!</definedName>
    <definedName name="CPL_BM422_P0">#REF!</definedName>
    <definedName name="CPL_BM423_P0">#REF!</definedName>
    <definedName name="CPL_BM424_P0">#REF!</definedName>
    <definedName name="CPL_BM425_P0">#REF!</definedName>
    <definedName name="CPL_BM426_P0">#REF!</definedName>
    <definedName name="CPL_BM43_N0">#REF!</definedName>
    <definedName name="CPL_BM44_N0">#REF!</definedName>
    <definedName name="CPL_BM45_N0">#REF!</definedName>
    <definedName name="CPL_BM46_N0">#REF!</definedName>
    <definedName name="CPL_BM47_N0">#REF!</definedName>
    <definedName name="CPL_BM48_N0">#REF!</definedName>
    <definedName name="CPL_BM49_N0">#REF!</definedName>
    <definedName name="CPL_BM51">#REF!</definedName>
    <definedName name="CPL_BM510_N0">#REF!</definedName>
    <definedName name="CPL_BM511_N0">#REF!</definedName>
    <definedName name="CPL_BM512_N0">#REF!</definedName>
    <definedName name="CPL_BM513_N0">#REF!</definedName>
    <definedName name="CPL_BM514_N0">#REF!</definedName>
    <definedName name="CPL_BM515_N0">#REF!</definedName>
    <definedName name="CPL_BM516_N0">#REF!</definedName>
    <definedName name="CPL_BM517_N1">#REF!</definedName>
    <definedName name="CPL_BM518">#REF!</definedName>
    <definedName name="CPL_BM518_N1">#REF!</definedName>
    <definedName name="CPL_BM52_N0">#REF!</definedName>
    <definedName name="CPL_BM520_N1">#REF!</definedName>
    <definedName name="CPL_BM521_N1">#REF!</definedName>
    <definedName name="CPL_BM522_P0">#REF!</definedName>
    <definedName name="CPL_BM523_P0">#REF!</definedName>
    <definedName name="CPL_BM524_P0">#REF!</definedName>
    <definedName name="CPL_BM525_P0">#REF!</definedName>
    <definedName name="CPL_BM526_P0">#REF!</definedName>
    <definedName name="CPL_BM53_N0">#REF!</definedName>
    <definedName name="CPL_BM54_N0">#REF!</definedName>
    <definedName name="CPL_BM55_N0">#REF!</definedName>
    <definedName name="CPL_BM56_N0">#REF!</definedName>
    <definedName name="CPL_BM57_N0">#REF!</definedName>
    <definedName name="CPL_BM58_N0">#REF!</definedName>
    <definedName name="CPL_BM59_N0">#REF!</definedName>
    <definedName name="cpp" localSheetId="4">#REF!</definedName>
    <definedName name="cpp">[29]UploaderV4!$F$29:$AE$29</definedName>
    <definedName name="cpv_fcf">#REF!</definedName>
    <definedName name="CQEF_BM011">#REF!</definedName>
    <definedName name="CQEF_BM0110">#REF!</definedName>
    <definedName name="CQEF_BM0111">#REF!</definedName>
    <definedName name="CQEF_BM0112">#REF!</definedName>
    <definedName name="CQEF_BM0113">#REF!</definedName>
    <definedName name="CQEF_BM0114">#REF!</definedName>
    <definedName name="CQEF_BM0115">#REF!</definedName>
    <definedName name="CQEF_BM0115A">#REF!</definedName>
    <definedName name="CQEF_BM0115B">#REF!</definedName>
    <definedName name="CQEF_BM0115C">#REF!</definedName>
    <definedName name="CQEF_BM0116">#REF!</definedName>
    <definedName name="CQEF_BM0117">#REF!</definedName>
    <definedName name="CQEF_BM0118">#REF!</definedName>
    <definedName name="CQEF_BM0119">#REF!</definedName>
    <definedName name="CQEF_BM012">#REF!</definedName>
    <definedName name="CQEF_BM0120">#REF!</definedName>
    <definedName name="CQEF_BM0121">#REF!</definedName>
    <definedName name="CQEF_BM0122">#REF!</definedName>
    <definedName name="CQEF_BM0123">#REF!</definedName>
    <definedName name="CQEF_BM0124">#REF!</definedName>
    <definedName name="CQEF_BM0125">#REF!</definedName>
    <definedName name="CQEF_BM0126">#REF!</definedName>
    <definedName name="CQEF_BM0127">#REF!</definedName>
    <definedName name="CQEF_BM0128">#REF!</definedName>
    <definedName name="CQEF_BM0129">#REF!</definedName>
    <definedName name="CQEF_BM013">#REF!</definedName>
    <definedName name="CQEF_BM0130">#REF!</definedName>
    <definedName name="CQEF_BM0131">#REF!</definedName>
    <definedName name="CQEF_BM0132">#REF!</definedName>
    <definedName name="CQEF_BM0133">#REF!</definedName>
    <definedName name="CQEF_BM0134">#REF!</definedName>
    <definedName name="CQEF_BM0135">#REF!</definedName>
    <definedName name="CQEF_BM0136">#REF!</definedName>
    <definedName name="CQEF_BM0137">#REF!</definedName>
    <definedName name="CQEF_BM0138">#REF!</definedName>
    <definedName name="CQEF_BM0139">#REF!</definedName>
    <definedName name="CQEF_BM014">#REF!</definedName>
    <definedName name="CQEF_BM0140">#REF!</definedName>
    <definedName name="CQEF_BM0141">#REF!</definedName>
    <definedName name="CQEF_BM0142">#REF!</definedName>
    <definedName name="CQEF_BM0143">#REF!</definedName>
    <definedName name="CQEF_BM015">#REF!</definedName>
    <definedName name="CQEF_BM016">#REF!</definedName>
    <definedName name="CQEF_BM017">#REF!</definedName>
    <definedName name="CQEF_BM018">#REF!</definedName>
    <definedName name="CQEF_BM019">#REF!</definedName>
    <definedName name="CQEF_BM021">#REF!</definedName>
    <definedName name="CQEF_BM0210_N0">#REF!</definedName>
    <definedName name="CQEF_BM0211_N0">#REF!</definedName>
    <definedName name="CQEF_BM0212_N0">#REF!</definedName>
    <definedName name="CQEF_BM0213_N0">#REF!</definedName>
    <definedName name="CQEF_BM0214_N0">#REF!</definedName>
    <definedName name="CQEF_BM0215_N0">#REF!</definedName>
    <definedName name="CQEF_BM0215A_N0">#REF!</definedName>
    <definedName name="CQEF_BM0215B_N0">#REF!</definedName>
    <definedName name="CQEF_BM0215C_N0">#REF!</definedName>
    <definedName name="CQEF_BM0216_N0">#REF!</definedName>
    <definedName name="CQEF_BM0217_N0">#REF!</definedName>
    <definedName name="CQEF_BM0218_N2">#REF!</definedName>
    <definedName name="CQEF_BM0219">#REF!</definedName>
    <definedName name="CQEF_BM022_N0">#REF!</definedName>
    <definedName name="CQEF_BM0220">#REF!</definedName>
    <definedName name="CQEF_BM0221">#REF!</definedName>
    <definedName name="CQEF_BM0222">#REF!</definedName>
    <definedName name="CQEF_BM0223">#REF!</definedName>
    <definedName name="CQEF_BM0224">#REF!</definedName>
    <definedName name="CQEF_BM0225">#REF!</definedName>
    <definedName name="CQEF_BM0226">#REF!</definedName>
    <definedName name="CQEF_BM0229_P0">#REF!</definedName>
    <definedName name="CQEF_BM023_N0">#REF!</definedName>
    <definedName name="CQEF_BM0230_P0">#REF!</definedName>
    <definedName name="CQEF_BM0231_P0">#REF!</definedName>
    <definedName name="CQEF_BM0232_P0">#REF!</definedName>
    <definedName name="CQEF_BM0233">#REF!</definedName>
    <definedName name="CQEF_BM0234_P0">#REF!</definedName>
    <definedName name="CQEF_BM0235_P0">#REF!</definedName>
    <definedName name="CQEF_BM0236_P0">#REF!</definedName>
    <definedName name="CQEF_BM0237_P0">#REF!</definedName>
    <definedName name="CQEF_BM0238_P0">#REF!</definedName>
    <definedName name="CQEF_BM0239">#REF!</definedName>
    <definedName name="CQEF_BM024_N0">#REF!</definedName>
    <definedName name="CQEF_BM0240_P0">#REF!</definedName>
    <definedName name="CQEF_BM0241_P0">#REF!</definedName>
    <definedName name="CQEF_BM0242_P0">#REF!</definedName>
    <definedName name="CQEF_BM0243_P0">#REF!</definedName>
    <definedName name="CQEF_BM025_N0">#REF!</definedName>
    <definedName name="CQEF_BM026_N0">#REF!</definedName>
    <definedName name="CQEF_BM027_N0">#REF!</definedName>
    <definedName name="CQEF_BM028_N0">#REF!</definedName>
    <definedName name="CQEF_BM029_N0">#REF!</definedName>
    <definedName name="CQEF_BM031">#REF!</definedName>
    <definedName name="CQEF_BM0310_N0">#REF!</definedName>
    <definedName name="CQEF_BM0311_N0">#REF!</definedName>
    <definedName name="CQEF_BM0312_N0">#REF!</definedName>
    <definedName name="CQEF_BM0313_N0">#REF!</definedName>
    <definedName name="CQEF_BM0314_N0">#REF!</definedName>
    <definedName name="CQEF_BM0315_N0">#REF!</definedName>
    <definedName name="CQEF_BM0315A_N0">#REF!</definedName>
    <definedName name="CQEF_BM0315B_N0">#REF!</definedName>
    <definedName name="CQEF_BM0315C_N0">#REF!</definedName>
    <definedName name="CQEF_BM0316_N0">#REF!</definedName>
    <definedName name="CQEF_BM0317_N0">#REF!</definedName>
    <definedName name="CQEF_BM0318_N2">#REF!</definedName>
    <definedName name="CQEF_BM0319">#REF!</definedName>
    <definedName name="CQEF_BM032_N0">#REF!</definedName>
    <definedName name="CQEF_BM0320">#REF!</definedName>
    <definedName name="CQEF_BM0321">#REF!</definedName>
    <definedName name="CQEF_BM0322">#REF!</definedName>
    <definedName name="CQEF_BM0323">#REF!</definedName>
    <definedName name="CQEF_BM0324">#REF!</definedName>
    <definedName name="CQEF_BM0325">#REF!</definedName>
    <definedName name="CQEF_BM0326">#REF!</definedName>
    <definedName name="CQEF_BM0329_P0">#REF!</definedName>
    <definedName name="CQEF_BM033_N0">#REF!</definedName>
    <definedName name="CQEF_BM0330_P0">#REF!</definedName>
    <definedName name="CQEF_BM0331_P0">#REF!</definedName>
    <definedName name="CQEF_BM0332_P0">#REF!</definedName>
    <definedName name="CQEF_BM0333">#REF!</definedName>
    <definedName name="CQEF_BM0334_P0">#REF!</definedName>
    <definedName name="CQEF_BM0335_P0">#REF!</definedName>
    <definedName name="CQEF_BM0336_P0">#REF!</definedName>
    <definedName name="CQEF_BM0337_P0">#REF!</definedName>
    <definedName name="CQEF_BM0338_P0">#REF!</definedName>
    <definedName name="CQEF_BM0339">#REF!</definedName>
    <definedName name="CQEF_BM034_N0">#REF!</definedName>
    <definedName name="CQEF_BM0340_P0">#REF!</definedName>
    <definedName name="CQEF_BM0341_P0">#REF!</definedName>
    <definedName name="CQEF_BM0342_P0">#REF!</definedName>
    <definedName name="CQEF_BM0343_P0">#REF!</definedName>
    <definedName name="CQEF_BM035_N0">#REF!</definedName>
    <definedName name="CQEF_BM036_N0">#REF!</definedName>
    <definedName name="CQEF_BM037_N0">#REF!</definedName>
    <definedName name="CQEF_BM038_N0">#REF!</definedName>
    <definedName name="CQEF_BM039_N0">#REF!</definedName>
    <definedName name="CQEF_BM041">#REF!</definedName>
    <definedName name="CQEF_BM0410_N0">#REF!</definedName>
    <definedName name="CQEF_BM0411_N0">#REF!</definedName>
    <definedName name="CQEF_BM0412_N0">#REF!</definedName>
    <definedName name="CQEF_BM0413_N0">#REF!</definedName>
    <definedName name="CQEF_BM0414_N0">#REF!</definedName>
    <definedName name="CQEF_BM0415_N0">#REF!</definedName>
    <definedName name="CQEF_BM0415A_N0">#REF!</definedName>
    <definedName name="CQEF_BM0415B_N0">#REF!</definedName>
    <definedName name="CQEF_BM0415C_N0">#REF!</definedName>
    <definedName name="CQEF_BM0416_N0">#REF!</definedName>
    <definedName name="CQEF_BM0417_N0">#REF!</definedName>
    <definedName name="CQEF_BM0418_N2">#REF!</definedName>
    <definedName name="CQEF_BM0419">#REF!</definedName>
    <definedName name="CQEF_BM042_N0">#REF!</definedName>
    <definedName name="CQEF_BM0420">#REF!</definedName>
    <definedName name="CQEF_BM0421">#REF!</definedName>
    <definedName name="CQEF_BM0422">#REF!</definedName>
    <definedName name="CQEF_BM0423">#REF!</definedName>
    <definedName name="CQEF_BM0424">#REF!</definedName>
    <definedName name="CQEF_BM0425">#REF!</definedName>
    <definedName name="CQEF_BM0426">#REF!</definedName>
    <definedName name="CQEF_BM0429_P0">#REF!</definedName>
    <definedName name="CQEF_BM043_N0">#REF!</definedName>
    <definedName name="CQEF_BM0430_P0">#REF!</definedName>
    <definedName name="CQEF_BM0431_P0">#REF!</definedName>
    <definedName name="CQEF_BM0432_P0">#REF!</definedName>
    <definedName name="CQEF_BM0433">#REF!</definedName>
    <definedName name="CQEF_BM0434_P0">#REF!</definedName>
    <definedName name="CQEF_BM0435_P0">#REF!</definedName>
    <definedName name="CQEF_BM0436_P0">#REF!</definedName>
    <definedName name="CQEF_BM0437_P0">#REF!</definedName>
    <definedName name="CQEF_BM0438_P0">#REF!</definedName>
    <definedName name="CQEF_BM0439">#REF!</definedName>
    <definedName name="CQEF_BM044_N0">#REF!</definedName>
    <definedName name="CQEF_BM0440_P0">#REF!</definedName>
    <definedName name="CQEF_BM0441_P0">#REF!</definedName>
    <definedName name="CQEF_BM0442_P0">#REF!</definedName>
    <definedName name="CQEF_BM0443_P0">#REF!</definedName>
    <definedName name="CQEF_BM045_N0">#REF!</definedName>
    <definedName name="CQEF_BM046_N0">#REF!</definedName>
    <definedName name="CQEF_BM047_N0">#REF!</definedName>
    <definedName name="CQEF_BM048_N0">#REF!</definedName>
    <definedName name="CQEF_BM049_N0">#REF!</definedName>
    <definedName name="CQEF_BM051">#REF!</definedName>
    <definedName name="CQEF_BM0510_N0">#REF!</definedName>
    <definedName name="CQEF_BM0511_N0">#REF!</definedName>
    <definedName name="CQEF_BM0512_N0">#REF!</definedName>
    <definedName name="CQEF_BM0513_N0">#REF!</definedName>
    <definedName name="CQEF_BM0514_N0">#REF!</definedName>
    <definedName name="CQEF_BM0515_N0">#REF!</definedName>
    <definedName name="CQEF_BM0515A_N0">#REF!</definedName>
    <definedName name="CQEF_BM0515B_N0">#REF!</definedName>
    <definedName name="CQEF_BM0515C_N0">#REF!</definedName>
    <definedName name="CQEF_BM0516_N0">#REF!</definedName>
    <definedName name="CQEF_BM0517_N0">#REF!</definedName>
    <definedName name="CQEF_BM0518_N2">#REF!</definedName>
    <definedName name="CQEF_BM0519">#REF!</definedName>
    <definedName name="CQEF_BM052_N0">#REF!</definedName>
    <definedName name="CQEF_BM0520">#REF!</definedName>
    <definedName name="CQEF_BM0521">#REF!</definedName>
    <definedName name="CQEF_BM0522">#REF!</definedName>
    <definedName name="CQEF_BM0523">#REF!</definedName>
    <definedName name="CQEF_BM0524">#REF!</definedName>
    <definedName name="CQEF_BM0525">#REF!</definedName>
    <definedName name="CQEF_BM0526">#REF!</definedName>
    <definedName name="CQEF_BM0529_P0">#REF!</definedName>
    <definedName name="CQEF_BM053_N0">#REF!</definedName>
    <definedName name="CQEF_BM0530_P0">#REF!</definedName>
    <definedName name="CQEF_BM0531_P0">#REF!</definedName>
    <definedName name="CQEF_BM0532_P0">#REF!</definedName>
    <definedName name="CQEF_BM0533">#REF!</definedName>
    <definedName name="CQEF_BM0534_P0">#REF!</definedName>
    <definedName name="CQEF_BM0535_P0">#REF!</definedName>
    <definedName name="CQEF_BM0536_P0">#REF!</definedName>
    <definedName name="CQEF_BM0537_P0">#REF!</definedName>
    <definedName name="CQEF_BM0538_P0">#REF!</definedName>
    <definedName name="CQEF_BM0539">#REF!</definedName>
    <definedName name="CQEF_BM054_N0">#REF!</definedName>
    <definedName name="CQEF_BM0540_P0">#REF!</definedName>
    <definedName name="CQEF_BM0541_P0">#REF!</definedName>
    <definedName name="CQEF_BM0542_P0">#REF!</definedName>
    <definedName name="CQEF_BM0543_P0">#REF!</definedName>
    <definedName name="CQEF_BM055_N0">#REF!</definedName>
    <definedName name="CQEF_BM056_N0">#REF!</definedName>
    <definedName name="CQEF_BM057_N0">#REF!</definedName>
    <definedName name="CQEF_BM058_N0">#REF!</definedName>
    <definedName name="CQEF_BM059_N0">#REF!</definedName>
    <definedName name="CQEF_BM061">#REF!</definedName>
    <definedName name="CQEF_BM0610_N0">#REF!</definedName>
    <definedName name="CQEF_BM0611_N0">#REF!</definedName>
    <definedName name="CQEF_BM0612_N0">#REF!</definedName>
    <definedName name="CQEF_BM0613_N0">#REF!</definedName>
    <definedName name="CQEF_BM0614_N0">#REF!</definedName>
    <definedName name="CQEF_BM0615_N0">#REF!</definedName>
    <definedName name="CQEF_BM0615A_N0">#REF!</definedName>
    <definedName name="CQEF_BM0615B_N0">#REF!</definedName>
    <definedName name="CQEF_BM0615C_N0">#REF!</definedName>
    <definedName name="CQEF_BM0616_N0">#REF!</definedName>
    <definedName name="CQEF_BM0617_N0">#REF!</definedName>
    <definedName name="CQEF_BM0618_N2">#REF!</definedName>
    <definedName name="CQEF_BM0619">#REF!</definedName>
    <definedName name="CQEF_BM062_N0">#REF!</definedName>
    <definedName name="CQEF_BM0620">#REF!</definedName>
    <definedName name="CQEF_BM0621">#REF!</definedName>
    <definedName name="CQEF_BM0622">#REF!</definedName>
    <definedName name="CQEF_BM0623">#REF!</definedName>
    <definedName name="CQEF_BM0624">#REF!</definedName>
    <definedName name="CQEF_BM0625">#REF!</definedName>
    <definedName name="CQEF_BM0626">#REF!</definedName>
    <definedName name="CQEF_BM0629_P0">#REF!</definedName>
    <definedName name="CQEF_BM063_N0">#REF!</definedName>
    <definedName name="CQEF_BM0630_P0">#REF!</definedName>
    <definedName name="CQEF_BM0631_P0">#REF!</definedName>
    <definedName name="CQEF_BM0632_P0">#REF!</definedName>
    <definedName name="CQEF_BM0633">#REF!</definedName>
    <definedName name="CQEF_BM0634_P0">#REF!</definedName>
    <definedName name="CQEF_BM0635_P0">#REF!</definedName>
    <definedName name="CQEF_BM0636_P0">#REF!</definedName>
    <definedName name="CQEF_BM0637_P0">#REF!</definedName>
    <definedName name="CQEF_BM0638_P0">#REF!</definedName>
    <definedName name="CQEF_BM0639">#REF!</definedName>
    <definedName name="CQEF_BM064_N0">#REF!</definedName>
    <definedName name="CQEF_BM0640_P0">#REF!</definedName>
    <definedName name="CQEF_BM0641_P0">#REF!</definedName>
    <definedName name="CQEF_BM0642_P0">#REF!</definedName>
    <definedName name="CQEF_BM0643_P0">#REF!</definedName>
    <definedName name="CQEF_BM065_N0">#REF!</definedName>
    <definedName name="CQEF_BM066_N0">#REF!</definedName>
    <definedName name="CQEF_BM067_N0">#REF!</definedName>
    <definedName name="CQEF_BM068_N0">#REF!</definedName>
    <definedName name="CQEF_BM069_N0">#REF!</definedName>
    <definedName name="CQEF_BM071">#REF!</definedName>
    <definedName name="CQEF_BM0710_N0">#REF!</definedName>
    <definedName name="CQEF_BM0711_N0">#REF!</definedName>
    <definedName name="CQEF_BM0712_N0">#REF!</definedName>
    <definedName name="CQEF_BM0713_N0">#REF!</definedName>
    <definedName name="CQEF_BM0714_N0">#REF!</definedName>
    <definedName name="CQEF_BM0715_N0">#REF!</definedName>
    <definedName name="CQEF_BM0715A_N0">#REF!</definedName>
    <definedName name="CQEF_BM0715B_N0">#REF!</definedName>
    <definedName name="CQEF_BM0715C_N0">#REF!</definedName>
    <definedName name="CQEF_BM0716_N0">#REF!</definedName>
    <definedName name="CQEF_BM0717_N0">#REF!</definedName>
    <definedName name="CQEF_BM0718_N2">#REF!</definedName>
    <definedName name="CQEF_BM0719">#REF!</definedName>
    <definedName name="CQEF_BM072_N0">#REF!</definedName>
    <definedName name="CQEF_BM0720">#REF!</definedName>
    <definedName name="CQEF_BM0721">#REF!</definedName>
    <definedName name="CQEF_BM0722">#REF!</definedName>
    <definedName name="CQEF_BM0723">#REF!</definedName>
    <definedName name="CQEF_BM0724">#REF!</definedName>
    <definedName name="CQEF_BM0725">#REF!</definedName>
    <definedName name="CQEF_BM0726">#REF!</definedName>
    <definedName name="CQEF_BM0729_P0">#REF!</definedName>
    <definedName name="CQEF_BM073_N0">#REF!</definedName>
    <definedName name="CQEF_BM0730_P0">#REF!</definedName>
    <definedName name="CQEF_BM0731_P0">#REF!</definedName>
    <definedName name="CQEF_BM0732_P0">#REF!</definedName>
    <definedName name="CQEF_BM0733">#REF!</definedName>
    <definedName name="CQEF_BM0734_P0">#REF!</definedName>
    <definedName name="CQEF_BM0735_P0">#REF!</definedName>
    <definedName name="CQEF_BM0736_P0">#REF!</definedName>
    <definedName name="CQEF_BM0737_P0">#REF!</definedName>
    <definedName name="CQEF_BM0738_P0">#REF!</definedName>
    <definedName name="CQEF_BM0739">#REF!</definedName>
    <definedName name="CQEF_BM074_N0">#REF!</definedName>
    <definedName name="CQEF_BM0740_P0">#REF!</definedName>
    <definedName name="CQEF_BM0741_P0">#REF!</definedName>
    <definedName name="CQEF_BM0742_P0">#REF!</definedName>
    <definedName name="CQEF_BM0743_P0">#REF!</definedName>
    <definedName name="CQEF_BM075_N0">#REF!</definedName>
    <definedName name="CQEF_BM076_N0">#REF!</definedName>
    <definedName name="CQEF_BM077_N0">#REF!</definedName>
    <definedName name="CQEF_BM078_N0">#REF!</definedName>
    <definedName name="CQEF_BM079_N0">#REF!</definedName>
    <definedName name="CQEF_BM081">#REF!</definedName>
    <definedName name="CQEF_BM0810_N0">#REF!</definedName>
    <definedName name="CQEF_BM0811_N0">#REF!</definedName>
    <definedName name="CQEF_BM0812_N0">#REF!</definedName>
    <definedName name="CQEF_BM0813_N0">#REF!</definedName>
    <definedName name="CQEF_BM0814_N0">#REF!</definedName>
    <definedName name="CQEF_BM0815_N0">#REF!</definedName>
    <definedName name="CQEF_BM0815A_N0">#REF!</definedName>
    <definedName name="CQEF_BM0815B_N0">#REF!</definedName>
    <definedName name="CQEF_BM0815C_N0">#REF!</definedName>
    <definedName name="CQEF_BM0816_N0">#REF!</definedName>
    <definedName name="CQEF_BM0817_N0">#REF!</definedName>
    <definedName name="CQEF_BM0818_N2">#REF!</definedName>
    <definedName name="CQEF_BM0819">#REF!</definedName>
    <definedName name="CQEF_BM082_N0">#REF!</definedName>
    <definedName name="CQEF_BM0820">#REF!</definedName>
    <definedName name="CQEF_BM0821">#REF!</definedName>
    <definedName name="CQEF_BM0822">#REF!</definedName>
    <definedName name="CQEF_BM0823">#REF!</definedName>
    <definedName name="CQEF_BM0824">#REF!</definedName>
    <definedName name="CQEF_BM0825">#REF!</definedName>
    <definedName name="CQEF_BM0826">#REF!</definedName>
    <definedName name="CQEF_BM0829_P0">#REF!</definedName>
    <definedName name="CQEF_BM083_N0">#REF!</definedName>
    <definedName name="CQEF_BM0830_P0">#REF!</definedName>
    <definedName name="CQEF_BM0831_P0">#REF!</definedName>
    <definedName name="CQEF_BM0832_P0">#REF!</definedName>
    <definedName name="CQEF_BM0833">#REF!</definedName>
    <definedName name="CQEF_BM0834_P0">#REF!</definedName>
    <definedName name="CQEF_BM0835_P0">#REF!</definedName>
    <definedName name="CQEF_BM0836_P0">#REF!</definedName>
    <definedName name="CQEF_BM0837_P0">#REF!</definedName>
    <definedName name="CQEF_BM0838_P0">#REF!</definedName>
    <definedName name="CQEF_BM0839">#REF!</definedName>
    <definedName name="CQEF_BM084_N0">#REF!</definedName>
    <definedName name="CQEF_BM0840_P0">#REF!</definedName>
    <definedName name="CQEF_BM0841_P0">#REF!</definedName>
    <definedName name="CQEF_BM0842_P0">#REF!</definedName>
    <definedName name="CQEF_BM0843_P0">#REF!</definedName>
    <definedName name="CQEF_BM085_N0">#REF!</definedName>
    <definedName name="CQEF_BM086_N0">#REF!</definedName>
    <definedName name="CQEF_BM087_N0">#REF!</definedName>
    <definedName name="CQEF_BM088_N0">#REF!</definedName>
    <definedName name="CQEF_BM089_N0">#REF!</definedName>
    <definedName name="CQEF_BM091">#REF!</definedName>
    <definedName name="CQEF_BM0910_N0">#REF!</definedName>
    <definedName name="CQEF_BM0911_N0">#REF!</definedName>
    <definedName name="CQEF_BM0912_N0">#REF!</definedName>
    <definedName name="CQEF_BM0913_N0">#REF!</definedName>
    <definedName name="CQEF_BM0914_N0">#REF!</definedName>
    <definedName name="CQEF_BM0915_N0">#REF!</definedName>
    <definedName name="CQEF_BM0915A_N0">#REF!</definedName>
    <definedName name="CQEF_BM0915B_N0">#REF!</definedName>
    <definedName name="CQEF_BM0915C_N0">#REF!</definedName>
    <definedName name="CQEF_BM0916_N0">#REF!</definedName>
    <definedName name="CQEF_BM0917_N0">#REF!</definedName>
    <definedName name="CQEF_BM0918_N2">#REF!</definedName>
    <definedName name="CQEF_BM0919">#REF!</definedName>
    <definedName name="CQEF_BM092_N0">#REF!</definedName>
    <definedName name="CQEF_BM0920">#REF!</definedName>
    <definedName name="CQEF_BM0921">#REF!</definedName>
    <definedName name="CQEF_BM0922">#REF!</definedName>
    <definedName name="CQEF_BM0923">#REF!</definedName>
    <definedName name="CQEF_BM0924">#REF!</definedName>
    <definedName name="CQEF_BM0925">#REF!</definedName>
    <definedName name="CQEF_BM0926">#REF!</definedName>
    <definedName name="CQEF_BM0929_P0">#REF!</definedName>
    <definedName name="CQEF_BM093_N0">#REF!</definedName>
    <definedName name="CQEF_BM0930_P0">#REF!</definedName>
    <definedName name="CQEF_BM0931_P0">#REF!</definedName>
    <definedName name="CQEF_BM0932_P0">#REF!</definedName>
    <definedName name="CQEF_BM0933">#REF!</definedName>
    <definedName name="CQEF_BM0934_P0">#REF!</definedName>
    <definedName name="CQEF_BM0935_P0">#REF!</definedName>
    <definedName name="CQEF_BM0936_P0">#REF!</definedName>
    <definedName name="CQEF_BM0937_P0">#REF!</definedName>
    <definedName name="CQEF_BM0938_P0">#REF!</definedName>
    <definedName name="CQEF_BM0939">#REF!</definedName>
    <definedName name="CQEF_BM094_N0">#REF!</definedName>
    <definedName name="CQEF_BM0940_P0">#REF!</definedName>
    <definedName name="CQEF_BM0941_P0">#REF!</definedName>
    <definedName name="CQEF_BM0942_P0">#REF!</definedName>
    <definedName name="CQEF_BM0943_P0">#REF!</definedName>
    <definedName name="CQEF_BM095_N0">#REF!</definedName>
    <definedName name="CQEF_BM096_N0">#REF!</definedName>
    <definedName name="CQEF_BM097_N0">#REF!</definedName>
    <definedName name="CQEF_BM098_N0">#REF!</definedName>
    <definedName name="CQEF_BM099_N0">#REF!</definedName>
    <definedName name="CQEF_BM101">#REF!</definedName>
    <definedName name="CQEF_BM1010_N0">#REF!</definedName>
    <definedName name="CQEF_BM1011_N0">#REF!</definedName>
    <definedName name="CQEF_BM1012_N0">#REF!</definedName>
    <definedName name="CQEF_BM1013_N0">#REF!</definedName>
    <definedName name="CQEF_BM1014_N0">#REF!</definedName>
    <definedName name="CQEF_BM1015_N0">#REF!</definedName>
    <definedName name="CQEF_BM1015A_N0">#REF!</definedName>
    <definedName name="CQEF_BM1015B_N0">#REF!</definedName>
    <definedName name="CQEF_BM1015C_N0">#REF!</definedName>
    <definedName name="CQEF_BM1016_N0">#REF!</definedName>
    <definedName name="CQEF_BM1017_N0">#REF!</definedName>
    <definedName name="CQEF_BM1018_N2">#REF!</definedName>
    <definedName name="CQEF_BM1019">#REF!</definedName>
    <definedName name="CQEF_BM102_N0">#REF!</definedName>
    <definedName name="CQEF_BM1020">#REF!</definedName>
    <definedName name="CQEF_BM1021">#REF!</definedName>
    <definedName name="CQEF_BM1022">#REF!</definedName>
    <definedName name="CQEF_BM1023">#REF!</definedName>
    <definedName name="CQEF_BM1024">#REF!</definedName>
    <definedName name="CQEF_BM1025">#REF!</definedName>
    <definedName name="CQEF_BM1026">#REF!</definedName>
    <definedName name="CQEF_BM1029_P0">#REF!</definedName>
    <definedName name="CQEF_BM103_N0">#REF!</definedName>
    <definedName name="CQEF_BM1030_P0">#REF!</definedName>
    <definedName name="CQEF_BM1031_P0">#REF!</definedName>
    <definedName name="CQEF_BM1032_P0">#REF!</definedName>
    <definedName name="CQEF_BM1033">#REF!</definedName>
    <definedName name="CQEF_BM1034_P0">#REF!</definedName>
    <definedName name="CQEF_BM1035_P0">#REF!</definedName>
    <definedName name="CQEF_BM1036_P0">#REF!</definedName>
    <definedName name="CQEF_BM1037_P0">#REF!</definedName>
    <definedName name="CQEF_BM1038_P0">#REF!</definedName>
    <definedName name="CQEF_BM1039">#REF!</definedName>
    <definedName name="CQEF_BM104_N0">#REF!</definedName>
    <definedName name="CQEF_BM1040_P0">#REF!</definedName>
    <definedName name="CQEF_BM1041_P0">#REF!</definedName>
    <definedName name="CQEF_BM1042_P0">#REF!</definedName>
    <definedName name="CQEF_BM1043_P0">#REF!</definedName>
    <definedName name="CQEF_BM105_N0">#REF!</definedName>
    <definedName name="CQEF_BM106_N0">#REF!</definedName>
    <definedName name="CQEF_BM107_N0">#REF!</definedName>
    <definedName name="CQEF_BM108_N0">#REF!</definedName>
    <definedName name="CQEF_BM109_N0">#REF!</definedName>
    <definedName name="CQEF_BM111">#REF!</definedName>
    <definedName name="CQEF_BM1110_N0">#REF!</definedName>
    <definedName name="CQEF_BM1111_N0">#REF!</definedName>
    <definedName name="CQEF_BM1112_N0">#REF!</definedName>
    <definedName name="CQEF_BM1113_N0">#REF!</definedName>
    <definedName name="CQEF_BM1114_N0">#REF!</definedName>
    <definedName name="CQEF_BM1115_N0">#REF!</definedName>
    <definedName name="CQEF_BM1115A_N0">#REF!</definedName>
    <definedName name="CQEF_BM1115B_N0">#REF!</definedName>
    <definedName name="CQEF_BM1115C_N0">#REF!</definedName>
    <definedName name="CQEF_BM1116_N0">#REF!</definedName>
    <definedName name="CQEF_BM1117_N0">#REF!</definedName>
    <definedName name="CQEF_BM1118_N2">#REF!</definedName>
    <definedName name="CQEF_BM1119">#REF!</definedName>
    <definedName name="CQEF_BM112_N0">#REF!</definedName>
    <definedName name="CQEF_BM1120">#REF!</definedName>
    <definedName name="CQEF_BM1121">#REF!</definedName>
    <definedName name="CQEF_BM1122">#REF!</definedName>
    <definedName name="CQEF_BM1123">#REF!</definedName>
    <definedName name="CQEF_BM1124">#REF!</definedName>
    <definedName name="CQEF_BM1125">#REF!</definedName>
    <definedName name="CQEF_BM1126">#REF!</definedName>
    <definedName name="CQEF_BM1129_P0">#REF!</definedName>
    <definedName name="CQEF_BM113_N0">#REF!</definedName>
    <definedName name="CQEF_BM1130_P0">#REF!</definedName>
    <definedName name="CQEF_BM1131_P0">#REF!</definedName>
    <definedName name="CQEF_BM1132_P0">#REF!</definedName>
    <definedName name="CQEF_BM1133">#REF!</definedName>
    <definedName name="CQEF_BM1134_P0">#REF!</definedName>
    <definedName name="CQEF_BM1135_P0">#REF!</definedName>
    <definedName name="CQEF_BM1136_P0">#REF!</definedName>
    <definedName name="CQEF_BM1137_P0">#REF!</definedName>
    <definedName name="CQEF_BM1138_P0">#REF!</definedName>
    <definedName name="CQEF_BM1139">#REF!</definedName>
    <definedName name="CQEF_BM114_N0">#REF!</definedName>
    <definedName name="CQEF_BM1140_P0">#REF!</definedName>
    <definedName name="CQEF_BM1141_P0">#REF!</definedName>
    <definedName name="CQEF_BM1142_P0">#REF!</definedName>
    <definedName name="CQEF_BM1143_P0">#REF!</definedName>
    <definedName name="CQEF_BM115_N0">#REF!</definedName>
    <definedName name="CQEF_BM116_N0">#REF!</definedName>
    <definedName name="CQEF_BM117_N0">#REF!</definedName>
    <definedName name="CQEF_BM118_N0">#REF!</definedName>
    <definedName name="CQEF_BM119_N0">#REF!</definedName>
    <definedName name="CQEF_BM121">#REF!</definedName>
    <definedName name="CQEF_BM1210_N0">#REF!</definedName>
    <definedName name="CQEF_BM1211_N0">#REF!</definedName>
    <definedName name="CQEF_BM1212_N0">#REF!</definedName>
    <definedName name="CQEF_BM1213_N0">#REF!</definedName>
    <definedName name="CQEF_BM1214_N0">#REF!</definedName>
    <definedName name="CQEF_BM1215_N0">#REF!</definedName>
    <definedName name="CQEF_BM1215A_N0">#REF!</definedName>
    <definedName name="CQEF_BM1215B_N0">#REF!</definedName>
    <definedName name="CQEF_BM1215C_N0">#REF!</definedName>
    <definedName name="CQEF_BM1216_N0">#REF!</definedName>
    <definedName name="CQEF_BM1217_N0">#REF!</definedName>
    <definedName name="CQEF_BM1218_N2">#REF!</definedName>
    <definedName name="CQEF_BM1219">#REF!</definedName>
    <definedName name="CQEF_BM122_N0">#REF!</definedName>
    <definedName name="CQEF_BM1220">#REF!</definedName>
    <definedName name="CQEF_BM1221">#REF!</definedName>
    <definedName name="CQEF_BM1222">#REF!</definedName>
    <definedName name="CQEF_BM1223">#REF!</definedName>
    <definedName name="CQEF_BM1224">#REF!</definedName>
    <definedName name="CQEF_BM1225">#REF!</definedName>
    <definedName name="CQEF_BM1226">#REF!</definedName>
    <definedName name="CQEF_BM1229_P0">#REF!</definedName>
    <definedName name="CQEF_BM123_N0">#REF!</definedName>
    <definedName name="CQEF_BM1230_P0">#REF!</definedName>
    <definedName name="CQEF_BM1231_P0">#REF!</definedName>
    <definedName name="CQEF_BM1232_P0">#REF!</definedName>
    <definedName name="CQEF_BM1233">#REF!</definedName>
    <definedName name="CQEF_BM1234_P0">#REF!</definedName>
    <definedName name="CQEF_BM1235_P0">#REF!</definedName>
    <definedName name="CQEF_BM1236_P0">#REF!</definedName>
    <definedName name="CQEF_BM1237_P0">#REF!</definedName>
    <definedName name="CQEF_BM1238_P0">#REF!</definedName>
    <definedName name="CQEF_BM1239">#REF!</definedName>
    <definedName name="CQEF_BM124_N0">#REF!</definedName>
    <definedName name="CQEF_BM1240_P0">#REF!</definedName>
    <definedName name="CQEF_BM1241_P0">#REF!</definedName>
    <definedName name="CQEF_BM1242_P0">#REF!</definedName>
    <definedName name="CQEF_BM1243_P0">#REF!</definedName>
    <definedName name="CQEF_BM125_N0">#REF!</definedName>
    <definedName name="CQEF_BM126_N0">#REF!</definedName>
    <definedName name="CQEF_BM127_N0">#REF!</definedName>
    <definedName name="CQEF_BM128_N0">#REF!</definedName>
    <definedName name="CQEF_BM129_N0">#REF!</definedName>
    <definedName name="CQEF_BM131">#REF!</definedName>
    <definedName name="CQEF_BM1310_N0">#REF!</definedName>
    <definedName name="CQEF_BM1311_N0">#REF!</definedName>
    <definedName name="CQEF_BM1312_N0">#REF!</definedName>
    <definedName name="CQEF_BM1313_N0">#REF!</definedName>
    <definedName name="CQEF_BM1314_N0">#REF!</definedName>
    <definedName name="CQEF_BM1315_N0">#REF!</definedName>
    <definedName name="CQEF_BM1315A_N0">#REF!</definedName>
    <definedName name="CQEF_BM1315B_N0">#REF!</definedName>
    <definedName name="CQEF_BM1315C_N0">#REF!</definedName>
    <definedName name="CQEF_BM1316_N0">#REF!</definedName>
    <definedName name="CQEF_BM1317_N0">#REF!</definedName>
    <definedName name="CQEF_BM1318_N2">#REF!</definedName>
    <definedName name="CQEF_BM1319">#REF!</definedName>
    <definedName name="CQEF_BM132_N0">#REF!</definedName>
    <definedName name="CQEF_BM1320">#REF!</definedName>
    <definedName name="CQEF_BM1321">#REF!</definedName>
    <definedName name="CQEF_BM1322">#REF!</definedName>
    <definedName name="CQEF_BM1323">#REF!</definedName>
    <definedName name="CQEF_BM1324">#REF!</definedName>
    <definedName name="CQEF_BM1325">#REF!</definedName>
    <definedName name="CQEF_BM1326">#REF!</definedName>
    <definedName name="CQEF_BM1329_P0">#REF!</definedName>
    <definedName name="CQEF_BM133_N0">#REF!</definedName>
    <definedName name="CQEF_BM1330_P0">#REF!</definedName>
    <definedName name="CQEF_BM1331_P0">#REF!</definedName>
    <definedName name="CQEF_BM1332_P0">#REF!</definedName>
    <definedName name="CQEF_BM1333">#REF!</definedName>
    <definedName name="CQEF_BM1334_P0">#REF!</definedName>
    <definedName name="CQEF_BM1335_P0">#REF!</definedName>
    <definedName name="CQEF_BM1336_P0">#REF!</definedName>
    <definedName name="CQEF_BM1337_P0">#REF!</definedName>
    <definedName name="CQEF_BM1338_P0">#REF!</definedName>
    <definedName name="CQEF_BM1339">#REF!</definedName>
    <definedName name="CQEF_BM134_N0">#REF!</definedName>
    <definedName name="CQEF_BM1340_P0">#REF!</definedName>
    <definedName name="CQEF_BM1341_P0">#REF!</definedName>
    <definedName name="CQEF_BM1342_P0">#REF!</definedName>
    <definedName name="CQEF_BM1343_P0">#REF!</definedName>
    <definedName name="CQEF_BM135_N0">#REF!</definedName>
    <definedName name="CQEF_BM136_N0">#REF!</definedName>
    <definedName name="CQEF_BM137_N0">#REF!</definedName>
    <definedName name="CQEF_BM138_N0">#REF!</definedName>
    <definedName name="CQEF_BM139_N0">#REF!</definedName>
    <definedName name="CQEF_BM141">#REF!</definedName>
    <definedName name="CQEF_BM1410_N0">#REF!</definedName>
    <definedName name="CQEF_BM1411_N0">#REF!</definedName>
    <definedName name="CQEF_BM1412_N0">#REF!</definedName>
    <definedName name="CQEF_BM1413_N0">#REF!</definedName>
    <definedName name="CQEF_BM1414_N0">#REF!</definedName>
    <definedName name="CQEF_BM1415_N0">#REF!</definedName>
    <definedName name="CQEF_BM1415A_N0">#REF!</definedName>
    <definedName name="CQEF_BM1415B_N0">#REF!</definedName>
    <definedName name="CQEF_BM1415C_N0">#REF!</definedName>
    <definedName name="CQEF_BM1416_N0">#REF!</definedName>
    <definedName name="CQEF_BM1417_N0">#REF!</definedName>
    <definedName name="CQEF_BM1418_N2">#REF!</definedName>
    <definedName name="CQEF_BM1419">#REF!</definedName>
    <definedName name="CQEF_BM142_N0">#REF!</definedName>
    <definedName name="CQEF_BM1420">#REF!</definedName>
    <definedName name="CQEF_BM1421">#REF!</definedName>
    <definedName name="CQEF_BM1422">#REF!</definedName>
    <definedName name="CQEF_BM1423">#REF!</definedName>
    <definedName name="CQEF_BM1424">#REF!</definedName>
    <definedName name="CQEF_BM1425">#REF!</definedName>
    <definedName name="CQEF_BM1426">#REF!</definedName>
    <definedName name="CQEF_BM1429_P0">#REF!</definedName>
    <definedName name="CQEF_BM143_N0">#REF!</definedName>
    <definedName name="CQEF_BM1430_P0">#REF!</definedName>
    <definedName name="CQEF_BM1431_P0">#REF!</definedName>
    <definedName name="CQEF_BM1432_P0">#REF!</definedName>
    <definedName name="CQEF_BM1433">#REF!</definedName>
    <definedName name="CQEF_BM1434_P0">#REF!</definedName>
    <definedName name="CQEF_BM1435_P0">#REF!</definedName>
    <definedName name="CQEF_BM1436_P0">#REF!</definedName>
    <definedName name="CQEF_BM1437_P0">#REF!</definedName>
    <definedName name="CQEF_BM1438_P0">#REF!</definedName>
    <definedName name="CQEF_BM1439">#REF!</definedName>
    <definedName name="CQEF_BM144_N0">#REF!</definedName>
    <definedName name="CQEF_BM1440_P0">#REF!</definedName>
    <definedName name="CQEF_BM1441_P0">#REF!</definedName>
    <definedName name="CQEF_BM1442_P0">#REF!</definedName>
    <definedName name="CQEF_BM1443_P0">#REF!</definedName>
    <definedName name="CQEF_BM145_N0">#REF!</definedName>
    <definedName name="CQEF_BM146_N0">#REF!</definedName>
    <definedName name="CQEF_BM147_N0">#REF!</definedName>
    <definedName name="CQEF_BM148_N0">#REF!</definedName>
    <definedName name="CQEF_BM149_N0">#REF!</definedName>
    <definedName name="CQEF_BM151">#REF!</definedName>
    <definedName name="CQEF_BM1510_N0">#REF!</definedName>
    <definedName name="CQEF_BM1511_N0">#REF!</definedName>
    <definedName name="CQEF_BM1512_N0">#REF!</definedName>
    <definedName name="CQEF_BM1513_N0">#REF!</definedName>
    <definedName name="CQEF_BM1514_N0">#REF!</definedName>
    <definedName name="CQEF_BM1515_N0">#REF!</definedName>
    <definedName name="CQEF_BM1515A_N0">#REF!</definedName>
    <definedName name="CQEF_BM1515B_N0">#REF!</definedName>
    <definedName name="CQEF_BM1515C_N0">#REF!</definedName>
    <definedName name="CQEF_BM1516_N0">#REF!</definedName>
    <definedName name="CQEF_BM1517_N0">#REF!</definedName>
    <definedName name="CQEF_BM1518_N2">#REF!</definedName>
    <definedName name="CQEF_BM1519">#REF!</definedName>
    <definedName name="CQEF_BM152_N0">#REF!</definedName>
    <definedName name="CQEF_BM1520">#REF!</definedName>
    <definedName name="CQEF_BM1521">#REF!</definedName>
    <definedName name="CQEF_BM1522">#REF!</definedName>
    <definedName name="CQEF_BM1523">#REF!</definedName>
    <definedName name="CQEF_BM1524">#REF!</definedName>
    <definedName name="CQEF_BM1525">#REF!</definedName>
    <definedName name="CQEF_BM1526">#REF!</definedName>
    <definedName name="CQEF_BM1529_P0">#REF!</definedName>
    <definedName name="CQEF_BM153_N0">#REF!</definedName>
    <definedName name="CQEF_BM1530_P0">#REF!</definedName>
    <definedName name="CQEF_BM1531_P0">#REF!</definedName>
    <definedName name="CQEF_BM1532_P0">#REF!</definedName>
    <definedName name="CQEF_BM1533">#REF!</definedName>
    <definedName name="CQEF_BM1534_P0">#REF!</definedName>
    <definedName name="CQEF_BM1535_P0">#REF!</definedName>
    <definedName name="CQEF_BM1536_P0">#REF!</definedName>
    <definedName name="CQEF_BM1537_P0">#REF!</definedName>
    <definedName name="CQEF_BM1538_P0">#REF!</definedName>
    <definedName name="CQEF_BM1539">#REF!</definedName>
    <definedName name="CQEF_BM154_N0">#REF!</definedName>
    <definedName name="CQEF_BM1540_P0">#REF!</definedName>
    <definedName name="CQEF_BM1541_P0">#REF!</definedName>
    <definedName name="CQEF_BM1542_P0">#REF!</definedName>
    <definedName name="CQEF_BM1543_P0">#REF!</definedName>
    <definedName name="CQEF_BM155_N0">#REF!</definedName>
    <definedName name="CQEF_BM156_N0">#REF!</definedName>
    <definedName name="CQEF_BM157_N0">#REF!</definedName>
    <definedName name="CQEF_BM158_N0">#REF!</definedName>
    <definedName name="CQEF_BM159_N0">#REF!</definedName>
    <definedName name="CQEF_BM161">#REF!</definedName>
    <definedName name="CQEF_BM1610_N0">#REF!</definedName>
    <definedName name="CQEF_BM1611_N0">#REF!</definedName>
    <definedName name="CQEF_BM1612_N0">#REF!</definedName>
    <definedName name="CQEF_BM1613_N0">#REF!</definedName>
    <definedName name="CQEF_BM1614_N0">#REF!</definedName>
    <definedName name="CQEF_BM1615_N0">#REF!</definedName>
    <definedName name="CQEF_BM1615A_N0">#REF!</definedName>
    <definedName name="CQEF_BM1615B_N0">#REF!</definedName>
    <definedName name="CQEF_BM1615C_N0">#REF!</definedName>
    <definedName name="CQEF_BM1616_N0">#REF!</definedName>
    <definedName name="CQEF_BM1617_N0">#REF!</definedName>
    <definedName name="CQEF_BM1618_N2">#REF!</definedName>
    <definedName name="CQEF_BM1619">#REF!</definedName>
    <definedName name="CQEF_BM162_N0">#REF!</definedName>
    <definedName name="CQEF_BM1620">#REF!</definedName>
    <definedName name="CQEF_BM1621">#REF!</definedName>
    <definedName name="CQEF_BM1622">#REF!</definedName>
    <definedName name="CQEF_BM1623">#REF!</definedName>
    <definedName name="CQEF_BM1624">#REF!</definedName>
    <definedName name="CQEF_BM1625">#REF!</definedName>
    <definedName name="CQEF_BM1626">#REF!</definedName>
    <definedName name="CQEF_BM1629_P0">#REF!</definedName>
    <definedName name="CQEF_BM163_N0">#REF!</definedName>
    <definedName name="CQEF_BM1630_P0">#REF!</definedName>
    <definedName name="CQEF_BM1631_P0">#REF!</definedName>
    <definedName name="CQEF_BM1632_P0">#REF!</definedName>
    <definedName name="CQEF_BM1633">#REF!</definedName>
    <definedName name="CQEF_BM1634_P0">#REF!</definedName>
    <definedName name="CQEF_BM1635_P0">#REF!</definedName>
    <definedName name="CQEF_BM1636_P0">#REF!</definedName>
    <definedName name="CQEF_BM1637_P0">#REF!</definedName>
    <definedName name="CQEF_BM1638_P0">#REF!</definedName>
    <definedName name="CQEF_BM1639">#REF!</definedName>
    <definedName name="CQEF_BM164_N0">#REF!</definedName>
    <definedName name="CQEF_BM1640_P0">#REF!</definedName>
    <definedName name="CQEF_BM1641_P0">#REF!</definedName>
    <definedName name="CQEF_BM1642_P0">#REF!</definedName>
    <definedName name="CQEF_BM1643_P0">#REF!</definedName>
    <definedName name="CQEF_BM165_N0">#REF!</definedName>
    <definedName name="CQEF_BM166_N0">#REF!</definedName>
    <definedName name="CQEF_BM167_N0">#REF!</definedName>
    <definedName name="CQEF_BM168_N0">#REF!</definedName>
    <definedName name="CQEF_BM169_N0">#REF!</definedName>
    <definedName name="CQEF_BM171">#REF!</definedName>
    <definedName name="CQEF_BM1710_N0">#REF!</definedName>
    <definedName name="CQEF_BM1711_N0">#REF!</definedName>
    <definedName name="CQEF_BM1712_N0">#REF!</definedName>
    <definedName name="CQEF_BM1713_N0">#REF!</definedName>
    <definedName name="CQEF_BM1714_N0">#REF!</definedName>
    <definedName name="CQEF_BM1715_N0">#REF!</definedName>
    <definedName name="CQEF_BM1715A_N0">#REF!</definedName>
    <definedName name="CQEF_BM1715B_N0">#REF!</definedName>
    <definedName name="CQEF_BM1715C_N0">#REF!</definedName>
    <definedName name="CQEF_BM1716_N0">#REF!</definedName>
    <definedName name="CQEF_BM1717_N0">#REF!</definedName>
    <definedName name="CQEF_BM1718_N2">#REF!</definedName>
    <definedName name="CQEF_BM1719">#REF!</definedName>
    <definedName name="CQEF_BM172_N0">#REF!</definedName>
    <definedName name="CQEF_BM1720">#REF!</definedName>
    <definedName name="CQEF_BM1721">#REF!</definedName>
    <definedName name="CQEF_BM1722">#REF!</definedName>
    <definedName name="CQEF_BM1723">#REF!</definedName>
    <definedName name="CQEF_BM1724">#REF!</definedName>
    <definedName name="CQEF_BM1725">#REF!</definedName>
    <definedName name="CQEF_BM1726">#REF!</definedName>
    <definedName name="CQEF_BM1729_P0">#REF!</definedName>
    <definedName name="CQEF_BM173_N0">#REF!</definedName>
    <definedName name="CQEF_BM1730_P0">#REF!</definedName>
    <definedName name="CQEF_BM1731_P0">#REF!</definedName>
    <definedName name="CQEF_BM1732_P0">#REF!</definedName>
    <definedName name="CQEF_BM1733">#REF!</definedName>
    <definedName name="CQEF_BM1734_P0">#REF!</definedName>
    <definedName name="CQEF_BM1735_P0">#REF!</definedName>
    <definedName name="CQEF_BM1736_P0">#REF!</definedName>
    <definedName name="CQEF_BM1737_P0">#REF!</definedName>
    <definedName name="CQEF_BM1738_P0">#REF!</definedName>
    <definedName name="CQEF_BM1739">#REF!</definedName>
    <definedName name="CQEF_BM174_N0">#REF!</definedName>
    <definedName name="CQEF_BM1740_P0">#REF!</definedName>
    <definedName name="CQEF_BM1741_P0">#REF!</definedName>
    <definedName name="CQEF_BM1742_P0">#REF!</definedName>
    <definedName name="CQEF_BM1743_P0">#REF!</definedName>
    <definedName name="CQEF_BM175_N0">#REF!</definedName>
    <definedName name="CQEF_BM176_N0">#REF!</definedName>
    <definedName name="CQEF_BM177_N0">#REF!</definedName>
    <definedName name="CQEF_BM178_N0">#REF!</definedName>
    <definedName name="CQEF_BM179_N0">#REF!</definedName>
    <definedName name="cratios">#REF!</definedName>
    <definedName name="CreCost12">#REF!</definedName>
    <definedName name="CreCost13">#REF!</definedName>
    <definedName name="Credit_balances_in_Current_Accounts_with_Banks">#REF!</definedName>
    <definedName name="creditors" localSheetId="10">[28]Template!$D$200:$T$200</definedName>
    <definedName name="creditors">#REF!</definedName>
    <definedName name="creditors_A">#REF!</definedName>
    <definedName name="Creditors_RawMaterials">#REF!</definedName>
    <definedName name="_xlnm.Criteria" localSheetId="4">#REF!</definedName>
    <definedName name="_xlnm.Criteria">'[16]foundry '!#REF!</definedName>
    <definedName name="CS" localSheetId="4">#REF!</definedName>
    <definedName name="CS">'[45]Stand alone Main'!#REF!</definedName>
    <definedName name="csbs">#REF!</definedName>
    <definedName name="cscf">#REF!</definedName>
    <definedName name="cscfs">#REF!</definedName>
    <definedName name="csi">#REF!</definedName>
    <definedName name="cspl">#REF!</definedName>
    <definedName name="cta">#REF!</definedName>
    <definedName name="ctcwgt">#REF!</definedName>
    <definedName name="CTopics" localSheetId="4">#REF!</definedName>
    <definedName name="CTopics">[2]Header!$AM$2:$AM$4</definedName>
    <definedName name="cu102.ShareScalingFactor" hidden="1">1000000</definedName>
    <definedName name="cu103.EmployeeScalingFactor" hidden="1">1000</definedName>
    <definedName name="cu107.DPSSymbol" hidden="1">"Rs"</definedName>
    <definedName name="cu107.EPSSymbol" hidden="1">"Rs"</definedName>
    <definedName name="cu71.ScalingFactor" hidden="1">1000000</definedName>
    <definedName name="CumGood" localSheetId="4">#REF!</definedName>
    <definedName name="CumGood">[26]FinancialsNew!#REF!</definedName>
    <definedName name="Cumulative_PV_of_EVA" localSheetId="9">#REF!</definedName>
    <definedName name="Cumulative_PV_of_EVA">#REF!</definedName>
    <definedName name="Cumulative_PV_of_FCF">#REF!</definedName>
    <definedName name="CURR">#REF!</definedName>
    <definedName name="curr_year_sales">#REF!</definedName>
    <definedName name="Currency" localSheetId="10">[54]Introduction!$E$14</definedName>
    <definedName name="Currency">#REF!</definedName>
    <definedName name="currencyList" localSheetId="4">#REF!</definedName>
    <definedName name="currencyList">[38]Database!#REF!</definedName>
    <definedName name="Current_assets">#REF!</definedName>
    <definedName name="Current_Assets__Loans_and_Advances_total">#REF!</definedName>
    <definedName name="Current_Assets_Loans_and_Advances_total">#REF!</definedName>
    <definedName name="Current_Assets_Q">#REF!</definedName>
    <definedName name="Current_Assets_Total">#REF!</definedName>
    <definedName name="Current_assets6">#REF!</definedName>
    <definedName name="Current_cost_adjusted_net_income" localSheetId="4">#REF!</definedName>
    <definedName name="Current_cost_adjusted_net_income">[50]Figures!#REF!</definedName>
    <definedName name="Current_deposits">#REF!</definedName>
    <definedName name="current_deposits_Q">#REF!</definedName>
    <definedName name="current_liabilities">#REF!</definedName>
    <definedName name="Current_liabilities_and_provisions_total">#REF!</definedName>
    <definedName name="Current_Liabilities_Provisions_Q">#REF!</definedName>
    <definedName name="Current_liabilities_total">#REF!</definedName>
    <definedName name="Current_liabilities6">#REF!</definedName>
    <definedName name="current_market_Cap">#REF!</definedName>
    <definedName name="Current_market_price_Rs">#REF!</definedName>
    <definedName name="Current_no_of_shares">#REF!</definedName>
    <definedName name="current_price">#REF!</definedName>
    <definedName name="current_ratio">#REF!</definedName>
    <definedName name="current_tax">#REF!</definedName>
    <definedName name="current_tax_A">#REF!</definedName>
    <definedName name="current_tax_Q">#REF!</definedName>
    <definedName name="CurrentAssets">#REF!</definedName>
    <definedName name="CurrentLiab">#REF!</definedName>
    <definedName name="CurrentLiabilities">#REF!</definedName>
    <definedName name="CurrentPortion">#REF!</definedName>
    <definedName name="CurrentRatio">#REF!</definedName>
    <definedName name="curtax" localSheetId="4">#REF!</definedName>
    <definedName name="curtax">[29]UploaderV4!$F$53:$AE$53</definedName>
    <definedName name="Customer_deposits">#REF!</definedName>
    <definedName name="customer_deposits_avg">#REF!</definedName>
    <definedName name="Customer_deposits_growth_fore">#REF!</definedName>
    <definedName name="CV" hidden="1">#NAME?</definedName>
    <definedName name="CV_BM00">#REF!</definedName>
    <definedName name="CV_BM01">#REF!</definedName>
    <definedName name="CV_BM011">#REF!</definedName>
    <definedName name="CV_BM0110">#REF!</definedName>
    <definedName name="CV_BM0111">#REF!</definedName>
    <definedName name="CV_BM0112">#REF!</definedName>
    <definedName name="CV_BM0113">#REF!</definedName>
    <definedName name="CV_BM0114">#REF!</definedName>
    <definedName name="CV_BM0115">#REF!</definedName>
    <definedName name="CV_BM0116">#REF!</definedName>
    <definedName name="CV_BM012">#REF!</definedName>
    <definedName name="CV_BM013">#REF!</definedName>
    <definedName name="CV_BM014">#REF!</definedName>
    <definedName name="CV_BM015">#REF!</definedName>
    <definedName name="CV_BM016">#REF!</definedName>
    <definedName name="CV_BM017">#REF!</definedName>
    <definedName name="CV_BM018">#REF!</definedName>
    <definedName name="CV_BM019">#REF!</definedName>
    <definedName name="CV_BM02">#REF!</definedName>
    <definedName name="CV_BM03">#REF!</definedName>
    <definedName name="CV_BM04">#REF!</definedName>
    <definedName name="CV_BM05">#REF!</definedName>
    <definedName name="CV_BM06">#REF!</definedName>
    <definedName name="CV_BM07">#REF!</definedName>
    <definedName name="CV_BM08">#REF!</definedName>
    <definedName name="CV_BM09">#REF!</definedName>
    <definedName name="CV_BM101_N1">#REF!</definedName>
    <definedName name="CV_BM102_N1">#REF!</definedName>
    <definedName name="CV_BM103_N1">#REF!</definedName>
    <definedName name="CV_BM11">#REF!</definedName>
    <definedName name="CV_BM111_N1">#REF!</definedName>
    <definedName name="CV_BM112_N1">#REF!</definedName>
    <definedName name="CV_BM113_N1">#REF!</definedName>
    <definedName name="CV_BM12">#REF!</definedName>
    <definedName name="CV_BM121_N1">#REF!</definedName>
    <definedName name="CV_BM122_N1">#REF!</definedName>
    <definedName name="CV_BM123_N1">#REF!</definedName>
    <definedName name="CV_BM13">#REF!</definedName>
    <definedName name="CV_BM131_N1">#REF!</definedName>
    <definedName name="CV_BM132_N1">#REF!</definedName>
    <definedName name="CV_BM133_N1">#REF!</definedName>
    <definedName name="CV_BM141_N1">#REF!</definedName>
    <definedName name="CV_BM142_N1">#REF!</definedName>
    <definedName name="CV_BM143_N1">#REF!</definedName>
    <definedName name="CV_BM151_P0">#REF!</definedName>
    <definedName name="CV_BM152_P0">#REF!</definedName>
    <definedName name="CV_BM153_P0">#REF!</definedName>
    <definedName name="CV_BM161_P0">#REF!</definedName>
    <definedName name="CV_BM162_P0">#REF!</definedName>
    <definedName name="CV_BM163_P0">#REF!</definedName>
    <definedName name="CV_BM171_P0">#REF!</definedName>
    <definedName name="CV_BM172_P0">#REF!</definedName>
    <definedName name="CV_BM173_P0">#REF!</definedName>
    <definedName name="CV_BM181_P1">#REF!</definedName>
    <definedName name="CV_BM182_P1">#REF!</definedName>
    <definedName name="CV_BM183_P1">#REF!</definedName>
    <definedName name="CV_BM191_P1">#REF!</definedName>
    <definedName name="CV_BM192_P1">#REF!</definedName>
    <definedName name="CV_BM193_P1">#REF!</definedName>
    <definedName name="CV_BM21">#REF!</definedName>
    <definedName name="CV_BM22">#REF!</definedName>
    <definedName name="CV_BM23">#REF!</definedName>
    <definedName name="CV_BM31_N0">#REF!</definedName>
    <definedName name="CV_BM32_N0">#REF!</definedName>
    <definedName name="CV_BM33_N0">#REF!</definedName>
    <definedName name="CV_BM41_N0">#REF!</definedName>
    <definedName name="CV_BM42_N0">#REF!</definedName>
    <definedName name="CV_BM43_N0">#REF!</definedName>
    <definedName name="CV_BM51_N0">#REF!</definedName>
    <definedName name="CV_BM52_N0">#REF!</definedName>
    <definedName name="CV_BM53_N0">#REF!</definedName>
    <definedName name="CV_BM61">#REF!</definedName>
    <definedName name="CV_BM62">#REF!</definedName>
    <definedName name="CV_BM63">#REF!</definedName>
    <definedName name="CV_BM71_N1">#REF!</definedName>
    <definedName name="CV_BM72_N1">#REF!</definedName>
    <definedName name="CV_BM73_N1">#REF!</definedName>
    <definedName name="CV_BM81_N1">#REF!</definedName>
    <definedName name="CV_BM82_N1">#REF!</definedName>
    <definedName name="CV_BM83_N1">#REF!</definedName>
    <definedName name="CV_BM91_N1">#REF!</definedName>
    <definedName name="CV_BM92_N1">#REF!</definedName>
    <definedName name="CV_BM93_N1">#REF!</definedName>
    <definedName name="CWIP">#REF!</definedName>
    <definedName name="CWIPChg">#REF!</definedName>
    <definedName name="cwipint" localSheetId="4">#REF!</definedName>
    <definedName name="cwipint">[29]UploaderV4!$F$146:$AE$146</definedName>
    <definedName name="cwipt" localSheetId="4">#REF!</definedName>
    <definedName name="cwipt">[29]UploaderV4!$F$145:$AE$145</definedName>
    <definedName name="cwo">#REF!</definedName>
    <definedName name="cwt">#REF!</definedName>
    <definedName name="D" localSheetId="9">#REF!</definedName>
    <definedName name="d" localSheetId="4" hidden="1">{#N/A,#N/A,FALSE,"Status of Projects";#N/A,#N/A,FALSE,"CEA-TEC";#N/A,#N/A,FALSE,"U-Constr.";#N/A,#N/A,FALSE,"summary";#N/A,#N/A,FALSE,"PPP-3 yrs"}</definedName>
    <definedName name="d" hidden="1">{#N/A,#N/A,FALSE,"Status of Projects";#N/A,#N/A,FALSE,"CEA-TEC";#N/A,#N/A,FALSE,"U-Constr.";#N/A,#N/A,FALSE,"summary";#N/A,#N/A,FALSE,"PPP-3 yrs"}</definedName>
    <definedName name="d_1" localSheetId="4">#REF!</definedName>
    <definedName name="d_1">'[55]Black-Scholes'!$B$7</definedName>
    <definedName name="d_2" localSheetId="4">#REF!</definedName>
    <definedName name="d_2">'[56]Black-Scholes'!#REF!</definedName>
    <definedName name="daf" localSheetId="9">#REF!</definedName>
    <definedName name="daf">#REF!</definedName>
    <definedName name="dai" localSheetId="9">#REF!</definedName>
    <definedName name="dai">#REF!</definedName>
    <definedName name="danamonwgt">#REF!</definedName>
    <definedName name="das" localSheetId="9">#REF!</definedName>
    <definedName name="das">#REF!</definedName>
    <definedName name="DATA1" localSheetId="10">[57]Sheet2!$C$2:$GS$8</definedName>
    <definedName name="DATA1">#REF!</definedName>
    <definedName name="Data1.1">#REF!</definedName>
    <definedName name="Data1.2">#REF!</definedName>
    <definedName name="data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1">#REF!</definedName>
    <definedName name="Data2.2">#REF!</definedName>
    <definedName name="Data3.1" localSheetId="4">#REF!</definedName>
    <definedName name="Data3.1">'[58]GWP-WLine'!#REF!</definedName>
    <definedName name="Data3.2" localSheetId="4">#REF!</definedName>
    <definedName name="Data3.2">'[58]GWP-WLine'!#REF!</definedName>
    <definedName name="Data4.1" localSheetId="4">#REF!</definedName>
    <definedName name="Data4.1">'[58]GWP-WLine'!#REF!</definedName>
    <definedName name="Data4.2" localSheetId="4">#REF!</definedName>
    <definedName name="Data4.2">'[58]GWP-WLine'!#REF!</definedName>
    <definedName name="_xlnm.Database">#REF!</definedName>
    <definedName name="DataPhone" localSheetId="4">#REF!</definedName>
    <definedName name="DataPhone">[59]MenuData!#REF!</definedName>
    <definedName name="DataStart" localSheetId="9">#REF!</definedName>
    <definedName name="DataStart">#REF!</definedName>
    <definedName name="Date" localSheetId="4">#REF!</definedName>
    <definedName name="Date">[60]prices!$A$1:$A$461</definedName>
    <definedName name="DateCFGs" localSheetId="9">#REF!</definedName>
    <definedName name="DateCFGs">#REF!</definedName>
    <definedName name="DateCFJ1" localSheetId="9">#REF!</definedName>
    <definedName name="DateCFJ1">#REF!</definedName>
    <definedName name="DateRange" localSheetId="9">OFFSET(#REF!,1,0,COUNTA(#REF!)-1)</definedName>
    <definedName name="DateRange">OFFSET(#REF!,1,0,COUNTA(#REF!)-1)</definedName>
    <definedName name="DATVAL">#REF!</definedName>
    <definedName name="db">"WIREHKPROD"</definedName>
    <definedName name="dbswgt">#REF!</definedName>
    <definedName name="dcbwgt">#REF!</definedName>
    <definedName name="DCF">#REF!</definedName>
    <definedName name="DCF_1995" localSheetId="9">#REF!</definedName>
    <definedName name="DCF_1995">#REF!</definedName>
    <definedName name="DCF_1996" localSheetId="9">#REF!</definedName>
    <definedName name="DCF_1996">#REF!</definedName>
    <definedName name="DCF_1997" localSheetId="9">#REF!</definedName>
    <definedName name="DCF_1997">#REF!</definedName>
    <definedName name="DCF_1998">#REF!</definedName>
    <definedName name="DCF_1999">#REF!</definedName>
    <definedName name="DCF_2000">#REF!</definedName>
    <definedName name="DCF_2001">#REF!</definedName>
    <definedName name="DCF_2002">#REF!</definedName>
    <definedName name="DCF_2003">#REF!</definedName>
    <definedName name="DCF_2004">#REF!</definedName>
    <definedName name="DCF_2005">#REF!</definedName>
    <definedName name="DCF_2006">#REF!</definedName>
    <definedName name="DCF_2007">#REF!</definedName>
    <definedName name="DCF_2008">#REF!</definedName>
    <definedName name="DCF_2009">#REF!</definedName>
    <definedName name="DCF_2010">#REF!</definedName>
    <definedName name="DCF_2011">#REF!</definedName>
    <definedName name="DCF_2012">#REF!</definedName>
    <definedName name="DCF_2013">#REF!</definedName>
    <definedName name="DCF_2014">#REF!</definedName>
    <definedName name="DCF_2015">#REF!</definedName>
    <definedName name="DCF_2016">#REF!</definedName>
    <definedName name="DCF_2017">#REF!</definedName>
    <definedName name="DCF_2018">#REF!</definedName>
    <definedName name="DCF_2019">#REF!</definedName>
    <definedName name="DCF_2020">#REF!</definedName>
    <definedName name="DCF_DDM_DiscountRate1">#REF!</definedName>
    <definedName name="DCF_DDM_DiscountRate2">#REF!</definedName>
    <definedName name="DCF_DDM_DiscountRate3">#REF!</definedName>
    <definedName name="DCF_DDM_DiscountRate4">#REF!</definedName>
    <definedName name="DCF_DDM_DPS">#REF!</definedName>
    <definedName name="DCF_DDM_DPSManual">#REF!</definedName>
    <definedName name="DCF_DDM_GrowthRate">#REF!</definedName>
    <definedName name="DCF_DDM_GrowthRateHigh">#REF!</definedName>
    <definedName name="DCF_DDM_GrowthRateLongRun">#REF!</definedName>
    <definedName name="DCF_DDM_HalfLife">#REF!</definedName>
    <definedName name="DCF_DDM_MultiDecelerationYears">#REF!</definedName>
    <definedName name="DCF_DDM_MultiHighGrowthRate">#REF!</definedName>
    <definedName name="DCF_DDM_MultiHighYears">#REF!</definedName>
    <definedName name="DCF_DDM_MultiMatureGrowthRate">#REF!</definedName>
    <definedName name="DCF_DDM_MultiMatureYears">#REF!</definedName>
    <definedName name="DCF_DDM_PriceConstantGrowth">#REF!</definedName>
    <definedName name="DCF_DDM_PriceHModel">#REF!</definedName>
    <definedName name="DCF_DDM_PriceMultiStageModel">#REF!</definedName>
    <definedName name="DCF_DDM_PriceZeroGrowth">#REF!</definedName>
    <definedName name="DCF_EY1">#REF!</definedName>
    <definedName name="DCF_EY10">#REF!</definedName>
    <definedName name="DCF_EY11">#REF!</definedName>
    <definedName name="DCF_EY12">#REF!</definedName>
    <definedName name="DCF_EY13">#REF!</definedName>
    <definedName name="DCF_EY14">#REF!</definedName>
    <definedName name="DCF_EY15">#REF!</definedName>
    <definedName name="DCF_EY16">#REF!</definedName>
    <definedName name="DCF_EY17">#REF!</definedName>
    <definedName name="DCF_EY18">#REF!</definedName>
    <definedName name="DCF_EY19">#REF!</definedName>
    <definedName name="DCF_EY2">#REF!</definedName>
    <definedName name="DCF_EY20">#REF!</definedName>
    <definedName name="DCF_EY21">#REF!</definedName>
    <definedName name="DCF_EY22">#REF!</definedName>
    <definedName name="DCF_EY23">#REF!</definedName>
    <definedName name="DCF_EY24">#REF!</definedName>
    <definedName name="DCF_EY25">#REF!</definedName>
    <definedName name="DCF_EY26">#REF!</definedName>
    <definedName name="DCF_EY3">#REF!</definedName>
    <definedName name="DCF_EY4">#REF!</definedName>
    <definedName name="DCF_EY5">#REF!</definedName>
    <definedName name="DCF_EY6">#REF!</definedName>
    <definedName name="DCF_EY7">#REF!</definedName>
    <definedName name="DCF_EY8">#REF!</definedName>
    <definedName name="DCF_EY9">#REF!</definedName>
    <definedName name="DCF_FCF_AdjustmentsToEnterpriseValue">#REF!</definedName>
    <definedName name="DCF_FCF_Beta">#REF!</definedName>
    <definedName name="DCF_FCF_CostofDebt">#REF!</definedName>
    <definedName name="DCF_FCF_CostofDebtMan">#REF!</definedName>
    <definedName name="DCF_FCF_CostofEquity">#REF!</definedName>
    <definedName name="DCF_FCF_CostofPreferredEquity">#REF!</definedName>
    <definedName name="DCF_FCF_CostofSTDebt">#REF!</definedName>
    <definedName name="DCF_FCF_CostofSTDebtMan">#REF!</definedName>
    <definedName name="DCF_FCF_EnterpriseValue">#REF!</definedName>
    <definedName name="DCF_FCF_EnterpriseValueConstantGrowth">#REF!</definedName>
    <definedName name="DCF_FCF_EnterpriseValueEBIT">#REF!</definedName>
    <definedName name="DCF_FCF_EnterpriseValueEBITD">#REF!</definedName>
    <definedName name="DCF_FCF_EnterpriseValueEBITDA">#REF!</definedName>
    <definedName name="DCF_FCF_EnterpriseValueMan">#REF!</definedName>
    <definedName name="DCF_FCF_EnterpriseValuePerShareConstantGrowth">#REF!</definedName>
    <definedName name="DCF_FCF_EnterpriseValuePerShareTimeSeries">#REF!</definedName>
    <definedName name="DCF_FCF_EnterpriseValueRevenue">#REF!</definedName>
    <definedName name="DCF_FCF_EnterpriseValueTimeSeries">#REF!</definedName>
    <definedName name="DCF_FCF_EquityRiskPremium">#REF!</definedName>
    <definedName name="DCF_FCF_FullyDilutedShares">#REF!</definedName>
    <definedName name="DCF_FCF_InterestTaxShield">#REF!</definedName>
    <definedName name="DCF_FCF_leveragedCashFlow">#REF!</definedName>
    <definedName name="DCF_FCF_LongTermGrowthRate">#REF!</definedName>
    <definedName name="DCF_FCF_OffBSLiabilitiesManual">#REF!</definedName>
    <definedName name="DCF_FCF_PerpetuityPremiumDiscount">#REF!</definedName>
    <definedName name="DCF_FCF_PreferredEquityRiskPremium">#REF!</definedName>
    <definedName name="DCF_FCF_PresentValueConstantGrowth">#REF!</definedName>
    <definedName name="DCF_FCF_PresentValueofEquity">#REF!</definedName>
    <definedName name="DCF_FCF_PresentValueTimeSeries">#REF!</definedName>
    <definedName name="DCF_FCF_QualityBondYield">#REF!</definedName>
    <definedName name="DCF_FCF_RangeDiscountCashFlows">#REF!</definedName>
    <definedName name="DCF_FCF_RiskFreeRate">#REF!</definedName>
    <definedName name="DCF_FCF_SharePrice">#REF!</definedName>
    <definedName name="DCF_FCF_SharePriceManual">#REF!</definedName>
    <definedName name="DCF_FCF_STDebtTaxRateMan">#REF!</definedName>
    <definedName name="DCF_FCF_TaxRate">#REF!</definedName>
    <definedName name="DCF_FCF_TaxRateMan">#REF!</definedName>
    <definedName name="DCF_FCF_TerminalValuesForTimeSeries">#REF!</definedName>
    <definedName name="DCF_FCF_TerminalValuesForTimeSeriesTest">#REF!</definedName>
    <definedName name="DCF_FCF_TimeSeriesPremiumDiscount">#REF!</definedName>
    <definedName name="DCF_FCF_TotalEquityBV">#REF!</definedName>
    <definedName name="DCF_FCF_TotalEquityBVMan">#REF!</definedName>
    <definedName name="DCF_FCF_TotalEquityMV">#REF!</definedName>
    <definedName name="DCF_FCF_TotalEquityMVMan">#REF!</definedName>
    <definedName name="DCF_FCF_TotalLTDebtBV">#REF!</definedName>
    <definedName name="DCF_FCF_TotalLTDebtBVMan">#REF!</definedName>
    <definedName name="DCF_FCF_TotalLTDebtMV">#REF!</definedName>
    <definedName name="DCF_FCF_TotalLTDebtMVMan">#REF!</definedName>
    <definedName name="DCF_FCF_TotalPreferredEquityBV">#REF!</definedName>
    <definedName name="DCF_FCF_TotalPreferredEquityBVMan">#REF!</definedName>
    <definedName name="DCF_FCF_TotalPreferredEquityMV">#REF!</definedName>
    <definedName name="DCF_FCF_TotalPreferredEquityMVMan">#REF!</definedName>
    <definedName name="DCF_FCF_TotalSTDebtBV">#REF!</definedName>
    <definedName name="DCF_FCF_TotalSTDebtBVMan">#REF!</definedName>
    <definedName name="DCF_FCF_TotalSTDebtMV">#REF!</definedName>
    <definedName name="DCF_FCF_TotalSTDebtMVMan">#REF!</definedName>
    <definedName name="DCF_FCF_UnleveragedCashFlow">#REF!</definedName>
    <definedName name="DCF_FCF_UnleveragedCashFlowCalc">#REF!</definedName>
    <definedName name="DCF_FCF_UnleveragedCashFlowMan">#REF!</definedName>
    <definedName name="DCF_FCF_WACC">#REF!</definedName>
    <definedName name="DCF_GL_SwitchAmortization">#REF!</definedName>
    <definedName name="DCF_P">#REF!</definedName>
    <definedName name="dcf_sensit">#REF!</definedName>
    <definedName name="DCFautoaxle">#REF!</definedName>
    <definedName name="dcfv">#REF!</definedName>
    <definedName name="DCFVA_1_BM11">#REF!</definedName>
    <definedName name="DCFVA_1_BM12">#REF!</definedName>
    <definedName name="DCFVA_1_BM13">#REF!</definedName>
    <definedName name="DCFVA_1_BM14">#REF!</definedName>
    <definedName name="DCFVA_1_BM15">#REF!</definedName>
    <definedName name="DCFVA_1_BM17">#REF!</definedName>
    <definedName name="DCFVA_1_BM18">#REF!</definedName>
    <definedName name="DCFVA_1_BM19">#REF!</definedName>
    <definedName name="DCFVA_1_BM21">#REF!</definedName>
    <definedName name="DCFVA_1_BM22_P0">#REF!</definedName>
    <definedName name="DCFVA_1_BM23_P0">#REF!</definedName>
    <definedName name="DCFVA_1_BM24_N2">#REF!</definedName>
    <definedName name="DCFVA_1_BM25_P1">#REF!</definedName>
    <definedName name="DCFVA_1_BM27">#REF!</definedName>
    <definedName name="DCFVA_1_BM28_N0">#REF!</definedName>
    <definedName name="DCFVA_1_BM29_N0">#REF!</definedName>
    <definedName name="DCFVA_1_BM31">#REF!</definedName>
    <definedName name="DCFVA_1_BM32_P0">#REF!</definedName>
    <definedName name="DCFVA_1_BM33_P0">#REF!</definedName>
    <definedName name="DCFVA_1_BM34_N2">#REF!</definedName>
    <definedName name="DCFVA_1_BM35_P1">#REF!</definedName>
    <definedName name="DCFVA_1_BM37">#REF!</definedName>
    <definedName name="DCFVA_1_BM38_N0">#REF!</definedName>
    <definedName name="DCFVA_1_BM39_P0">#REF!</definedName>
    <definedName name="DCFVA_1_BM41">#REF!</definedName>
    <definedName name="DCFVA_1_BM42_P0">#REF!</definedName>
    <definedName name="DCFVA_1_BM43_P0">#REF!</definedName>
    <definedName name="DCFVA_1_BM44_N2">#REF!</definedName>
    <definedName name="DCFVA_1_BM45_P1">#REF!</definedName>
    <definedName name="DCFVA_1_BM47">#REF!</definedName>
    <definedName name="DCFVA_1_BM48_N0">#REF!</definedName>
    <definedName name="DCFVA_1_BM49_N0">#REF!</definedName>
    <definedName name="DCFVA_1_BM51">#REF!</definedName>
    <definedName name="DCFVA_1_BM52_P0">#REF!</definedName>
    <definedName name="DCFVA_1_BM53_P0">#REF!</definedName>
    <definedName name="DCFVA_1_BM54_N2">#REF!</definedName>
    <definedName name="DCFVA_1_BM55_P1">#REF!</definedName>
    <definedName name="DCFVA_1_BM57">#REF!</definedName>
    <definedName name="DCFVA_1_BM58_N0">#REF!</definedName>
    <definedName name="DCFVA_1_BM59_N0">#REF!</definedName>
    <definedName name="DCFVA_1_BM61">#REF!</definedName>
    <definedName name="DCFVA_1_BM62_P0">#REF!</definedName>
    <definedName name="DCFVA_1_BM63_P0">#REF!</definedName>
    <definedName name="DCFVA_1_BM64_N2">#REF!</definedName>
    <definedName name="DCFVA_1_BM65_P1">#REF!</definedName>
    <definedName name="DCFVA_1_BM67">#REF!</definedName>
    <definedName name="DCFVA_1_BM68_N0">#REF!</definedName>
    <definedName name="DCFVA_1_BM69_N0">#REF!</definedName>
    <definedName name="DCFVA_BM11">#REF!</definedName>
    <definedName name="DCFVA_BM12_P1">#REF!</definedName>
    <definedName name="DCFVA_BM21">#REF!</definedName>
    <definedName name="DCFVA_BM22_N1">#REF!</definedName>
    <definedName name="DCFVA_BM31">#REF!</definedName>
    <definedName name="DCFVA_BM32_P1">#REF!</definedName>
    <definedName name="DCFVA_BM41">#REF!</definedName>
    <definedName name="DCFVA_BM42_P1">#REF!</definedName>
    <definedName name="DCFVA_BM51">#REF!</definedName>
    <definedName name="DCFVA_BM52_P1">#REF!</definedName>
    <definedName name="dd" localSheetId="10">[42]Sheet2!$D$1:$F$65536</definedName>
    <definedName name="dd">#REF!</definedName>
    <definedName name="dda" localSheetId="4">#REF!</definedName>
    <definedName name="dda">[29]UploaderV4!$F$41:$AE$41</definedName>
    <definedName name="ddays" localSheetId="4">#REF!</definedName>
    <definedName name="ddays">[29]UploaderV4!$F$246:$AE$246</definedName>
    <definedName name="ddf" localSheetId="4" hidden="1">{"'PS-SOTM'!$A$1","'PS-SOTM'!$A$2:$M$30","'PS-SOTM'!$A$31:$A$38"}</definedName>
    <definedName name="ddf" hidden="1">{"'PS-SOTM'!$A$1","'PS-SOTM'!$A$2:$M$30","'PS-SOTM'!$A$31:$A$38"}</definedName>
    <definedName name="DDT">#REF!</definedName>
    <definedName name="Debenture_Redemption_Reserve">#REF!</definedName>
    <definedName name="debentures" localSheetId="10">[28]Template!$D$211:$T$211</definedName>
    <definedName name="debentures">#REF!</definedName>
    <definedName name="Debentures_total">#REF!</definedName>
    <definedName name="Debt">#REF!</definedName>
    <definedName name="debt_at_mv" localSheetId="10">[28]Template!$D$258:$T$258</definedName>
    <definedName name="debt_at_mv">#REF!</definedName>
    <definedName name="DEBT_CAP">#REF!</definedName>
    <definedName name="DEBT_EBITDA">#REF!</definedName>
    <definedName name="Debt_Equity">#REF!</definedName>
    <definedName name="Debt_growth">#REF!</definedName>
    <definedName name="Debt_incl_lease_to_Cap_02">#REF!</definedName>
    <definedName name="Debt_Market_Cap_Ratio">#REF!</definedName>
    <definedName name="debt_raised_repaid">#REF!</definedName>
    <definedName name="debt_to_cap">#REF!</definedName>
    <definedName name="Debt_to_Cap_02">#REF!</definedName>
    <definedName name="Debt_to_Eq_02">#REF!</definedName>
    <definedName name="debt_to_equity">#REF!</definedName>
    <definedName name="debteurunhg" localSheetId="4">#REF!</definedName>
    <definedName name="debteurunhg">[29]UploaderV4!$F$126:$AE$126</definedName>
    <definedName name="debtfxhg" localSheetId="4">#REF!</definedName>
    <definedName name="debtfxhg">[29]UploaderV4!$F$124:$AE$124</definedName>
    <definedName name="debtinr" localSheetId="4">#REF!</definedName>
    <definedName name="debtinr">[29]UploaderV4!$F$123:$AE$123</definedName>
    <definedName name="debtissue" localSheetId="4">#REF!</definedName>
    <definedName name="debtissue">[29]UploaderV4!$F$212:$AE$212</definedName>
    <definedName name="debtjpyunhg" localSheetId="4">#REF!</definedName>
    <definedName name="debtjpyunhg">[29]UploaderV4!$F$127:$AE$127</definedName>
    <definedName name="debtor" localSheetId="4">#REF!</definedName>
    <definedName name="debtor">[29]UploaderV4!$F$155:$AE$155</definedName>
    <definedName name="debtor_days" localSheetId="4">#REF!</definedName>
    <definedName name="debtor_days">'[47]RMF Annual'!$E$160:$U$160</definedName>
    <definedName name="debtors" localSheetId="10">[28]Template!$D$184:$T$184</definedName>
    <definedName name="debtors">#REF!</definedName>
    <definedName name="debtors_A">#REF!</definedName>
    <definedName name="debtors_avg">#REF!</definedName>
    <definedName name="debtprofile" localSheetId="4">#REF!</definedName>
    <definedName name="debtprofile">[29]UploaderV4!$F$132:$AE$132</definedName>
    <definedName name="DebtRpytCopy">#REF!</definedName>
    <definedName name="DebtRpytCopySum">#REF!</definedName>
    <definedName name="DebtRpytOrig">#REF!</definedName>
    <definedName name="DebtRpytOrigSum">#REF!</definedName>
    <definedName name="DEBTS">#REF!</definedName>
    <definedName name="debtusdunhg" localSheetId="4">#REF!</definedName>
    <definedName name="debtusdunhg">[29]UploaderV4!$F$125:$AE$125</definedName>
    <definedName name="DecInvoice">#REF!</definedName>
    <definedName name="decrease_increase_in_stocks">#REF!</definedName>
    <definedName name="Deduction_Orig" localSheetId="10">[61]Tax!#REF!</definedName>
    <definedName name="Deduction_Orig">#REF!</definedName>
    <definedName name="Deduction_Orig_Sum" localSheetId="10">[61]Tax!#REF!</definedName>
    <definedName name="Deduction_Orig_Sum">#REF!</definedName>
    <definedName name="deferred_tax">#REF!</definedName>
    <definedName name="deferred_tax_A">#REF!</definedName>
    <definedName name="Deferred_tax_asset">#REF!</definedName>
    <definedName name="Deferred_tax_asset_growth_fore">#REF!</definedName>
    <definedName name="deferred_tax_assets" localSheetId="10">[28]Template!$D$195:$T$195</definedName>
    <definedName name="deferred_tax_assets">#REF!</definedName>
    <definedName name="deferred_tax_assets_A">#REF!</definedName>
    <definedName name="Deferred_Tax_for_Current_Year">#REF!</definedName>
    <definedName name="deferred_tax_liabilities" localSheetId="10">[28]Template!$D$214:$T$214</definedName>
    <definedName name="deferred_tax_liabilities">#REF!</definedName>
    <definedName name="deferred_tax_liabilities_A">#REF!</definedName>
    <definedName name="Deferred_tax_liability">#REF!</definedName>
    <definedName name="Deferred_tax_liability_BS">#REF!</definedName>
    <definedName name="Deferred_tax_liability_growth_fore">#REF!</definedName>
    <definedName name="Deferred_Tax_Liability_Q">#REF!</definedName>
    <definedName name="deferred_tax_Q">#REF!</definedName>
    <definedName name="deferred_tax_qtr">#REF!</definedName>
    <definedName name="Deferred_taxes">#REF!</definedName>
    <definedName name="DeferredExpenditure">#REF!</definedName>
    <definedName name="deftax" localSheetId="4">#REF!</definedName>
    <definedName name="deftax">[29]UploaderV4!$F$54:$AE$54</definedName>
    <definedName name="delexp">#REF!</definedName>
    <definedName name="Delivery_Date">#REF!</definedName>
    <definedName name="demand_deposits">#REF!</definedName>
    <definedName name="demand_deposits_from_banks">#REF!</definedName>
    <definedName name="demand_deposits_from_others">#REF!</definedName>
    <definedName name="dep" localSheetId="4">#REF!</definedName>
    <definedName name="dep">[2]Header!#REF!</definedName>
    <definedName name="DEP_AMT_Amortization">#REF!</definedName>
    <definedName name="DEP_AMT_BeginAmortAssets">#REF!</definedName>
    <definedName name="DEP_AMT_CurrentCashASSETS">#REF!</definedName>
    <definedName name="DEP_AMT_EndingAmortAssets">#REF!</definedName>
    <definedName name="Dep_and_Amort">#REF!</definedName>
    <definedName name="DEP_CellNote">#REF!</definedName>
    <definedName name="DEP_DEP_BeginFixedAssets">#REF!</definedName>
    <definedName name="DEP_DEP_CurrentCashCAPEX">#REF!</definedName>
    <definedName name="DEP_DEP_CurrentCashCAPEXAuto">#REF!</definedName>
    <definedName name="DEP_DEP_CurrentDeprCAPEX">#REF!</definedName>
    <definedName name="DEP_DEP_CurrentDeprCAPEXAuto">#REF!</definedName>
    <definedName name="DEP_DEP_Depreciation">#REF!</definedName>
    <definedName name="DEP_DEP_DepreciationAuto">#REF!</definedName>
    <definedName name="DEP_DEP_EndingFixedAssets">#REF!</definedName>
    <definedName name="DEP_DEP_FixedAsset1">#REF!</definedName>
    <definedName name="DEP_DEP_FixedAsset2">#REF!</definedName>
    <definedName name="DEP_DEP_FixedAsset3">#REF!</definedName>
    <definedName name="DEP_DEP_FixedAsset4">#REF!</definedName>
    <definedName name="DEP_DEP_FixedAsset5">#REF!</definedName>
    <definedName name="DEP_DEP_FixedAsset6">#REF!</definedName>
    <definedName name="DEP_DEP_FixedAsset7">#REF!</definedName>
    <definedName name="DEP_DEP_OtherChangesInFixedAssetsCalc">#REF!</definedName>
    <definedName name="DEP_DEP_OtherChangesInFixedAssetsCalcAuto">#REF!</definedName>
    <definedName name="DEP_GL_SwitchDeprCalc">#REF!</definedName>
    <definedName name="DEP_GL_SwitchDepreciation">#REF!</definedName>
    <definedName name="Dep_margin_fore">#REF!</definedName>
    <definedName name="dep_on_revalued_FA_Q">#REF!</definedName>
    <definedName name="deple" localSheetId="4">#REF!</definedName>
    <definedName name="deple">[29]UploaderV4!$F$39:$AE$39</definedName>
    <definedName name="DepoGrowth12">#REF!</definedName>
    <definedName name="DepoGrowth13">#REF!</definedName>
    <definedName name="Deposits_Advances_received_against_Loan_agreements">#REF!</definedName>
    <definedName name="Deposits_for_office_premises">#REF!</definedName>
    <definedName name="deposits_from_banks">#REF!</definedName>
    <definedName name="deposits_from_banks_avg">#REF!</definedName>
    <definedName name="deposits_Q">#REF!</definedName>
    <definedName name="DEPR">#REF!</definedName>
    <definedName name="depre" localSheetId="4">#REF!</definedName>
    <definedName name="depre">[29]UploaderV4!$F$38:$AE$38</definedName>
    <definedName name="DEPRECIATION" localSheetId="10">[1]bajaj_copeland!$AV$562</definedName>
    <definedName name="DEPRECIATION">#REF!</definedName>
    <definedName name="Depreciation_Adjustment">#REF!</definedName>
    <definedName name="depreciation_amortisation">#REF!</definedName>
    <definedName name="Depreciation_and_amortisation_total">#REF!</definedName>
    <definedName name="depreciation_bs" localSheetId="10">[28]Template!$D$192:$T$192</definedName>
    <definedName name="depreciation_bs">#REF!</definedName>
    <definedName name="depreciation_bs_A">#REF!</definedName>
    <definedName name="depreciation_fixed_assets" localSheetId="10">[28]Template!$D$88:$T$88</definedName>
    <definedName name="depreciation_fixed_assets">#REF!</definedName>
    <definedName name="Depreciation_fore">#REF!</definedName>
    <definedName name="Depreciation_margin">#REF!</definedName>
    <definedName name="depreciation_on_investments">#REF!</definedName>
    <definedName name="depreciation_other" localSheetId="10">[28]Template!$D$89:$T$89</definedName>
    <definedName name="depreciation_other">#REF!</definedName>
    <definedName name="depreciation_Q">#REF!</definedName>
    <definedName name="depreciation_qtr">#REF!</definedName>
    <definedName name="Depreciation_total">#REF!</definedName>
    <definedName name="Depreciation6">#REF!</definedName>
    <definedName name="DepreciationfortheYear">#REF!</definedName>
    <definedName name="DepreciationWrittenBack">#REF!</definedName>
    <definedName name="desktop">#REF!</definedName>
    <definedName name="Detail">#REF!</definedName>
    <definedName name="dfd">#REF!</definedName>
    <definedName name="dfg" localSheetId="9" hidden="1">{#N/A,#N/A,FALSE,"Status of Projects";#N/A,#N/A,FALSE,"CEA-TEC";#N/A,#N/A,FALSE,"U-Constr.";#N/A,#N/A,FALSE,"summary";#N/A,#N/A,FALSE,"PPP-3 yrs"}</definedName>
    <definedName name="dfg" localSheetId="10" hidden="1">{#N/A,#N/A,FALSE,"Status of Projects";#N/A,#N/A,FALSE,"CEA-TEC";#N/A,#N/A,FALSE,"U-Constr.";#N/A,#N/A,FALSE,"summary";#N/A,#N/A,FALSE,"PPP-3 yrs"}</definedName>
    <definedName name="dfg" localSheetId="4" hidden="1">{#N/A,#N/A,FALSE,"Status of Projects";#N/A,#N/A,FALSE,"CEA-TEC";#N/A,#N/A,FALSE,"U-Constr.";#N/A,#N/A,FALSE,"summary";#N/A,#N/A,FALSE,"PPP-3 yrs"}</definedName>
    <definedName name="dfg" hidden="1">{#N/A,#N/A,FALSE,"Status of Projects";#N/A,#N/A,FALSE,"CEA-TEC";#N/A,#N/A,FALSE,"U-Constr.";#N/A,#N/A,FALSE,"summary";#N/A,#N/A,FALSE,"PPP-3 yrs"}</definedName>
    <definedName name="dfgg" localSheetId="9" hidden="1">#REF!</definedName>
    <definedName name="dfgg" localSheetId="10" hidden="1">[62]Charts!#REF!</definedName>
    <definedName name="dfgg" hidden="1">#REF!</definedName>
    <definedName name="dfvfgdf" hidden="1">#N/A</definedName>
    <definedName name="dgdasfg" hidden="1">#N/A</definedName>
    <definedName name="dgdfg" localSheetId="9" hidden="1">#REF!</definedName>
    <definedName name="dgdfg" hidden="1">#REF!</definedName>
    <definedName name="dgg" localSheetId="9"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0"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4"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hbgwgt">#REF!</definedName>
    <definedName name="did">#REF!</definedName>
    <definedName name="DilEqSh" localSheetId="9">#REF!</definedName>
    <definedName name="DilEqSh">#REF!</definedName>
    <definedName name="Dilution">#REF!</definedName>
    <definedName name="dilution_factor" localSheetId="9">#REF!</definedName>
    <definedName name="dilution_factor">#REF!</definedName>
    <definedName name="DirectExpenses">#REF!</definedName>
    <definedName name="Directors_Commission">#REF!</definedName>
    <definedName name="Directors_Fees">#REF!</definedName>
    <definedName name="DIRECTORY" localSheetId="10">[1]bajaj_copeland!$C$527</definedName>
    <definedName name="DIRECTORY">#REF!</definedName>
    <definedName name="DispFmt" localSheetId="10" hidden="1">[31]Input!$AB$3:$AE$3</definedName>
    <definedName name="DispFmt" hidden="1">#REF!</definedName>
    <definedName name="DisROCE">#REF!</definedName>
    <definedName name="DisROE">#REF!</definedName>
    <definedName name="div" localSheetId="4">#REF!</definedName>
    <definedName name="div">[29]UploaderV4!$F$69:$AE$69</definedName>
    <definedName name="div_from_sub">#REF!</definedName>
    <definedName name="DIV_PD">#REF!</definedName>
    <definedName name="DIV_PROV">#REF!</definedName>
    <definedName name="Div_yield" localSheetId="10">[63]ESOP_issuance!$B$5</definedName>
    <definedName name="Div_yield">#REF!</definedName>
    <definedName name="Divdates">#REF!</definedName>
    <definedName name="Dividend">#REF!</definedName>
    <definedName name="dividend_cover">#REF!</definedName>
    <definedName name="dividend_incl_tax">#REF!</definedName>
    <definedName name="dividend_income">#REF!</definedName>
    <definedName name="dividend_income_Q">#REF!</definedName>
    <definedName name="dividend_paid" localSheetId="10">[28]Template!$D$95:$T$95</definedName>
    <definedName name="dividend_paid">#REF!</definedName>
    <definedName name="dividend_paid_qtr">#REF!</definedName>
    <definedName name="dividend_payout">#REF!</definedName>
    <definedName name="dividend_payout_ratio" localSheetId="4">#REF!</definedName>
    <definedName name="dividend_payout_ratio">'[47]RMF Annual'!$E$143:$U$143</definedName>
    <definedName name="Dividend_provided">#REF!</definedName>
    <definedName name="dividend_provision">#REF!</definedName>
    <definedName name="dividend_Q">#REF!</definedName>
    <definedName name="dividend_received">#REF!</definedName>
    <definedName name="Dividend_Received_from_Investments_in_MFs">#REF!</definedName>
    <definedName name="Dividend_Received_from_Subsidiary">#REF!</definedName>
    <definedName name="Dividend_Tax_Credit">#REF!</definedName>
    <definedName name="dividend_yield">#REF!</definedName>
    <definedName name="DividendCoverTimes">#REF!</definedName>
    <definedName name="DividendPaid">#REF!</definedName>
    <definedName name="DividendProvision">#REF!</definedName>
    <definedName name="Dividends">#REF!</definedName>
    <definedName name="Dividends_Paid">#REF!</definedName>
    <definedName name="dividends_payable" localSheetId="10">[28]Template!$D$204:$T$204</definedName>
    <definedName name="dividends_payable">#REF!</definedName>
    <definedName name="division">#REF!</definedName>
    <definedName name="divisions">#REF!</definedName>
    <definedName name="DivOut">#REF!</definedName>
    <definedName name="DivTax">#REF!</definedName>
    <definedName name="divtotal" localSheetId="4">#REF!</definedName>
    <definedName name="divtotal">[29]UploaderV4!$F$68:$AE$68</definedName>
    <definedName name="DLD" localSheetId="4">#REF!</definedName>
    <definedName name="DLD">[2]Header!#REF!</definedName>
    <definedName name="DLX7.USE">#REF!</definedName>
    <definedName name="DnA_fore">#REF!</definedName>
    <definedName name="DnA_growth_fore">#REF!</definedName>
    <definedName name="docs">#REF!</definedName>
    <definedName name="dogcat">#REF!</definedName>
    <definedName name="dogdry">#REF!</definedName>
    <definedName name="dogmoist">#REF!</definedName>
    <definedName name="dogwet">#REF!</definedName>
    <definedName name="DomGrowth">#REF!</definedName>
    <definedName name="DOMLD" localSheetId="4">#REF!</definedName>
    <definedName name="DOMLD">'[12]#REF'!#REF!</definedName>
    <definedName name="Donation_Copy" localSheetId="10">'[61]P&amp;L'!#REF!</definedName>
    <definedName name="Donation_Copy">#REF!</definedName>
    <definedName name="Donation_Copy_Sum" localSheetId="10">'[61]P&amp;L'!#REF!</definedName>
    <definedName name="Donation_Copy_Sum">#REF!</definedName>
    <definedName name="Donation_Orig" localSheetId="10">'[61]P&amp;L'!$F$33:$W$33</definedName>
    <definedName name="Donation_Orig">#REF!</definedName>
    <definedName name="Donations">#REF!</definedName>
    <definedName name="dp">#REF!</definedName>
    <definedName name="DPS">#REF!</definedName>
    <definedName name="dps_A">#REF!</definedName>
    <definedName name="DPS_Curr_Yr">#REF!</definedName>
    <definedName name="DPS_Lst_Yr">#REF!</definedName>
    <definedName name="DPS_Next_Yr">#REF!</definedName>
    <definedName name="Draft" localSheetId="10">[54]Introduction!$E$9</definedName>
    <definedName name="Draft">#REF!</definedName>
    <definedName name="DRAFT_RCnum">#REF!</definedName>
    <definedName name="Drawdowns">#REF!</definedName>
    <definedName name="DSCR">#REF!</definedName>
    <definedName name="DSCR_DSRA">#REF!</definedName>
    <definedName name="DSCR_RA">#REF!</definedName>
    <definedName name="dsd">#REF!</definedName>
    <definedName name="DSDDE_Path" localSheetId="4">#REF!</definedName>
    <definedName name="DSDDE_Path">[2]Header!$AD$3</definedName>
    <definedName name="dsfwgt">#REF!</definedName>
    <definedName name="DSO">#REF!</definedName>
    <definedName name="DSRA_Copy">#REF!</definedName>
    <definedName name="DSRA_Copy_Sum">#REF!</definedName>
    <definedName name="DSRA_Copy1">#REF!</definedName>
    <definedName name="DSRA_Copy1_Sum">#REF!</definedName>
    <definedName name="DSRA_Orig">#REF!</definedName>
    <definedName name="DSRA_Orig_Sum">#REF!</definedName>
    <definedName name="DSRA_Orig1">#REF!</definedName>
    <definedName name="DSRA_Orig1_Sum">#REF!</definedName>
    <definedName name="dtd">#REF!</definedName>
    <definedName name="dtl" localSheetId="4">#REF!</definedName>
    <definedName name="dtl">[29]UploaderV4!$F$133:$AE$133</definedName>
    <definedName name="dtoev">#REF!</definedName>
    <definedName name="Dues_to_Subsidiary_Company">#REF!</definedName>
    <definedName name="dupont" localSheetId="4">#REF!</definedName>
    <definedName name="dupont">[15]Fin!$A$395</definedName>
    <definedName name="duv" localSheetId="4">#REF!</definedName>
    <definedName name="duv">'[37]Input_FS(Q)'!#REF!</definedName>
    <definedName name="dvzxcv" hidden="1">#N/A</definedName>
    <definedName name="dwe"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 localSheetId="9">#REF!</definedName>
    <definedName name="e" localSheetId="4" hidden="1">{#N/A,#N/A,FALSE,"Status of Projects";#N/A,#N/A,FALSE,"CEA-TEC";#N/A,#N/A,FALSE,"U-Constr.";#N/A,#N/A,FALSE,"summary";#N/A,#N/A,FALSE,"PPP-3 yrs"}</definedName>
    <definedName name="e" hidden="1">{#N/A,#N/A,FALSE,"Status of Projects";#N/A,#N/A,FALSE,"CEA-TEC";#N/A,#N/A,FALSE,"U-Constr.";#N/A,#N/A,FALSE,"summary";#N/A,#N/A,FALSE,"PPP-3 yrs"}</definedName>
    <definedName name="E1E" localSheetId="9">#REF!</definedName>
    <definedName name="E1E">#REF!</definedName>
    <definedName name="E2E" localSheetId="9">#REF!,#REF!,#REF!</definedName>
    <definedName name="E2E">#REF!,#REF!,#REF!</definedName>
    <definedName name="E3E" localSheetId="9">#REF!,#REF!,#REF!</definedName>
    <definedName name="E3E">#REF!,#REF!,#REF!</definedName>
    <definedName name="e40\" localSheetId="9">#REF!</definedName>
    <definedName name="e40\">#REF!</definedName>
    <definedName name="E4E" localSheetId="9">#REF!,#REF!,#REF!</definedName>
    <definedName name="E4E">#REF!,#REF!,#REF!</definedName>
    <definedName name="E5E" localSheetId="9">#REF!,#REF!,#REF!</definedName>
    <definedName name="E5E">#REF!,#REF!,#REF!</definedName>
    <definedName name="eaa">#REF!</definedName>
    <definedName name="Each_Installment">#REF!</definedName>
    <definedName name="eap">#REF!</definedName>
    <definedName name="EAR_AdminExpenses">#REF!</definedName>
    <definedName name="EAR_AdminIncome">#REF!</definedName>
    <definedName name="EAR_Amortization">#REF!</definedName>
    <definedName name="EAR_CashDividendsPaid">#REF!</definedName>
    <definedName name="EAR_CGS">#REF!</definedName>
    <definedName name="EAR_CommissionExpense">#REF!</definedName>
    <definedName name="EAR_CumulativeAdjustment">#REF!</definedName>
    <definedName name="EAR_DeprAmort">#REF!</definedName>
    <definedName name="EAR_Depreciation">#REF!</definedName>
    <definedName name="EAR_EarningsAfterFinancing">#REF!</definedName>
    <definedName name="EAR_EBIT">#REF!</definedName>
    <definedName name="EAR_EBITDA">#REF!</definedName>
    <definedName name="EAR_Exceptionals">#REF!</definedName>
    <definedName name="EAR_Extraordinaries">#REF!</definedName>
    <definedName name="EAR_GrossProfit">#REF!</definedName>
    <definedName name="EAR_GrossProfitSub1">#REF!</definedName>
    <definedName name="EAR_IncomeFromAssociates">#REF!</definedName>
    <definedName name="EAR_IncomeFromAssociatesAfterDividends">#REF!</definedName>
    <definedName name="EAR_IncomeFromUnConsAffiliates">#REF!</definedName>
    <definedName name="EAR_InterestExpense">#REF!</definedName>
    <definedName name="EAR_InterestIncome">#REF!</definedName>
    <definedName name="EAR_InvestmentIncome">#REF!</definedName>
    <definedName name="EAR_LoanLossProvision">#REF!</definedName>
    <definedName name="EAR_LookUpYears">#REF!</definedName>
    <definedName name="EAR_Minorities">#REF!</definedName>
    <definedName name="EAR_NetInterestIncomeExpense">#REF!</definedName>
    <definedName name="EAR_NetProfit">#REF!</definedName>
    <definedName name="EAR_NetProfitAfterDividends">#REF!</definedName>
    <definedName name="EAR_NetProfitExcExceptionals">#REF!</definedName>
    <definedName name="EAR_OtherAfterTaxIncomeNet">#REF!</definedName>
    <definedName name="EAR_OtherDirectIncomeCosts">#REF!</definedName>
    <definedName name="EAR_OtherExpense">#REF!</definedName>
    <definedName name="EAR_OtherIncome">#REF!</definedName>
    <definedName name="EAR_PreferredDividends">#REF!</definedName>
    <definedName name="EAR_PretaxProfit">#REF!</definedName>
    <definedName name="EAR_ProfitAfterTax">#REF!</definedName>
    <definedName name="EAR_ProfitBeforeMinorities">#REF!</definedName>
    <definedName name="EAR_ProformaAdjustment">#REF!</definedName>
    <definedName name="EAR_Provisions">#REF!</definedName>
    <definedName name="EAR_Revenue">#REF!</definedName>
    <definedName name="EAR_Tax">#REF!</definedName>
    <definedName name="EAR_TaxRate">#REF!</definedName>
    <definedName name="EarnChk">#REF!</definedName>
    <definedName name="earning_assets_avg">#REF!</definedName>
    <definedName name="Earnings">#REF!</definedName>
    <definedName name="eat">#REF!</definedName>
    <definedName name="EBDT">#REF!</definedName>
    <definedName name="ebida" localSheetId="10">[28]Template!$D$106:$T$106</definedName>
    <definedName name="ebida">#REF!</definedName>
    <definedName name="ebida_core_activity" localSheetId="10">[28]Template!$D$107:$T$107</definedName>
    <definedName name="ebida_core_activity">#REF!</definedName>
    <definedName name="EBIT">#REF!</definedName>
    <definedName name="ebit_5cagr">#REF!</definedName>
    <definedName name="ebit_A">#REF!</definedName>
    <definedName name="ebit_core_activity" localSheetId="10">[28]Template!$D$105:$T$105</definedName>
    <definedName name="ebit_core_activity">#REF!</definedName>
    <definedName name="ebit_core_ex_forex_Q">#REF!</definedName>
    <definedName name="ebit_core_Q">#REF!</definedName>
    <definedName name="EBIT_fore">#REF!</definedName>
    <definedName name="ebit_growth">#REF!</definedName>
    <definedName name="ebit_margin">#REF!</definedName>
    <definedName name="EBIT_margin_fore">#REF!</definedName>
    <definedName name="ebit_Q">#REF!</definedName>
    <definedName name="ebit_qtr">#REF!</definedName>
    <definedName name="EBIT6">#REF!</definedName>
    <definedName name="EBITA">#REF!</definedName>
    <definedName name="EBITA_fore">#REF!</definedName>
    <definedName name="EBITD">#REF!</definedName>
    <definedName name="EBITDA">#REF!</definedName>
    <definedName name="EBITDA_00" localSheetId="4">#REF!</definedName>
    <definedName name="EBITDA_00">'[64]US West Model '!$AM$24</definedName>
    <definedName name="EBITDA_97" localSheetId="4">#REF!</definedName>
    <definedName name="EBITDA_97">'[64]US West Model '!$X$24</definedName>
    <definedName name="EBITDA_98" localSheetId="4">#REF!</definedName>
    <definedName name="EBITDA_98">'[64]US West Model '!$AC$24</definedName>
    <definedName name="EBITDA_99" localSheetId="4">#REF!</definedName>
    <definedName name="EBITDA_99">'[64]US West Model '!$AH$24</definedName>
    <definedName name="ebitda_cal00">#REF!</definedName>
    <definedName name="ebitda_cal01">#REF!</definedName>
    <definedName name="ebitda_cal02">#REF!</definedName>
    <definedName name="ebitda_cal03">#REF!</definedName>
    <definedName name="ebitda_cal04">#REF!</definedName>
    <definedName name="ebitda_cal05">#REF!</definedName>
    <definedName name="ebitda_cal06">#REF!</definedName>
    <definedName name="ebitda_cal07">#REF!</definedName>
    <definedName name="ebitda_cal98">#REF!</definedName>
    <definedName name="ebitda_cal99">#REF!</definedName>
    <definedName name="ebitda_core_activity" localSheetId="10">[28]Template!$D$104:$T$104</definedName>
    <definedName name="ebitda_core_activity">#REF!</definedName>
    <definedName name="ebitda_core_ex_forex_Q">#REF!</definedName>
    <definedName name="ebitda_core_Q">#REF!</definedName>
    <definedName name="EBITDA_DCF">#REF!</definedName>
    <definedName name="EBITDA_fore">#REF!</definedName>
    <definedName name="ebitda_fy00">#REF!</definedName>
    <definedName name="ebitda_fy01">#REF!</definedName>
    <definedName name="ebitda_fy02">#REF!</definedName>
    <definedName name="ebitda_fy03">#REF!</definedName>
    <definedName name="ebitda_fy04">#REF!</definedName>
    <definedName name="ebitda_fy05">#REF!</definedName>
    <definedName name="ebitda_fy06">#REF!</definedName>
    <definedName name="ebitda_fy07">#REF!</definedName>
    <definedName name="ebitda_fy98">#REF!</definedName>
    <definedName name="ebitda_fy99">#REF!</definedName>
    <definedName name="ebitda_growth">#REF!</definedName>
    <definedName name="EBITDA_growth_avg">#REF!</definedName>
    <definedName name="EBITDA_INT">#REF!</definedName>
    <definedName name="EBITDA_MAR">#REF!</definedName>
    <definedName name="ebitda_margin">#REF!</definedName>
    <definedName name="ebitda_margin_A">#REF!</definedName>
    <definedName name="EBITDA_margin_fore">#REF!</definedName>
    <definedName name="ebitda_Q">#REF!</definedName>
    <definedName name="ebitda_qtr">#REF!</definedName>
    <definedName name="EBITDA_Share">#REF!</definedName>
    <definedName name="EBITDA_to_net_int_02">#REF!</definedName>
    <definedName name="EBITDA00" localSheetId="4">#REF!</definedName>
    <definedName name="EBITDA00">'[23]Income Statement'!$BD$66</definedName>
    <definedName name="EBITDA6">#REF!</definedName>
    <definedName name="EBITDA99" localSheetId="4">#REF!</definedName>
    <definedName name="EBITDA99">'[23]Income Statement'!$AY$66</definedName>
    <definedName name="EBITDAMargin" localSheetId="4">#REF!</definedName>
    <definedName name="EBITDAMargin">[26]FinancialsNew!#REF!</definedName>
    <definedName name="EBTS_HW_Cost">#REF!</definedName>
    <definedName name="EBTS_HW_DNUP">#REF!</definedName>
    <definedName name="EBTS_HW_Line_Cost">#REF!</definedName>
    <definedName name="EBTS_HW_Line_Desc">#REF!</definedName>
    <definedName name="EBTS_HW_Line_DNUP">#REF!</definedName>
    <definedName name="EBTS_HW_Line_Qty">#REF!</definedName>
    <definedName name="EBTS_MSW_Cost">#REF!</definedName>
    <definedName name="EBTS_MSW_DNUP">#REF!</definedName>
    <definedName name="EBTS_Price_Level">#REF!</definedName>
    <definedName name="EBTS_SMP_Cost">#REF!</definedName>
    <definedName name="EBTS_SMP_DNUP">#REF!</definedName>
    <definedName name="EBTS_SW_Line_Cost">#REF!</definedName>
    <definedName name="EBTS_SW_Line_Desc">#REF!</definedName>
    <definedName name="EBTS_SW_Line_DNUP">#REF!</definedName>
    <definedName name="EBTS_SW_Line_Qty">#REF!</definedName>
    <definedName name="EBTS_SW_Mfg_Cost">#REF!</definedName>
    <definedName name="EBTS_Warr_Correct_Cost">#REF!</definedName>
    <definedName name="EBTS_Warr_Correct_DNUP">#REF!</definedName>
    <definedName name="EBTS_Warr_Cost">#REF!</definedName>
    <definedName name="EBTS_Warr_DNUP">#REF!</definedName>
    <definedName name="Econ_Del_Item" localSheetId="0">[65]!Econ_Del_Item</definedName>
    <definedName name="Econ_Del_Item" localSheetId="4">#REF!</definedName>
    <definedName name="Econ_Del_Item">[65]!Econ_Del_Item</definedName>
    <definedName name="Econ_Ins_Item" localSheetId="0">[65]!Econ_Ins_Item</definedName>
    <definedName name="Econ_Ins_Item" localSheetId="4">#REF!</definedName>
    <definedName name="Econ_Ins_Item">[65]!Econ_Ins_Item</definedName>
    <definedName name="econ_profit" localSheetId="10">[1]bajaj_copeland!$C$230:$L$245</definedName>
    <definedName name="econ_profit">#REF!</definedName>
    <definedName name="EconIndex">#REF!</definedName>
    <definedName name="Economic_book_value">#REF!</definedName>
    <definedName name="Economic_profit">#REF!</definedName>
    <definedName name="Economic_profit_dcf">#REF!</definedName>
    <definedName name="Economic_profit2">#REF!</definedName>
    <definedName name="ED" localSheetId="9" hidden="1">{#N/A,#N/A,FALSE,"Status of Projects";#N/A,#N/A,FALSE,"CEA-TEC";#N/A,#N/A,FALSE,"U-Constr.";#N/A,#N/A,FALSE,"summary";#N/A,#N/A,FALSE,"PPP-3 yrs"}</definedName>
    <definedName name="ED" localSheetId="4" hidden="1">{#N/A,#N/A,FALSE,"Status of Projects";#N/A,#N/A,FALSE,"CEA-TEC";#N/A,#N/A,FALSE,"U-Constr.";#N/A,#N/A,FALSE,"summary";#N/A,#N/A,FALSE,"PPP-3 yrs"}</definedName>
    <definedName name="ED" hidden="1">{#N/A,#N/A,FALSE,"Status of Projects";#N/A,#N/A,FALSE,"CEA-TEC";#N/A,#N/A,FALSE,"U-Constr.";#N/A,#N/A,FALSE,"summary";#N/A,#N/A,FALSE,"PPP-3 yrs"}</definedName>
    <definedName name="EDITDATAFILE">#REF!</definedName>
    <definedName name="EDvTax" localSheetId="9">#REF!</definedName>
    <definedName name="EDvTax">#REF!</definedName>
    <definedName name="eee" localSheetId="9" hidden="1">{"PAGE1",#N/A,FALSE,"Consolidation";"PAGE2",#N/A,FALSE,"Consolidation";"PAGE3",#N/A,FALSE,"Consolidation";"PAGE4",#N/A,FALSE,"Consolidation";"PAGE5",#N/A,FALSE,"Consolidation";"PAGE6",#N/A,FALSE,"Consolidation";"PAGE7",#N/A,FALSE,"Consolidation"}</definedName>
    <definedName name="eee" localSheetId="10" hidden="1">{"PAGE1",#N/A,FALSE,"Consolidation";"PAGE2",#N/A,FALSE,"Consolidation";"PAGE3",#N/A,FALSE,"Consolidation";"PAGE4",#N/A,FALSE,"Consolidation";"PAGE5",#N/A,FALSE,"Consolidation";"PAGE6",#N/A,FALSE,"Consolidation";"PAGE7",#N/A,FALSE,"Consolidation"}</definedName>
    <definedName name="eee" localSheetId="4" hidden="1">{"PAGE1",#N/A,FALSE,"Consolidation";"PAGE2",#N/A,FALSE,"Consolidation";"PAGE3",#N/A,FALSE,"Consolidation";"PAGE4",#N/A,FALSE,"Consolidation";"PAGE5",#N/A,FALSE,"Consolidation";"PAGE6",#N/A,FALSE,"Consolidation";"PAGE7",#N/A,FALSE,"Consolidation"}</definedName>
    <definedName name="eee" hidden="1">{"PAGE1",#N/A,FALSE,"Consolidation";"PAGE2",#N/A,FALSE,"Consolidation";"PAGE3",#N/A,FALSE,"Consolidation";"PAGE4",#N/A,FALSE,"Consolidation";"PAGE5",#N/A,FALSE,"Consolidation";"PAGE6",#N/A,FALSE,"Consolidation";"PAGE7",#N/A,FALSE,"Consolidation"}</definedName>
    <definedName name="eeee">#N/A</definedName>
    <definedName name="effd" hidden="1">#REF!</definedName>
    <definedName name="Effective_cost">#REF!</definedName>
    <definedName name="Effective_Cost_with_witholding">#REF!</definedName>
    <definedName name="Effective_Spread">#REF!</definedName>
    <definedName name="Effective_Spread_without_witholding">#REF!</definedName>
    <definedName name="Effective_tax_rate">#REF!</definedName>
    <definedName name="EffEqShAd">#REF!</definedName>
    <definedName name="Effort_util">#REF!</definedName>
    <definedName name="efrf" hidden="1">#REF!</definedName>
    <definedName name="EG_DPS" localSheetId="4">#REF!</definedName>
    <definedName name="EG_DPS">[50]projections!#REF!</definedName>
    <definedName name="EG_Net_Profit" localSheetId="4">#REF!</definedName>
    <definedName name="EG_Net_Profit">[50]projections!#REF!</definedName>
    <definedName name="Electricity___Water_charses">#REF!</definedName>
    <definedName name="Electricity_Charges">#REF!</definedName>
    <definedName name="emkay_cash_flow" localSheetId="10">[28]Template!$D$173:$T$173</definedName>
    <definedName name="emkay_cash_flow">#REF!</definedName>
    <definedName name="emkay_eps">#REF!</definedName>
    <definedName name="emkay_net_profit" localSheetId="10">[28]Template!$D$65:$T$65</definedName>
    <definedName name="emkay_net_profit">#REF!</definedName>
    <definedName name="emkayTbl_Table1" localSheetId="0">Forecast [66]Details!$A$280:$H$284</definedName>
    <definedName name="emkayTbl_Table1" localSheetId="4">Forecast #REF!</definedName>
    <definedName name="emkayTbl_Table1">Forecast [66]Details!$A$280:$H$284</definedName>
    <definedName name="emp">#REF!</definedName>
    <definedName name="Emp_Data">#REF!</definedName>
    <definedName name="emp_exp_qtr">#REF!</definedName>
    <definedName name="EMPCOST" localSheetId="4">#REF!</definedName>
    <definedName name="EMPCOST">[46]PLold!$A$205:$K$212</definedName>
    <definedName name="Employee_Cost">#REF!</definedName>
    <definedName name="Employee_cost_total">#REF!</definedName>
    <definedName name="employee_exp_Q">#REF!</definedName>
    <definedName name="employee_expenses" localSheetId="10">[28]Template!$D$78:$T$78</definedName>
    <definedName name="employee_expenses">#REF!</definedName>
    <definedName name="employee_expenses_A">#REF!</definedName>
    <definedName name="Employee_Expenses_Q">#REF!</definedName>
    <definedName name="employee_expenses_qtr">#REF!</definedName>
    <definedName name="employee_payments">#REF!</definedName>
    <definedName name="employees">#REF!</definedName>
    <definedName name="Employment_Analysis">#REF!</definedName>
    <definedName name="Emps_PeriodEnd">#REF!</definedName>
    <definedName name="EnEsMode" localSheetId="10" hidden="1">[31]Profile!$K$9</definedName>
    <definedName name="EnEsMode" hidden="1">#REF!</definedName>
    <definedName name="enp">#REF!</definedName>
    <definedName name="enterprise_value">#REF!</definedName>
    <definedName name="enterprise_value_A">#REF!</definedName>
    <definedName name="enterprise_value_core" localSheetId="10">[28]Template!$D$263:$T$263</definedName>
    <definedName name="enterprise_value_core">#REF!</definedName>
    <definedName name="Enterprise_value6">#REF!</definedName>
    <definedName name="EnYrRng" localSheetId="10" hidden="1">[31]Profile!$L$11:$AA$11</definedName>
    <definedName name="EnYrRng" hidden="1">#REF!</definedName>
    <definedName name="epa">#REF!</definedName>
    <definedName name="epc">#REF!</definedName>
    <definedName name="EPS">#REF!</definedName>
    <definedName name="EPS_00" localSheetId="4">#REF!</definedName>
    <definedName name="EPS_00">'[64]US West Model '!$AM$42</definedName>
    <definedName name="EPS_97" localSheetId="4">#REF!</definedName>
    <definedName name="EPS_97">'[64]US West Model '!$X$42</definedName>
    <definedName name="EPS_98" localSheetId="4">#REF!</definedName>
    <definedName name="EPS_98">'[64]US West Model '!$AC$42</definedName>
    <definedName name="EPS_99" localSheetId="4">#REF!</definedName>
    <definedName name="EPS_99">'[64]US West Model '!$AH$42</definedName>
    <definedName name="eps_A">#REF!</definedName>
    <definedName name="EPS_BD_IncomeTaxRate">#REF!</definedName>
    <definedName name="EPS_BD_IncomeTaxRateMan">#REF!</definedName>
    <definedName name="EPS_BD_NetProfit">#REF!</definedName>
    <definedName name="EPS_BD_NetProfitExcExceptionals">#REF!</definedName>
    <definedName name="EPS_BD_NetProfitExcExceptionalsMan">#REF!</definedName>
    <definedName name="EPS_BD_NetProfitMan">#REF!</definedName>
    <definedName name="EPS_BD_SharesAtYearEnd">#REF!</definedName>
    <definedName name="EPS_BD_SharesWgtAvg">#REF!</definedName>
    <definedName name="EPS_BD_TreasuryRate">#REF!</definedName>
    <definedName name="EPS_BD_TreasuryRateManual">#REF!</definedName>
    <definedName name="EPS_CAL_AdjustedEPS">#REF!</definedName>
    <definedName name="EPS_CAL_AdjustedEPSExcExceptionals">#REF!</definedName>
    <definedName name="EPS_CAL_AdjustmentFactorCumulative">#REF!</definedName>
    <definedName name="EPS_CAL_AdjustmentFactorPeriod">#REF!</definedName>
    <definedName name="EPS_CAL_AdjustmentFactorPeriodCalc">#REF!</definedName>
    <definedName name="EPS_CAL_BasicEPS">#REF!</definedName>
    <definedName name="EPS_CAL_BasicEPSExcExceptionals">#REF!</definedName>
    <definedName name="EPS_CAL_ChangeInWgtAvgShares">#REF!</definedName>
    <definedName name="EPS_CAL_EPS">#REF!</definedName>
    <definedName name="EPS_CAL_EPSExcExceptionals">#REF!</definedName>
    <definedName name="EPS_CAL_FullyDilutedEPS">#REF!</definedName>
    <definedName name="EPS_CAL_FullyDilutedEPSExcExceptionals">#REF!</definedName>
    <definedName name="EPS_CAL_PrimaryEPS">#REF!</definedName>
    <definedName name="EPS_CAL_PrimaryEPSExcExceptionals">#REF!</definedName>
    <definedName name="EPS_CAL_SharePriceAverage">#REF!</definedName>
    <definedName name="EPS_CAL_SharePriceYearEnd">#REF!</definedName>
    <definedName name="EPS_CAL_Shares">#REF!</definedName>
    <definedName name="EPS_CAL_SharesAdjusted">#REF!</definedName>
    <definedName name="EPS_CAL_SharesAtYearEnd">#REF!</definedName>
    <definedName name="EPS_CAL_SharesAtYearEndManual">#REF!</definedName>
    <definedName name="EPS_CAL_SharesAtYearEndUnadjusted">#REF!</definedName>
    <definedName name="EPS_CAL_SharesAtYearStart">#REF!</definedName>
    <definedName name="EPS_CAL_SharesFullyDiluted">#REF!</definedName>
    <definedName name="EPS_CAL_SharesPrimary">#REF!</definedName>
    <definedName name="EPS_CAL_SharesWgtAvg">#REF!</definedName>
    <definedName name="EPS_CAL_SharesWgtAvgUnadjusted">#REF!</definedName>
    <definedName name="EPS_CAL_TotalShareDays">#REF!</definedName>
    <definedName name="EPS_CalcModeSwitch">#REF!</definedName>
    <definedName name="EPS_CellNote">#REF!</definedName>
    <definedName name="EPS_Curr_Qtr">#REF!</definedName>
    <definedName name="EPS_Curr_Yr">#REF!</definedName>
    <definedName name="EPS_EPS_AdjustedEPS">#REF!</definedName>
    <definedName name="EPS_EPS_AdjustedEPSExcExceptionals">#REF!</definedName>
    <definedName name="EPS_EPS_AdjustedNetEarnings">#REF!</definedName>
    <definedName name="EPS_EPS_AdjustedNetEarningsExcExceptionals">#REF!</definedName>
    <definedName name="EPS_EPS_AdjustedShares">#REF!</definedName>
    <definedName name="EPS_EPS_BasicEPS">#REF!</definedName>
    <definedName name="EPS_EPS_BasicEPSExcExceptionals">#REF!</definedName>
    <definedName name="EPS_EPS_BasicShares">#REF!</definedName>
    <definedName name="EPS_EPS_FullyDilutedEPS">#REF!</definedName>
    <definedName name="EPS_EPS_FullyDilutedEPSExcExceptionals">#REF!</definedName>
    <definedName name="EPS_EPS_FullyDilutedNetEarnings">#REF!</definedName>
    <definedName name="EPS_EPS_FullyDilutedNetEarningsExcExceptionals">#REF!</definedName>
    <definedName name="EPS_EPS_FullyDilutedShares">#REF!</definedName>
    <definedName name="EPS_EPS_PrimaryEPS">#REF!</definedName>
    <definedName name="EPS_EPS_PrimaryEPSExcExceptionals">#REF!</definedName>
    <definedName name="EPS_EPS_PrimaryLTDebtRateMan">#REF!</definedName>
    <definedName name="EPS_EPS_PrimaryLTDebtToRetireMan">#REF!</definedName>
    <definedName name="EPS_EPS_PrimaryNetEarnings">#REF!</definedName>
    <definedName name="EPS_EPS_PrimaryNetEarningsExcExceptionals">#REF!</definedName>
    <definedName name="EPS_EPS_PrimaryShares">#REF!</definedName>
    <definedName name="EPS_EPS_PrimarySTDebtRateMan">#REF!</definedName>
    <definedName name="EPS_EPS_PrimarySTDebtToRetireMan">#REF!</definedName>
    <definedName name="EPS_EPS_UnadjustedNetEarnings">#REF!</definedName>
    <definedName name="EPS_EPS_UnadjustedNetEarningsExcExceptionals">#REF!</definedName>
    <definedName name="EPS_EY1">#REF!</definedName>
    <definedName name="EPS_EY2">#REF!</definedName>
    <definedName name="EPS_EY3">#REF!</definedName>
    <definedName name="EPS_FRS3">#REF!</definedName>
    <definedName name="EPS_Fully_Diluted">#REF!</definedName>
    <definedName name="EPS_growth">#REF!</definedName>
    <definedName name="EPS_growth_avg">#REF!</definedName>
    <definedName name="EPS_Growth_Rate">#REF!</definedName>
    <definedName name="EPS_LookupYears">#REF!</definedName>
    <definedName name="EPS_Lst_Yr">#REF!</definedName>
    <definedName name="EPS_MAN_AdjustedEPS">#REF!</definedName>
    <definedName name="EPS_MAN_AdjustedEPSExcExceptionals">#REF!</definedName>
    <definedName name="EPS_MAN_BasicEPS">#REF!</definedName>
    <definedName name="EPS_MAN_BasicEPSExcExceptionals">#REF!</definedName>
    <definedName name="EPS_MAN_EPS">#REF!</definedName>
    <definedName name="EPS_MAN_FullyDilutedEPS">#REF!</definedName>
    <definedName name="EPS_MAN_FullyDilutedEPSExcExceptionals">#REF!</definedName>
    <definedName name="EPS_MAN_PrimaryEPS">#REF!</definedName>
    <definedName name="EPS_MAN_PrimaryEPSExcExceptionals">#REF!</definedName>
    <definedName name="EPS_MAN_ShareAdjFactor">#REF!</definedName>
    <definedName name="EPS_MAN_Shares">#REF!</definedName>
    <definedName name="EPS_MAN_SharesAdjusted">#REF!</definedName>
    <definedName name="EPS_MAN_SharesAtYearEnd">#REF!</definedName>
    <definedName name="EPS_MAN_SharesFullyDiluted">#REF!</definedName>
    <definedName name="EPS_MAN_SharesPrimary">#REF!</definedName>
    <definedName name="EPS_MAN_SharesWgtAvg">#REF!</definedName>
    <definedName name="EPS_Next_Yr">#REF!</definedName>
    <definedName name="EPS_PRE_CSEDividendsSaved">#REF!</definedName>
    <definedName name="EPS_PRE_CSESharesConverted">#REF!</definedName>
    <definedName name="EPS_PRE_DividendsPreferred">#REF!</definedName>
    <definedName name="EPS_PRE_DividendsPreferredConvertible">#REF!</definedName>
    <definedName name="EPS_PRE_DividendsPreferredTotal">#REF!</definedName>
    <definedName name="EPS_Pre_Exceptional">#REF!</definedName>
    <definedName name="EPS_PRE_NominalValueConvPreferred">#REF!</definedName>
    <definedName name="EPS_PRE_NominalValuePreferred">#REF!</definedName>
    <definedName name="EPS_PRE_PreferredStockTotal">#REF!</definedName>
    <definedName name="EPS_PRE_SharesConvertible">#REF!</definedName>
    <definedName name="EPS_Qtr_Date">#REF!</definedName>
    <definedName name="EPS_Rs_Q">#REF!</definedName>
    <definedName name="EPS_vol">#REF!</definedName>
    <definedName name="EPS00" localSheetId="4">#REF!</definedName>
    <definedName name="EPS00">'[67]Income Statement'!$BD$57</definedName>
    <definedName name="EPSgr_Revgr">#REF!</definedName>
    <definedName name="epw">#REF!</definedName>
    <definedName name="epx">#REF!</definedName>
    <definedName name="EQ_CAP">#REF!</definedName>
    <definedName name="EqDiv">#REF!</definedName>
    <definedName name="EqIndex">#REF!</definedName>
    <definedName name="EqMult" localSheetId="10" hidden="1">[31]Capital!$K$18:$AA$18</definedName>
    <definedName name="EqMult" hidden="1">#REF!</definedName>
    <definedName name="EQUITY">#REF!</definedName>
    <definedName name="equity_capital_Q">#REF!</definedName>
    <definedName name="Equity_Del_Item" localSheetId="10">[65]!Equity_Del_Item</definedName>
    <definedName name="Equity_Del_Item">#REF!</definedName>
    <definedName name="equity_dividend" localSheetId="4">#REF!</definedName>
    <definedName name="equity_dividend">'[68]RMF Annual'!$E$44:$U$44</definedName>
    <definedName name="equity_dividend_A">#REF!</definedName>
    <definedName name="Equity_Equivalents">#REF!</definedName>
    <definedName name="Equity_Ins_Item" localSheetId="10">[65]!Equity_Ins_Item</definedName>
    <definedName name="Equity_Ins_Item">#REF!</definedName>
    <definedName name="Equity_Paid_Up">#REF!</definedName>
    <definedName name="Equity_Q">#REF!</definedName>
    <definedName name="equity_raised">#REF!</definedName>
    <definedName name="Equity_risk_premium">#REF!</definedName>
    <definedName name="Equity_share_capital">#REF!</definedName>
    <definedName name="Equity_Ticker">#REF!</definedName>
    <definedName name="equityissue" localSheetId="4">#REF!</definedName>
    <definedName name="equityissue">[29]UploaderV4!$F$211:$AE$211</definedName>
    <definedName name="er">#REF!</definedName>
    <definedName name="erp">#REF!</definedName>
    <definedName name="esnrc10c1_values" localSheetId="9" hidden="1">{"DEBAN","COMPANIES",TRUE}</definedName>
    <definedName name="esnrc10c1_values" localSheetId="10" hidden="1">{"DEBAN","COMPANIES",TRUE}</definedName>
    <definedName name="esnrc10c1_values" localSheetId="4" hidden="1">{"DEBAN","COMPANIES",TRUE}</definedName>
    <definedName name="esnrc10c1_values" hidden="1">{"DEBAN","COMPANIES",TRUE}</definedName>
    <definedName name="esnrc12c1_values" localSheetId="4">{"KRBAN","COMPANIES",TRUE}</definedName>
    <definedName name="esnrc12c1_values">{"KRBAN","COMPANIES",TRUE}</definedName>
    <definedName name="esnrc12c1_values1" localSheetId="4">{"KRBAN","COMPANIES",TRUE}</definedName>
    <definedName name="esnrc12c1_values1">{"KRBAN","COMPANIES",TRUE}</definedName>
    <definedName name="esnrc165c1_values" localSheetId="9" hidden="1">{"DE","COMPANIES",TRUE}</definedName>
    <definedName name="esnrc165c1_values" localSheetId="10" hidden="1">{"DE","COMPANIES",TRUE}</definedName>
    <definedName name="esnrc165c1_values" localSheetId="4" hidden="1">{"DE","COMPANIES",TRUE}</definedName>
    <definedName name="esnrc165c1_values" hidden="1">{"DE","COMPANIES",TRUE}</definedName>
    <definedName name="esnrc166c1_values" localSheetId="9" hidden="1">{"DE","COMPANIES",TRUE}</definedName>
    <definedName name="esnrc166c1_values" localSheetId="10" hidden="1">{"DE","COMPANIES",TRUE}</definedName>
    <definedName name="esnrc166c1_values" localSheetId="4" hidden="1">{"DE","COMPANIES",TRUE}</definedName>
    <definedName name="esnrc166c1_values" hidden="1">{"DE","COMPANIES",TRUE}</definedName>
    <definedName name="esnrc17c1_values" localSheetId="4">{"MYFINGRP","COMPANIES",TRUE}</definedName>
    <definedName name="esnrc17c1_values">{"MYFINGRP","COMPANIES",TRUE}</definedName>
    <definedName name="esnrc18c1_values" localSheetId="9" hidden="1">{"EUPHARMA","COMPANIES",TRUE}</definedName>
    <definedName name="esnrc18c1_values" localSheetId="10" hidden="1">{"EUPHARMA","COMPANIES",TRUE}</definedName>
    <definedName name="esnrc18c1_values" localSheetId="4" hidden="1">{"EUPHARMA","COMPANIES",TRUE}</definedName>
    <definedName name="esnrc18c1_values" hidden="1">{"EUPHARMA","COMPANIES",TRUE}</definedName>
    <definedName name="esnrc1c1_values" localSheetId="9" hidden="1">{"II_CHE","COMPANIES",TRUE}</definedName>
    <definedName name="esnrc1c1_values" localSheetId="10" hidden="1">{"II_CHE","COMPANIES",TRUE}</definedName>
    <definedName name="esnrc1c1_values" localSheetId="4" hidden="1">{"II_CHE","COMPANIES",TRUE}</definedName>
    <definedName name="esnrc1c1_values" hidden="1">{"II_CHE","COMPANIES",TRUE}</definedName>
    <definedName name="esnrc27c1_values" localSheetId="4">{"ID","COMPANIES",TRUE}</definedName>
    <definedName name="esnrc27c1_values">{"ID","COMPANIES",TRUE}</definedName>
    <definedName name="esnrc27c2_values" localSheetId="4">{"PH","COMPANIES",TRUE}</definedName>
    <definedName name="esnrc27c2_values">{"PH","COMPANIES",TRUE}</definedName>
    <definedName name="esnrc2c1_values" localSheetId="9" hidden="1">{"EX","COMPONENTS",TRUE}</definedName>
    <definedName name="esnrc2c1_values" localSheetId="10" hidden="1">{"EX","COMPONENTS",TRUE}</definedName>
    <definedName name="esnrc2c1_values" localSheetId="4" hidden="1">{"EX","COMPONENTS",TRUE}</definedName>
    <definedName name="esnrc2c1_values" hidden="1">{"EX","COMPONENTS",TRUE}</definedName>
    <definedName name="esnrc34c1_values" localSheetId="9" hidden="1">{"DE","SECTORS",TRUE}</definedName>
    <definedName name="esnrc34c1_values" localSheetId="10" hidden="1">{"DE","SECTORS",TRUE}</definedName>
    <definedName name="esnrc34c1_values" localSheetId="4" hidden="1">{"DE","SECTORS",TRUE}</definedName>
    <definedName name="esnrc34c1_values" hidden="1">{"DE","SECTORS",TRUE}</definedName>
    <definedName name="esnrc34c2_values" localSheetId="9" hidden="1">{"DE","SECTORS",TRUE}</definedName>
    <definedName name="esnrc34c2_values" localSheetId="10" hidden="1">{"DE","SECTORS",TRUE}</definedName>
    <definedName name="esnrc34c2_values" localSheetId="4" hidden="1">{"DE","SECTORS",TRUE}</definedName>
    <definedName name="esnrc34c2_values" hidden="1">{"DE","SECTORS",TRUE}</definedName>
    <definedName name="esnrc442c1_values" localSheetId="9" hidden="1">{"EX","SECTORS",TRUE}</definedName>
    <definedName name="esnrc442c1_values" localSheetId="10" hidden="1">{"EX","SECTORS",TRUE}</definedName>
    <definedName name="esnrc442c1_values" localSheetId="4" hidden="1">{"EX","SECTORS",TRUE}</definedName>
    <definedName name="esnrc442c1_values" hidden="1">{"EX","SECTORS",TRUE}</definedName>
    <definedName name="esnrc4c1_values" localSheetId="4">{"INBAN","COMPANIES",TRUE}</definedName>
    <definedName name="esnrc4c1_values">{"INBAN","COMPANIES",TRUE}</definedName>
    <definedName name="esnrc5c1_values" localSheetId="9" hidden="1">{"DEMOT","COMPANIES",TRUE}</definedName>
    <definedName name="esnrc5c1_values" localSheetId="10" hidden="1">{"DEMOT","COMPANIES",TRUE}</definedName>
    <definedName name="esnrc5c1_values" localSheetId="4" hidden="1">{"DEMOT","COMPANIES",TRUE}</definedName>
    <definedName name="esnrc5c1_values" hidden="1">{"DEMOT","COMPANIES",TRUE}</definedName>
    <definedName name="esnrc5c2_values" localSheetId="9" hidden="1">{"DEBAN","COMPANIES",TRUE}</definedName>
    <definedName name="esnrc5c2_values" localSheetId="10" hidden="1">{"DEBAN","COMPANIES",TRUE}</definedName>
    <definedName name="esnrc5c2_values" localSheetId="4" hidden="1">{"DEBAN","COMPANIES",TRUE}</definedName>
    <definedName name="esnrc5c2_values" hidden="1">{"DEBAN","COMPANIES",TRUE}</definedName>
    <definedName name="esnrc5c3_values" localSheetId="9" hidden="1">{"DEBAN","COMPANIES",TRUE}</definedName>
    <definedName name="esnrc5c3_values" localSheetId="10" hidden="1">{"DEBAN","COMPANIES",TRUE}</definedName>
    <definedName name="esnrc5c3_values" localSheetId="4" hidden="1">{"DEBAN","COMPANIES",TRUE}</definedName>
    <definedName name="esnrc5c3_values" hidden="1">{"DEBAN","COMPANIES",TRUE}</definedName>
    <definedName name="esnrc60c1_values" localSheetId="9" hidden="1">{"AMPHA","STOCKS",TRUE}</definedName>
    <definedName name="esnrc60c1_values" localSheetId="10" hidden="1">{"AMPHA","STOCKS",TRUE}</definedName>
    <definedName name="esnrc60c1_values" localSheetId="4" hidden="1">{"AMPHA","STOCKS",TRUE}</definedName>
    <definedName name="esnrc60c1_values" hidden="1">{"AMPHA","STOCKS",TRUE}</definedName>
    <definedName name="esnrc65c1_values" localSheetId="4">{"TH","COMPANIES",TRUE}</definedName>
    <definedName name="esnrc65c1_values">{"TH","COMPANIES",TRUE}</definedName>
    <definedName name="esnrc68c1_values" localSheetId="4">{"IN","COMPANIES",TRUE}</definedName>
    <definedName name="esnrc68c1_values">{"IN","COMPANIES",TRUE}</definedName>
    <definedName name="esnrc6c1_values" localSheetId="9" hidden="1">{"DEMOT","COMPANIES",TRUE}</definedName>
    <definedName name="esnrc6c1_values" localSheetId="10" hidden="1">{"DEMOT","COMPANIES",TRUE}</definedName>
    <definedName name="esnrc6c1_values" localSheetId="4" hidden="1">{"DEMOT","COMPANIES",TRUE}</definedName>
    <definedName name="esnrc6c1_values" hidden="1">{"DEMOT","COMPANIES",TRUE}</definedName>
    <definedName name="esnrc714c1_values" localSheetId="9" hidden="1">{"EUALL","SECTORS",TRUE}</definedName>
    <definedName name="esnrc714c1_values" localSheetId="10" hidden="1">{"EUALL","SECTORS",TRUE}</definedName>
    <definedName name="esnrc714c1_values" localSheetId="4" hidden="1">{"EUALL","SECTORS",TRUE}</definedName>
    <definedName name="esnrc714c1_values" hidden="1">{"EUALL","SECTORS",TRUE}</definedName>
    <definedName name="esnrc71c1_values" localSheetId="9" hidden="1">{"DE","COMPANIES",TRUE}</definedName>
    <definedName name="esnrc71c1_values" localSheetId="10" hidden="1">{"DE","COMPANIES",TRUE}</definedName>
    <definedName name="esnrc71c1_values" localSheetId="4" hidden="1">{"DE","COMPANIES",TRUE}</definedName>
    <definedName name="esnrc71c1_values" hidden="1">{"DE","COMPANIES",TRUE}</definedName>
    <definedName name="esnrc76c1_values" localSheetId="9" hidden="1">{"DE","COMPANIES",TRUE}</definedName>
    <definedName name="esnrc76c1_values" localSheetId="10" hidden="1">{"DE","COMPANIES",TRUE}</definedName>
    <definedName name="esnrc76c1_values" localSheetId="4" hidden="1">{"DE","COMPANIES",TRUE}</definedName>
    <definedName name="esnrc76c1_values" hidden="1">{"DE","COMPANIES",TRUE}</definedName>
    <definedName name="esnrc76c2_values" localSheetId="9" hidden="1">{"DE","COMPANIES",TRUE}</definedName>
    <definedName name="esnrc76c2_values" localSheetId="10" hidden="1">{"DE","COMPANIES",TRUE}</definedName>
    <definedName name="esnrc76c2_values" localSheetId="4" hidden="1">{"DE","COMPANIES",TRUE}</definedName>
    <definedName name="esnrc76c2_values" hidden="1">{"DE","COMPANIES",TRUE}</definedName>
    <definedName name="esnrc81c1_values" localSheetId="9" hidden="1">{"CH","COMPANIES",TRUE}</definedName>
    <definedName name="esnrc81c1_values" localSheetId="10" hidden="1">{"CH","COMPANIES",TRUE}</definedName>
    <definedName name="esnrc81c1_values" localSheetId="4" hidden="1">{"CH","COMPANIES",TRUE}</definedName>
    <definedName name="esnrc81c1_values" hidden="1">{"CH","COMPANIES",TRUE}</definedName>
    <definedName name="esnrc92c1_values" localSheetId="4">{"MY","COMPANIES",TRUE}</definedName>
    <definedName name="esnrc92c1_values">{"MY","COMPANIES",TRUE}</definedName>
    <definedName name="esnrc92c2_values" localSheetId="4">{"MY","COMPANIES",TRUE}</definedName>
    <definedName name="esnrc92c2_values">{"MY","COMPANIES",TRUE}</definedName>
    <definedName name="esnrc96c1_values" localSheetId="9" hidden="1">{"USHEC","STOCKS",TRUE}</definedName>
    <definedName name="esnrc96c1_values" localSheetId="10" hidden="1">{"USHEC","STOCKS",TRUE}</definedName>
    <definedName name="esnrc96c1_values" localSheetId="4" hidden="1">{"USHEC","STOCKS",TRUE}</definedName>
    <definedName name="esnrc96c1_values" hidden="1">{"USHEC","STOCKS",TRUE}</definedName>
    <definedName name="esnrc97c1_values" localSheetId="4">{"TW","COMPANIES",TRUE}</definedName>
    <definedName name="esnrc97c1_values">{"TW","COMPANIES",TRUE}</definedName>
    <definedName name="esnrc9c1_values" localSheetId="9" hidden="1">{"US-MED","STOCKS",TRUE}</definedName>
    <definedName name="esnrc9c1_values" localSheetId="10" hidden="1">{"US-MED","STOCKS",TRUE}</definedName>
    <definedName name="esnrc9c1_values" localSheetId="4" hidden="1">{"US-MED","STOCKS",TRUE}</definedName>
    <definedName name="esnrc9c1_values" hidden="1">{"US-MED","STOCKS",TRUE}</definedName>
    <definedName name="ESOS" localSheetId="9">#REF!</definedName>
    <definedName name="ESOS">#REF!</definedName>
    <definedName name="ESR" localSheetId="4">#REF!</definedName>
    <definedName name="ESR">[46]PLold!#REF!</definedName>
    <definedName name="EssOptions">"1100000000010000_01000"</definedName>
    <definedName name="EstimateRange" localSheetId="9">OFFSET(#REF!,1,0,COUNTA(#REF!)-1)</definedName>
    <definedName name="EstimateRange">OFFSET(#REF!,1,0,COUNTA(#REF!)-1)</definedName>
    <definedName name="EstInt" localSheetId="9">#REF!</definedName>
    <definedName name="EstInt">#REF!</definedName>
    <definedName name="EstRef" localSheetId="9" hidden="1">#REF!</definedName>
    <definedName name="EstRef" localSheetId="10" hidden="1">[51]Profile!$K$13:$AA$13</definedName>
    <definedName name="EstRef" hidden="1">#REF!</definedName>
    <definedName name="EsYrRng" localSheetId="9" hidden="1">#REF!</definedName>
    <definedName name="EsYrRng" localSheetId="10" hidden="1">[31]Profile!$L$12:$AA$12</definedName>
    <definedName name="EsYrRng" hidden="1">#REF!</definedName>
    <definedName name="eta" localSheetId="4">#REF!</definedName>
    <definedName name="eta">[38]Database!#REF!</definedName>
    <definedName name="EUR" localSheetId="4">#REF!</definedName>
    <definedName name="EUR">'[16]foundry '!#REF!</definedName>
    <definedName name="EV" localSheetId="10">[1]bajaj_copeland!$E$447</definedName>
    <definedName name="EV">#REF!</definedName>
    <definedName name="ev_ce" localSheetId="4">#REF!</definedName>
    <definedName name="ev_ce">'[47]RMF Annual'!$E$167:$U$167</definedName>
    <definedName name="ev_ebitda">#REF!</definedName>
    <definedName name="ev_ic" localSheetId="10">[28]Template!$D$380:$T$380</definedName>
    <definedName name="ev_ic">#REF!</definedName>
    <definedName name="ev_netsales">#REF!</definedName>
    <definedName name="eva">#REF!</definedName>
    <definedName name="EVICRoIC" localSheetId="4">{"ID","COMPANIES",TRUE}</definedName>
    <definedName name="EVICRoIC">{"ID","COMPANIES",TRUE}</definedName>
    <definedName name="evinr" localSheetId="4">#REF!</definedName>
    <definedName name="evinr">[29]UploaderV4!$F$294:$AE$294</definedName>
    <definedName name="evusd" localSheetId="4">#REF!</definedName>
    <definedName name="evusd">[29]UploaderV4!$F$311:$AE$311</definedName>
    <definedName name="EX_EBITDA_INT">#REF!</definedName>
    <definedName name="exc">#REF!</definedName>
    <definedName name="exc_assn">#REF!</definedName>
    <definedName name="exc_rate">#REF!</definedName>
    <definedName name="exc_Rsmn">#REF!</definedName>
    <definedName name="Excel_Version" localSheetId="4">#REF!</definedName>
    <definedName name="Excel_Version">[2]Header!$AD$8</definedName>
    <definedName name="EXCEP_ITEMS">#REF!</definedName>
    <definedName name="Exceptional_Items">#REF!</definedName>
    <definedName name="Exceptional_items_Q">#REF!</definedName>
    <definedName name="ExceptionalItems">#REF!</definedName>
    <definedName name="Exceptionals" localSheetId="4">#REF!</definedName>
    <definedName name="Exceptionals">[50]Figures!#REF!</definedName>
    <definedName name="excess" localSheetId="4">#REF!</definedName>
    <definedName name="excess">[29]UploaderV4!$F$290:$AE$290</definedName>
    <definedName name="Excess_cash">#REF!</definedName>
    <definedName name="Excess_Cash_Core">#REF!</definedName>
    <definedName name="excise">#REF!</definedName>
    <definedName name="excise_duty">#REF!</definedName>
    <definedName name="excise_duty_A">#REF!</definedName>
    <definedName name="excise_duty_Q">#REF!</definedName>
    <definedName name="excise_duty_qtr">#REF!</definedName>
    <definedName name="Excise_Rate">#REF!</definedName>
    <definedName name="ExciseDuty">#REF!</definedName>
    <definedName name="exec_board">#REF!</definedName>
    <definedName name="ExItem">#REF!</definedName>
    <definedName name="EXITYEAR">#REF!</definedName>
    <definedName name="exp">#REF!</definedName>
    <definedName name="exp_balsht">#REF!</definedName>
    <definedName name="exp_cashflow">#REF!</definedName>
    <definedName name="exp_custconcent">#REF!</definedName>
    <definedName name="exp_ebitda">#REF!</definedName>
    <definedName name="exp_finstats">#REF!</definedName>
    <definedName name="exp_freecash">#REF!</definedName>
    <definedName name="exp_headcount">#REF!</definedName>
    <definedName name="exp_intlrev">#REF!</definedName>
    <definedName name="exp_IS">#REF!</definedName>
    <definedName name="exp_keymetrics">#REF!</definedName>
    <definedName name="exp_revsegment">#REF!</definedName>
    <definedName name="exp_utilization">#REF!</definedName>
    <definedName name="ExpAdmDmy">#REF!</definedName>
    <definedName name="Expense">#REF!</definedName>
    <definedName name="EXPENSES">#REF!</definedName>
    <definedName name="ExpensesCap">#REF!</definedName>
    <definedName name="expensesprint2">#REF!</definedName>
    <definedName name="ExpGrowth">#REF!</definedName>
    <definedName name="Expl_forecast_1st_yr">#REF!</definedName>
    <definedName name="Expl_forecast_2nd_yr">#REF!</definedName>
    <definedName name="Expl_forecast_3rd_yr">#REF!</definedName>
    <definedName name="ExpMfgDmy" localSheetId="10" hidden="1">[31]Input!$497:$500</definedName>
    <definedName name="ExpMfgDmy" hidden="1">#REF!</definedName>
    <definedName name="exports" localSheetId="10">[28]Template!$D$102:$T$102</definedName>
    <definedName name="exports">#REF!</definedName>
    <definedName name="ExpPerDmy" localSheetId="10" hidden="1">[31]Input!$531:$531</definedName>
    <definedName name="ExpPerDmy" hidden="1">#REF!</definedName>
    <definedName name="ExpPr">#REF!</definedName>
    <definedName name="expprint1">#REF!</definedName>
    <definedName name="ExpSaleDmy" localSheetId="10" hidden="1">[31]Input!$515:$515</definedName>
    <definedName name="ExpSaleDmy" hidden="1">#REF!</definedName>
    <definedName name="ext">#REF!</definedName>
    <definedName name="extel">#REF!</definedName>
    <definedName name="ExtFiles" localSheetId="4">#REF!</definedName>
    <definedName name="ExtFiles">[2]Header!$AG$2:$AG$10</definedName>
    <definedName name="EXTORDEXP" localSheetId="4">#REF!</definedName>
    <definedName name="EXTORDEXP">[46]PLold!$A$317:$K$328</definedName>
    <definedName name="EXTORDINC" localSheetId="4">#REF!</definedName>
    <definedName name="EXTORDINC">[46]PLold!$A$303:$K$315</definedName>
    <definedName name="EXTRA_ITEMS">#REF!</definedName>
    <definedName name="extra_ordinary_items_Q">#REF!</definedName>
    <definedName name="_xlnm.Extract">#REF!</definedName>
    <definedName name="Extraordinaries">#REF!</definedName>
    <definedName name="Extraordinary_expenses">#REF!</definedName>
    <definedName name="Extraordinary_expenses_total">#REF!</definedName>
    <definedName name="Extraordinary_income">#REF!</definedName>
    <definedName name="extraordinary_items">#REF!</definedName>
    <definedName name="F">#REF!</definedName>
    <definedName name="F.1990">#REF!</definedName>
    <definedName name="F.1991">#REF!</definedName>
    <definedName name="F.1992">#REF!</definedName>
    <definedName name="F.1993">#REF!</definedName>
    <definedName name="F.1994">#REF!</definedName>
    <definedName name="F.1995">#REF!</definedName>
    <definedName name="F.1996">#REF!</definedName>
    <definedName name="F.1997">#REF!</definedName>
    <definedName name="F.1998">#REF!</definedName>
    <definedName name="F.1999">#REF!</definedName>
    <definedName name="F.2000.03">#REF!</definedName>
    <definedName name="F.2001.03">#REF!</definedName>
    <definedName name="F.2002.03">#REF!</definedName>
    <definedName name="F.2003.03">#REF!</definedName>
    <definedName name="F.2004.03">#REF!</definedName>
    <definedName name="F.2005.03">#REF!</definedName>
    <definedName name="F.2006.03">#REF!</definedName>
    <definedName name="F.2007.03">#REF!</definedName>
    <definedName name="F_AFLCFM1" localSheetId="10">'[1]#REF'!#REF!</definedName>
    <definedName name="F_AFLCFM1">#REF!</definedName>
    <definedName name="F_AFLCFM2" localSheetId="10">'[1]#REF'!#REF!</definedName>
    <definedName name="F_AFLCFM2">#REF!</definedName>
    <definedName name="F_AFLPEM3" localSheetId="10">'[1]#REF'!#REF!</definedName>
    <definedName name="F_AFLPEM3">#REF!</definedName>
    <definedName name="F_AFLPEM4" localSheetId="10">'[1]#REF'!#REF!</definedName>
    <definedName name="F_AFLPEM4">#REF!</definedName>
    <definedName name="F_AFLPEMb" localSheetId="10">'[1]#REF'!#REF!</definedName>
    <definedName name="F_AFLPEMb">#REF!</definedName>
    <definedName name="F_AFLSD1" localSheetId="10">'[1]#REF'!#REF!</definedName>
    <definedName name="F_AFLSD1">#REF!</definedName>
    <definedName name="F_AFLSD2" localSheetId="10">'[1]#REF'!#REF!</definedName>
    <definedName name="F_AFLSD2">#REF!</definedName>
    <definedName name="F_BALANCE" localSheetId="10">[1]bajaj_copeland!$M$52:$W$98</definedName>
    <definedName name="F_BALANCE">#REF!</definedName>
    <definedName name="F_Book_value_per_share" localSheetId="10">'[1]Calculation (2)'!#REF!</definedName>
    <definedName name="F_Book_value_per_share">#REF!</definedName>
    <definedName name="f_capital" localSheetId="10">[1]bajaj_copeland!$M$148:$W$180</definedName>
    <definedName name="f_capital">#REF!</definedName>
    <definedName name="F_CASH" localSheetId="10">[1]bajaj_copeland!$M$182:$W$245</definedName>
    <definedName name="F_CASH">#REF!</definedName>
    <definedName name="f_econ_profit" localSheetId="10">[1]bajaj_copeland!$M$230:$W$245</definedName>
    <definedName name="f_econ_profit">#REF!</definedName>
    <definedName name="F_FINANCE" localSheetId="10">[1]bajaj_copeland!$M$287:$W$327</definedName>
    <definedName name="F_FINANCE">#REF!</definedName>
    <definedName name="f_free_cash_flow" localSheetId="10">[1]bajaj_copeland!$M$182:$W$228</definedName>
    <definedName name="f_free_cash_flow">#REF!</definedName>
    <definedName name="F_INCOME" localSheetId="10">[1]bajaj_copeland!$M$8:$W$42</definedName>
    <definedName name="F_INCOME">#REF!</definedName>
    <definedName name="F_INVEST" localSheetId="10">[1]bajaj_copeland!$M$148:$W$180</definedName>
    <definedName name="F_INVEST">#REF!</definedName>
    <definedName name="f_manual" localSheetId="10">[1]bajaj_copeland!$A$286</definedName>
    <definedName name="f_manual">#REF!</definedName>
    <definedName name="F_NOPLAT" localSheetId="10">[1]bajaj_copeland!$M$100:$W$146</definedName>
    <definedName name="F_NOPLAT">#REF!</definedName>
    <definedName name="F_OPERATING" localSheetId="10">[1]bajaj_copeland!$M$247:$W$283</definedName>
    <definedName name="F_OPERATING">#REF!</definedName>
    <definedName name="f_ratios" localSheetId="10">[1]bajaj_copeland!$M$247:$W$413</definedName>
    <definedName name="f_ratios">#REF!</definedName>
    <definedName name="F_RESULTS" localSheetId="10">[1]bajaj_copeland!$M$335:$W$378</definedName>
    <definedName name="F_RESULTS">#REF!</definedName>
    <definedName name="f_roic" localSheetId="10">[1]bajaj_copeland!$X$492:$BA$537</definedName>
    <definedName name="f_roic">#REF!</definedName>
    <definedName name="F_SUP_CALC" localSheetId="10">[1]bajaj_copeland!$M$380:$W$412</definedName>
    <definedName name="F_SUP_CALC">#REF!</definedName>
    <definedName name="f_valuation" localSheetId="10">[1]bajaj_copeland!$A$414:$L$481</definedName>
    <definedName name="f_valuation">#REF!</definedName>
    <definedName name="FA">#REF!</definedName>
    <definedName name="FA_ASSOC">#REF!</definedName>
    <definedName name="FA_INV">#REF!</definedName>
    <definedName name="FA_OTHERS">#REF!</definedName>
    <definedName name="Face_value" localSheetId="10">'[63]Summary finl - Consolidated'!$B$7</definedName>
    <definedName name="Face_value">#REF!</definedName>
    <definedName name="face_value_Q">#REF!</definedName>
    <definedName name="FaceVal" localSheetId="10" hidden="1">[31]Profile!$K$15:$AA$15</definedName>
    <definedName name="FaceVal" hidden="1">#REF!</definedName>
    <definedName name="Fade">#REF!</definedName>
    <definedName name="FAIncr">#REF!</definedName>
    <definedName name="FairMarket_Cap">#REF!</definedName>
    <definedName name="FairPrice">#REF!</definedName>
    <definedName name="FAMERangeDJ_BALAL28" localSheetId="10">[1]EVA1!#REF!</definedName>
    <definedName name="FAMERangeDJ_BALAL28">#REF!</definedName>
    <definedName name="FAMERangeDJ_BALAM28" localSheetId="10">[1]EVA1!#REF!</definedName>
    <definedName name="FAMERangeDJ_BALAM28">#REF!</definedName>
    <definedName name="FAMERangeDJ_BALAN28" localSheetId="10">[1]EVA1!#REF!</definedName>
    <definedName name="FAMERangeDJ_BALAN28">#REF!</definedName>
    <definedName name="FAMERangeGCI_BALD62" localSheetId="10">[1]EVA1!#REF!</definedName>
    <definedName name="FAMERangeGCI_BALD62">#REF!</definedName>
    <definedName name="FAMERangeGCI_BALD63" localSheetId="10">[1]EVA1!#REF!</definedName>
    <definedName name="FAMERangeGCI_BALD63">#REF!</definedName>
    <definedName name="FAMERangeGCI_ISD88">#REF!</definedName>
    <definedName name="FAMERangeKRI_BALAL99" localSheetId="10">[1]EVA1!$U$93:$U$93</definedName>
    <definedName name="FAMERangeKRI_BALAL99">#REF!</definedName>
    <definedName name="FAMERangeKRI_BALAM99" localSheetId="10">[1]EVA1!$V$93:$V$93</definedName>
    <definedName name="FAMERangeKRI_BALAM99">#REF!</definedName>
    <definedName name="FAMERangeKRI_BALAN99" localSheetId="10">[1]EVA1!$W$93:$W$93</definedName>
    <definedName name="FAMERangeKRI_BALAN99">#REF!</definedName>
    <definedName name="far" localSheetId="10">[1]bajaj_copeland!$Z$208</definedName>
    <definedName name="far">#REF!</definedName>
    <definedName name="FARedc">#REF!</definedName>
    <definedName name="FASer" localSheetId="10" hidden="1">[31]Profile!$BT$5:$BT$12</definedName>
    <definedName name="FASer" hidden="1">#REF!</definedName>
    <definedName name="FBASE" localSheetId="10">[1]bajaj_copeland!$AC$526:$AG$526</definedName>
    <definedName name="FBASE">#REF!</definedName>
    <definedName name="fbcbv" hidden="1">#N/A</definedName>
    <definedName name="fbt">#REF!</definedName>
    <definedName name="FCASHTAX" localSheetId="9">#REF!</definedName>
    <definedName name="FCASHTAX" localSheetId="10">[1]bajaj_copeland!$AC$514:$AG$514</definedName>
    <definedName name="FCASHTAX">#REF!</definedName>
    <definedName name="fccb">#REF!</definedName>
    <definedName name="fccbpremium" localSheetId="4">#REF!</definedName>
    <definedName name="fccbpremium">[29]UploaderV4!$F$128:$AE$128</definedName>
    <definedName name="fccbpremiumnw" localSheetId="4">#REF!</definedName>
    <definedName name="fccbpremiumnw">[29]UploaderV4!$F$118:$AE$118</definedName>
    <definedName name="FCD">#REF!</definedName>
    <definedName name="FCE" localSheetId="9">#REF!</definedName>
    <definedName name="FCE">#REF!</definedName>
    <definedName name="fcf" localSheetId="9">#REF!</definedName>
    <definedName name="fcf">#REF!</definedName>
    <definedName name="FCF_as_perc_total_debt_02">#REF!</definedName>
    <definedName name="fcf_ni">#REF!</definedName>
    <definedName name="fcf_yield">#REF!</definedName>
    <definedName name="FCOGS" localSheetId="10">[1]bajaj_copeland!$AC$505:$AG$505</definedName>
    <definedName name="FCOGS">#REF!</definedName>
    <definedName name="FCONSTANT" localSheetId="10">[1]bajaj_copeland!$AC$527:$AG$527</definedName>
    <definedName name="FCONSTANT">#REF!</definedName>
    <definedName name="FD">#REF!</definedName>
    <definedName name="FD_EPS">#REF!</definedName>
    <definedName name="FDEPRECIATION" localSheetId="10">[1]bajaj_copeland!$AC$507:$AG$507</definedName>
    <definedName name="FDEPRECIATION">#REF!</definedName>
    <definedName name="FDEPS">#REF!</definedName>
    <definedName name="fdeps_growth">#REF!</definedName>
    <definedName name="FDEPS_Rs">#REF!</definedName>
    <definedName name="FDEqSh">#REF!</definedName>
    <definedName name="fdf" hidden="1">#N/A</definedName>
    <definedName name="fdfe" localSheetId="9" hidden="1">{#N/A,#N/A,FALSE,"Status of Projects";#N/A,#N/A,FALSE,"CEA-TEC";#N/A,#N/A,FALSE,"U-Constr.";#N/A,#N/A,FALSE,"summary";#N/A,#N/A,FALSE,"PPP-3 yrs"}</definedName>
    <definedName name="fdfe" localSheetId="10" hidden="1">{#N/A,#N/A,FALSE,"Status of Projects";#N/A,#N/A,FALSE,"CEA-TEC";#N/A,#N/A,FALSE,"U-Constr.";#N/A,#N/A,FALSE,"summary";#N/A,#N/A,FALSE,"PPP-3 yrs"}</definedName>
    <definedName name="fdfe" localSheetId="4" hidden="1">{#N/A,#N/A,FALSE,"Status of Projects";#N/A,#N/A,FALSE,"CEA-TEC";#N/A,#N/A,FALSE,"U-Constr.";#N/A,#N/A,FALSE,"summary";#N/A,#N/A,FALSE,"PPP-3 yrs"}</definedName>
    <definedName name="fdfe" hidden="1">{#N/A,#N/A,FALSE,"Status of Projects";#N/A,#N/A,FALSE,"CEA-TEC";#N/A,#N/A,FALSE,"U-Constr.";#N/A,#N/A,FALSE,"summary";#N/A,#N/A,FALSE,"PPP-3 yrs"}</definedName>
    <definedName name="FDP_0_1_aSrv" hidden="1">#REF!</definedName>
    <definedName name="FDP_100_1_aSrv" hidden="1">#REF!</definedName>
    <definedName name="FDP_101_1_aSrv" hidden="1">#REF!</definedName>
    <definedName name="FDP_102_1_aSrv" hidden="1">#REF!</definedName>
    <definedName name="FDP_103_1_aSrv" hidden="1">#REF!</definedName>
    <definedName name="FDP_104_1_aSrv" hidden="1">#REF!</definedName>
    <definedName name="FDP_12_1_aDrv" hidden="1">#REF!</definedName>
    <definedName name="FDP_13_1_aDrv" hidden="1">#REF!</definedName>
    <definedName name="FDP_14_1_aDrv" hidden="1">#REF!</definedName>
    <definedName name="FDP_15_1_aUrv" hidden="1">#REF!</definedName>
    <definedName name="FDP_17_1_aSrv" hidden="1">#REF!</definedName>
    <definedName name="FDP_19_1_aDrv" hidden="1">#REF!</definedName>
    <definedName name="FDP_2_1_aSrv" hidden="1">#REF!</definedName>
    <definedName name="FDP_20_1_aDrv" hidden="1">#REF!</definedName>
    <definedName name="FDP_21_1_aDrv" hidden="1">#REF!</definedName>
    <definedName name="FDP_22_1_aDrv" hidden="1">#REF!</definedName>
    <definedName name="FDP_23_1_aDrv" hidden="1">#REF!</definedName>
    <definedName name="FDP_24_1_aDrv" hidden="1">#REF!</definedName>
    <definedName name="FDP_25_1_aUrv" hidden="1">#REF!</definedName>
    <definedName name="FDP_26_1_aSrv" hidden="1">#REF!</definedName>
    <definedName name="FDP_27_1_aUrv" hidden="1">#REF!</definedName>
    <definedName name="FDP_28_1_aU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0_1_aUrv" hidden="1">#REF!</definedName>
    <definedName name="FDP_50_1_aDrv" hidden="1">#REF!</definedName>
    <definedName name="FDP_51_1_aDrv" hidden="1">#REF!</definedName>
    <definedName name="FDP_52_1_aDrv" hidden="1">#REF!</definedName>
    <definedName name="FDP_53_1_aUrv" hidden="1">#REF!</definedName>
    <definedName name="FDP_54_1_aUrv" hidden="1">#REF!</definedName>
    <definedName name="FDP_57_1_aSrv" hidden="1">#REF!</definedName>
    <definedName name="FDP_59_1_aUrv" hidden="1">#REF!</definedName>
    <definedName name="FDP_60_1_aUrv" hidden="1">#REF!</definedName>
    <definedName name="FDP_61_1_aSrv" hidden="1">#REF!</definedName>
    <definedName name="FDP_62_1_aDrv" hidden="1">#REF!</definedName>
    <definedName name="FDP_63_1_aUrv" hidden="1">#REF!</definedName>
    <definedName name="FDP_64_1_aUrv" hidden="1">#REF!</definedName>
    <definedName name="FDP_65_1_aUrv" hidden="1">#REF!</definedName>
    <definedName name="FDP_66_1_aUrv" hidden="1">#REF!</definedName>
    <definedName name="FDP_67_1_aDrv" hidden="1">#REF!</definedName>
    <definedName name="FDP_68_1_aUrv" hidden="1">#REF!</definedName>
    <definedName name="FDP_69_1_aUrv" hidden="1">#REF!</definedName>
    <definedName name="FDP_70_1_aUrv" hidden="1">#REF!</definedName>
    <definedName name="FDP_71_1_aDrv" hidden="1">#REF!</definedName>
    <definedName name="FDP_72_1_aDrv" hidden="1">#REF!</definedName>
    <definedName name="FDP_73_1_aDrv" hidden="1">#REF!</definedName>
    <definedName name="FDP_74_1_aDrv" hidden="1">#REF!</definedName>
    <definedName name="FDP_75_1_aUrv" hidden="1">#REF!</definedName>
    <definedName name="FDP_76_1_aUrv" hidden="1">#REF!</definedName>
    <definedName name="FDP_77_1_aDrv" hidden="1">#REF!</definedName>
    <definedName name="FDP_78_1_aUrv" hidden="1">#REF!</definedName>
    <definedName name="FDP_79_1_aUrv" hidden="1">#REF!</definedName>
    <definedName name="FDP_80_1_aDrv" hidden="1">#REF!</definedName>
    <definedName name="FDP_81_1_aSrv" hidden="1">#REF!</definedName>
    <definedName name="FDP_82_1_aUrv" hidden="1">#REF!</definedName>
    <definedName name="FDP_83_1_aDrv" hidden="1">#REF!</definedName>
    <definedName name="FDP_84_1_aDrv" hidden="1">#REF!</definedName>
    <definedName name="FDP_85_1_aDrv" hidden="1">#REF!</definedName>
    <definedName name="FDP_86_1_aDrv" hidden="1">#REF!</definedName>
    <definedName name="FDP_87_1_aDrv" hidden="1">#REF!</definedName>
    <definedName name="FDP_88_1_aDrv" hidden="1">#REF!</definedName>
    <definedName name="FDP_89_1_aDrv" hidden="1">#REF!</definedName>
    <definedName name="FDP_90_1_aDrv" hidden="1">#REF!</definedName>
    <definedName name="FDP_91_1_aDrv" hidden="1">#REF!</definedName>
    <definedName name="FDP_92_1_aDrv" hidden="1">#REF!</definedName>
    <definedName name="FDP_93_1_aSrv" hidden="1">#REF!</definedName>
    <definedName name="FDP_94_1_aSrv" hidden="1">#REF!</definedName>
    <definedName name="FDP_95_1_aSrv" hidden="1">#REF!</definedName>
    <definedName name="FDP_96_1_aSrv" hidden="1">#REF!</definedName>
    <definedName name="FDP_97_1_aUrv" hidden="1">#REF!</definedName>
    <definedName name="FDP_98_1_aSrv" hidden="1">#REF!</definedName>
    <definedName name="FDP_99_1_aSrv" hidden="1">#REF!</definedName>
    <definedName name="FDSHARES">#REF!</definedName>
    <definedName name="fdt" localSheetId="4">#REF!</definedName>
    <definedName name="fdt">[29]UploaderV4!$F$55:$AE$55</definedName>
    <definedName name="fdv" localSheetId="9" hidden="1">{"quarterly",#N/A,FALSE,"Income Statement";#N/A,#N/A,FALSE,"print segment";#N/A,#N/A,FALSE,"Balance Sheet";#N/A,#N/A,FALSE,"Annl Inc";#N/A,#N/A,FALSE,"Cash Flow"}</definedName>
    <definedName name="fdv" localSheetId="4"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eb_Inv">#REF!</definedName>
    <definedName name="febwgt">#REF!</definedName>
    <definedName name="FEDITB">#REF!</definedName>
    <definedName name="fee_com_income_Q" localSheetId="9">#REF!</definedName>
    <definedName name="fee_com_income_Q">#REF!</definedName>
    <definedName name="fee_commission_income" localSheetId="9">#REF!</definedName>
    <definedName name="fee_commission_income">#REF!</definedName>
    <definedName name="FF" localSheetId="4">#REF!</definedName>
    <definedName name="FF">[46]PLold!$AW$314:$BQ$473</definedName>
    <definedName name="fff" localSheetId="9" hidden="1">{#N/A,#N/A,TRUE,"Financials";#N/A,#N/A,TRUE,"Operating Statistics";#N/A,#N/A,TRUE,"Capex &amp; Depreciation";#N/A,#N/A,TRUE,"Debt"}</definedName>
    <definedName name="fff" localSheetId="10" hidden="1">{#N/A,#N/A,TRUE,"Financials";#N/A,#N/A,TRUE,"Operating Statistics";#N/A,#N/A,TRUE,"Capex &amp; Depreciation";#N/A,#N/A,TRUE,"Debt"}</definedName>
    <definedName name="fff" localSheetId="4" hidden="1">{#N/A,#N/A,TRUE,"Financials";#N/A,#N/A,TRUE,"Operating Statistics";#N/A,#N/A,TRUE,"Capex &amp; Depreciation";#N/A,#N/A,TRUE,"Debt"}</definedName>
    <definedName name="fff" hidden="1">{#N/A,#N/A,TRUE,"Financials";#N/A,#N/A,TRUE,"Operating Statistics";#N/A,#N/A,TRUE,"Capex &amp; Depreciation";#N/A,#N/A,TRUE,"Debt"}</definedName>
    <definedName name="ffffff"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ffff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fg" localSheetId="9">#REF!</definedName>
    <definedName name="ffg">#REF!</definedName>
    <definedName name="ffgf" localSheetId="4">#REF!</definedName>
    <definedName name="ffgf">'[35]#REF'!#REF!</definedName>
    <definedName name="FFINANCE" localSheetId="9">#REF!</definedName>
    <definedName name="FFINANCE" localSheetId="10">[1]bajaj_copeland!$M$287</definedName>
    <definedName name="FFINANCE">#REF!</definedName>
    <definedName name="FFS" localSheetId="4">#REF!</definedName>
    <definedName name="FFS">[46]PLold!$AW$314:$BQ$437</definedName>
    <definedName name="FFU" localSheetId="4">#REF!</definedName>
    <definedName name="FFU">[46]PLold!$AW$438:$BQ$471</definedName>
    <definedName name="fg" localSheetId="9">#REF!</definedName>
    <definedName name="fg">#REF!</definedName>
    <definedName name="fgdfgd" localSheetId="10" hidden="1">[69]Internet!#REF!</definedName>
    <definedName name="fgdfgd" hidden="1">#REF!</definedName>
    <definedName name="fgf" localSheetId="4">#REF!</definedName>
    <definedName name="fgf">'[35]#REF'!#REF!</definedName>
    <definedName name="fgfgfry" hidden="1">#REF!</definedName>
    <definedName name="FGROWTH" localSheetId="10">[1]bajaj_copeland!$AC$525:$AG$525</definedName>
    <definedName name="FGROWTH">#REF!</definedName>
    <definedName name="fgyjg" localSheetId="9" hidden="1">{"'PS-SOTM'!$A$1","'PS-SOTM'!$A$2:$M$30","'PS-SOTM'!$A$31:$A$38"}</definedName>
    <definedName name="fgyjg" localSheetId="10" hidden="1">{"'PS-SOTM'!$A$1","'PS-SOTM'!$A$2:$M$30","'PS-SOTM'!$A$31:$A$38"}</definedName>
    <definedName name="fgyjg" localSheetId="4" hidden="1">{"'PS-SOTM'!$A$1","'PS-SOTM'!$A$2:$M$30","'PS-SOTM'!$A$31:$A$38"}</definedName>
    <definedName name="fgyjg" hidden="1">{"'PS-SOTM'!$A$1","'PS-SOTM'!$A$2:$M$30","'PS-SOTM'!$A$31:$A$38"}</definedName>
    <definedName name="fh" localSheetId="9" hidden="1">#REF!</definedName>
    <definedName name="fh" localSheetId="10" hidden="1">[70]International!$C$29:$C$65</definedName>
    <definedName name="fh" hidden="1">#REF!</definedName>
    <definedName name="fhgfg" localSheetId="9" hidden="1">#REF!</definedName>
    <definedName name="fhgfg" hidden="1">#REF!</definedName>
    <definedName name="FILE" localSheetId="9">#REF!</definedName>
    <definedName name="FILE" localSheetId="10">[1]bajaj_copeland!$D$527</definedName>
    <definedName name="FILE">#REF!</definedName>
    <definedName name="FILENAMEZE">#REF!</definedName>
    <definedName name="FILEPOWER">#REF!</definedName>
    <definedName name="fill" localSheetId="10" hidden="1">'[71]Sheet3 (2)'!$A$60:$A$76</definedName>
    <definedName name="fill" hidden="1">#REF!</definedName>
    <definedName name="FIN_CalcModeSwitch">#REF!</definedName>
    <definedName name="FIN_CAP_BeginShareCapital">#REF!</definedName>
    <definedName name="FIN_CAP_BeginSharePremium">#REF!</definedName>
    <definedName name="FIN_CAP_ChangeInShareCapital">#REF!</definedName>
    <definedName name="FIN_CAP_ChangeInShareCapitalAuto">#REF!</definedName>
    <definedName name="FIN_CAP_ChangeInShareCapitalManual">#REF!</definedName>
    <definedName name="FIN_CAP_ChangeInSharePremium">#REF!</definedName>
    <definedName name="FIN_CAP_ChangeInSharePremiumAuto">#REF!</definedName>
    <definedName name="FIN_CAP_ChangeInSharePremiumManual">#REF!</definedName>
    <definedName name="FIN_CAP_EndingShareCapital">#REF!</definedName>
    <definedName name="FIN_CAP_EndingSharePremium">#REF!</definedName>
    <definedName name="FIN_CellNote">#REF!</definedName>
    <definedName name="FIN_CF" localSheetId="4">#REF!</definedName>
    <definedName name="FIN_CF">[72]EquityTemplate!#REF!</definedName>
    <definedName name="FIN_LTD_CurrentPortion">#REF!</definedName>
    <definedName name="FIN_LTD_InterestActual">#REF!</definedName>
    <definedName name="FIN_LTD_InterestCapitalized">#REF!</definedName>
    <definedName name="FIN_LTD_InterestPaid">#REF!</definedName>
    <definedName name="FIN_LTD_InterestRate">#REF!</definedName>
    <definedName name="FIN_LTD_InterestRateBeforeCap">#REF!</definedName>
    <definedName name="FIN_LTD_LTDebt1">#REF!</definedName>
    <definedName name="FIN_LTD_LTDebt10">#REF!</definedName>
    <definedName name="FIN_LTD_LTDebt2">#REF!</definedName>
    <definedName name="FIN_LTD_LTDebt3">#REF!</definedName>
    <definedName name="FIN_LTD_LTDebt4">#REF!</definedName>
    <definedName name="FIN_LTD_LTDebt5">#REF!</definedName>
    <definedName name="FIN_LTD_LTDebt6">#REF!</definedName>
    <definedName name="FIN_LTD_LTDebt7">#REF!</definedName>
    <definedName name="FIN_LTD_LTDebt8">#REF!</definedName>
    <definedName name="FIN_LTD_LTDebt9">#REF!</definedName>
    <definedName name="FIN_LTD_LTDebtAvg">#REF!</definedName>
    <definedName name="FIN_LTD_LTDebtB_R_Total">#REF!</definedName>
    <definedName name="FIN_LTD_LTDebtTotal">#REF!</definedName>
    <definedName name="FIN_LTD_LTDebtTotalBF">#REF!</definedName>
    <definedName name="FIN_LTD_RateLTDebt1">#REF!</definedName>
    <definedName name="FIN_LTD_RateLTDebt2">#REF!</definedName>
    <definedName name="FIN_LTD_RateLTDebt3">#REF!</definedName>
    <definedName name="FIN_LTD_RateLTDebt4">#REF!</definedName>
    <definedName name="FIN_LTD_RateLTDebt5">#REF!</definedName>
    <definedName name="final"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inal"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inalYear" localSheetId="4">#REF!</definedName>
    <definedName name="FinalYear">'[39]Sample Layout'!$Z$15</definedName>
    <definedName name="FINANCE" localSheetId="10">[1]bajaj_copeland!$C$287:$L$327</definedName>
    <definedName name="FINANCE">#REF!</definedName>
    <definedName name="Finance_Cost">#REF!</definedName>
    <definedName name="financial_leverage" localSheetId="4">#REF!</definedName>
    <definedName name="financial_leverage">'[30]Annual Temp'!#REF!</definedName>
    <definedName name="Financial_Stats">#REF!</definedName>
    <definedName name="Financials2"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inancials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INCREASED" localSheetId="10">[1]bajaj_copeland!$AC$528:$AG$528</definedName>
    <definedName name="FINCREASED">#REF!</definedName>
    <definedName name="FINETOTHER" localSheetId="10">[1]bajaj_copeland!$AC$523:$AG$523</definedName>
    <definedName name="FINETOTHER">#REF!</definedName>
    <definedName name="FINETPPE" localSheetId="10">[1]bajaj_copeland!$AC$522:$AG$522</definedName>
    <definedName name="FINETPPE">#REF!</definedName>
    <definedName name="FinInc">#REF!</definedName>
    <definedName name="FinInd">#REF!</definedName>
    <definedName name="FINTENSITY" localSheetId="10">[1]bajaj_copeland!$AC$524:$AG$524</definedName>
    <definedName name="FINTENSITY">#REF!</definedName>
    <definedName name="FINVESTMENT" localSheetId="10">[1]bajaj_copeland!$AC$530:$AG$530</definedName>
    <definedName name="FINVESTMENT">#REF!</definedName>
    <definedName name="FINVESTYEARS" localSheetId="10">[1]bajaj_copeland!$AC$520:$AG$520</definedName>
    <definedName name="FINVESTYEARS">#REF!</definedName>
    <definedName name="FIOPS" localSheetId="4">#REF!,#REF!</definedName>
    <definedName name="FIOPS">[38]Database!$A$155:$IV$156,[38]Database!$A$158:$IV$174</definedName>
    <definedName name="firstwgt">#REF!</definedName>
    <definedName name="FIRSTYEAR">#REF!</definedName>
    <definedName name="fiscal_month_end">#REF!</definedName>
    <definedName name="fiscal_year_end">#REF!</definedName>
    <definedName name="FIWORKING" localSheetId="10">[1]bajaj_copeland!$AC$521:$AG$521</definedName>
    <definedName name="FIWORKING">#REF!</definedName>
    <definedName name="Fixed_asset_turns">#REF!</definedName>
    <definedName name="Fixed_asset_turns_DCF">#REF!</definedName>
    <definedName name="Fixed_asset_turns_fore">#REF!</definedName>
    <definedName name="Fixed_assets">#REF!</definedName>
    <definedName name="Fixed_Assets_Core">#REF!</definedName>
    <definedName name="Fixed_assets_DCF">#REF!</definedName>
    <definedName name="Fixed_Assets_Q">#REF!</definedName>
    <definedName name="Fixed_deposits">#REF!</definedName>
    <definedName name="Fixed_Deposits_Unsecured">#REF!</definedName>
    <definedName name="Fixed_line" localSheetId="4">#REF!</definedName>
    <definedName name="Fixed_line">'[12]#REF'!$A$1:$I$74</definedName>
    <definedName name="Fixed_loans_total">#REF!</definedName>
    <definedName name="FixedAssets">#REF!</definedName>
    <definedName name="FixExp">#REF!</definedName>
    <definedName name="Flag1">#REF!</definedName>
    <definedName name="flash" hidden="1">#REF!</definedName>
    <definedName name="FMARGIN" localSheetId="10">[1]bajaj_copeland!$AC$508:$AG$508</definedName>
    <definedName name="FMARGIN">#REF!</definedName>
    <definedName name="FNETPPE" localSheetId="10">[1]bajaj_copeland!$AC$509:$AG$509</definedName>
    <definedName name="FNETPPE">#REF!</definedName>
    <definedName name="fninc">#REF!</definedName>
    <definedName name="FNOPLAT" localSheetId="10">[1]bajaj_copeland!$AC$529:$AG$529</definedName>
    <definedName name="FNOPLAT">#REF!</definedName>
    <definedName name="FOOTER">#REF!</definedName>
    <definedName name="FOOTERMAC">#REF!</definedName>
    <definedName name="FOOTERTAB">#REF!</definedName>
    <definedName name="footnote">#REF!</definedName>
    <definedName name="FootnoteDrop">#REF!</definedName>
    <definedName name="FootnoteDrop1">#REF!</definedName>
    <definedName name="FootnoteDrop10">#REF!</definedName>
    <definedName name="FootnoteDrop11">#REF!</definedName>
    <definedName name="FootnoteDrop12">#REF!</definedName>
    <definedName name="FootnoteDrop13">#REF!</definedName>
    <definedName name="FootnoteDrop14">#REF!</definedName>
    <definedName name="FootnoteDrop15">#REF!</definedName>
    <definedName name="FootnoteDrop16">#REF!</definedName>
    <definedName name="FootnoteDrop17">#REF!</definedName>
    <definedName name="FootnoteDrop18">#REF!</definedName>
    <definedName name="FootnoteDrop19">#REF!</definedName>
    <definedName name="FootnoteDrop2">#REF!</definedName>
    <definedName name="FootnoteDrop20">#REF!</definedName>
    <definedName name="FootnoteDrop21">#REF!</definedName>
    <definedName name="FootnoteDrop22">#REF!</definedName>
    <definedName name="FootnoteDrop23">#REF!</definedName>
    <definedName name="FootnoteDrop24">#REF!</definedName>
    <definedName name="FootnoteDrop25">#REF!</definedName>
    <definedName name="FootnoteDrop26">#REF!</definedName>
    <definedName name="FootnoteDrop27">#REF!</definedName>
    <definedName name="FootnoteDrop28">#REF!</definedName>
    <definedName name="FootnoteDrop29">#REF!</definedName>
    <definedName name="FootnoteDrop3">#REF!</definedName>
    <definedName name="FootnoteDrop30">#REF!</definedName>
    <definedName name="FootnoteDrop31">#REF!</definedName>
    <definedName name="FootnoteDrop32">#REF!</definedName>
    <definedName name="FootnoteDrop33">#REF!</definedName>
    <definedName name="FootnoteDrop34">#REF!</definedName>
    <definedName name="FootnoteDrop35">#REF!</definedName>
    <definedName name="FootnoteDrop36">#REF!</definedName>
    <definedName name="FootnoteDrop37">#REF!</definedName>
    <definedName name="FootnoteDrop38">#REF!</definedName>
    <definedName name="FootnoteDrop39">#REF!</definedName>
    <definedName name="FootnoteDrop4">#REF!</definedName>
    <definedName name="FootnoteDrop40">#REF!</definedName>
    <definedName name="FootnoteDrop41">#REF!</definedName>
    <definedName name="FootnoteDrop42">#REF!</definedName>
    <definedName name="FootnoteDrop43">#REF!</definedName>
    <definedName name="FootnoteDrop44">#REF!</definedName>
    <definedName name="FootnoteDrop45">#REF!</definedName>
    <definedName name="FootnoteDrop46">#REF!</definedName>
    <definedName name="FootnoteDrop47">#REF!</definedName>
    <definedName name="FootnoteDrop48">#REF!</definedName>
    <definedName name="FootnoteDrop49">#REF!</definedName>
    <definedName name="FootnoteDrop5">#REF!</definedName>
    <definedName name="FootnoteDrop50">#REF!</definedName>
    <definedName name="FootnoteDrop6">#REF!</definedName>
    <definedName name="FootnoteDrop7">#REF!</definedName>
    <definedName name="FootnoteDrop8">#REF!</definedName>
    <definedName name="FootnoteDrop9">#REF!</definedName>
    <definedName name="FOPERATING" localSheetId="10">[1]bajaj_copeland!$M$248</definedName>
    <definedName name="FOPERATING">#REF!</definedName>
    <definedName name="FOR_BankingRatios">#REF!</definedName>
    <definedName name="FOR_BS_AssetRevaluationNonCashFlow">#REF!</definedName>
    <definedName name="FOR_BS_CAInterestBearing">#REF!</definedName>
    <definedName name="FOR_BS_CAInterestBearingNet">#REF!</definedName>
    <definedName name="FOR_BS_CAOtherNonCash">#REF!</definedName>
    <definedName name="FOR_BS_CAOtherTotal">#REF!</definedName>
    <definedName name="FOR_BS_CapitalizedInterest">#REF!</definedName>
    <definedName name="FOR_BS_Cash">#REF!</definedName>
    <definedName name="FOR_BS_CashForeign">#REF!</definedName>
    <definedName name="FOR_BS_ChangeInWorkingCapital">#REF!</definedName>
    <definedName name="FOR_BS_CLInterestBearing">#REF!</definedName>
    <definedName name="FOR_BS_CLOtherNonCash">#REF!</definedName>
    <definedName name="FOR_BS_CLOtherTotal">#REF!</definedName>
    <definedName name="FOR_BS_Creditors">#REF!</definedName>
    <definedName name="FOR_BS_CurrentPortion">#REF!</definedName>
    <definedName name="FOR_BS_Debtors">#REF!</definedName>
    <definedName name="FOR_BS_DeferredTaxLTLiabilities">#REF!</definedName>
    <definedName name="FOR_BS_EquityRevaluationNonCashFlow">#REF!</definedName>
    <definedName name="FOR_BS_FixedAssets">#REF!</definedName>
    <definedName name="FOR_BS_FixedAssets1">#REF!</definedName>
    <definedName name="FOR_BS_FixedAssets2">#REF!</definedName>
    <definedName name="FOR_BS_FixedAssets3">#REF!</definedName>
    <definedName name="FOR_BS_FixedAssets4">#REF!</definedName>
    <definedName name="FOR_BS_FixedAssets5">#REF!</definedName>
    <definedName name="FOR_BS_FixedAssets6">#REF!</definedName>
    <definedName name="FOR_BS_FixedAssets7">#REF!</definedName>
    <definedName name="FOR_BS_FixedAssetsRevaluationNonCashFlow">#REF!</definedName>
    <definedName name="FOR_BS_Inventory">#REF!</definedName>
    <definedName name="FOR_BS_InvestmentRevaluationNonCashFlow">#REF!</definedName>
    <definedName name="FOR_BS_LiabilitiesRevaluationNonCashFlow">#REF!</definedName>
    <definedName name="FOR_BS_LTAssetsInterestBearing">#REF!</definedName>
    <definedName name="FOR_BS_LTAssetsNonInterestBearing">#REF!</definedName>
    <definedName name="FOR_BS_LTAssociates">#REF!</definedName>
    <definedName name="FOR_BS_LTDebt">#REF!</definedName>
    <definedName name="FOR_BS_LTDebt1">#REF!</definedName>
    <definedName name="FOR_BS_LTDebt10">#REF!</definedName>
    <definedName name="FOR_BS_LTDebt2">#REF!</definedName>
    <definedName name="FOR_BS_LTDebt3">#REF!</definedName>
    <definedName name="FOR_BS_LTDebt4">#REF!</definedName>
    <definedName name="FOR_BS_LTDebt5">#REF!</definedName>
    <definedName name="FOR_BS_LTDebt6">#REF!</definedName>
    <definedName name="FOR_BS_LTDebt7">#REF!</definedName>
    <definedName name="FOR_BS_LTDebt8">#REF!</definedName>
    <definedName name="FOR_BS_LTDebt9">#REF!</definedName>
    <definedName name="FOR_BS_LTLiabilitiesOtherTotal">#REF!</definedName>
    <definedName name="FOR_BS_LTOutstandingClaims">#REF!</definedName>
    <definedName name="FOR_BS_LTUnearntPremium">#REF!</definedName>
    <definedName name="FOR_BS_Minorities">#REF!</definedName>
    <definedName name="FOR_BS_NetAmortizedAssets">#REF!</definedName>
    <definedName name="FOR_BS_NetWorkingCapital">#REF!</definedName>
    <definedName name="FOR_BS_OffBalanceSheetAssets">#REF!</definedName>
    <definedName name="FOR_BS_OffBalanceSheetLiabilities">#REF!</definedName>
    <definedName name="FOR_BS_OtherEquityRevaluationNonCashFlow">#REF!</definedName>
    <definedName name="FOR_BS_PossibleLoanLossProvision">#REF!</definedName>
    <definedName name="FOR_BS_RENonCashFlow">#REF!</definedName>
    <definedName name="FOR_BS_Reserves">#REF!</definedName>
    <definedName name="FOR_BS_SCapitalNonCashFlow">#REF!</definedName>
    <definedName name="FOR_BS_ShareCapital">#REF!</definedName>
    <definedName name="FOR_BS_SharePremium">#REF!</definedName>
    <definedName name="FOR_BS_SPremiumNonCashFlow">#REF!</definedName>
    <definedName name="FOR_BS_STDebt">#REF!</definedName>
    <definedName name="FOR_BS_STDebtOther">#REF!</definedName>
    <definedName name="FOR_BS_STInvestments">#REF!</definedName>
    <definedName name="FOR_BS_STInvestmentsOther">#REF!</definedName>
    <definedName name="FOR_BS_TechnicalReserves">#REF!</definedName>
    <definedName name="FOR_BS_TotalAssets">#REF!</definedName>
    <definedName name="FOR_BS_TotalCurrentAssets">#REF!</definedName>
    <definedName name="FOR_BS_TotalCurrentLiabilities">#REF!</definedName>
    <definedName name="FOR_BS_TotalEquity">#REF!</definedName>
    <definedName name="FOR_BS_TotalLiabilities">#REF!</definedName>
    <definedName name="FOR_BS_TotalLTAssets">#REF!</definedName>
    <definedName name="FOR_BS_TotalLTLiabilities">#REF!</definedName>
    <definedName name="FOR_BS_TotalOtherEquity">#REF!</definedName>
    <definedName name="FOR_BS_TotalShareholdersFunds">#REF!</definedName>
    <definedName name="FOR_BS_UnearntPremium">#REF!</definedName>
    <definedName name="FOR_CellNote">#REF!</definedName>
    <definedName name="FOR_CF_B_R_STDebt">#REF!</definedName>
    <definedName name="FOR_CF_B_R_STDebtManual">#REF!</definedName>
    <definedName name="FOR_CF_B_RSTDebtTest">#REF!</definedName>
    <definedName name="FOR_CF_CashBeforeFinancing">#REF!</definedName>
    <definedName name="FOR_CF_CashFromFinancing">#REF!</definedName>
    <definedName name="FOR_CF_ChangeInMarketableSecurities">#REF!</definedName>
    <definedName name="FOR_CF_ChangeInMarketableSecuritiesManual">#REF!</definedName>
    <definedName name="FOR_CF_ChangeInSTInvestments">#REF!</definedName>
    <definedName name="FOR_CF_FundsForDebtRepayment">#REF!</definedName>
    <definedName name="FOR_GL_CalendarAdjFactor">#REF!</definedName>
    <definedName name="FOR_GL_CurrentYear">#REF!</definedName>
    <definedName name="FOR_GL_SwitchAmortization">#REF!</definedName>
    <definedName name="FOR_GL_SwitchDepreciation">#REF!</definedName>
    <definedName name="FOR_IS_ADJtoGP">#REF!</definedName>
    <definedName name="FOR_IS_AdminExpense">#REF!</definedName>
    <definedName name="FOR_IS_AdminIncome">#REF!</definedName>
    <definedName name="FOR_IS_AfterTaxProfit">#REF!</definedName>
    <definedName name="FOR_IS_Amortization">#REF!</definedName>
    <definedName name="FOR_IS_CashDividends">#REF!</definedName>
    <definedName name="FOR_IS_CGS">#REF!</definedName>
    <definedName name="FOR_IS_CommissionExpense">#REF!</definedName>
    <definedName name="FOR_IS_CumAdj">#REF!</definedName>
    <definedName name="FOR_IS_Depreciation">#REF!</definedName>
    <definedName name="FOR_IS_DividendsDeclared">#REF!</definedName>
    <definedName name="FOR_IS_DividendsDeclaredCalculated">#REF!</definedName>
    <definedName name="FOR_IS_DividendsDeclaredManual">#REF!</definedName>
    <definedName name="FOR_IS_DividendsPaidCalculated">#REF!</definedName>
    <definedName name="FOR_IS_DividendsPaidManual">#REF!</definedName>
    <definedName name="FOR_IS_DividendsPaidSummed">#REF!</definedName>
    <definedName name="FOR_IS_DueToMinorities">#REF!</definedName>
    <definedName name="FOR_IS_EarningsAfterFinancing">#REF!</definedName>
    <definedName name="FOR_IS_EBIT">#REF!</definedName>
    <definedName name="FOR_IS_EBITDA">#REF!</definedName>
    <definedName name="FOR_IS_Exceptionals">#REF!</definedName>
    <definedName name="FOR_IS_Extraordinary">#REF!</definedName>
    <definedName name="FOR_IS_GrossProfit">#REF!</definedName>
    <definedName name="FOR_IS_GrossProfitSub1">#REF!</definedName>
    <definedName name="FOR_IS_IncomeFromAssociates">#REF!</definedName>
    <definedName name="FOR_IS_IncomeFromAssociatesAfterDividends">#REF!</definedName>
    <definedName name="FOR_IS_IncomeFromUnConsAffiliates">#REF!</definedName>
    <definedName name="FOR_IS_InsuranceOtherExpense">#REF!</definedName>
    <definedName name="FOR_IS_InsuranceOtherIncome">#REF!</definedName>
    <definedName name="FOR_IS_InterestExpense">#REF!</definedName>
    <definedName name="FOR_IS_InterestExpenseCalculated">#REF!</definedName>
    <definedName name="FOR_IS_InterestExpenseManual">#REF!</definedName>
    <definedName name="FOR_IS_InterestIncome">#REF!</definedName>
    <definedName name="FOR_IS_InterestIncomeCalculated">#REF!</definedName>
    <definedName name="FOR_IS_InterestIncomeManual">#REF!</definedName>
    <definedName name="FOR_IS_InvestmentIncome">#REF!</definedName>
    <definedName name="FOR_IS_LoanLossProvision">#REF!</definedName>
    <definedName name="FOR_IS_NetInterestIncomeExpense">#REF!</definedName>
    <definedName name="FOR_IS_NetProfit">#REF!</definedName>
    <definedName name="FOR_IS_NetProfitAfterDividends">#REF!</definedName>
    <definedName name="FOR_IS_NetProfitAfterDividendsDeclared">#REF!</definedName>
    <definedName name="FOR_IS_NetProfitAfterMinorities">#REF!</definedName>
    <definedName name="FOR_IS_NetProfitAterExtr">#REF!</definedName>
    <definedName name="FOR_IS_NetProfitExcExceptionals">#REF!</definedName>
    <definedName name="FOR_IS_OtherAfterTaxIncomeNet">#REF!</definedName>
    <definedName name="FOR_IS_OtherAssets">#REF!</definedName>
    <definedName name="FOR_IS_OtherBeforeTaxIncomeNet">#REF!</definedName>
    <definedName name="FOR_IS_OtherDirectIncomeCosts">#REF!</definedName>
    <definedName name="FOR_IS_OtherExpenses">#REF!</definedName>
    <definedName name="FOR_IS_OtherIncome">#REF!</definedName>
    <definedName name="FOR_IS_OtherIncomeExpenseNet">#REF!</definedName>
    <definedName name="FOR_IS_PreferenceDividends">#REF!</definedName>
    <definedName name="FOR_IS_PreTaxProfit">#REF!</definedName>
    <definedName name="FOR_IS_ProAdj">#REF!</definedName>
    <definedName name="FOR_IS_ProfitBeforeInvestmentIncome">#REF!</definedName>
    <definedName name="FOR_IS_ProformaAdjustmentSwitch">#REF!</definedName>
    <definedName name="FOR_IS_Provisions">#REF!</definedName>
    <definedName name="FOR_IS_Revenue">#REF!</definedName>
    <definedName name="FOR_IS_STDebtCapitalizedInterest">#REF!</definedName>
    <definedName name="FOR_IS_Tax">#REF!</definedName>
    <definedName name="FOR_SC_AvgAssetsInterestBearing">#REF!</definedName>
    <definedName name="FOR_SC_AvgBorrowing">#REF!</definedName>
    <definedName name="FOR_SC_AvgCAInterestBearing">#REF!</definedName>
    <definedName name="FOR_SC_AvgCAInterestBearingNet">#REF!</definedName>
    <definedName name="FOR_SC_AvgCAOtherTotal">#REF!</definedName>
    <definedName name="FOR_SC_AvgCash">#REF!</definedName>
    <definedName name="FOR_SC_AvgCashForeign">#REF!</definedName>
    <definedName name="FOR_SC_AvgCLInterestBearing">#REF!</definedName>
    <definedName name="FOR_SC_AvgCLOtherTotal">#REF!</definedName>
    <definedName name="FOR_SC_AvgCreditors">#REF!</definedName>
    <definedName name="FOR_SC_AvgDebtors">#REF!</definedName>
    <definedName name="FOR_SC_AvgFixedAssets">#REF!</definedName>
    <definedName name="FOR_SC_AvgInventory">#REF!</definedName>
    <definedName name="FOR_SC_AvgLiabilitiesInterestBearing">#REF!</definedName>
    <definedName name="FOR_SC_AvgLTAssetsInterestBearing">#REF!</definedName>
    <definedName name="FOR_SC_AvgLTAssetsNonInterestBearing">#REF!</definedName>
    <definedName name="FOR_SC_AvgLTDebt">#REF!</definedName>
    <definedName name="FOR_SC_AvgLTLiabilitiesOther">#REF!</definedName>
    <definedName name="FOR_SC_AvgSTDebt">#REF!</definedName>
    <definedName name="FOR_SC_AvgSTInvestments">#REF!</definedName>
    <definedName name="FOR_SC_AvgTotalAssets">#REF!</definedName>
    <definedName name="FOR_SC_AvgTotalCurrentAssets">#REF!</definedName>
    <definedName name="FOR_SC_AvgTotalEquity">#REF!</definedName>
    <definedName name="FOR_SC_AvgTotalLiabilities">#REF!</definedName>
    <definedName name="FOR_SC_IntCAInterestBearing">#REF!</definedName>
    <definedName name="FOR_SC_IntCash">#REF!</definedName>
    <definedName name="FOR_SC_IntCashForeign">#REF!</definedName>
    <definedName name="FOR_SC_IntCLInterestBearing">#REF!</definedName>
    <definedName name="FOR_SC_InterestExpense">#REF!</definedName>
    <definedName name="FOR_SC_InterestExpenseModel1">#REF!</definedName>
    <definedName name="FOR_SC_InterestExpenseModel2">#REF!</definedName>
    <definedName name="FOR_SC_InterestIncome">#REF!</definedName>
    <definedName name="FOR_SC_InterestIncomeModel1">#REF!</definedName>
    <definedName name="FOR_SC_InterestIncomeModel2">#REF!</definedName>
    <definedName name="FOR_SC_IntLTAssetsInterestBearing">#REF!</definedName>
    <definedName name="FOR_SC_IntLTDebt">#REF!</definedName>
    <definedName name="FOR_SC_IntRateCAInterestBearing">#REF!</definedName>
    <definedName name="FOR_SC_IntRateCash">#REF!</definedName>
    <definedName name="FOR_SC_IntRateCashForeign">#REF!</definedName>
    <definedName name="FOR_SC_IntRateCLInterestBearing">#REF!</definedName>
    <definedName name="FOR_SC_IntRateLTAssetsInterestBearing">#REF!</definedName>
    <definedName name="FOR_SC_IntRateLTDebt">#REF!</definedName>
    <definedName name="FOR_SC_IntRateSTDebt">#REF!</definedName>
    <definedName name="FOR_SC_IntRateSTInvestments">#REF!</definedName>
    <definedName name="FOR_SC_IntSTDebt">#REF!</definedName>
    <definedName name="FOR_SC_IntSTInvestments">#REF!</definedName>
    <definedName name="FOR_SC_RangeBankingRatios">#REF!</definedName>
    <definedName name="FOR_SC_RateTax">#REF!</definedName>
    <definedName name="FOR_SC_TotalAssetsInterestBearing">#REF!</definedName>
    <definedName name="FOR_SC_TotalBorrowing">#REF!</definedName>
    <definedName name="FOR_SC_TotalCAInterestBearing">#REF!</definedName>
    <definedName name="FOR_SC_TotalCLInterestBearing">#REF!</definedName>
    <definedName name="FOR_SC_TotalDeposits">#REF!</definedName>
    <definedName name="FOR_SC_TotalLiabilitiesInterestBearing">#REF!</definedName>
    <definedName name="FOR_SC_TotalNetTangibleAssets">#REF!</definedName>
    <definedName name="FOR_SD_AdjustmentFactorCumulative">#REF!</definedName>
    <definedName name="FOR_SD_CashDividends">#REF!</definedName>
    <definedName name="FOR_SD_DPS">#REF!</definedName>
    <definedName name="FOR_SD_DPSAdj">#REF!</definedName>
    <definedName name="FOR_SD_EPSPrimary">#REF!</definedName>
    <definedName name="FOR_SD_PayoutRatio">#REF!</definedName>
    <definedName name="FOR_SD_SharesPrimary">#REF!</definedName>
    <definedName name="foractual">#REF!</definedName>
    <definedName name="FORE_ALL" localSheetId="10">[1]bajaj_copeland!$M$8:$W$412</definedName>
    <definedName name="FORE_ALL">#REF!</definedName>
    <definedName name="Forecast_Year_end">#REF!</definedName>
    <definedName name="Foreign_Currency_Loans_Secured">#REF!</definedName>
    <definedName name="FOREIGN_EXCHANG">#REF!</definedName>
    <definedName name="foreigndebt_totaldebt">#REF!</definedName>
    <definedName name="FOREIGNPAY">#REF!</definedName>
    <definedName name="forex_gains_losses" localSheetId="10">[28]Template!$D$55:$T$55</definedName>
    <definedName name="forex_gains_losses">#REF!</definedName>
    <definedName name="forex_gains_losses_A">#REF!</definedName>
    <definedName name="forex_gains_losses_Q">#REF!</definedName>
    <definedName name="forex_loss_gain_Q">#REF!</definedName>
    <definedName name="forlimit">#REF!</definedName>
    <definedName name="Form10q_pg1">#REF!</definedName>
    <definedName name="Form10q_pg2">#REF!</definedName>
    <definedName name="Formats" localSheetId="4">#REF!</definedName>
    <definedName name="Formats">[2]Header!$AN$2:$AN$11</definedName>
    <definedName name="formii_com" localSheetId="4">#REF!</definedName>
    <definedName name="formii_com">'[73]EXIS-COMBINED'!#REF!</definedName>
    <definedName name="FORMIII_COM" localSheetId="4">#REF!</definedName>
    <definedName name="FORMIII_COM">'[73]EXIS-COMBINED'!#REF!</definedName>
    <definedName name="FORMIV_COM" localSheetId="4">#REF!</definedName>
    <definedName name="FORMIV_COM">'[73]EXIS-COMBINED'!#REF!</definedName>
    <definedName name="FORMV_COM" localSheetId="4">#REF!</definedName>
    <definedName name="FORMV_COM">'[73]EXIS-COMBINED'!#REF!</definedName>
    <definedName name="FORMVI_COM" localSheetId="4">#REF!</definedName>
    <definedName name="FORMVI_COM">'[73]EXIS-COMBINED'!#REF!</definedName>
    <definedName name="forword" localSheetId="4">#REF!</definedName>
    <definedName name="forword">[74]Database!#REF!</definedName>
    <definedName name="FOTHER" localSheetId="10">[1]bajaj_copeland!$AC$511:$AG$511</definedName>
    <definedName name="FOTHER">#REF!</definedName>
    <definedName name="fpotato">#REF!</definedName>
    <definedName name="FPREROIC" localSheetId="10">[1]bajaj_copeland!$AC$513:$AG$513</definedName>
    <definedName name="FPREROIC">#REF!</definedName>
    <definedName name="FR_CODE_COPY_LINK">" "</definedName>
    <definedName name="FR_CODE_DOWNLOAD_START">" "</definedName>
    <definedName name="FR_CODE_STOCK_LINK">" "</definedName>
    <definedName name="FR_COM_ABBR">" "</definedName>
    <definedName name="FR_COM_ABBR_LINK">" "</definedName>
    <definedName name="FR_COM_AGG">0</definedName>
    <definedName name="FR_COM_NAME_LINK">" "</definedName>
    <definedName name="FR_COU_ABBR">" "</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HOW_LINK_MARKER">TRUE</definedName>
    <definedName name="FR_START_DATE">"'"</definedName>
    <definedName name="FR_USE_BILLIONS">FALSE</definedName>
    <definedName name="FR_USE_DIMFAC">TRUE</definedName>
    <definedName name="FR_USE_LOCAL_CCY">TRUE</definedName>
    <definedName name="FR_USE_PRICEFACTORING">FALSE</definedName>
    <definedName name="FR_WORKBOOK">"K:\EQR\Bhuvnesh\current software\hcl.xls"</definedName>
    <definedName name="fratios">#REF!</definedName>
    <definedName name="free" localSheetId="4">#REF!</definedName>
    <definedName name="free">[2]Header!#REF!</definedName>
    <definedName name="free_cash_flow" localSheetId="10">[1]bajaj_copeland!$C$182:$L$228</definedName>
    <definedName name="free_cash_flow">#REF!</definedName>
    <definedName name="free_cash_flow_equity">#REF!</definedName>
    <definedName name="Free_cash_flow6">#REF!</definedName>
    <definedName name="Free_Reserves">#REF!</definedName>
    <definedName name="freefloat">#REF!</definedName>
    <definedName name="Freehold_Land_AD">#REF!</definedName>
    <definedName name="Freehold_Land_Dep">#REF!</definedName>
    <definedName name="Freehold_Land_GB">#REF!</definedName>
    <definedName name="Freehold_Land_NB">#REF!</definedName>
    <definedName name="freight" localSheetId="10">[28]Template!$D$76:$T$76</definedName>
    <definedName name="freight">#REF!</definedName>
    <definedName name="Freightworking">#REF!</definedName>
    <definedName name="FREQS" localSheetId="4">#REF!</definedName>
    <definedName name="FREQS">[2]Header!$AP$2:$AP$6</definedName>
    <definedName name="FreshDeli12">#REF!</definedName>
    <definedName name="FreshDeli13">#REF!</definedName>
    <definedName name="Fringe_Benefit_Tax">#REF!</definedName>
    <definedName name="fringe_benefit_tax_Q">#REF!</definedName>
    <definedName name="FROIC" localSheetId="10">[1]bajaj_copeland!$AC$515:$AG$515</definedName>
    <definedName name="FROIC">#REF!</definedName>
    <definedName name="FROICYEARS" localSheetId="10">[1]bajaj_copeland!$AC$503:$AG$503</definedName>
    <definedName name="FROICYEARS">#REF!</definedName>
    <definedName name="front_page">#REF!</definedName>
    <definedName name="FS">#REF!</definedName>
    <definedName name="FSG_A" localSheetId="10">[1]bajaj_copeland!$AC$506:$AG$506</definedName>
    <definedName name="FSG_A">#REF!</definedName>
    <definedName name="FTM_CFO">#REF!</definedName>
    <definedName name="FTM_EPS">#REF!</definedName>
    <definedName name="FTM_FCF">#REF!</definedName>
    <definedName name="ftm_shrs">#REF!</definedName>
    <definedName name="FTURNOVER" localSheetId="10">[1]bajaj_copeland!$AC$512:$AG$512</definedName>
    <definedName name="FTURNOVER">#REF!</definedName>
    <definedName name="fullname">#REF!</definedName>
    <definedName name="fully_diluted_earnings" localSheetId="10">[28]Template!$D$425:$T$425</definedName>
    <definedName name="fully_diluted_earnings">#REF!</definedName>
    <definedName name="Fully_diluted_earnings6">#REF!</definedName>
    <definedName name="fully_diluted_shares" localSheetId="10">[28]Template!$D$428:$T$428</definedName>
    <definedName name="fully_diluted_shares">#REF!</definedName>
    <definedName name="fully_diluted_shares_A">#REF!</definedName>
    <definedName name="Fully_diluted_shares_m">#REF!</definedName>
    <definedName name="Furniture_and_Fixtures_AD">#REF!</definedName>
    <definedName name="Furniture_and_Fixtures_Dep">#REF!</definedName>
    <definedName name="Furniture_and_Fixtures_GB">#REF!</definedName>
    <definedName name="Furniture_and_Fixtures_NB">#REF!</definedName>
    <definedName name="futcpxprint1">#REF!</definedName>
    <definedName name="fv">#REF!</definedName>
    <definedName name="FWORKING" localSheetId="10">[1]bajaj_copeland!$AC$510:$AG$510</definedName>
    <definedName name="FWORKING">#REF!</definedName>
    <definedName name="fxa">#REF!</definedName>
    <definedName name="fxe">#REF!</definedName>
    <definedName name="fxRATE" localSheetId="4">#REF!</definedName>
    <definedName name="fxRATE">'[17]#REF'!$A$2:$F$169</definedName>
    <definedName name="FY">#REF!</definedName>
    <definedName name="FY_00">#REF!</definedName>
    <definedName name="FY_01">#REF!</definedName>
    <definedName name="FY_02">#REF!</definedName>
    <definedName name="FY_02IND">#REF!</definedName>
    <definedName name="FY_03">#REF!</definedName>
    <definedName name="FY_03IND">#REF!</definedName>
    <definedName name="fy_04">#REF!</definedName>
    <definedName name="FY_04IND">#REF!</definedName>
    <definedName name="FY_05">#REF!</definedName>
    <definedName name="FY_05IND">#REF!</definedName>
    <definedName name="FY_06">#REF!</definedName>
    <definedName name="FY_06IND">#REF!</definedName>
    <definedName name="FY_07">#REF!</definedName>
    <definedName name="FY_08">#REF!</definedName>
    <definedName name="FY_1">#REF!</definedName>
    <definedName name="FY_86">#REF!</definedName>
    <definedName name="FY_87">#REF!</definedName>
    <definedName name="FY_88">#REF!</definedName>
    <definedName name="FY_89">#REF!</definedName>
    <definedName name="FY_90">#REF!</definedName>
    <definedName name="FY_91">#REF!</definedName>
    <definedName name="FY_92">#REF!</definedName>
    <definedName name="FY_93">#REF!</definedName>
    <definedName name="FY_94">#REF!</definedName>
    <definedName name="FY_95">#REF!</definedName>
    <definedName name="FY_96">#REF!</definedName>
    <definedName name="FY_97">#REF!</definedName>
    <definedName name="FY_98">#REF!</definedName>
    <definedName name="FY_99">#REF!</definedName>
    <definedName name="FY00_revs">#REF!</definedName>
    <definedName name="FY01_revs">#REF!</definedName>
    <definedName name="FY02_revs">#REF!</definedName>
    <definedName name="FY03_revs">#REF!</definedName>
    <definedName name="fy04_eso">#REF!</definedName>
    <definedName name="fy04_rev" localSheetId="4">#REF!</definedName>
    <definedName name="fy04_rev">[75]Model!$DJ$18</definedName>
    <definedName name="FY04_revs">#REF!</definedName>
    <definedName name="fy05_eso">#REF!</definedName>
    <definedName name="FY05_revs">#REF!</definedName>
    <definedName name="fy06_eso">#REF!</definedName>
    <definedName name="FY06_revs">#REF!</definedName>
    <definedName name="fy07_eso">#REF!</definedName>
    <definedName name="FY1991_">#REF!</definedName>
    <definedName name="FY1992_">#REF!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#REF!</definedName>
    <definedName name="FY92.">#REF!</definedName>
    <definedName name="FY92_">#REF!</definedName>
    <definedName name="FY93.">#REF!</definedName>
    <definedName name="FY93_">#REF!</definedName>
    <definedName name="FY93c">#REF!</definedName>
    <definedName name="FY94.">#REF!</definedName>
    <definedName name="FY94_">#REF!</definedName>
    <definedName name="FY94c">#REF!</definedName>
    <definedName name="FY95.">#REF!</definedName>
    <definedName name="FY95_">#REF!</definedName>
    <definedName name="FY95c">#REF!</definedName>
    <definedName name="FY96.">#REF!</definedName>
    <definedName name="FY96_">#REF!</definedName>
    <definedName name="FY96c">#REF!</definedName>
    <definedName name="FY97.">#REF!</definedName>
    <definedName name="FY97_">#REF!</definedName>
    <definedName name="FY97c">#REF!</definedName>
    <definedName name="FY98.">#REF!</definedName>
    <definedName name="FY98_">#REF!</definedName>
    <definedName name="FY98c">#REF!</definedName>
    <definedName name="FY99.">#REF!</definedName>
    <definedName name="FY99_">#REF!</definedName>
    <definedName name="FY99c">#REF!</definedName>
    <definedName name="FYE">#REF!</definedName>
    <definedName name="FYEnd" localSheetId="10">[54]Introduction!$E$17</definedName>
    <definedName name="FYEnd">#REF!</definedName>
    <definedName name="FYENDA">#REF!</definedName>
    <definedName name="fzpotato">#REF!</definedName>
    <definedName name="G" localSheetId="10">[1]bajaj_copeland!$P$227</definedName>
    <definedName name="G">#REF!</definedName>
    <definedName name="gb" localSheetId="4">#REF!</definedName>
    <definedName name="gb">[29]UploaderV4!$F$135:$AE$135</definedName>
    <definedName name="GBALANCE" localSheetId="10">[1]bajaj_copeland!$M$52</definedName>
    <definedName name="GBALANCE">#REF!</definedName>
    <definedName name="gbint" localSheetId="4">#REF!</definedName>
    <definedName name="gbint">[29]UploaderV4!$F$137:$AE$137</definedName>
    <definedName name="GBL_Increase_Net_Debt">#REF!</definedName>
    <definedName name="GBL_Working_Capital_Increase">#REF!</definedName>
    <definedName name="gbt" localSheetId="4">#REF!</definedName>
    <definedName name="gbt">[29]UploaderV4!$F$136:$AE$136</definedName>
    <definedName name="GCAP_INVEST" localSheetId="10">[1]bajaj_copeland!$M$148</definedName>
    <definedName name="GCAP_INVEST">#REF!</definedName>
    <definedName name="GDR_EXRATE">#REF!</definedName>
    <definedName name="gearing">#REF!</definedName>
    <definedName name="General_Administrative_Expenses">#REF!</definedName>
    <definedName name="General_Reserve">#REF!</definedName>
    <definedName name="General_Reserve_PL">#REF!</definedName>
    <definedName name="General_Reserves">#REF!</definedName>
    <definedName name="GeneralExp">#REF!</definedName>
    <definedName name="geog">#REF!</definedName>
    <definedName name="geogsp">"Chart 2"</definedName>
    <definedName name="GFA">#REF!</definedName>
    <definedName name="gfgr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INANCE" localSheetId="9">#REF!</definedName>
    <definedName name="GFINANCE" localSheetId="10">[1]bajaj_copeland!$M$287</definedName>
    <definedName name="GFINANCE">#REF!</definedName>
    <definedName name="GFORECAST" localSheetId="9">#REF!</definedName>
    <definedName name="GFORECAST" localSheetId="10">[1]bajaj_copeland!$F$562</definedName>
    <definedName name="GFORECAST">#REF!</definedName>
    <definedName name="GFREE_CASH" localSheetId="9">#REF!</definedName>
    <definedName name="GFREE_CASH" localSheetId="10">[1]bajaj_copeland!$M$182</definedName>
    <definedName name="GFREE_CASH">#REF!</definedName>
    <definedName name="ggg"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n" hidden="1">#N/A</definedName>
    <definedName name="ggrtr"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hb" hidden="1">#N/A</definedName>
    <definedName name="ghgh" hidden="1">#N/A</definedName>
    <definedName name="GI" localSheetId="9">#REF!</definedName>
    <definedName name="GI">#REF!</definedName>
    <definedName name="GINCOME" localSheetId="9">#REF!</definedName>
    <definedName name="GINCOME" localSheetId="10">[1]bajaj_copeland!$M$8</definedName>
    <definedName name="GINCOME">#REF!</definedName>
    <definedName name="GINPUT" localSheetId="9">#REF!</definedName>
    <definedName name="GINPUT" localSheetId="10">[1]bajaj_copeland!#REF!</definedName>
    <definedName name="GINPUT">#REF!</definedName>
    <definedName name="GK_RESULTS" localSheetId="10">[1]bajaj_copeland!$M$335</definedName>
    <definedName name="GK_RESULTS">#REF!</definedName>
    <definedName name="GLO_FOR_RangeModelOL01">#REF!</definedName>
    <definedName name="GLO_FOR_RangeModelOL02">#REF!</definedName>
    <definedName name="GLO_FOR_RangeModelOL03">#REF!</definedName>
    <definedName name="GLO_FOR_RangeModelOL04">#REF!</definedName>
    <definedName name="GLO_FOR_RangeModelOL05">#REF!</definedName>
    <definedName name="GLO_FOR_RangeModelOL06">#REF!</definedName>
    <definedName name="GLO_FOR_RangeModelOL07">#REF!</definedName>
    <definedName name="GLO_FOR_RangeModelOL08">#REF!</definedName>
    <definedName name="GLO_FOR_RangeModelOL09">#REF!</definedName>
    <definedName name="GLO_FOR_RangeModelOL10">#REF!</definedName>
    <definedName name="GLO_FOR_RangeModelOL11">#REF!</definedName>
    <definedName name="GLO_FOR_RangeModelOL12">#REF!</definedName>
    <definedName name="GLO_FOR_RangeModelOL13">#REF!</definedName>
    <definedName name="GLO_FOR_RangeModelOL14">#REF!</definedName>
    <definedName name="GLO_FOR_RangeModelOL15">#REF!</definedName>
    <definedName name="GLO_FOR_RangeModelOL16">#REF!</definedName>
    <definedName name="GLO_FOR_RangeModelOL17">#REF!</definedName>
    <definedName name="GLO_FOR_RangeModelOL18">#REF!</definedName>
    <definedName name="GLO_FOR_RangeModelOL19">#REF!</definedName>
    <definedName name="GLO_FOR_RangeModelOL20">#REF!</definedName>
    <definedName name="GLO_FOR_RangeModelOL21">#REF!</definedName>
    <definedName name="GLO_RangeModelChange1">#REF!</definedName>
    <definedName name="GLO_REP_RangeModelOL01">#REF!</definedName>
    <definedName name="GLO_REP_RangeModelOL02">#REF!</definedName>
    <definedName name="GLO_REP_RangeModelOL03">#REF!</definedName>
    <definedName name="GLO_REP_RangeModelOL04">#REF!</definedName>
    <definedName name="GLO_REP_RangeModelOL05">#REF!</definedName>
    <definedName name="gls_ALLOW_PARENT_OR_CONSOLIDATED" localSheetId="10" hidden="1">[76]_Control!$D$41</definedName>
    <definedName name="gls_ALLOW_PARENT_OR_CONSOLIDATED" hidden="1">#REF!</definedName>
    <definedName name="gls_EXC_NOT_EXT" localSheetId="10" hidden="1">[76]_Control!$D$35</definedName>
    <definedName name="gls_EXC_NOT_EXT" hidden="1">#REF!</definedName>
    <definedName name="gls_GLOSS_MONTHS" localSheetId="10" hidden="1">[76]_Control!$A$1:$A$12</definedName>
    <definedName name="gls_GLOSS_MONTHS" hidden="1">#REF!</definedName>
    <definedName name="gls_GW_IN" localSheetId="10" hidden="1">[76]_Control!$D$36</definedName>
    <definedName name="gls_GW_IN" hidden="1">#REF!</definedName>
    <definedName name="gls_StockTicker" localSheetId="10" hidden="1">[76]_Control!$D$20</definedName>
    <definedName name="gls_StockTicker" hidden="1">#REF!</definedName>
    <definedName name="GMARGIN">#REF!</definedName>
    <definedName name="GNOPLAT" localSheetId="10">[1]bajaj_copeland!$W$333</definedName>
    <definedName name="GNOPLAT">#REF!</definedName>
    <definedName name="goodwill" localSheetId="10">[28]Template!$D$241:$T$241</definedName>
    <definedName name="goodwill">#REF!</definedName>
    <definedName name="Goodwill_Amort">#REF!</definedName>
    <definedName name="Goodwill_growth_fore">#REF!</definedName>
    <definedName name="GOPERATING" localSheetId="10">[1]bajaj_copeland!$M$247</definedName>
    <definedName name="GOPERATING">#REF!</definedName>
    <definedName name="Government_Securities">#REF!</definedName>
    <definedName name="GPROFIT">#REF!</definedName>
    <definedName name="GR" localSheetId="4">#REF!</definedName>
    <definedName name="GR">[46]PLold!#REF!</definedName>
    <definedName name="gratuity" localSheetId="4">#REF!</definedName>
    <definedName name="gratuity">[29]UploaderV4!$F$187:$AE$187</definedName>
    <definedName name="gross_block">#REF!</definedName>
    <definedName name="Gross_block_total">#REF!</definedName>
    <definedName name="gross_fixed_assets" localSheetId="10">[28]Template!$D$191:$T$191</definedName>
    <definedName name="gross_fixed_assets">#REF!</definedName>
    <definedName name="gross_fixed_assets_A">#REF!</definedName>
    <definedName name="gross_fixed_assets_avg">#REF!</definedName>
    <definedName name="Gross_inc_growth">#REF!</definedName>
    <definedName name="Gross_income">#REF!</definedName>
    <definedName name="Gross_income_fore">#REF!</definedName>
    <definedName name="Gross_income_growth_avg">#REF!</definedName>
    <definedName name="gross_margin">#REF!</definedName>
    <definedName name="Gross_margin_fore">#REF!</definedName>
    <definedName name="Gross_NPAs_Q">#REF!</definedName>
    <definedName name="gross_profit">#REF!</definedName>
    <definedName name="gross_sales">#REF!</definedName>
    <definedName name="gross_sales_A">#REF!</definedName>
    <definedName name="gross_sales_Q">#REF!</definedName>
    <definedName name="gross_sales_qtr">#REF!</definedName>
    <definedName name="GrossBlock">#REF!</definedName>
    <definedName name="Grossrevenue">#REF!</definedName>
    <definedName name="GrossSales">#REF!</definedName>
    <definedName name="Group7" localSheetId="4">{"Mcp08.PrintRep",""}</definedName>
    <definedName name="Group7">{"Mcp08.PrintRep",""}</definedName>
    <definedName name="Grow" localSheetId="4">#REF!</definedName>
    <definedName name="Grow">[26]FinancialsNew!#REF!</definedName>
    <definedName name="Growth" localSheetId="10">[77]Structure!$L$5:$L$7</definedName>
    <definedName name="Growth">#REF!</definedName>
    <definedName name="Growth_97" localSheetId="4">#REF!</definedName>
    <definedName name="Growth_97">'[12]#REF'!$AD$227</definedName>
    <definedName name="Growth_98" localSheetId="4">#REF!</definedName>
    <definedName name="Growth_98">'[12]#REF'!$AE$227</definedName>
    <definedName name="Growth_99" localSheetId="4">#REF!</definedName>
    <definedName name="Growth_99">'[12]#REF'!$AF$227</definedName>
    <definedName name="growth_period">#REF!</definedName>
    <definedName name="Growth_ratios__yoy">#REF!</definedName>
    <definedName name="GrowthOfGrossSales">#REF!</definedName>
    <definedName name="GrowthOfNetProfit">#REF!</definedName>
    <definedName name="GrowthOfOperatingProfit">#REF!</definedName>
    <definedName name="growthprint1">#REF!</definedName>
    <definedName name="growthprint2">#REF!</definedName>
    <definedName name="GrowthRateAdvances">#REF!</definedName>
    <definedName name="GrowthRateDeposits">#REF!</definedName>
    <definedName name="GrPbtIt">#REF!</definedName>
    <definedName name="GRSALES" localSheetId="4">#REF!</definedName>
    <definedName name="GRSALES">[46]PLold!$A$103:$K$107</definedName>
    <definedName name="GS">#REF!</definedName>
    <definedName name="GSUP_CALC" localSheetId="10">[1]bajaj_copeland!$M$380</definedName>
    <definedName name="GSUP_CALC">#REF!</definedName>
    <definedName name="g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uarantee">#REF!</definedName>
    <definedName name="Guarantee__Listing___Trusteeship_fees">#REF!</definedName>
    <definedName name="GUIDE" localSheetId="4">#REF!</definedName>
    <definedName name="GUIDE">[46]PLold!$A$101:$K$336</definedName>
    <definedName name="guocowgt">#REF!</definedName>
    <definedName name="GVALUE" localSheetId="9">#REF!</definedName>
    <definedName name="GVALUE" localSheetId="10">[1]bajaj_copeland!$F$574</definedName>
    <definedName name="GVALUE">#REF!</definedName>
    <definedName name="gw" localSheetId="4">#REF!</definedName>
    <definedName name="gw">[29]UploaderV4!$F$143:$AE$143</definedName>
    <definedName name="gyh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_INCOME" localSheetId="9">#REF!</definedName>
    <definedName name="H_INCOME" localSheetId="10">[1]bajaj_copeland!$C$8</definedName>
    <definedName name="H_INCOME">#REF!</definedName>
    <definedName name="H1.1" localSheetId="9">#REF!</definedName>
    <definedName name="H1.1">#REF!</definedName>
    <definedName name="H1.2" localSheetId="9">#REF!,#REF!,#REF!</definedName>
    <definedName name="H1.2">#REF!,#REF!,#REF!</definedName>
    <definedName name="H2.1" localSheetId="9">#REF!,#REF!,#REF!</definedName>
    <definedName name="H2.1">#REF!,#REF!,#REF!</definedName>
    <definedName name="H2.2" localSheetId="9">#REF!,#REF!,#REF!</definedName>
    <definedName name="H2.2">#REF!,#REF!,#REF!</definedName>
    <definedName name="half">#REF!</definedName>
    <definedName name="half_yearly" localSheetId="9">#REF!</definedName>
    <definedName name="half_yearly">#REF!</definedName>
    <definedName name="hanilwgt">#REF!</definedName>
    <definedName name="HBALANCE" localSheetId="9">#REF!</definedName>
    <definedName name="HBALANCE" localSheetId="10">[1]bajaj_copeland!$C$52</definedName>
    <definedName name="HBALANCE">#REF!</definedName>
    <definedName name="HCAP_INVEST" localSheetId="9">#REF!</definedName>
    <definedName name="HCAP_INVEST" localSheetId="10">[1]bajaj_copeland!$C$148</definedName>
    <definedName name="HCAP_INVEST">#REF!</definedName>
    <definedName name="HCBS_BM11">#REF!</definedName>
    <definedName name="HCBS_BM110">#REF!</definedName>
    <definedName name="HCBS_BM111">#REF!</definedName>
    <definedName name="HCBS_BM112">#REF!</definedName>
    <definedName name="HCBS_BM113">#REF!</definedName>
    <definedName name="HCBS_BM114">#REF!</definedName>
    <definedName name="HCBS_BM115">#REF!</definedName>
    <definedName name="HCBS_BM116">#REF!</definedName>
    <definedName name="HCBS_BM117">#REF!</definedName>
    <definedName name="HCBS_BM118">#REF!</definedName>
    <definedName name="HCBS_BM119">#REF!</definedName>
    <definedName name="HCBS_BM12">#REF!</definedName>
    <definedName name="HCBS_BM120">#REF!</definedName>
    <definedName name="HCBS_BM121">#REF!</definedName>
    <definedName name="HCBS_BM122">#REF!</definedName>
    <definedName name="HCBS_BM123">#REF!</definedName>
    <definedName name="HCBS_BM124">#REF!</definedName>
    <definedName name="HCBS_BM125">#REF!</definedName>
    <definedName name="HCBS_BM13">#REF!</definedName>
    <definedName name="HCBS_BM14">#REF!</definedName>
    <definedName name="HCBS_BM15">#REF!</definedName>
    <definedName name="HCBS_BM16">#REF!</definedName>
    <definedName name="HCBS_BM17">#REF!</definedName>
    <definedName name="HCBS_BM18">#REF!</definedName>
    <definedName name="HCBS_BM19">#REF!</definedName>
    <definedName name="HCBS_BM21">#REF!</definedName>
    <definedName name="HCBS_BM210_N0">#REF!</definedName>
    <definedName name="HCBS_BM211_N0">#REF!</definedName>
    <definedName name="HCBS_BM212_N0">#REF!</definedName>
    <definedName name="HCBS_BM213_N0">#REF!</definedName>
    <definedName name="HCBS_BM214_N0">#REF!</definedName>
    <definedName name="HCBS_BM215_N0">#REF!</definedName>
    <definedName name="HCBS_BM216_N0">#REF!</definedName>
    <definedName name="HCBS_BM217_N0">#REF!</definedName>
    <definedName name="HCBS_BM218_N0">#REF!</definedName>
    <definedName name="HCBS_BM219_N0">#REF!</definedName>
    <definedName name="HCBS_BM22_N0">#REF!</definedName>
    <definedName name="HCBS_BM220_N1">#REF!</definedName>
    <definedName name="HCBS_BM221_N1">#REF!</definedName>
    <definedName name="HCBS_BM222_N1">#REF!</definedName>
    <definedName name="HCBS_BM223_N1">#REF!</definedName>
    <definedName name="HCBS_BM224_N1">#REF!</definedName>
    <definedName name="HCBS_BM225_N1">#REF!</definedName>
    <definedName name="HCBS_BM23_N0">#REF!</definedName>
    <definedName name="HCBS_BM24_N0">#REF!</definedName>
    <definedName name="HCBS_BM25_N0">#REF!</definedName>
    <definedName name="HCBS_BM26_N0">#REF!</definedName>
    <definedName name="HCBS_BM27_N0">#REF!</definedName>
    <definedName name="HCBS_BM28_N0">#REF!</definedName>
    <definedName name="HCBS_BM29_N0">#REF!</definedName>
    <definedName name="HCBS_BM31">#REF!</definedName>
    <definedName name="HCBS_BM310_N0">#REF!</definedName>
    <definedName name="HCBS_BM311_N0">#REF!</definedName>
    <definedName name="HCBS_BM312_N0">#REF!</definedName>
    <definedName name="HCBS_BM313_N0">#REF!</definedName>
    <definedName name="HCBS_BM314_N0">#REF!</definedName>
    <definedName name="HCBS_BM315_N0">#REF!</definedName>
    <definedName name="HCBS_BM316_N0">#REF!</definedName>
    <definedName name="HCBS_BM317_N0">#REF!</definedName>
    <definedName name="HCBS_BM318_N0">#REF!</definedName>
    <definedName name="HCBS_BM319_N0">#REF!</definedName>
    <definedName name="HCBS_BM32_N0">#REF!</definedName>
    <definedName name="HCBS_BM320_N1">#REF!</definedName>
    <definedName name="HCBS_BM321_N1">#REF!</definedName>
    <definedName name="HCBS_BM322_N1">#REF!</definedName>
    <definedName name="HCBS_BM323_N1">#REF!</definedName>
    <definedName name="HCBS_BM324_N1">#REF!</definedName>
    <definedName name="HCBS_BM325_N1">#REF!</definedName>
    <definedName name="HCBS_BM33_N0">#REF!</definedName>
    <definedName name="HCBS_BM34_N0">#REF!</definedName>
    <definedName name="HCBS_BM35_N0">#REF!</definedName>
    <definedName name="HCBS_BM36_N0">#REF!</definedName>
    <definedName name="HCBS_BM37_N0">#REF!</definedName>
    <definedName name="HCBS_BM38_N0">#REF!</definedName>
    <definedName name="HCBS_BM39_N0">#REF!</definedName>
    <definedName name="HCBS_BM41">#REF!</definedName>
    <definedName name="HCBS_BM410_N0">#REF!</definedName>
    <definedName name="HCBS_BM411_N0">#REF!</definedName>
    <definedName name="HCBS_BM412_N0">#REF!</definedName>
    <definedName name="HCBS_BM413_N0">#REF!</definedName>
    <definedName name="HCBS_BM414_N0">#REF!</definedName>
    <definedName name="HCBS_BM415_N0">#REF!</definedName>
    <definedName name="HCBS_BM416_N0">#REF!</definedName>
    <definedName name="HCBS_BM417_N0">#REF!</definedName>
    <definedName name="HCBS_BM418_N0">#REF!</definedName>
    <definedName name="HCBS_BM419_N0">#REF!</definedName>
    <definedName name="HCBS_BM42_N0">#REF!</definedName>
    <definedName name="HCBS_BM420_N1">#REF!</definedName>
    <definedName name="HCBS_BM421_N1">#REF!</definedName>
    <definedName name="HCBS_BM422_N1">#REF!</definedName>
    <definedName name="HCBS_BM423_N1">#REF!</definedName>
    <definedName name="HCBS_BM424_N1">#REF!</definedName>
    <definedName name="HCBS_BM425_N1">#REF!</definedName>
    <definedName name="HCBS_BM43_N0">#REF!</definedName>
    <definedName name="HCBS_BM44_N0">#REF!</definedName>
    <definedName name="HCBS_BM45_N0">#REF!</definedName>
    <definedName name="HCBS_BM46_N0">#REF!</definedName>
    <definedName name="HCBS_BM47_N0">#REF!</definedName>
    <definedName name="HCBS_BM48_N0">#REF!</definedName>
    <definedName name="HCBS_BM49_N0">#REF!</definedName>
    <definedName name="HCBS_BM51">#REF!</definedName>
    <definedName name="HCBS_BM510_N0">#REF!</definedName>
    <definedName name="HCBS_BM511_N0">#REF!</definedName>
    <definedName name="HCBS_BM512_N0">#REF!</definedName>
    <definedName name="HCBS_BM513_N0">#REF!</definedName>
    <definedName name="HCBS_BM514_N0">#REF!</definedName>
    <definedName name="HCBS_BM515_N0">#REF!</definedName>
    <definedName name="HCBS_BM516_N0">#REF!</definedName>
    <definedName name="HCBS_BM517_N0">#REF!</definedName>
    <definedName name="HCBS_BM518_N0">#REF!</definedName>
    <definedName name="HCBS_BM519_N0">#REF!</definedName>
    <definedName name="HCBS_BM52_N0">#REF!</definedName>
    <definedName name="HCBS_BM520_N1">#REF!</definedName>
    <definedName name="HCBS_BM521_N1">#REF!</definedName>
    <definedName name="HCBS_BM522_N1">#REF!</definedName>
    <definedName name="HCBS_BM523_N1">#REF!</definedName>
    <definedName name="HCBS_BM524_N1">#REF!</definedName>
    <definedName name="HCBS_BM525_N1">#REF!</definedName>
    <definedName name="HCBS_BM53_N0">#REF!</definedName>
    <definedName name="HCBS_BM54_N0">#REF!</definedName>
    <definedName name="HCBS_BM55_N0">#REF!</definedName>
    <definedName name="HCBS_BM56_N0">#REF!</definedName>
    <definedName name="HCBS_BM57_N0">#REF!</definedName>
    <definedName name="HCBS_BM58_N0">#REF!</definedName>
    <definedName name="HCBS_BM59_N0">#REF!</definedName>
    <definedName name="HCCF_BM11">#REF!</definedName>
    <definedName name="HCCF_BM110">#REF!</definedName>
    <definedName name="HCCF_BM111">#REF!</definedName>
    <definedName name="HCCF_BM112">#REF!</definedName>
    <definedName name="HCCF_BM113">#REF!</definedName>
    <definedName name="HCCF_BM114">#REF!</definedName>
    <definedName name="HCCF_BM115">#REF!</definedName>
    <definedName name="HCCF_BM116">#REF!</definedName>
    <definedName name="HCCF_BM117">#REF!</definedName>
    <definedName name="HCCF_BM118">#REF!</definedName>
    <definedName name="HCCF_BM120">#REF!</definedName>
    <definedName name="HCCF_BM121">#REF!</definedName>
    <definedName name="HCCF_BM122">#REF!</definedName>
    <definedName name="HCCF_BM123">#REF!</definedName>
    <definedName name="HCCF_BM124">#REF!</definedName>
    <definedName name="HCCF_BM125">#REF!</definedName>
    <definedName name="HCCF_BM126">#REF!</definedName>
    <definedName name="HCCF_BM13">#REF!</definedName>
    <definedName name="HCCF_BM14">#REF!</definedName>
    <definedName name="HCCF_BM15">#REF!</definedName>
    <definedName name="HCCF_BM16">#REF!</definedName>
    <definedName name="HCCF_BM17">#REF!</definedName>
    <definedName name="HCCF_BM18">#REF!</definedName>
    <definedName name="HCCF_BM19">#REF!</definedName>
    <definedName name="HCCF_BM21">#REF!</definedName>
    <definedName name="HCCF_BM210_N0">#REF!</definedName>
    <definedName name="HCCF_BM211_N0">#REF!</definedName>
    <definedName name="HCCF_BM212_N0">#REF!</definedName>
    <definedName name="HCCF_BM213_N0">#REF!</definedName>
    <definedName name="HCCF_BM214_N0">#REF!</definedName>
    <definedName name="HCCF_BM215_N0">#REF!</definedName>
    <definedName name="HCCF_BM216_N0">#REF!</definedName>
    <definedName name="HCCF_BM217_P0">#REF!</definedName>
    <definedName name="HCCF_BM218">#REF!</definedName>
    <definedName name="HCCF_BM218_P0">#REF!</definedName>
    <definedName name="HCCF_BM219_P0">#REF!</definedName>
    <definedName name="HCCF_BM22_N0">#REF!</definedName>
    <definedName name="HCCF_BM220_P0">#REF!</definedName>
    <definedName name="HCCF_BM221_N1">#REF!</definedName>
    <definedName name="HCCF_BM222_N1">#REF!</definedName>
    <definedName name="HCCF_BM223_N1">#REF!</definedName>
    <definedName name="HCCF_BM224_N1">#REF!</definedName>
    <definedName name="HCCF_BM225_N1">#REF!</definedName>
    <definedName name="HCCF_BM226_P1">#REF!</definedName>
    <definedName name="HCCF_BM23_N0">#REF!</definedName>
    <definedName name="HCCF_BM24_N0">#REF!</definedName>
    <definedName name="HCCF_BM25_N0">#REF!</definedName>
    <definedName name="HCCF_BM26_N0">#REF!</definedName>
    <definedName name="HCCF_BM27_N0">#REF!</definedName>
    <definedName name="HCCF_BM28_N0">#REF!</definedName>
    <definedName name="HCCF_BM29_N0">#REF!</definedName>
    <definedName name="HCCF_BM31">#REF!</definedName>
    <definedName name="HCCF_BM310_N0">#REF!</definedName>
    <definedName name="HCCF_BM311_N0">#REF!</definedName>
    <definedName name="HCCF_BM312_N0">#REF!</definedName>
    <definedName name="HCCF_BM313_N0">#REF!</definedName>
    <definedName name="HCCF_BM314_N0">#REF!</definedName>
    <definedName name="HCCF_BM315_N0">#REF!</definedName>
    <definedName name="HCCF_BM316_N0">#REF!</definedName>
    <definedName name="HCCF_BM317_P0">#REF!</definedName>
    <definedName name="HCCF_BM318">#REF!</definedName>
    <definedName name="HCCF_BM318_P0">#REF!</definedName>
    <definedName name="HCCF_BM319_P0">#REF!</definedName>
    <definedName name="HCCF_BM32_N0">#REF!</definedName>
    <definedName name="HCCF_BM320_P0">#REF!</definedName>
    <definedName name="HCCF_BM321_N1">#REF!</definedName>
    <definedName name="HCCF_BM322_N1">#REF!</definedName>
    <definedName name="HCCF_BM323_N1">#REF!</definedName>
    <definedName name="HCCF_BM324_N1">#REF!</definedName>
    <definedName name="HCCF_BM325_N1">#REF!</definedName>
    <definedName name="HCCF_BM326_P1">#REF!</definedName>
    <definedName name="HCCF_BM33_N0">#REF!</definedName>
    <definedName name="HCCF_BM34_N0">#REF!</definedName>
    <definedName name="HCCF_BM35_N0">#REF!</definedName>
    <definedName name="HCCF_BM36_N0">#REF!</definedName>
    <definedName name="HCCF_BM37_N0">#REF!</definedName>
    <definedName name="HCCF_BM38_N0">#REF!</definedName>
    <definedName name="HCCF_BM39_N0">#REF!</definedName>
    <definedName name="HCCF_BM41">#REF!</definedName>
    <definedName name="HCCF_BM410_N0">#REF!</definedName>
    <definedName name="HCCF_BM411_N0">#REF!</definedName>
    <definedName name="HCCF_BM412_N0">#REF!</definedName>
    <definedName name="HCCF_BM413_N0">#REF!</definedName>
    <definedName name="HCCF_BM414_N0">#REF!</definedName>
    <definedName name="HCCF_BM415_N0">#REF!</definedName>
    <definedName name="HCCF_BM416_N0">#REF!</definedName>
    <definedName name="HCCF_BM417_P0">#REF!</definedName>
    <definedName name="HCCF_BM418">#REF!</definedName>
    <definedName name="HCCF_BM418_P0">#REF!</definedName>
    <definedName name="HCCF_BM419_P0">#REF!</definedName>
    <definedName name="HCCF_BM42_N0">#REF!</definedName>
    <definedName name="HCCF_BM420_P0">#REF!</definedName>
    <definedName name="HCCF_BM421_N1">#REF!</definedName>
    <definedName name="HCCF_BM422_N1">#REF!</definedName>
    <definedName name="HCCF_BM423_N1">#REF!</definedName>
    <definedName name="HCCF_BM424_N1">#REF!</definedName>
    <definedName name="HCCF_BM425_N1">#REF!</definedName>
    <definedName name="HCCF_BM426_P1">#REF!</definedName>
    <definedName name="HCCF_BM43_N0">#REF!</definedName>
    <definedName name="HCCF_BM44_N0">#REF!</definedName>
    <definedName name="HCCF_BM45_N0">#REF!</definedName>
    <definedName name="HCCF_BM46_N0">#REF!</definedName>
    <definedName name="HCCF_BM47_N0">#REF!</definedName>
    <definedName name="HCCF_BM48_N0">#REF!</definedName>
    <definedName name="HCCF_BM49_N0">#REF!</definedName>
    <definedName name="HCCF_BM51">#REF!</definedName>
    <definedName name="HCCF_BM510_N0">#REF!</definedName>
    <definedName name="HCCF_BM511_N0">#REF!</definedName>
    <definedName name="HCCF_BM512_N0">#REF!</definedName>
    <definedName name="HCCF_BM513_N0">#REF!</definedName>
    <definedName name="HCCF_BM514_N0">#REF!</definedName>
    <definedName name="HCCF_BM515_N0">#REF!</definedName>
    <definedName name="HCCF_BM516_N0">#REF!</definedName>
    <definedName name="HCCF_BM517_P0">#REF!</definedName>
    <definedName name="HCCF_BM518">#REF!</definedName>
    <definedName name="HCCF_BM518_P0">#REF!</definedName>
    <definedName name="HCCF_BM519_P0">#REF!</definedName>
    <definedName name="HCCF_BM52_N0">#REF!</definedName>
    <definedName name="HCCF_BM520_P0">#REF!</definedName>
    <definedName name="HCCF_BM521_N1">#REF!</definedName>
    <definedName name="HCCF_BM522_N1">#REF!</definedName>
    <definedName name="HCCF_BM523_N1">#REF!</definedName>
    <definedName name="HCCF_BM524_N1">#REF!</definedName>
    <definedName name="HCCF_BM525_N1">#REF!</definedName>
    <definedName name="HCCF_BM526_P1">#REF!</definedName>
    <definedName name="HCCF_BM53_N0">#REF!</definedName>
    <definedName name="HCCF_BM54_N0">#REF!</definedName>
    <definedName name="HCCF_BM55_N0">#REF!</definedName>
    <definedName name="HCCF_BM56_N0">#REF!</definedName>
    <definedName name="HCCF_BM57_N0">#REF!</definedName>
    <definedName name="HCCF_BM58_N0">#REF!</definedName>
    <definedName name="HCCF_BM59_N0">#REF!</definedName>
    <definedName name="HCPL_BM11">#REF!</definedName>
    <definedName name="HCPL_BM110">#REF!</definedName>
    <definedName name="HCPL_BM111">#REF!</definedName>
    <definedName name="HCPL_BM112">#REF!</definedName>
    <definedName name="HCPL_BM113">#REF!</definedName>
    <definedName name="HCPL_BM114">#REF!</definedName>
    <definedName name="HCPL_BM115">#REF!</definedName>
    <definedName name="HCPL_BM116">#REF!</definedName>
    <definedName name="HCPL_BM117">#REF!</definedName>
    <definedName name="HCPL_BM118">#REF!</definedName>
    <definedName name="HCPL_BM120">#REF!</definedName>
    <definedName name="HCPL_BM121">#REF!</definedName>
    <definedName name="HCPL_BM122">#REF!</definedName>
    <definedName name="HCPL_BM123">#REF!</definedName>
    <definedName name="HCPL_BM124">#REF!</definedName>
    <definedName name="HCPL_BM125">#REF!</definedName>
    <definedName name="HCPL_BM126">#REF!</definedName>
    <definedName name="HCPL_BM13">#REF!</definedName>
    <definedName name="HCPL_BM14">#REF!</definedName>
    <definedName name="HCPL_BM15">#REF!</definedName>
    <definedName name="HCPL_BM16">#REF!</definedName>
    <definedName name="HCPL_BM17">#REF!</definedName>
    <definedName name="HCPL_BM18">#REF!</definedName>
    <definedName name="HCPL_BM19">#REF!</definedName>
    <definedName name="HCPL_BM21">#REF!</definedName>
    <definedName name="HCPL_BM210_N0">#REF!</definedName>
    <definedName name="HCPL_BM211_N0">#REF!</definedName>
    <definedName name="HCPL_BM212_N0">#REF!</definedName>
    <definedName name="HCPL_BM213_N0">#REF!</definedName>
    <definedName name="HCPL_BM214_N0">#REF!</definedName>
    <definedName name="HCPL_BM214_N1">#REF!</definedName>
    <definedName name="HCPL_BM215_N0">#REF!</definedName>
    <definedName name="HCPL_BM215_N1">#REF!</definedName>
    <definedName name="HCPL_BM216_N0">#REF!</definedName>
    <definedName name="HCPL_BM217_N1">#REF!</definedName>
    <definedName name="HCPL_BM218">#REF!</definedName>
    <definedName name="HCPL_BM218_N1">#REF!</definedName>
    <definedName name="HCPL_BM219_N1">#REF!</definedName>
    <definedName name="HCPL_BM22_N0">#REF!</definedName>
    <definedName name="HCPL_BM220_N1">#REF!</definedName>
    <definedName name="HCPL_BM221_N1">#REF!</definedName>
    <definedName name="HCPL_BM222_P0">#REF!</definedName>
    <definedName name="HCPL_BM223_P0">#REF!</definedName>
    <definedName name="HCPL_BM224_P0">#REF!</definedName>
    <definedName name="HCPL_BM225_P0">#REF!</definedName>
    <definedName name="HCPL_BM226_P0">#REF!</definedName>
    <definedName name="HCPL_BM23_N0">#REF!</definedName>
    <definedName name="HCPL_BM24_N0">#REF!</definedName>
    <definedName name="HCPL_BM25_N0">#REF!</definedName>
    <definedName name="HCPL_BM26_N0">#REF!</definedName>
    <definedName name="HCPL_BM27_N0">#REF!</definedName>
    <definedName name="HCPL_BM28_N0">#REF!</definedName>
    <definedName name="HCPL_BM29_N0">#REF!</definedName>
    <definedName name="HCPL_BM31">#REF!</definedName>
    <definedName name="HCPL_BM310_N0">#REF!</definedName>
    <definedName name="HCPL_BM311_N0">#REF!</definedName>
    <definedName name="HCPL_BM312_N0">#REF!</definedName>
    <definedName name="HCPL_BM313_N0">#REF!</definedName>
    <definedName name="HCPL_BM314_N0">#REF!</definedName>
    <definedName name="HCPL_BM314_N1">#REF!</definedName>
    <definedName name="HCPL_BM315_N0">#REF!</definedName>
    <definedName name="HCPL_BM315_N1">#REF!</definedName>
    <definedName name="HCPL_BM316_N0">#REF!</definedName>
    <definedName name="HCPL_BM317_N1">#REF!</definedName>
    <definedName name="HCPL_BM318">#REF!</definedName>
    <definedName name="HCPL_BM318_N1">#REF!</definedName>
    <definedName name="HCPL_BM319_N1">#REF!</definedName>
    <definedName name="HCPL_BM32_N0">#REF!</definedName>
    <definedName name="HCPL_BM320_N1">#REF!</definedName>
    <definedName name="HCPL_BM321_N1">#REF!</definedName>
    <definedName name="HCPL_BM322_P0">#REF!</definedName>
    <definedName name="HCPL_BM323_P0">#REF!</definedName>
    <definedName name="HCPL_BM324_P0">#REF!</definedName>
    <definedName name="HCPL_BM325_P0">#REF!</definedName>
    <definedName name="HCPL_BM326_P0">#REF!</definedName>
    <definedName name="HCPL_BM33_N0">#REF!</definedName>
    <definedName name="HCPL_BM34_N0">#REF!</definedName>
    <definedName name="HCPL_BM35_N0">#REF!</definedName>
    <definedName name="HCPL_BM36_N0">#REF!</definedName>
    <definedName name="HCPL_BM37_N0">#REF!</definedName>
    <definedName name="HCPL_BM38_N0">#REF!</definedName>
    <definedName name="HCPL_BM39_N0">#REF!</definedName>
    <definedName name="HCPL_BM41">#REF!</definedName>
    <definedName name="HCPL_BM410_N0">#REF!</definedName>
    <definedName name="HCPL_BM411_N0">#REF!</definedName>
    <definedName name="HCPL_BM412_N0">#REF!</definedName>
    <definedName name="HCPL_BM413_N0">#REF!</definedName>
    <definedName name="HCPL_BM414_N0">#REF!</definedName>
    <definedName name="HCPL_BM414_N1">#REF!</definedName>
    <definedName name="HCPL_BM415_N0">#REF!</definedName>
    <definedName name="HCPL_BM415_N1">#REF!</definedName>
    <definedName name="HCPL_BM416_N0">#REF!</definedName>
    <definedName name="HCPL_BM417_N1">#REF!</definedName>
    <definedName name="HCPL_BM418">#REF!</definedName>
    <definedName name="HCPL_BM418_N1">#REF!</definedName>
    <definedName name="HCPL_BM419_N1">#REF!</definedName>
    <definedName name="HCPL_BM42_N0">#REF!</definedName>
    <definedName name="HCPL_BM420_N1">#REF!</definedName>
    <definedName name="HCPL_BM421_N1">#REF!</definedName>
    <definedName name="HCPL_BM422_P0">#REF!</definedName>
    <definedName name="HCPL_BM423_P0">#REF!</definedName>
    <definedName name="HCPL_BM424_P0">#REF!</definedName>
    <definedName name="HCPL_BM425_P0">#REF!</definedName>
    <definedName name="HCPL_BM426_P0">#REF!</definedName>
    <definedName name="HCPL_BM43_N0">#REF!</definedName>
    <definedName name="HCPL_BM44_N0">#REF!</definedName>
    <definedName name="HCPL_BM45_N0">#REF!</definedName>
    <definedName name="HCPL_BM46_N0">#REF!</definedName>
    <definedName name="HCPL_BM47_N0">#REF!</definedName>
    <definedName name="HCPL_BM48_N0">#REF!</definedName>
    <definedName name="HCPL_BM49_N0">#REF!</definedName>
    <definedName name="HCPL_BM51">#REF!</definedName>
    <definedName name="HCPL_BM510_N0">#REF!</definedName>
    <definedName name="HCPL_BM511_N0">#REF!</definedName>
    <definedName name="HCPL_BM512_N0">#REF!</definedName>
    <definedName name="HCPL_BM513_N0">#REF!</definedName>
    <definedName name="HCPL_BM514_N0">#REF!</definedName>
    <definedName name="HCPL_BM515_N0">#REF!</definedName>
    <definedName name="HCPL_BM516_N0">#REF!</definedName>
    <definedName name="HCPL_BM517_N1">#REF!</definedName>
    <definedName name="HCPL_BM518">#REF!</definedName>
    <definedName name="HCPL_BM518_N1">#REF!</definedName>
    <definedName name="HCPL_BM519_N1">#REF!</definedName>
    <definedName name="HCPL_BM52_N0">#REF!</definedName>
    <definedName name="HCPL_BM520_N1">#REF!</definedName>
    <definedName name="HCPL_BM521_N1">#REF!</definedName>
    <definedName name="HCPL_BM522_P0">#REF!</definedName>
    <definedName name="HCPL_BM523_P0">#REF!</definedName>
    <definedName name="HCPL_BM524_P0">#REF!</definedName>
    <definedName name="HCPL_BM525_P0">#REF!</definedName>
    <definedName name="HCPL_BM526_P0">#REF!</definedName>
    <definedName name="HCPL_BM53_N0">#REF!</definedName>
    <definedName name="HCPL_BM54_N0">#REF!</definedName>
    <definedName name="HCPL_BM55_N0">#REF!</definedName>
    <definedName name="HCPL_BM56_N0">#REF!</definedName>
    <definedName name="HCPL_BM57_N0">#REF!</definedName>
    <definedName name="HCPL_BM58_N0">#REF!</definedName>
    <definedName name="HCPL_BM59_N0">#REF!</definedName>
    <definedName name="hdfcwgt">#REF!</definedName>
    <definedName name="HE1.0">#REF!</definedName>
    <definedName name="HE2.0">#REF!,#REF!,#REF!</definedName>
    <definedName name="HE3.0">#REF!,#REF!,#REF!</definedName>
    <definedName name="HE4.0">#REF!,#REF!,#REF!</definedName>
    <definedName name="HE5.0">#REF!,#REF!,#REF!</definedName>
    <definedName name="HEADER">#REF!</definedName>
    <definedName name="HEADERMAC">#REF!</definedName>
    <definedName name="HEADERTAB">#REF!</definedName>
    <definedName name="hfhfh" localSheetId="9">#REF!</definedName>
    <definedName name="hfhfh">#REF!</definedName>
    <definedName name="HFINANCE" localSheetId="9">#REF!</definedName>
    <definedName name="HFINANCE" localSheetId="10">[1]bajaj_copeland!$C$287</definedName>
    <definedName name="HFINANCE">#REF!</definedName>
    <definedName name="HFREE_CASH" localSheetId="9">#REF!</definedName>
    <definedName name="HFREE_CASH" localSheetId="10">[1]bajaj_copeland!$D$182</definedName>
    <definedName name="HFREE_CASH">#REF!</definedName>
    <definedName name="hgghfgh" hidden="1">#N/A</definedName>
    <definedName name="hggj" hidden="1">#REF!</definedName>
    <definedName name="hgty6"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h">#REF!</definedName>
    <definedName name="HHFL">#REF!</definedName>
    <definedName name="hhh" localSheetId="9" hidden="1">{"Print Summary",#N/A,FALSE,"Bal_Graphs";"Print Summary",#N/A,FALSE,"DCF";"Print Summary",#N/A,FALSE,"Graphs";"Print Summary",#N/A,FALSE,"Summary"}</definedName>
    <definedName name="hhh" localSheetId="10" hidden="1">{"Print Summary",#N/A,FALSE,"Bal_Graphs";"Print Summary",#N/A,FALSE,"DCF";"Print Summary",#N/A,FALSE,"Graphs";"Print Summary",#N/A,FALSE,"Summary"}</definedName>
    <definedName name="hhh" localSheetId="4" hidden="1">{"Print Summary",#N/A,FALSE,"Bal_Graphs";"Print Summary",#N/A,FALSE,"DCF";"Print Summary",#N/A,FALSE,"Graphs";"Print Summary",#N/A,FALSE,"Summary"}</definedName>
    <definedName name="hhh" hidden="1">{"Print Summary",#N/A,FALSE,"Bal_Graphs";"Print Summary",#N/A,FALSE,"DCF";"Print Summary",#N/A,FALSE,"Graphs";"Print Summary",#N/A,FALSE,"Summary"}</definedName>
    <definedName name="hhhhh" localSheetId="4" hidden="1">{#N/A,#N/A,FALSE,"Status of Projects";#N/A,#N/A,FALSE,"CEA-TEC";#N/A,#N/A,FALSE,"U-Constr.";#N/A,#N/A,FALSE,"summary";#N/A,#N/A,FALSE,"PPP-3 yrs"}</definedName>
    <definedName name="hhhhh" hidden="1">{#N/A,#N/A,FALSE,"Status of Projects";#N/A,#N/A,FALSE,"CEA-TEC";#N/A,#N/A,FALSE,"U-Constr.";#N/A,#N/A,FALSE,"summary";#N/A,#N/A,FALSE,"PPP-3 yrs"}</definedName>
    <definedName name="hhhhhhh"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ide">#REF!,#REF!,#REF!</definedName>
    <definedName name="hidebs">#REF!</definedName>
    <definedName name="hire" localSheetId="9">#REF!</definedName>
    <definedName name="hire">#REF!</definedName>
    <definedName name="HIST_ALL" localSheetId="9">#REF!</definedName>
    <definedName name="HIST_ALL" localSheetId="10">[1]bajaj_copeland!$C$8:$L$412</definedName>
    <definedName name="HIST_ALL">#REF!</definedName>
    <definedName name="Historical_Economic_Profit" localSheetId="9">#REF!</definedName>
    <definedName name="Historical_Economic_Profit">#REF!</definedName>
    <definedName name="Historical_Incremental_ROIC">#REF!</definedName>
    <definedName name="hj" localSheetId="10" hidden="1">[70]International!$B$29:$B$65</definedName>
    <definedName name="hj" hidden="1">#REF!</definedName>
    <definedName name="hjggj" localSheetId="9">#REF!,#REF!,#REF!</definedName>
    <definedName name="hjggj">#REF!,#REF!,#REF!</definedName>
    <definedName name="HK_RESULT" localSheetId="9">#REF!</definedName>
    <definedName name="HK_RESULT" localSheetId="10">[1]bajaj_copeland!$C$335</definedName>
    <definedName name="HK_RESULT">#REF!</definedName>
    <definedName name="hkcbwgt">#REF!</definedName>
    <definedName name="HL1.0" localSheetId="9">#REF!</definedName>
    <definedName name="HL1.0">#REF!</definedName>
    <definedName name="HL1.1" localSheetId="9">#REF!</definedName>
    <definedName name="HL1.1">#REF!</definedName>
    <definedName name="HL1.2">#REF!,#REF!</definedName>
    <definedName name="HL2.0">#REF!,#REF!,#REF!</definedName>
    <definedName name="HL2.1">#REF!,#REF!</definedName>
    <definedName name="HL2.2">#REF!,#REF!</definedName>
    <definedName name="HL3.0">#REF!,#REF!,#REF!</definedName>
    <definedName name="HL4.0">#REF!,#REF!,#REF!</definedName>
    <definedName name="HL5.0">#REF!,#REF!,#REF!</definedName>
    <definedName name="HLCL">#REF!</definedName>
    <definedName name="hll_pond">#REF!</definedName>
    <definedName name="HNOPLAT" localSheetId="9">#REF!</definedName>
    <definedName name="HNOPLAT" localSheetId="10">[1]bajaj_copeland!$C$100</definedName>
    <definedName name="HNOPLAT">#REF!</definedName>
    <definedName name="holder1">#REF!</definedName>
    <definedName name="holder2">#REF!</definedName>
    <definedName name="holder3">#REF!</definedName>
    <definedName name="holder4">#REF!</definedName>
    <definedName name="holder5">#REF!</definedName>
    <definedName name="holding1">#REF!</definedName>
    <definedName name="holding2">#REF!</definedName>
    <definedName name="holding3">#REF!</definedName>
    <definedName name="holding4">#REF!</definedName>
    <definedName name="holding5">#REF!</definedName>
    <definedName name="Home">#REF!</definedName>
    <definedName name="hongkong">#REF!</definedName>
    <definedName name="HOPERATING" localSheetId="10">[1]bajaj_copeland!$C$247</definedName>
    <definedName name="HOPERATING">#REF!</definedName>
    <definedName name="house_groups">#REF!</definedName>
    <definedName name="hsbc">#REF!</definedName>
    <definedName name="hsbc_cash_flow">#REF!</definedName>
    <definedName name="hsbc_eps">#REF!</definedName>
    <definedName name="hsbc_net_profit">#REF!</definedName>
    <definedName name="HSBCTbl_Table1" localSheetId="0">Boridino to [78]Moscow!$A$73:$I$80</definedName>
    <definedName name="HSBCTbl_Table1" localSheetId="4">Boridino to #REF!</definedName>
    <definedName name="HSBCTbl_Table1">Boridino to [78]Moscow!$A$73:$I$80</definedName>
    <definedName name="hsbcwgt">#REF!</definedName>
    <definedName name="hsbwgt">#REF!</definedName>
    <definedName name="HSUP_CALC" localSheetId="10">[1]bajaj_copeland!$C$380</definedName>
    <definedName name="HSUP_CALC">#REF!</definedName>
    <definedName name="ht" hidden="1">"joel.lou@eia.doe.gov"</definedName>
    <definedName name="htm" hidden="1">"World Rotary Rigs in Operation, 1991-2000"</definedName>
    <definedName name="HTML_CodePage" hidden="1">1252</definedName>
    <definedName name="HTML_Control" localSheetId="9" hidden="1">{"'Input'!$D$3"}</definedName>
    <definedName name="HTML_Control" localSheetId="10" hidden="1">{"'Input'!$D$3"}</definedName>
    <definedName name="HTML_Control" localSheetId="4" hidden="1">{"'PS-SOTM'!$A$1","'PS-SOTM'!$A$2:$M$30","'PS-SOTM'!$A$31:$A$38"}</definedName>
    <definedName name="HTML_Control" hidden="1">{"'PS-SOTM'!$A$1","'PS-SOTM'!$A$2:$M$30","'PS-SOTM'!$A$31:$A$38"}</definedName>
    <definedName name="HTML_Description" hidden="1">""</definedName>
    <definedName name="HTML_Email" localSheetId="4" hidden="1">"patricia.smith@eia.doe.gov"</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"\\swati\macro\IN_Notes_MM.html"</definedName>
    <definedName name="HTML_PathTemplate" hidden="1">"C:\infac\pricewth\Aug99\Page06e.htm"</definedName>
    <definedName name="HTML_Title" hidden="1">""</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uawgt">#REF!</definedName>
    <definedName name="huy" localSheetId="9" hidden="1">{"'Sheet1'!$L$16"}</definedName>
    <definedName name="huy" localSheetId="4" hidden="1">{"'Sheet1'!$L$16"}</definedName>
    <definedName name="huy" hidden="1">{"'Sheet1'!$L$16"}</definedName>
    <definedName name="HY">#REF!</definedName>
    <definedName name="hydexp">#REF!</definedName>
    <definedName name="I">#REF!</definedName>
    <definedName name="ian">#REF!</definedName>
    <definedName name="IB">#REF!</definedName>
    <definedName name="IB_all">#REF!</definedName>
    <definedName name="ibawgt">#REF!</definedName>
    <definedName name="ibbo" localSheetId="4">#REF!</definedName>
    <definedName name="ibbo">'[79]GRPS-Y'!$A$67:$IJ$67</definedName>
    <definedName name="ibc">#REF!</definedName>
    <definedName name="ibce" localSheetId="4">#REF!</definedName>
    <definedName name="ibce">'[79]GRPS-Y'!$A$55:$IJ$55</definedName>
    <definedName name="ibcr" localSheetId="4">#REF!</definedName>
    <definedName name="ibcr">'[79]GRPS-Y'!$A$59:$IJ$59</definedName>
    <definedName name="ibes">#REF!</definedName>
    <definedName name="ibf">#REF!</definedName>
    <definedName name="ibfa" localSheetId="4">#REF!</definedName>
    <definedName name="ibfa">'[79]GRPS-Y'!$A$62:$IJ$62</definedName>
    <definedName name="ibin" localSheetId="4">#REF!</definedName>
    <definedName name="ibin">'[79]GRPS-Y'!$A$56:$IJ$56</definedName>
    <definedName name="ibit" localSheetId="4">#REF!</definedName>
    <definedName name="ibit">'[79]GRPS-Y'!$A$63:$IJ$63</definedName>
    <definedName name="ibiv" localSheetId="4">#REF!</definedName>
    <definedName name="ibiv">'[79]GRPS-Y'!$A$64:$IJ$64</definedName>
    <definedName name="ibll" localSheetId="4">#REF!</definedName>
    <definedName name="ibll">'[79]GRPS-Y'!$A$68:$IJ$68</definedName>
    <definedName name="ibna" localSheetId="4">#REF!</definedName>
    <definedName name="ibna">'[79]GRPS-Y'!$A$66:$IJ$66</definedName>
    <definedName name="ibnc" localSheetId="4">#REF!</definedName>
    <definedName name="ibnc">'[79]GRPS-Y'!$A$61:$IJ$61</definedName>
    <definedName name="ibne" localSheetId="4">#REF!</definedName>
    <definedName name="ibne">'[79]GRPS-Y'!$A$69:$IJ$69</definedName>
    <definedName name="iboa" localSheetId="4">#REF!</definedName>
    <definedName name="iboa">'[79]GRPS-Y'!$A$65:$IJ$65</definedName>
    <definedName name="iboc" localSheetId="4">#REF!</definedName>
    <definedName name="iboc">'[79]GRPS-Y'!$A$58:$IJ$58</definedName>
    <definedName name="ibol" localSheetId="4">#REF!</definedName>
    <definedName name="ibol">'[79]GRPS-Y'!$A$60:$IJ$60</definedName>
    <definedName name="ibre" localSheetId="4">#REF!</definedName>
    <definedName name="ibre">'[79]GRPS-Y'!$A$57:$IJ$57</definedName>
    <definedName name="ibtl" localSheetId="4">#REF!</definedName>
    <definedName name="ibtl">'[79]GRPS-Y'!$A$70:$IJ$70</definedName>
    <definedName name="IC" localSheetId="10">[1]bajaj_copeland!$B$148</definedName>
    <definedName name="IC">#REF!</definedName>
    <definedName name="ic_00">#REF!</definedName>
    <definedName name="ic_01">#REF!</definedName>
    <definedName name="ic_02">#REF!</definedName>
    <definedName name="ic_03">#REF!</definedName>
    <definedName name="ic_04">#REF!</definedName>
    <definedName name="ic_05">#REF!</definedName>
    <definedName name="ic_06">#REF!</definedName>
    <definedName name="ic_07">#REF!</definedName>
    <definedName name="ic_08">#REF!</definedName>
    <definedName name="IC_1">#REF!</definedName>
    <definedName name="IC_10">#REF!</definedName>
    <definedName name="IC_11">#REF!</definedName>
    <definedName name="IC_12">#REF!</definedName>
    <definedName name="IC_13">#REF!</definedName>
    <definedName name="IC_14">#REF!</definedName>
    <definedName name="IC_2">#REF!</definedName>
    <definedName name="IC_3">#REF!</definedName>
    <definedName name="IC_4">#REF!</definedName>
    <definedName name="IC_5">#REF!</definedName>
    <definedName name="IC_6">#REF!</definedName>
    <definedName name="IC_7">#REF!</definedName>
    <definedName name="IC_8">#REF!</definedName>
    <definedName name="IC_9">#REF!</definedName>
    <definedName name="ic_99">#REF!</definedName>
    <definedName name="IC_P">#REF!</definedName>
    <definedName name="IC_P1">#REF!</definedName>
    <definedName name="IC_P2">#REF!</definedName>
    <definedName name="IC_P3">#REF!</definedName>
    <definedName name="ica">#REF!</definedName>
    <definedName name="icd">#REF!</definedName>
    <definedName name="ICDInv">#REF!</definedName>
    <definedName name="icf">#REF!</definedName>
    <definedName name="ICICI_Bank_bonds_Investment">#REF!</definedName>
    <definedName name="ICICI2Cast">#REF!</definedName>
    <definedName name="iciciwgt">#REF!</definedName>
    <definedName name="ict">#REF!</definedName>
    <definedName name="ictsymbol">"Rs"</definedName>
    <definedName name="icu">#REF!</definedName>
    <definedName name="icusymbol">"Rs"</definedName>
    <definedName name="ida">#REF!</definedName>
    <definedName name="idays" localSheetId="4">#REF!</definedName>
    <definedName name="idays">[29]UploaderV4!$F$247:$AE$247</definedName>
    <definedName name="idbiwgt">#REF!</definedName>
    <definedName name="IDReference" hidden="1">"A1"</definedName>
    <definedName name="iex">#REF!</definedName>
    <definedName name="ifd">#REF!</definedName>
    <definedName name="iff">#REF!</definedName>
    <definedName name="ifl">#REF!</definedName>
    <definedName name="ifn">#REF!</definedName>
    <definedName name="ifo">#REF!</definedName>
    <definedName name="ihd">#REF!</definedName>
    <definedName name="iholder1" localSheetId="4">#REF!</definedName>
    <definedName name="iholder1">'[79]GRPS-Y'!$C$31</definedName>
    <definedName name="iicd" localSheetId="4">#REF!</definedName>
    <definedName name="iicd">'[79]GRPS-Y'!$A$2:$IJ$2</definedName>
    <definedName name="iifo" localSheetId="4">#REF!</definedName>
    <definedName name="iifo">'[79]GRPS-Y'!$C$25</definedName>
    <definedName name="iinm" localSheetId="4">#REF!</definedName>
    <definedName name="iinm">'[79]GRPS-Y'!$A$4:$IJ$4</definedName>
    <definedName name="ime">#REF!</definedName>
    <definedName name="Img_Chart1">"IMG_12"</definedName>
    <definedName name="Img_ML_1c3d1n6n" hidden="1">"IMG_17"</definedName>
    <definedName name="Img_ML_1d1b5x3i" hidden="1">"IMG_10"</definedName>
    <definedName name="Img_ML_1q6n1r3y" hidden="1">"IMG_10"</definedName>
    <definedName name="Img_ML_1t5s6u1f" hidden="1">"IMG_17"</definedName>
    <definedName name="Img_ML_1y7a6c1t" hidden="1">"IMG_10"</definedName>
    <definedName name="Img_ML_2e1r5p2m" hidden="1">"IMG_10"</definedName>
    <definedName name="Img_ML_2f1k4p8p" hidden="1">"IMG_18"</definedName>
    <definedName name="Img_ML_2g8y7b4f" hidden="1">"IMG_10"</definedName>
    <definedName name="Img_ML_2v6s9i5c" hidden="1">"IMG_10"</definedName>
    <definedName name="Img_ML_2w1t7g9m" hidden="1">"IMG_10"</definedName>
    <definedName name="Img_ML_2x1b8j5c" hidden="1">"IMG_10"</definedName>
    <definedName name="Img_ML_2x8r4a2e" hidden="1">"IMG_6"</definedName>
    <definedName name="Img_ML_3b3j3x9k" hidden="1">"IMG_10"</definedName>
    <definedName name="Img_ML_3c6e9c4g" hidden="1">"IMG_10"</definedName>
    <definedName name="Img_ML_3e2q4k7i" hidden="1">"IMG_10"</definedName>
    <definedName name="Img_ML_3h2n3p4v" hidden="1">"IMG_3"</definedName>
    <definedName name="Img_ML_3j3i3p7g" hidden="1">"IMG_10"</definedName>
    <definedName name="Img_ML_3p2b9c6w" hidden="1">"IMG_10"</definedName>
    <definedName name="Img_ML_3r4u7k1k" hidden="1">"IMG_3"</definedName>
    <definedName name="Img_ML_4b5b4m3y" hidden="1">"IMG_10"</definedName>
    <definedName name="Img_ML_4d2b6f6f" hidden="1">"IMG_10"</definedName>
    <definedName name="Img_ML_4f3b8u3k" hidden="1">"IMG_10"</definedName>
    <definedName name="Img_ML_4k8k7q4x" hidden="1">"IMG_11"</definedName>
    <definedName name="Img_ML_4m3p5r8j" hidden="1">"IMG_10"</definedName>
    <definedName name="Img_ML_4n1d8m8m" hidden="1">"IMG_10"</definedName>
    <definedName name="Img_ML_4r3t2p9g" hidden="1">"IMG_10"</definedName>
    <definedName name="Img_ML_5e2f8x3f" hidden="1">"IMG_10"</definedName>
    <definedName name="Img_ML_5e7g5e5e" hidden="1">"IMG_10"</definedName>
    <definedName name="Img_ML_5e7s6t2u" hidden="1">"IMG_10"</definedName>
    <definedName name="Img_ML_5e9i9i2b" hidden="1">"IMG_10"</definedName>
    <definedName name="Img_ML_5f9d1i5x" hidden="1">"IMG_10"</definedName>
    <definedName name="Img_ML_5h6q3g8u" hidden="1">"IMG_10"</definedName>
    <definedName name="Img_ML_5j4h4u4c" hidden="1">"IMG_10"</definedName>
    <definedName name="Img_ML_5k1g6v5e" hidden="1">"IMG_6"</definedName>
    <definedName name="Img_ML_5k7e4n8n" hidden="1">"IMG_3"</definedName>
    <definedName name="Img_ML_5k8u7s9i" hidden="1">"IMG_10"</definedName>
    <definedName name="Img_ML_5k8y2t3m" hidden="1">"IMG_10"</definedName>
    <definedName name="Img_ML_6d9u6u7z" hidden="1">"IMG_10"</definedName>
    <definedName name="Img_ML_6f2p1m9g" hidden="1">"IMG_10"</definedName>
    <definedName name="Img_ML_6j4v6x5i" hidden="1">"IMG_11"</definedName>
    <definedName name="Img_ML_6k9c9p4d" hidden="1">"IMG_10"</definedName>
    <definedName name="Img_ML_6m5d9e6r" hidden="1">"IMG_10"</definedName>
    <definedName name="Img_ML_6p9x3u7k" hidden="1">"IMG_10"</definedName>
    <definedName name="Img_ML_6r9u1n9k" hidden="1">"IMG_10"</definedName>
    <definedName name="Img_ML_6y9f7y3n" hidden="1">"IMG_10"</definedName>
    <definedName name="Img_ML_7b3x8f2f" hidden="1">"IMG_10"</definedName>
    <definedName name="Img_ML_7g5e5e2b" hidden="1">"IMG_2"</definedName>
    <definedName name="Img_ML_7k5v5m3i" hidden="1">"IMG_10"</definedName>
    <definedName name="Img_ML_7m5m4k3b" hidden="1">"IMG_10"</definedName>
    <definedName name="Img_ML_7n6h3t1t" hidden="1">"IMG_11"</definedName>
    <definedName name="Img_ML_7s4w7c6r" hidden="1">"IMG_10"</definedName>
    <definedName name="Img_ML_7w3j1h9t" hidden="1">"IMG_10"</definedName>
    <definedName name="Img_ML_8a8m2p9x" hidden="1">"IMG_10"</definedName>
    <definedName name="Img_ML_8b4s3j4n" hidden="1">"IMG_10"</definedName>
    <definedName name="Img_ML_8b9j5t1p" hidden="1">"IMG_10"</definedName>
    <definedName name="Img_ML_8c2q5i2r" hidden="1">"IMG_10"</definedName>
    <definedName name="Img_ML_8d8k5b1u" hidden="1">"IMG_10"</definedName>
    <definedName name="Img_ML_8g3e4a7v" hidden="1">"IMG_11"</definedName>
    <definedName name="Img_ML_8h3m3i1m" hidden="1">"IMG_10"</definedName>
    <definedName name="Img_ML_8h5e9i3c" hidden="1">"IMG_10"</definedName>
    <definedName name="Img_ML_8h7g3c9i" hidden="1">"IMG_1"</definedName>
    <definedName name="Img_ML_8h7g4d4d" hidden="1">"IMG_10"</definedName>
    <definedName name="Img_ML_8i9u7w8k" hidden="1">"IMG_6"</definedName>
    <definedName name="Img_ML_8j3w6p4c" hidden="1">"IMG_10"</definedName>
    <definedName name="Img_ML_8n2j4x5p" hidden="1">"IMG_10"</definedName>
    <definedName name="Img_ML_8n6m2q6v" hidden="1">"IMG_10"</definedName>
    <definedName name="Img_ML_8p4y4h2t" hidden="1">"IMG_10"</definedName>
    <definedName name="Img_ML_8r1k8t4y" hidden="1">"IMG_10"</definedName>
    <definedName name="Img_ML_8s3q3c1i" hidden="1">"IMG_10"</definedName>
    <definedName name="Img_ML_9a6x2j5w" hidden="1">"IMG_10"</definedName>
    <definedName name="Img_ML_9c9p6w6g" hidden="1">"IMG_10"</definedName>
    <definedName name="Img_ML_9c9p9s3n" hidden="1">"IMG_10"</definedName>
    <definedName name="Img_ML_9j3t2m3v" hidden="1">"IMG_6"</definedName>
    <definedName name="Img_ML_9n1s4m5f" hidden="1">"IMG_10"</definedName>
    <definedName name="Img_ML_9r5u4d9m" hidden="1">"IMG_10"</definedName>
    <definedName name="IMP" localSheetId="9">#REF!</definedName>
    <definedName name="IMP">#REF!</definedName>
    <definedName name="impairment_of_assets_Q" localSheetId="9">#REF!</definedName>
    <definedName name="impairment_of_assets_Q">#REF!</definedName>
    <definedName name="imports" localSheetId="9">#REF!</definedName>
    <definedName name="imports" localSheetId="10">[28]Template!$D$101:$T$101</definedName>
    <definedName name="imports">#REF!</definedName>
    <definedName name="in10yr" localSheetId="4">#REF!</definedName>
    <definedName name="in10yr">[29]UploaderV4!$F$305:$AE$305</definedName>
    <definedName name="Inc_cap_RnD_fore">#REF!</definedName>
    <definedName name="inc_from_investments">#REF!</definedName>
    <definedName name="inc_model">#REF!</definedName>
    <definedName name="INCENTIVES">#REF!</definedName>
    <definedName name="INCOME" localSheetId="10">[1]bajaj_copeland!$C$8:$L$42</definedName>
    <definedName name="INCOME">#REF!</definedName>
    <definedName name="Income_before_taxes">#REF!</definedName>
    <definedName name="Income_equivalents">#REF!</definedName>
    <definedName name="Income_equivalents_fore">#REF!</definedName>
    <definedName name="Income_form_uncons_subs_fore">#REF!</definedName>
    <definedName name="Income_from_Unconsolidated_Subs">#REF!</definedName>
    <definedName name="Income_others">#REF!</definedName>
    <definedName name="income_statement">#REF!</definedName>
    <definedName name="Income_tax">#REF!</definedName>
    <definedName name="Income_tax_fore">#REF!</definedName>
    <definedName name="Income_tax_growth_fore">#REF!</definedName>
    <definedName name="Income_tax_rate">#REF!</definedName>
    <definedName name="Income_taxes_payable">#REF!</definedName>
    <definedName name="Income_taxes_payable_growth_fore">#REF!</definedName>
    <definedName name="Increase_cap_RnD_fore">#REF!</definedName>
    <definedName name="Increase_Capitalized_R_D_net">#REF!</definedName>
    <definedName name="Increase_Deferred_Taxes">#REF!</definedName>
    <definedName name="Increase_in_Deferred_tax_liabilities">#REF!</definedName>
    <definedName name="Increase_in_other_liabilities">#REF!</definedName>
    <definedName name="Increase_in_other_reserves">#REF!</definedName>
    <definedName name="Increase_LIFO_Reserve">#REF!</definedName>
    <definedName name="INCREASED" localSheetId="10">[1]bajaj_copeland!#REF!</definedName>
    <definedName name="INCREASED">#REF!</definedName>
    <definedName name="IncreaseInCashAndCashEquivalents">#REF!</definedName>
    <definedName name="IncreaseInStocks">#REF!</definedName>
    <definedName name="incremental_capital_employed" localSheetId="4">#REF!</definedName>
    <definedName name="incremental_capital_employed">'[68]RMF Annual'!$E$132:$U$132</definedName>
    <definedName name="incremental_capital_employed_A">#REF!</definedName>
    <definedName name="incremental_ebit" localSheetId="4">#REF!</definedName>
    <definedName name="incremental_ebit">'[68]RMF Annual'!$E$131:$U$131</definedName>
    <definedName name="incremental_ebit_A">#REF!</definedName>
    <definedName name="Incremental_investment">#REF!</definedName>
    <definedName name="incremental_roce" localSheetId="4">#REF!</definedName>
    <definedName name="incremental_roce">'[47]RMF Annual'!$E$159:$U$159</definedName>
    <definedName name="Incremental_ROIC">#REF!</definedName>
    <definedName name="Incremental_ROIC_DCF">#REF!</definedName>
    <definedName name="IND">#REF!</definedName>
    <definedName name="INDEX">#REF!</definedName>
    <definedName name="india">#REF!</definedName>
    <definedName name="india_investment">#REF!</definedName>
    <definedName name="indonesia">#REF!</definedName>
    <definedName name="Industry">#REF!</definedName>
    <definedName name="INETOTHER" localSheetId="10">[1]bajaj_copeland!#REF!</definedName>
    <definedName name="INETOTHER">#REF!</definedName>
    <definedName name="INETPPE" localSheetId="10">[1]bajaj_copeland!#REF!</definedName>
    <definedName name="INETPPE">#REF!</definedName>
    <definedName name="Infrastructure">#REF!</definedName>
    <definedName name="INIT">#REF!</definedName>
    <definedName name="inm">#REF!</definedName>
    <definedName name="input_AIRTOUCH">#REF!,#REF!,#REF!,#REF!,#REF!,#REF!,#REF!,#REF!,#REF!,#REF!,#REF!,#REF!,#REF!,#REF!,#REF!</definedName>
    <definedName name="input_BritishTelecom">#REF!,#REF!,#REF!,#REF!,#REF!,#REF!,#REF!,#REF!,#REF!,#REF!,#REF!,#REF!,#REF!,#REF!,#REF!</definedName>
    <definedName name="input_CableWireless" localSheetId="4">#REF!,#REF!,#REF!,#REF!,#REF!,#REF!,#REF!,#REF!,#REF!,#REF!,#REF!,#REF!,#REF!,#REF!,#REF!</definedName>
    <definedName name="input_CableWireless">[19]CW!$B$3:$B$4,[19]CW!$D$7:$H$20,[19]CW!$D$27:$D$29,[19]CW!$D$31,[19]CW!$D$34:$F$37,[19]CW!$K$4:$L$4,[19]CW!$K$6:$L$6,[19]CW!$K$8:$L$8,[19]CW!$K$10:$L$10,[19]CW!$K$12:$L$12,[19]CW!$K$16:$L$16,[19]CW!$K$18:$L$18,[19]CW!$K$20:$L$20,[19]CW!$K$22:$L$22,[19]CW!$K$24:$L$24</definedName>
    <definedName name="input_CELLNET">#REF!,#REF!,#REF!,#REF!,#REF!,#REF!,#REF!,#REF!,#REF!,#REF!,#REF!,#REF!,#REF!,#REF!,#REF!,#REF!,#REF!,#REF!,#REF!,#REF!,#REF!,#REF!,#REF!,#REF!,#REF!</definedName>
    <definedName name="input_Colt">#REF!,#REF!,#REF!,#REF!,#REF!,#REF!,#REF!,#REF!,#REF!,#REF!,#REF!,#REF!,#REF!,#REF!,#REF!</definedName>
    <definedName name="input_CRK">#REF!,#REF!,#REF!,#REF!,#REF!,#REF!,#REF!,#REF!,#REF!,#REF!,#REF!,#REF!,#REF!,#REF!,#REF!,#REF!,#REF!,#REF!</definedName>
    <definedName name="input_CWComms">#REF!,#REF!,#REF!,#REF!,#REF!,#REF!,#REF!,#REF!,#REF!,#REF!,#REF!,#REF!,#REF!,#REF!,#REF!</definedName>
    <definedName name="input_DeutscheTelekom" localSheetId="4">#REF!,#REF!,#REF!,#REF!,#REF!,#REF!,#REF!,#REF!,#REF!,#REF!,#REF!,#REF!,#REF!,#REF!,#REF!</definedName>
    <definedName name="input_DeutscheTelekom">[19]DT!$B$3:$B$4,[19]DT!$D$7:$H$20,[19]DT!$D$27:$D$29,[19]DT!$D$31,[19]DT!$D$34:$F$37,[19]DT!$K$4:$L$4,[19]DT!$K$6:$L$6,[19]DT!$K$8:$L$8,[19]DT!$K$10:$L$10,[19]DT!$K$12:$L$12,[19]DT!$K$16:$L$16,[19]DT!$K$18:$L$18,[19]DT!$K$20:$L$20,[19]DT!$K$22:$L$22,[19]DT!$K$24:$L$24</definedName>
    <definedName name="input_Energis">#REF!,#REF!,#REF!,#REF!,#REF!,#REF!,#REF!,#REF!,#REF!,#REF!,#REF!,#REF!,#REF!,#REF!,#REF!</definedName>
    <definedName name="input_EQUANT">#REF!,#REF!,#REF!,#REF!,#REF!,#REF!,#REF!,#REF!,#REF!,#REF!,#REF!,#REF!,#REF!,#REF!,#REF!</definedName>
    <definedName name="input_ESPRIT">#REF!,#REF!,#REF!,#REF!,#REF!,#REF!,#REF!,#REF!,#REF!,#REF!,#REF!,#REF!,#REF!,#REF!,#REF!</definedName>
    <definedName name="input_Europolitan">#REF!,#REF!,#REF!,#REF!,#REF!,#REF!,#REF!,#REF!,#REF!,#REF!,#REF!,#REF!,#REF!,#REF!,#REF!</definedName>
    <definedName name="input_FranceTelecom" localSheetId="4">#REF!,#REF!,#REF!,#REF!,#REF!,#REF!,#REF!,#REF!,#REF!,#REF!,#REF!,#REF!,#REF!,#REF!,#REF!</definedName>
    <definedName name="input_FranceTelecom">[19]FT!$B$3:$B$4,[19]FT!$D$7:$H$20,[19]FT!$D$27:$D$29,[19]FT!$D$31,[19]FT!$D$34:$F$37,[19]FT!$K$4:$L$4,[19]FT!$K$6:$L$6,[19]FT!$K$8:$L$8,[19]FT!$K$10:$L$10,[19]FT!$K$12:$L$12,[19]FT!$K$16:$L$16,[19]FT!$K$18:$L$18,[19]FT!$K$20:$L$20,[19]FT!$K$22:$L$22,[19]FT!$K$24:$L$24</definedName>
    <definedName name="input_GlobalTeleSystems">#REF!,#REF!,#REF!,#REF!,#REF!,#REF!,#REF!,#REF!,#REF!,#REF!,#REF!,#REF!,#REF!,#REF!,#REF!</definedName>
    <definedName name="input_KPNUSGAAP" localSheetId="4">#REF!,#REF!,#REF!,#REF!,#REF!,#REF!,#REF!,#REF!,#REF!,#REF!,#REF!,#REF!,#REF!,#REF!,#REF!</definedName>
    <definedName name="input_KPNUSGAAP">[19]KPN!$B$3:$B$4,[19]KPN!$D$7:$H$20,[19]KPN!$D$27:$D$29,[19]KPN!$D$31,[19]KPN!$D$34:$F$37,[19]KPN!$K$4:$L$4,[19]KPN!$K$6:$L$6,[19]KPN!$K$8:$L$8,[19]KPN!$K$10:$L$10,[19]KPN!$K$12:$L$12,[19]KPN!$K$16:$L$16,[19]KPN!$K$18:$L$18,[19]KPN!$K$20:$L$20,[19]KPN!$K$22:$L$22,[19]KPN!$K$24:$L$24</definedName>
    <definedName name="input_Mannesmann">#REF!,#REF!,#REF!,#REF!,#REF!,#REF!,#REF!,#REF!,#REF!,#REF!,#REF!,#REF!,#REF!,#REF!,#REF!</definedName>
    <definedName name="input_MATAVUSD">#REF!,#REF!,#REF!,#REF!,#REF!,#REF!,#REF!,#REF!,#REF!,#REF!,#REF!,#REF!,#REF!,#REF!,#REF!</definedName>
    <definedName name="input_Mobistar">#REF!,#REF!,#REF!,#REF!,#REF!,#REF!,#REF!,#REF!,#REF!,#REF!,#REF!,#REF!,#REF!,#REF!,#REF!</definedName>
    <definedName name="input_NETCOMa">#REF!,#REF!,#REF!,#REF!,#REF!,#REF!,#REF!,#REF!,#REF!,#REF!,#REF!,#REF!,#REF!,#REF!,#REF!</definedName>
    <definedName name="input_Olivetti">#REF!,#REF!,#REF!,#REF!,#REF!,#REF!,#REF!,#REF!,#REF!,#REF!,#REF!,#REF!,#REF!,#REF!,#REF!</definedName>
    <definedName name="input_ORANGE">#REF!,#REF!,#REF!,#REF!,#REF!,#REF!,#REF!,#REF!,#REF!,#REF!,#REF!,#REF!,#REF!,#REF!,#REF!</definedName>
    <definedName name="input_OTDUSD">#REF!,#REF!,#REF!,#REF!,#REF!,#REF!,#REF!,#REF!,#REF!,#REF!,#REF!,#REF!,#REF!,#REF!,#REF!</definedName>
    <definedName name="input_PTUSGAAP" localSheetId="4">#REF!,#REF!,#REF!,#REF!,#REF!,#REF!,#REF!,#REF!,#REF!,#REF!,#REF!,#REF!,#REF!,#REF!,#REF!</definedName>
    <definedName name="input_PTUSGAAP">[19]PT!$B$3:$B$4,[19]PT!$D$7:$H$20,[19]PT!$D$27:$D$29,[19]PT!$D$31,[19]PT!$D$34:$F$39,[19]PT!$K$4:$L$4,[19]PT!$K$6:$L$6,[19]PT!$K$8:$L$8,[19]PT!$K$10:$L$10,[19]PT!$K$12:$L$12,[19]PT!$K$16:$L$16,[19]PT!$K$18:$L$18,[19]PT!$K$20:$L$20,[19]PT!$K$22:$L$22,[19]PT!$K$24:$L$24</definedName>
    <definedName name="input_Sonera" localSheetId="4">#REF!,#REF!,#REF!,#REF!,#REF!,#REF!,#REF!,#REF!,#REF!,#REF!,#REF!,#REF!,#REF!,#REF!,#REF!</definedName>
    <definedName name="input_Sonera">[19]SON!$B$3:$B$4,[19]SON!$D$7:$H$20,[19]SON!$D$27:$D$29,[19]SON!$D$31,[19]SON!$D$34:$F$37,[19]SON!$K$4:$L$4,[19]SON!$K$6:$L$6,[19]SON!$K$8:$L$8,[19]SON!$K$10:$L$10,[19]SON!$K$12:$L$12,[19]SON!$K$16:$L$16,[19]SON!$K$18:$L$18,[19]SON!$K$20:$L$20,[19]SON!$K$22:$L$22,[19]SON!$K$24:$L$24</definedName>
    <definedName name="input_SPTUSD">#REF!,#REF!,#REF!,#REF!,#REF!,#REF!,#REF!,#REF!,#REF!,#REF!,#REF!,#REF!,#REF!,#REF!,#REF!</definedName>
    <definedName name="INPUT_StetHallas">#REF!,#REF!,#REF!,#REF!,#REF!,#REF!,#REF!,#REF!,#REF!,#REF!,#REF!,#REF!,#REF!,#REF!,#REF!</definedName>
    <definedName name="input_Swisscom" localSheetId="4">#REF!,#REF!,#REF!,#REF!,#REF!,#REF!,#REF!,#REF!,#REF!,#REF!,#REF!,#REF!,#REF!,#REF!,#REF!</definedName>
    <definedName name="input_Swisscom">[19]SWCM!$B$3:$B$4,[19]SWCM!$D$7:$H$20,[19]SWCM!$D$27:$D$29,[19]SWCM!$D$31,[19]SWCM!$D$34:$F$37,[19]SWCM!$K$4:$L$4,[19]SWCM!$K$6:$L$6,[19]SWCM!$K$8:$L$8,[19]SWCM!$K$10:$L$10,[19]SWCM!$K$12:$L$12,[19]SWCM!$K$16:$L$16,[19]SWCM!$K$18:$L$18,[19]SWCM!$K$20:$L$20,[19]SWCM!$K$22:$L$22,[19]SWCM!$K$24:$L$24</definedName>
    <definedName name="input_TELECEL">#REF!,#REF!,#REF!,#REF!,#REF!,#REF!,#REF!,#REF!,#REF!,#REF!,#REF!,#REF!,#REF!,#REF!,#REF!</definedName>
    <definedName name="input_TelecomItalia" localSheetId="4">#REF!,#REF!,#REF!,#REF!,#REF!,#REF!,#REF!,#REF!,#REF!,#REF!,#REF!,#REF!,#REF!,#REF!,#REF!</definedName>
    <definedName name="input_TelecomItalia">[19]TI!$B$3:$B$4,[19]TI!$D$7:$H$20,[19]TI!$D$27:$D$29,[19]TI!$D$31,[19]TI!$D$34:$F$39,[19]TI!$K$4:$L$4,[19]TI!$K$6:$L$6,[19]TI!$K$8:$L$8,[19]TI!$K$10:$L$10,[19]TI!$K$12:$L$12,[19]TI!$K$16:$L$16,[19]TI!$K$18:$L$18,[19]TI!$K$20:$L$20,[19]TI!$K$22:$L$22,[19]TI!$K$24:$L$24</definedName>
    <definedName name="input_Teledanmark" localSheetId="4">#REF!,#REF!,#REF!,#REF!,#REF!,#REF!,#REF!,#REF!,#REF!,#REF!,#REF!,#REF!,#REF!,#REF!,#REF!</definedName>
    <definedName name="input_Teledanmark">[19]TLD!$B$3:$B$4,[19]TLD!$D$7:$H$20,[19]TLD!$D$27:$D$29,[19]TLD!$D$31,[19]TLD!$D$34:$F$37,[19]TLD!$K$4:$L$4,[19]TLD!$K$6:$L$6,[19]TLD!$K$8:$L$8,[19]TLD!$K$10:$L$10,[19]TLD!$K$12:$L$12,[19]TLD!$K$16:$L$16,[19]TLD!$K$18:$L$18,[19]TLD!$K$20:$L$20,[19]TLD!$K$22:$L$22,[19]TLD!$K$24:$L$24</definedName>
    <definedName name="input_TelefonicaUSGAAP" localSheetId="4">#REF!,#REF!,#REF!,#REF!,#REF!,#REF!,#REF!,#REF!,#REF!,#REF!,#REF!,#REF!,#REF!,#REF!,#REF!</definedName>
    <definedName name="input_TelefonicaUSGAAP">[19]TEF!$B$3:$B$4,[19]TEF!$D$7:$H$20,[19]TEF!$D$27:$D$29,[19]TEF!$D$31,[19]TEF!$D$34:$F$39,[19]TEF!$K$4:$L$4,[19]TEF!$K$6:$L$6,[19]TEF!$K$8:$L$8,[19]TEF!$K$10:$L$10,[19]TEF!$K$12:$L$12,[19]TEF!$K$16:$L$16,[19]TEF!$K$18:$L$18,[19]TEF!$K$20:$L$20,[19]TEF!$K$22:$L$22,[19]TEF!$K$24:$L$24</definedName>
    <definedName name="input_TeleWest">#REF!,#REF!,#REF!,#REF!,#REF!,#REF!,#REF!,#REF!,#REF!,#REF!,#REF!,#REF!,#REF!,#REF!,#REF!</definedName>
    <definedName name="input_TIM">#REF!,#REF!,#REF!,#REF!,#REF!,#REF!,#REF!,#REF!,#REF!,#REF!,#REF!,#REF!,#REF!,#REF!,#REF!</definedName>
    <definedName name="input_VEBA">#REF!,#REF!,#REF!,#REF!,#REF!,#REF!,#REF!,#REF!,#REF!,#REF!,#REF!,#REF!,#REF!,#REF!,#REF!</definedName>
    <definedName name="input_Vivendi">#REF!,#REF!,#REF!,#REF!,#REF!,#REF!,#REF!,#REF!,#REF!,#REF!,#REF!,#REF!,#REF!,#REF!,#REF!</definedName>
    <definedName name="input_Vodafone">#REF!,#REF!,#REF!,#REF!,#REF!,#REF!,#REF!,#REF!,#REF!,#REF!,#REF!,#REF!,#REF!,#REF!,#REF!</definedName>
    <definedName name="inputs">#REF!</definedName>
    <definedName name="INR_USD_Avg">#REF!</definedName>
    <definedName name="INR_USD_Cls">#REF!</definedName>
    <definedName name="INSTAL" localSheetId="4">#REF!</definedName>
    <definedName name="INSTAL">'[12]#REF'!#REF!</definedName>
    <definedName name="Installments_peryear">#REF!</definedName>
    <definedName name="InstCap" localSheetId="9" hidden="1">#REF!,#REF!,#REF!,#REF!,#REF!,#REF!,#REF!,#REF!</definedName>
    <definedName name="InstCap" localSheetId="10" hidden="1">[36]Input!$K$149:$Y$149,[36]Input!$K$167:$Y$167,[36]Input!$K$185:$Y$185,[36]Input!$K$203:$Y$203,[36]Input!$K$221:$Y$221,[36]Input!$K$239:$Y$239,[36]Input!$K$257:$Y$257,[36]Input!$K$275:$Y$275</definedName>
    <definedName name="InstCap" hidden="1">#REF!,#REF!,#REF!,#REF!,#REF!,#REF!,#REF!,#REF!</definedName>
    <definedName name="Insurance" localSheetId="9">#REF!</definedName>
    <definedName name="Insurance">#REF!</definedName>
    <definedName name="INT" localSheetId="4">#REF!</definedName>
    <definedName name="INT">[2]Header!#REF!</definedName>
    <definedName name="int_and_discount_on_advances">#REF!</definedName>
    <definedName name="INT_COV" localSheetId="9">#REF!</definedName>
    <definedName name="INT_COV">#REF!</definedName>
    <definedName name="int_earned_on_advances_Q" localSheetId="9">#REF!</definedName>
    <definedName name="int_earned_on_advances_Q">#REF!</definedName>
    <definedName name="int_earned_on_investments_Q">#REF!</definedName>
    <definedName name="int_earned_on_others_Q">#REF!</definedName>
    <definedName name="int_earned_on_RBI_bank_bal_Q">#REF!</definedName>
    <definedName name="INT_EXP">#REF!</definedName>
    <definedName name="Int_exp_OL">#REF!</definedName>
    <definedName name="int_expenses_Q">#REF!</definedName>
    <definedName name="INT_INC">#REF!</definedName>
    <definedName name="int_income_Q">#REF!</definedName>
    <definedName name="Int_on_borrowings_Q">#REF!</definedName>
    <definedName name="int_on_deposits">#REF!</definedName>
    <definedName name="Int_on_deposits_Q">#REF!</definedName>
    <definedName name="int_on_rbi_bank_balances">#REF!</definedName>
    <definedName name="int_on_rbi_bank_borrow">#REF!</definedName>
    <definedName name="int_paid" localSheetId="10">[28]Template!$D$53:$T$53</definedName>
    <definedName name="int_paid">#REF!</definedName>
    <definedName name="int_paid_A">#REF!</definedName>
    <definedName name="int_paid_qtr">#REF!</definedName>
    <definedName name="int_recd" localSheetId="10">[28]Template!$D$52:$T$52</definedName>
    <definedName name="int_recd">#REF!</definedName>
    <definedName name="int_recd_A">#REF!</definedName>
    <definedName name="INTANG_ASSETS">#REF!</definedName>
    <definedName name="intangible_fixed_assets">#REF!</definedName>
    <definedName name="IntCap">#REF!</definedName>
    <definedName name="Intcash" localSheetId="4">#REF!</definedName>
    <definedName name="Intcash">[29]UploaderV4!$F$47:$AE$47</definedName>
    <definedName name="IntCost">#REF!</definedName>
    <definedName name="IntDivTrf">#REF!</definedName>
    <definedName name="inter_bank_repurchases_avg">#REF!</definedName>
    <definedName name="Inter_Corporate_Deposits_Given">#REF!</definedName>
    <definedName name="Inter_Corporate_Deposits_Unsecured">#REF!</definedName>
    <definedName name="interbank_repurchases">#REF!</definedName>
    <definedName name="INTEREST" localSheetId="4">#REF!</definedName>
    <definedName name="INTEREST">[46]PLold!$A$268:$K$289</definedName>
    <definedName name="Interest_accrued">#REF!</definedName>
    <definedName name="Interest_accrued_but_not_due">#REF!</definedName>
    <definedName name="Interest_and_other_charges">#REF!</definedName>
    <definedName name="interest_burden" localSheetId="4">#REF!</definedName>
    <definedName name="interest_burden">'[30]Annual Temp'!#REF!</definedName>
    <definedName name="interest_cover">#REF!</definedName>
    <definedName name="interest_earned_on_advances">#REF!</definedName>
    <definedName name="interest_earned_on_investments">#REF!</definedName>
    <definedName name="Interest_earned_on_Loans">#REF!</definedName>
    <definedName name="Interest_earned_Q">#REF!</definedName>
    <definedName name="Interest_exp_growth_fore">#REF!</definedName>
    <definedName name="Interest_exp_inc_fore">#REF!</definedName>
    <definedName name="Interest_expended_on_Debentures">#REF!</definedName>
    <definedName name="Interest_expended_on_fixed_loans">#REF!</definedName>
    <definedName name="Interest_expended_on_Others">#REF!</definedName>
    <definedName name="Interest_expended_Q">#REF!</definedName>
    <definedName name="Interest_expended_total">#REF!</definedName>
    <definedName name="interest_expense">#REF!</definedName>
    <definedName name="Interest_expense_after_taxes">#REF!</definedName>
    <definedName name="interest_expense_deposits">#REF!</definedName>
    <definedName name="Interest_expense_income">#REF!</definedName>
    <definedName name="Interest_expense_oper_leases">#REF!</definedName>
    <definedName name="interest_income">#REF!</definedName>
    <definedName name="Interest_income_on_Bills">#REF!</definedName>
    <definedName name="Interest_income_on_Hire_Purchase">#REF!</definedName>
    <definedName name="Interest_income_on_Lease">#REF!</definedName>
    <definedName name="Interest_income_on_Loan">#REF!</definedName>
    <definedName name="Interest_income_on_Securitisation">#REF!</definedName>
    <definedName name="Interest_income_total">#REF!</definedName>
    <definedName name="Interest_on_bonds">#REF!</definedName>
    <definedName name="Interest_on_Deposits">#REF!</definedName>
    <definedName name="Interest_on_Government_Securities">#REF!</definedName>
    <definedName name="Interest_on_Loans">#REF!</definedName>
    <definedName name="Interest_on_Term_Deposits_ICDs">#REF!</definedName>
    <definedName name="Interest_oper_lease">#REF!</definedName>
    <definedName name="Interest_Paid">#REF!</definedName>
    <definedName name="interest_Q">#REF!</definedName>
    <definedName name="Interest_rate">#REF!</definedName>
    <definedName name="Interest_rate_on_debentures">#REF!</definedName>
    <definedName name="Interest_rate_on_fixed_loans">#REF!</definedName>
    <definedName name="Interest_rate_on_other_loans">#REF!</definedName>
    <definedName name="interest_recd">#REF!</definedName>
    <definedName name="interest_received">#REF!</definedName>
    <definedName name="Interest_received_on_Bank_A_c_Abroad">#REF!</definedName>
    <definedName name="Interest_Subsidy_Fund_Q">#REF!</definedName>
    <definedName name="Interest_to_GOI_on_Interest_Subsidy_Fund">#REF!</definedName>
    <definedName name="InterestAccruedButNotDue">#REF!</definedName>
    <definedName name="InterestCover">#REF!</definedName>
    <definedName name="InterestExpense">#REF!</definedName>
    <definedName name="InterestIncome">#REF!</definedName>
    <definedName name="Interestss" localSheetId="4">#REF!</definedName>
    <definedName name="Interestss">[80]Key_Assume_Common!$D$8</definedName>
    <definedName name="Interim_Dividend_Paid">#REF!</definedName>
    <definedName name="Interim_Dividend_Paid_PL">#REF!</definedName>
    <definedName name="Interim_Dividend_Paid_Rate">#REF!</definedName>
    <definedName name="interoffice_adjustments">#REF!</definedName>
    <definedName name="interset_expended_total">#REF!</definedName>
    <definedName name="intgross" localSheetId="4">#REF!</definedName>
    <definedName name="intgross">[29]UploaderV4!$F$44:$AE$44</definedName>
    <definedName name="inticd" localSheetId="4">#REF!</definedName>
    <definedName name="inticd">[29]UploaderV4!$F$48:$AE$48</definedName>
    <definedName name="intincome" localSheetId="4">#REF!</definedName>
    <definedName name="intincome">[29]UploaderV4!$F$206:$AE$206</definedName>
    <definedName name="INTLD" localSheetId="4">#REF!</definedName>
    <definedName name="INTLD">'[12]#REF'!#REF!</definedName>
    <definedName name="Intnet" localSheetId="4">#REF!</definedName>
    <definedName name="Intnet">[29]UploaderV4!$F$43:$AE$43</definedName>
    <definedName name="intpaid" localSheetId="4">#REF!</definedName>
    <definedName name="intpaid">[29]UploaderV4!$F$213:$AE$213</definedName>
    <definedName name="inv">#REF!</definedName>
    <definedName name="INV_CF">#REF!</definedName>
    <definedName name="InvChg" localSheetId="10" hidden="1">[51]Input!$K$100:$AA$100</definedName>
    <definedName name="InvChg" hidden="1">#REF!</definedName>
    <definedName name="inventory" localSheetId="10">[28]Template!$D$185:$T$185</definedName>
    <definedName name="inventory">#REF!</definedName>
    <definedName name="inventory_A">#REF!</definedName>
    <definedName name="inventory_avg">#REF!</definedName>
    <definedName name="inventory_days">#REF!</definedName>
    <definedName name="Inventory_growth_fore">#REF!</definedName>
    <definedName name="Inventory_turns">#REF!</definedName>
    <definedName name="InventoryAndWorkInProgress">#REF!</definedName>
    <definedName name="Inventorych" localSheetId="4">#REF!</definedName>
    <definedName name="Inventorych">[29]UploaderV4!$F$18:$AE$18</definedName>
    <definedName name="INVEST" localSheetId="10">[1]bajaj_copeland!$C$148:$L$168</definedName>
    <definedName name="INVEST">#REF!</definedName>
    <definedName name="invested_capital" localSheetId="10">[28]Template!$D$253:$T$253</definedName>
    <definedName name="invested_capital">#REF!</definedName>
    <definedName name="invested_capital_avg" localSheetId="10">[28]Template!$D$254:$T$254</definedName>
    <definedName name="invested_capital_avg">#REF!</definedName>
    <definedName name="Invested_capital_avg6">#REF!</definedName>
    <definedName name="Invested_Capital_Core">#REF!</definedName>
    <definedName name="Invested_capital_DCF">#REF!</definedName>
    <definedName name="Invested_capital_growth_fore">#REF!</definedName>
    <definedName name="Invested_capital_turns">#REF!</definedName>
    <definedName name="Invested_capital_turns_DCF">#REF!</definedName>
    <definedName name="Invested_capital_turns_fore">#REF!</definedName>
    <definedName name="Invested_capital6">#REF!</definedName>
    <definedName name="investment">#REF!</definedName>
    <definedName name="Investment_dep_Q">#REF!</definedName>
    <definedName name="Investment_equity">#REF!</definedName>
    <definedName name="investment_fluctuation_reserve">#REF!</definedName>
    <definedName name="Investment_others">#REF!</definedName>
    <definedName name="investments" localSheetId="10">[28]Template!$D$189:$T$189</definedName>
    <definedName name="Investments">#REF!</definedName>
    <definedName name="Investments_in_Unconsolidated_Subs">#REF!</definedName>
    <definedName name="Investments_Other_Assets">#REF!</definedName>
    <definedName name="Investments_Q">#REF!</definedName>
    <definedName name="Investments_total">#REF!</definedName>
    <definedName name="Invoice">#REF!</definedName>
    <definedName name="Invoice1">#REF!</definedName>
    <definedName name="invst_others">#REF!</definedName>
    <definedName name="invst_sub_associates">#REF!</definedName>
    <definedName name="Invt">#REF!</definedName>
    <definedName name="ioda" localSheetId="4">#REF!</definedName>
    <definedName name="ioda">'[79]GRPS-Y'!$A$97:$IJ$97</definedName>
    <definedName name="ioec" localSheetId="4">#REF!</definedName>
    <definedName name="ioec">'[79]GRPS-Y'!$A$100:$IJ$100</definedName>
    <definedName name="iooe" localSheetId="4">#REF!</definedName>
    <definedName name="iooe">'[79]GRPS-Y'!$A$101:$IJ$101</definedName>
    <definedName name="iorm" localSheetId="4">#REF!</definedName>
    <definedName name="iorm">'[79]GRPS-Y'!$A$99:$IJ$99</definedName>
    <definedName name="iosa" localSheetId="4">#REF!</definedName>
    <definedName name="iosa">'[79]GRPS-Y'!$A$94:$IJ$94</definedName>
    <definedName name="iosb" localSheetId="4">#REF!</definedName>
    <definedName name="iosb">'[79]GRPS-Y'!$A$95:$IJ$95</definedName>
    <definedName name="ip1_">#REF!</definedName>
    <definedName name="ip2_">#REF!</definedName>
    <definedName name="ip3_">#REF!</definedName>
    <definedName name="ip4_">#REF!</definedName>
    <definedName name="ip5_">#REF!</definedName>
    <definedName name="ipap" localSheetId="4">#REF!</definedName>
    <definedName name="ipap">'[79]GRPS-Y'!$A$50:$IJ$50</definedName>
    <definedName name="ipat" localSheetId="4">#REF!</definedName>
    <definedName name="ipat">'[79]GRPS-Y'!$A$48:$IJ$48</definedName>
    <definedName name="ipbt" localSheetId="4">#REF!</definedName>
    <definedName name="ipbt">'[79]GRPS-Y'!$A$44:$IJ$44</definedName>
    <definedName name="ipco" localSheetId="4">#REF!</definedName>
    <definedName name="ipco">'[79]GRPS-Y'!$A$38:$IJ$38</definedName>
    <definedName name="ipda" localSheetId="4">#REF!</definedName>
    <definedName name="ipda">'[79]GRPS-Y'!$A$40:$IJ$40</definedName>
    <definedName name="ipeb" localSheetId="4">#REF!</definedName>
    <definedName name="ipeb">'[79]GRPS-Y'!$A$39:$IJ$39</definedName>
    <definedName name="ipei" localSheetId="4">#REF!</definedName>
    <definedName name="ipei">'[79]GRPS-Y'!$A$51:$IJ$51</definedName>
    <definedName name="ipex" localSheetId="4">#REF!</definedName>
    <definedName name="ipex">'[79]GRPS-Y'!$A$45:$IJ$45</definedName>
    <definedName name="ipfe" localSheetId="4">#REF!</definedName>
    <definedName name="ipfe">'[79]GRPS-Y'!$A$43:$IJ$43</definedName>
    <definedName name="ipma" localSheetId="4">#REF!</definedName>
    <definedName name="ipma">'[79]GRPS-Y'!$A$49:$IJ$49</definedName>
    <definedName name="ipno" localSheetId="4">#REF!</definedName>
    <definedName name="ipno">'[79]GRPS-Y'!$A$42:$IJ$42</definedName>
    <definedName name="ipop" localSheetId="4">#REF!</definedName>
    <definedName name="ipop">'[79]GRPS-Y'!$A$41:$IJ$41</definedName>
    <definedName name="ipoprice">#REF!</definedName>
    <definedName name="ippt" localSheetId="4">#REF!</definedName>
    <definedName name="ippt">'[79]GRPS-Y'!$A$52:$IJ$52</definedName>
    <definedName name="ipr">#REF!</definedName>
    <definedName name="ipre" localSheetId="4">#REF!</definedName>
    <definedName name="ipre">'[79]GRPS-Y'!$A$37:$IJ$37</definedName>
    <definedName name="iprp" localSheetId="4">#REF!</definedName>
    <definedName name="iprp">'[79]GRPS-Y'!$A$46:$IJ$46</definedName>
    <definedName name="ipte" localSheetId="4">#REF!</definedName>
    <definedName name="ipte">'[79]GRPS-Y'!$A$47:$IJ$47</definedName>
    <definedName name="ipu">#REF!</definedName>
    <definedName name="ipv">#REF!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OUNT_CHANGE" hidden="1">"c1449"</definedName>
    <definedName name="IQ_ACCOUNTING_FFIEC" hidden="1">"c13054"</definedName>
    <definedName name="IQ_ACCOUNTING_STANDARD" hidden="1">"c4539"</definedName>
    <definedName name="IQ_ACCOUNTING_STANDARD_CIQ" hidden="1">"c5092"</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CIQ" hidden="1">"c12103"</definedName>
    <definedName name="IQ_ANALYST_EMAIL" hidden="1">"c13738"</definedName>
    <definedName name="IQ_ANALYST_NAME" hidden="1">"c13736"</definedName>
    <definedName name="IQ_ANALYST_NON_PER_DET_EST" hidden="1">"c12755"</definedName>
    <definedName name="IQ_ANALYST_NON_PER_DET_EST_CIQ" hidden="1">"c12756"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ID" hidden="1">"c13756"</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EST_CIQ" hidden="1">"c4737"</definedName>
    <definedName name="IQ_BV_HIGH_EST_CIQ" hidden="1">"c4739"</definedName>
    <definedName name="IQ_BV_LOW_EST_CIQ" hidden="1">"c4740"</definedName>
    <definedName name="IQ_BV_MEDIAN_EST_CIQ" hidden="1">"c4738"</definedName>
    <definedName name="IQ_BV_NUM_EST_CIQ" hidden="1">"c4741"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DET_EST" hidden="1">"c12047"</definedName>
    <definedName name="IQ_BV_SHARE_DET_EST_CIQ" hidden="1">"c12107"</definedName>
    <definedName name="IQ_BV_SHARE_DET_EST_CURRENCY" hidden="1">"c12456"</definedName>
    <definedName name="IQ_BV_SHARE_DET_EST_CURRENCY_CIQ" hidden="1">"c12500"</definedName>
    <definedName name="IQ_BV_SHARE_DET_EST_DATE" hidden="1">"c12200"</definedName>
    <definedName name="IQ_BV_SHARE_DET_EST_DATE_CIQ" hidden="1">"c12253"</definedName>
    <definedName name="IQ_BV_SHARE_DET_EST_INCL" hidden="1">"c12339"</definedName>
    <definedName name="IQ_BV_SHARE_DET_EST_INCL_CIQ" hidden="1">"c12383"</definedName>
    <definedName name="IQ_BV_SHARE_DET_EST_ORIGIN" hidden="1">"c12573"</definedName>
    <definedName name="IQ_BV_SHARE_DET_EST_ORIGIN_CIQ" hidden="1">"c12622"</definedName>
    <definedName name="IQ_BV_SHARE_EST" hidden="1">"c3541"</definedName>
    <definedName name="IQ_BV_SHARE_EST_CIQ" hidden="1">"c3800"</definedName>
    <definedName name="IQ_BV_SHARE_HIGH_EST" hidden="1">"c3542"</definedName>
    <definedName name="IQ_BV_SHARE_HIGH_EST_CIQ" hidden="1">"c3802"</definedName>
    <definedName name="IQ_BV_SHARE_LOW_EST" hidden="1">"c3543"</definedName>
    <definedName name="IQ_BV_SHARE_LOW_EST_CIQ" hidden="1">"c3803"</definedName>
    <definedName name="IQ_BV_SHARE_MEDIAN_EST" hidden="1">"c3544"</definedName>
    <definedName name="IQ_BV_SHARE_MEDIAN_EST_CIQ" hidden="1">"c3801"</definedName>
    <definedName name="IQ_BV_SHARE_NUM_EST" hidden="1">"c3539"</definedName>
    <definedName name="IQ_BV_SHARE_NUM_EST_CIQ" hidden="1">"c3804"</definedName>
    <definedName name="IQ_BV_SHARE_STDDEV_EST" hidden="1">"c3540"</definedName>
    <definedName name="IQ_BV_SHARE_STDDEV_EST_CIQ" hidden="1">"c3805"</definedName>
    <definedName name="IQ_BV_STDDEV_EST_CIQ" hidden="1">"c4742"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BNK" hidden="1">"c110"</definedName>
    <definedName name="IQ_CAPEX_BR" hidden="1">"c111"</definedName>
    <definedName name="IQ_CAPEX_DET_EST" hidden="1">"c12048"</definedName>
    <definedName name="IQ_CAPEX_DET_EST_CIQ" hidden="1">"c12108"</definedName>
    <definedName name="IQ_CAPEX_DET_EST_CURRENCY" hidden="1">"c12457"</definedName>
    <definedName name="IQ_CAPEX_DET_EST_CURRENCY_CIQ" hidden="1">"c12501"</definedName>
    <definedName name="IQ_CAPEX_DET_EST_DATE" hidden="1">"c12201"</definedName>
    <definedName name="IQ_CAPEX_DET_EST_DATE_CIQ" hidden="1">"c12254"</definedName>
    <definedName name="IQ_CAPEX_DET_EST_INCL" hidden="1">"c12340"</definedName>
    <definedName name="IQ_CAPEX_DET_EST_INCL_CIQ" hidden="1">"c12384"</definedName>
    <definedName name="IQ_CAPEX_DET_EST_ORIGIN" hidden="1">"c12765"</definedName>
    <definedName name="IQ_CAPEX_DET_EST_ORIGIN_CIQ" hidden="1">"c12766"</definedName>
    <definedName name="IQ_CAPEX_EST" hidden="1">"c3523"</definedName>
    <definedName name="IQ_CAPEX_EST_CIQ" hidden="1">"c3807"</definedName>
    <definedName name="IQ_CAPEX_FIN" hidden="1">"c112"</definedName>
    <definedName name="IQ_CAPEX_GUIDANCE" hidden="1">"c4150"</definedName>
    <definedName name="IQ_CAPEX_HIGH_EST" hidden="1">"c3524"</definedName>
    <definedName name="IQ_CAPEX_HIGH_EST_CIQ" hidden="1">"c3809"</definedName>
    <definedName name="IQ_CAPEX_HIGH_GUIDANCE" hidden="1">"c4180"</definedName>
    <definedName name="IQ_CAPEX_INS" hidden="1">"c113"</definedName>
    <definedName name="IQ_CAPEX_LOW_EST" hidden="1">"c3525"</definedName>
    <definedName name="IQ_CAPEX_LOW_EST_CIQ" hidden="1">"c3810"</definedName>
    <definedName name="IQ_CAPEX_LOW_GUIDANCE" hidden="1">"c4220"</definedName>
    <definedName name="IQ_CAPEX_MEDIAN_EST" hidden="1">"c3526"</definedName>
    <definedName name="IQ_CAPEX_MEDIAN_EST_CIQ" hidden="1">"c3808"</definedName>
    <definedName name="IQ_CAPEX_NUM_EST" hidden="1">"c3521"</definedName>
    <definedName name="IQ_CAPEX_NUM_EST_CIQ" hidden="1">"c3811"</definedName>
    <definedName name="IQ_CAPEX_STDDEV_EST" hidden="1">"c3522"</definedName>
    <definedName name="IQ_CAPEX_STDDEV_EST_CIQ" hidden="1">"c3812"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HIGH_EST" hidden="1">"c4156"</definedName>
    <definedName name="IQ_CASH_FLOW_HIGH_EST_CIQ" hidden="1">"c4568"</definedName>
    <definedName name="IQ_CASH_FLOW_LOW_EST" hidden="1">"c4157"</definedName>
    <definedName name="IQ_CASH_FLOW_LOW_EST_CIQ" hidden="1">"c4569"</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HIGH_EST" hidden="1">"c4166"</definedName>
    <definedName name="IQ_CASH_OPER_HIGH_EST_CIQ" hidden="1">"c4578"</definedName>
    <definedName name="IQ_CASH_OPER_HIGH_GUIDANCE" hidden="1">"c4185"</definedName>
    <definedName name="IQ_CASH_OPER_LOW_EST" hidden="1">"c4244"</definedName>
    <definedName name="IQ_CASH_OPER_LOW_EST_CIQ" hidden="1">"c4768"</definedName>
    <definedName name="IQ_CASH_OPER_LOW_GUIDANCE" hidden="1">"c4225"</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HIGH_EST" hidden="1">"c4251"</definedName>
    <definedName name="IQ_CASH_ST_INVEST_HIGH_EST_CIQ" hidden="1">"c4777"</definedName>
    <definedName name="IQ_CASH_ST_INVEST_LOW_EST" hidden="1">"c4252"</definedName>
    <definedName name="IQ_CASH_ST_INVEST_LOW_EST_CIQ" hidden="1">"c4778"</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DERIVATIVES_BENEFICIARY_FFIEC" hidden="1">"c13119"</definedName>
    <definedName name="IQ_CDS_DERIVATIVES_GUARANTOR_FFIEC" hidden="1">"c13112"</definedName>
    <definedName name="IQ_CDS_LIST" hidden="1">"c13510"</definedName>
    <definedName name="IQ_CDS_LOAN_LIST" hidden="1">"c13518"</definedName>
    <definedName name="IQ_CDS_SENIOR_LIST" hidden="1">"c13508"</definedName>
    <definedName name="IQ_CDS_SUB_LIST" hidden="1">"c13509"</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CIQ" hidden="1">"c5061"</definedName>
    <definedName name="IQ_CFPS_DET_EST" hidden="1">"c12049"</definedName>
    <definedName name="IQ_CFPS_DET_EST_CIQ" hidden="1">"c12109"</definedName>
    <definedName name="IQ_CFPS_DET_EST_CURRENCY" hidden="1">"c12458"</definedName>
    <definedName name="IQ_CFPS_DET_EST_CURRENCY_CIQ" hidden="1">"c12502"</definedName>
    <definedName name="IQ_CFPS_DET_EST_DATE" hidden="1">"c12202"</definedName>
    <definedName name="IQ_CFPS_DET_EST_DATE_CIQ" hidden="1">"c12255"</definedName>
    <definedName name="IQ_CFPS_DET_EST_INCL" hidden="1">"c12341"</definedName>
    <definedName name="IQ_CFPS_DET_EST_INCL_CIQ" hidden="1">"c12385"</definedName>
    <definedName name="IQ_CFPS_DET_EST_ORIGIN" hidden="1">"c12575"</definedName>
    <definedName name="IQ_CFPS_DET_EST_ORIGIN_CIQ" hidden="1">"c12624"</definedName>
    <definedName name="IQ_CFPS_EST" hidden="1">"c1667"</definedName>
    <definedName name="IQ_CFPS_EST_CIQ" hidden="1">"c3675"</definedName>
    <definedName name="IQ_CFPS_GUIDANCE" hidden="1">"c4256"</definedName>
    <definedName name="IQ_CFPS_HIGH_EST" hidden="1">"c1669"</definedName>
    <definedName name="IQ_CFPS_HIGH_EST_CIQ" hidden="1">"c3677"</definedName>
    <definedName name="IQ_CFPS_HIGH_GUIDANCE" hidden="1">"c4167"</definedName>
    <definedName name="IQ_CFPS_LOW_EST" hidden="1">"c1670"</definedName>
    <definedName name="IQ_CFPS_LOW_EST_CIQ" hidden="1">"c3678"</definedName>
    <definedName name="IQ_CFPS_LOW_GUIDANCE" hidden="1">"c4207"</definedName>
    <definedName name="IQ_CFPS_MEDIAN_EST" hidden="1">"c1668"</definedName>
    <definedName name="IQ_CFPS_MEDIAN_EST_CIQ" hidden="1">"c3676"</definedName>
    <definedName name="IQ_CFPS_NUM_EST" hidden="1">"c1671"</definedName>
    <definedName name="IQ_CFPS_NUM_EST_CIQ" hidden="1">"c3679"</definedName>
    <definedName name="IQ_CFPS_STDDEV_EST" hidden="1">"c1672"</definedName>
    <definedName name="IQ_CFPS_STDDEV_EST_CIQ" hidden="1">"c3680"</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ECTION_DOMESTIC_FDIC" hidden="1">"c6387"</definedName>
    <definedName name="IQ_COM_TARGET_PRICE" hidden="1">"c13606"</definedName>
    <definedName name="IQ_COM_TARGET_PRICE_CIQ" hidden="1">"c13599"</definedName>
    <definedName name="IQ_COM_TARGET_PRICE_DET_EST" hidden="1">"c13610"</definedName>
    <definedName name="IQ_COM_TARGET_PRICE_DET_EST_CIQ" hidden="1">"c13603"</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LEASES_LL_REC_FFIEC" hidden="1">"c12895"</definedName>
    <definedName name="IQ_CONSUMER_LOANS" hidden="1">"c223"</definedName>
    <definedName name="IQ_CONSUMER_LOANS_LL_REC_DOM_FFIEC" hidden="1">"c12911"</definedName>
    <definedName name="IQ_CONSUMER_LOANS_TOT_LOANS_FFIEC" hidden="1">"c13875"</definedName>
    <definedName name="IQ_CONTRACTS_OTHER_COMMODITIES_EQUITIES_FDIC" hidden="1">"c6522"</definedName>
    <definedName name="IQ_CONTRIB_ID_DET_EST" hidden="1">"c12045"</definedName>
    <definedName name="IQ_CONTRIB_ID_DET_EST_CIQ" hidden="1">"c12105"</definedName>
    <definedName name="IQ_CONTRIB_ID_NON_PER_DET_EST" hidden="1">"c13824"</definedName>
    <definedName name="IQ_CONTRIB_ID_NON_PER_DET_EST_CIQ" hidden="1">"c13825"</definedName>
    <definedName name="IQ_CONTRIB_NAME_DET_EST" hidden="1">"c12046"</definedName>
    <definedName name="IQ_CONTRIB_NAME_DET_EST_CIQ" hidden="1">"c12106"</definedName>
    <definedName name="IQ_CONTRIB_NAME_NON_PER_DET_EST" hidden="1">"c12760"</definedName>
    <definedName name="IQ_CONTRIB_NAME_NON_PER_DET_EST_CIQ" hidden="1">"c12761"</definedName>
    <definedName name="IQ_CONTRIB_REC_DET_EST" hidden="1">"c12051"</definedName>
    <definedName name="IQ_CONTRIB_REC_DET_EST_CIQ" hidden="1">"c12111"</definedName>
    <definedName name="IQ_CONTRIB_REC_DET_EST_DATE" hidden="1">"c12204"</definedName>
    <definedName name="IQ_CONTRIB_REC_DET_EST_DATE_CIQ" hidden="1">"c12257"</definedName>
    <definedName name="IQ_CONTRIB_REC_DET_EST_ORIGIN" hidden="1">"c12577"</definedName>
    <definedName name="IQ_CONTRIB_REC_DET_EST_ORIGIN_CIQ" hidden="1">"c12626"</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HIGH_EST" hidden="1">"c4280"</definedName>
    <definedName name="IQ_DISTRIBUTABLE_CASH_HIGH_EST_CIQ" hidden="1">"c4805"</definedName>
    <definedName name="IQ_DISTRIBUTABLE_CASH_HIGH_GUIDANCE" hidden="1">"c4198"</definedName>
    <definedName name="IQ_DISTRIBUTABLE_CASH_LOW_EST" hidden="1">"c4281"</definedName>
    <definedName name="IQ_DISTRIBUTABLE_CASH_LOW_EST_CIQ" hidden="1">"c4806"</definedName>
    <definedName name="IQ_DISTRIBUTABLE_CASH_LOW_GUIDANCE" hidden="1">"c4238"</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DET_EST" hidden="1">"c12052"</definedName>
    <definedName name="IQ_DPS_DET_EST_CIQ" hidden="1">"c12112"</definedName>
    <definedName name="IQ_DPS_DET_EST_CURRENCY" hidden="1">"c12459"</definedName>
    <definedName name="IQ_DPS_DET_EST_CURRENCY_CIQ" hidden="1">"c12503"</definedName>
    <definedName name="IQ_DPS_DET_EST_DATE" hidden="1">"c12205"</definedName>
    <definedName name="IQ_DPS_DET_EST_DATE_CIQ" hidden="1">"c12258"</definedName>
    <definedName name="IQ_DPS_DET_EST_INCL" hidden="1">"c12342"</definedName>
    <definedName name="IQ_DPS_DET_EST_INCL_CIQ" hidden="1">"c12386"</definedName>
    <definedName name="IQ_DPS_DET_EST_ORIGIN" hidden="1">"c12578"</definedName>
    <definedName name="IQ_DPS_DET_EST_ORIGIN_CIQ" hidden="1">"c12627"</definedName>
    <definedName name="IQ_DPS_EST" hidden="1">"c1674"</definedName>
    <definedName name="IQ_DPS_EST_BOTTOM_UP" hidden="1">"c5493"</definedName>
    <definedName name="IQ_DPS_EST_BOTTOM_UP_CIQ" hidden="1">"c12030"</definedName>
    <definedName name="IQ_DPS_EST_CIQ" hidden="1">"c3682"</definedName>
    <definedName name="IQ_DPS_GUIDANCE" hidden="1">"c4302"</definedName>
    <definedName name="IQ_DPS_HIGH_EST" hidden="1">"c1676"</definedName>
    <definedName name="IQ_DPS_HIGH_EST_CIQ" hidden="1">"c3684"</definedName>
    <definedName name="IQ_DPS_HIGH_GUIDANCE" hidden="1">"c4168"</definedName>
    <definedName name="IQ_DPS_LOW_EST" hidden="1">"c1677"</definedName>
    <definedName name="IQ_DPS_LOW_EST_CIQ" hidden="1">"c3685"</definedName>
    <definedName name="IQ_DPS_LOW_GUIDANCE" hidden="1">"c4208"</definedName>
    <definedName name="IQ_DPS_MEDIAN_EST" hidden="1">"c1675"</definedName>
    <definedName name="IQ_DPS_MEDIAN_EST_CIQ" hidden="1">"c3683"</definedName>
    <definedName name="IQ_DPS_NUM_EST" hidden="1">"c1678"</definedName>
    <definedName name="IQ_DPS_NUM_EST_CIQ" hidden="1">"c3686"</definedName>
    <definedName name="IQ_DPS_STDDEV_EST" hidden="1">"c1679"</definedName>
    <definedName name="IQ_DPS_STDDEV_EST_CIQ" hidden="1">"c3687"</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DET_EST" hidden="1">"c12053"</definedName>
    <definedName name="IQ_EBIT_DET_EST_CIQ" hidden="1">"c12113"</definedName>
    <definedName name="IQ_EBIT_DET_EST_CURRENCY" hidden="1">"c12460"</definedName>
    <definedName name="IQ_EBIT_DET_EST_CURRENCY_CIQ" hidden="1">"c12504"</definedName>
    <definedName name="IQ_EBIT_DET_EST_DATE" hidden="1">"c12206"</definedName>
    <definedName name="IQ_EBIT_DET_EST_DATE_CIQ" hidden="1">"c12259"</definedName>
    <definedName name="IQ_EBIT_DET_EST_INCL" hidden="1">"c12343"</definedName>
    <definedName name="IQ_EBIT_DET_EST_INCL_CIQ" hidden="1">"c12387"</definedName>
    <definedName name="IQ_EBIT_DET_EST_ORIGIN" hidden="1">"c12579"</definedName>
    <definedName name="IQ_EBIT_DET_EST_ORIGIN_CIQ" hidden="1">"c12628"</definedName>
    <definedName name="IQ_EBIT_EQ_INC" hidden="1">"c3498"</definedName>
    <definedName name="IQ_EBIT_EQ_INC_EXCL_SBC" hidden="1">"c3502"</definedName>
    <definedName name="IQ_EBIT_EST" hidden="1">"c1681"</definedName>
    <definedName name="IQ_EBIT_EST_CIQ" hidden="1">"c4674"</definedName>
    <definedName name="IQ_EBIT_EXCL_SBC" hidden="1">"c3082"</definedName>
    <definedName name="IQ_EBIT_GUIDANCE" hidden="1">"c4303"</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HIGH_EST" hidden="1">"c4308"</definedName>
    <definedName name="IQ_EBIT_GW_HIGH_EST_CIQ" hidden="1">"c4833"</definedName>
    <definedName name="IQ_EBIT_GW_LOW_EST" hidden="1">"c4309"</definedName>
    <definedName name="IQ_EBIT_GW_LOW_EST_CIQ" hidden="1">"c4834"</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GUIDANCE" hidden="1">"c4172"</definedName>
    <definedName name="IQ_EBIT_INT" hidden="1">"c360"</definedName>
    <definedName name="IQ_EBIT_LOW_EST" hidden="1">"c1684"</definedName>
    <definedName name="IQ_EBIT_LOW_EST_CIQ" hidden="1">"c4677"</definedName>
    <definedName name="IQ_EBIT_LOW_GUIDANCE" hidden="1">"c4212"</definedName>
    <definedName name="IQ_EBIT_MARGIN" hidden="1">"c359"</definedName>
    <definedName name="IQ_EBIT_MEDIAN_EST" hidden="1">"c1682"</definedName>
    <definedName name="IQ_EBIT_MEDIAN_EST_CIQ" hidden="1">"c4675"</definedName>
    <definedName name="IQ_EBIT_NUM_EST" hidden="1">"c1685"</definedName>
    <definedName name="IQ_EBIT_NUM_EST_CIQ" hidden="1">"c4678"</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HIGH_EST" hidden="1">"c4322"</definedName>
    <definedName name="IQ_EBIT_SBC_GW_HIGH_EST_CIQ" hidden="1">"c4847"</definedName>
    <definedName name="IQ_EBIT_SBC_GW_LOW_EST" hidden="1">"c4323"</definedName>
    <definedName name="IQ_EBIT_SBC_GW_LOW_EST_CIQ" hidden="1">"c4848"</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LOW_EST" hidden="1">"c4329"</definedName>
    <definedName name="IQ_EBIT_SBC_LOW_EST_CIQ" hidden="1">"c4854"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DET_EST" hidden="1">"c12054"</definedName>
    <definedName name="IQ_EBITDA_DET_EST_CIQ" hidden="1">"c12114"</definedName>
    <definedName name="IQ_EBITDA_DET_EST_CURRENCY" hidden="1">"c12461"</definedName>
    <definedName name="IQ_EBITDA_DET_EST_CURRENCY_CIQ" hidden="1">"c12505"</definedName>
    <definedName name="IQ_EBITDA_DET_EST_DATE" hidden="1">"c12207"</definedName>
    <definedName name="IQ_EBITDA_DET_EST_DATE_CIQ" hidden="1">"c12260"</definedName>
    <definedName name="IQ_EBITDA_DET_EST_INCL" hidden="1">"c12344"</definedName>
    <definedName name="IQ_EBITDA_DET_EST_INCL_CIQ" hidden="1">"c12388"</definedName>
    <definedName name="IQ_EBITDA_DET_EST_ORIGIN" hidden="1">"c12580"</definedName>
    <definedName name="IQ_EBITDA_DET_EST_ORIGIN_CIQ" hidden="1">"c12629"</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GUIDANCE" hidden="1">"c4334"</definedName>
    <definedName name="IQ_EBITDA_HIGH_EST" hidden="1">"c370"</definedName>
    <definedName name="IQ_EBITDA_HIGH_EST_CIQ" hidden="1">"c3624"</definedName>
    <definedName name="IQ_EBITDA_HIGH_GUIDANCE" hidden="1">"c4170"</definedName>
    <definedName name="IQ_EBITDA_INT" hidden="1">"c373"</definedName>
    <definedName name="IQ_EBITDA_LOW_EST" hidden="1">"c371"</definedName>
    <definedName name="IQ_EBITDA_LOW_EST_CIQ" hidden="1">"c3625"</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HIGH_EST" hidden="1">"c4339"</definedName>
    <definedName name="IQ_EBITDA_SBC_HIGH_EST_CIQ" hidden="1">"c4864"</definedName>
    <definedName name="IQ_EBITDA_SBC_LOW_EST" hidden="1">"c4340"</definedName>
    <definedName name="IQ_EBITDA_SBC_LOW_EST_CIQ" hidden="1">"c4865"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HIGH_EST" hidden="1">"c4356"</definedName>
    <definedName name="IQ_EBT_SBC_GW_HIGH_EST_CIQ" hidden="1">"c4881"</definedName>
    <definedName name="IQ_EBT_SBC_GW_LOW_EST" hidden="1">"c4357"</definedName>
    <definedName name="IQ_EBT_SBC_GW_LOW_EST_CIQ" hidden="1">"c4882"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LOW_EST" hidden="1">"c4363"</definedName>
    <definedName name="IQ_EBT_SBC_LOW_EST_CIQ" hidden="1">"c4888"</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EES" hidden="1">"c392"</definedName>
    <definedName name="IQ_EMPLOYEES_FFIEC" hidden="1">"c13035"</definedName>
    <definedName name="IQ_ENTERPRISE_VALUE" hidden="1">"c1348"</definedName>
    <definedName name="IQ_ENTITLEMENT_DET_EST" hidden="1">"c12044"</definedName>
    <definedName name="IQ_ENTITLEMENT_DET_EST_CIQ" hidden="1">"c12104"</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DET_EST" hidden="1">"c13571"</definedName>
    <definedName name="IQ_EPS_DET_EST_CIQ" hidden="1">"c13573"</definedName>
    <definedName name="IQ_EPS_DET_EST_CURRENCY" hidden="1">"c13583"</definedName>
    <definedName name="IQ_EPS_DET_EST_CURRENCY_CIQ" hidden="1">"c13585"</definedName>
    <definedName name="IQ_EPS_DET_EST_DATE" hidden="1">"c13575"</definedName>
    <definedName name="IQ_EPS_DET_EST_DATE_CIQ" hidden="1">"c13577"</definedName>
    <definedName name="IQ_EPS_DET_EST_INCL" hidden="1">"c13587"</definedName>
    <definedName name="IQ_EPS_DET_EST_INCL_CIQ" hidden="1">"c13589"</definedName>
    <definedName name="IQ_EPS_DET_EST_ORIGIN" hidden="1">"c13579"</definedName>
    <definedName name="IQ_EPS_DET_EST_ORIGIN_CIQ" hidden="1">"c13581"</definedName>
    <definedName name="IQ_EPS_EST" hidden="1">"c399"</definedName>
    <definedName name="IQ_EPS_EST_BOTTOM_UP" hidden="1">"c5489"</definedName>
    <definedName name="IQ_EPS_EST_BOTTOM_UP_CIQ" hidden="1">"c12026"</definedName>
    <definedName name="IQ_EPS_EST_CIQ" hidden="1">"c4994"</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ROWTH_GUIDANCE" hidden="1">"c13495"</definedName>
    <definedName name="IQ_EPS_GROWTH_HIGH_GUIDANCE" hidden="1">"c13496"</definedName>
    <definedName name="IQ_EPS_GROWTH_LOW_GUIDANCE" hidden="1">"c13497"</definedName>
    <definedName name="IQ_EPS_GW_ACT_OR_EST" hidden="1">"c2223"</definedName>
    <definedName name="IQ_EPS_GW_ACT_OR_EST_CIQ" hidden="1">"c5066"</definedName>
    <definedName name="IQ_EPS_GW_DET_EST" hidden="1">"c12056"</definedName>
    <definedName name="IQ_EPS_GW_DET_EST_CIQ" hidden="1">"c12118"</definedName>
    <definedName name="IQ_EPS_GW_DET_EST_CURRENCY" hidden="1">"c12463"</definedName>
    <definedName name="IQ_EPS_GW_DET_EST_CURRENCY_CIQ" hidden="1">"c12509"</definedName>
    <definedName name="IQ_EPS_GW_DET_EST_DATE" hidden="1">"c12209"</definedName>
    <definedName name="IQ_EPS_GW_DET_EST_DATE_CIQ" hidden="1">"c12264"</definedName>
    <definedName name="IQ_EPS_GW_DET_EST_INCL" hidden="1">"c12346"</definedName>
    <definedName name="IQ_EPS_GW_DET_EST_INCL_CIQ" hidden="1">"c12392"</definedName>
    <definedName name="IQ_EPS_GW_DET_EST_ORIGIN" hidden="1">"c12582"</definedName>
    <definedName name="IQ_EPS_GW_DET_EST_ORIGIN_CIQ" hidden="1">"c12633"</definedName>
    <definedName name="IQ_EPS_GW_EST" hidden="1">"c1737"</definedName>
    <definedName name="IQ_EPS_GW_EST_BOTTOM_UP" hidden="1">"c5491"</definedName>
    <definedName name="IQ_EPS_GW_EST_BOTTOM_UP_CIQ" hidden="1">"c12028"</definedName>
    <definedName name="IQ_EPS_GW_EST_CIQ" hidden="1">"c4723"</definedName>
    <definedName name="IQ_EPS_GW_GUIDANCE" hidden="1">"c4372"</definedName>
    <definedName name="IQ_EPS_GW_HIGH_EST" hidden="1">"c1739"</definedName>
    <definedName name="IQ_EPS_GW_HIGH_EST_CIQ" hidden="1">"c4725"</definedName>
    <definedName name="IQ_EPS_GW_HIGH_GUIDANCE" hidden="1">"c4373"</definedName>
    <definedName name="IQ_EPS_GW_LOW_EST" hidden="1">"c1740"</definedName>
    <definedName name="IQ_EPS_GW_LOW_EST_CIQ" hidden="1">"c4726"</definedName>
    <definedName name="IQ_EPS_GW_LOW_GUIDANCE" hidden="1">"c4206"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DET_EST" hidden="1">"c12058"</definedName>
    <definedName name="IQ_EPS_NORM_DET_EST_CIQ" hidden="1">"c12120"</definedName>
    <definedName name="IQ_EPS_NORM_DET_EST_CURRENCY" hidden="1">"c12465"</definedName>
    <definedName name="IQ_EPS_NORM_DET_EST_CURRENCY_CIQ" hidden="1">"c12511"</definedName>
    <definedName name="IQ_EPS_NORM_DET_EST_DATE" hidden="1">"c12211"</definedName>
    <definedName name="IQ_EPS_NORM_DET_EST_DATE_CIQ" hidden="1">"c12266"</definedName>
    <definedName name="IQ_EPS_NORM_DET_EST_INCL" hidden="1">"c12348"</definedName>
    <definedName name="IQ_EPS_NORM_DET_EST_INCL_CIQ" hidden="1">"c12394"</definedName>
    <definedName name="IQ_EPS_NORM_DET_EST_ORIGIN" hidden="1">"c12583"</definedName>
    <definedName name="IQ_EPS_NORM_DET_EST_ORIGIN_CIQ" hidden="1">"c12635"</definedName>
    <definedName name="IQ_EPS_NORM_EST" hidden="1">"c2226"</definedName>
    <definedName name="IQ_EPS_NORM_EST_BOTTOM_UP" hidden="1">"c5490"</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 hidden="1">"c2224"</definedName>
    <definedName name="IQ_EPS_REPORT_ACT_OR_EST_CIQ" hidden="1">"c5067"</definedName>
    <definedName name="IQ_EPS_REPORTED_DET_EST" hidden="1">"c12057"</definedName>
    <definedName name="IQ_EPS_REPORTED_DET_EST_CIQ" hidden="1">"c12119"</definedName>
    <definedName name="IQ_EPS_REPORTED_DET_EST_CURRENCY" hidden="1">"c12464"</definedName>
    <definedName name="IQ_EPS_REPORTED_DET_EST_CURRENCY_CIQ" hidden="1">"c12510"</definedName>
    <definedName name="IQ_EPS_REPORTED_DET_EST_DATE" hidden="1">"c12210"</definedName>
    <definedName name="IQ_EPS_REPORTED_DET_EST_DATE_CIQ" hidden="1">"c12265"</definedName>
    <definedName name="IQ_EPS_REPORTED_DET_EST_INCL" hidden="1">"c12347"</definedName>
    <definedName name="IQ_EPS_REPORTED_DET_EST_INCL_CIQ" hidden="1">"c12393"</definedName>
    <definedName name="IQ_EPS_REPORTED_DET_EST_ORIGIN" hidden="1">"c12772"</definedName>
    <definedName name="IQ_EPS_REPORTED_DET_EST_ORIGIN_CIQ" hidden="1">"c12634"</definedName>
    <definedName name="IQ_EPS_REPORTED_EST" hidden="1">"c1744"</definedName>
    <definedName name="IQ_EPS_REPORTED_EST_BOTTOM_UP" hidden="1">"c5492"</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HIGH_EST" hidden="1">"c4382"</definedName>
    <definedName name="IQ_EPS_SBC_GW_HIGH_EST_CIQ" hidden="1">"c4907"</definedName>
    <definedName name="IQ_EPS_SBC_GW_LOW_EST" hidden="1">"c4383"</definedName>
    <definedName name="IQ_EPS_SBC_GW_LOW_EST_CIQ" hidden="1">"c4908"</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LOW_EST" hidden="1">"c4389"</definedName>
    <definedName name="IQ_EPS_SBC_LOW_EST_CIQ" hidden="1">"c4914"</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_CIQ" hidden="1">"c4743"</definedName>
    <definedName name="IQ_EST_ACT_BV_SHARE" hidden="1">"c3549"</definedName>
    <definedName name="IQ_EST_ACT_BV_SHARE_CIQ" hidden="1">"c3806"</definedName>
    <definedName name="IQ_EST_ACT_CAPEX" hidden="1">"c3546"</definedName>
    <definedName name="IQ_EST_ACT_CAPEX_CIQ" hidden="1">"c3813"</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DA" hidden="1">"c1664"</definedName>
    <definedName name="IQ_EST_ACT_EBITDA_CIQ" hidden="1">"c3667"</definedName>
    <definedName name="IQ_EST_ACT_EBITDA_SBC" hidden="1">"c4401"</definedName>
    <definedName name="IQ_EST_ACT_EBITDA_SBC_CIQ" hidden="1">"c4926"</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FFO" hidden="1">"c4407"</definedName>
    <definedName name="IQ_EST_ACT_FFO_ADJ" hidden="1">"c4406"</definedName>
    <definedName name="IQ_EST_ACT_FFO_ADJ_CIQ" hidden="1">"c4931"</definedName>
    <definedName name="IQ_EST_ACT_FFO_CIQ" hidden="1">"c4932"</definedName>
    <definedName name="IQ_EST_ACT_FFO_SHARE" hidden="1">"c1666"</definedName>
    <definedName name="IQ_EST_ACT_FFO_SHARE_CIQ" hidden="1">"c3674"</definedName>
    <definedName name="IQ_EST_ACT_MAINT_CAPEX" hidden="1">"c4408"</definedName>
    <definedName name="IQ_EST_ACT_MAINT_CAPEX_CIQ" hidden="1">"c4933"</definedName>
    <definedName name="IQ_EST_ACT_NAV" hidden="1">"c1757"</definedName>
    <definedName name="IQ_EST_ACT_NAV_SHARE_CIQ" hidden="1">"c12031"</definedName>
    <definedName name="IQ_EST_ACT_NET_DEBT" hidden="1">"c3545"</definedName>
    <definedName name="IQ_EST_ACT_NET_DEBT_CIQ" hidden="1">"c3820"</definedName>
    <definedName name="IQ_EST_ACT_NI" hidden="1">"c1722"</definedName>
    <definedName name="IQ_EST_ACT_NI_CIQ" hidden="1">"c4708"</definedName>
    <definedName name="IQ_EST_ACT_NI_GW" hidden="1">"c1729"</definedName>
    <definedName name="IQ_EST_ACT_NI_GW_CIQ" hidden="1">"c4715"</definedName>
    <definedName name="IQ_EST_ACT_NI_REPORTED" hidden="1">"c1736"</definedName>
    <definedName name="IQ_EST_ACT_NI_REPORTED_CIQ" hidden="1">"c4722"</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OPER_INC" hidden="1">"c1694"</definedName>
    <definedName name="IQ_EST_ACT_OPER_INC_CIQ" hidden="1">"c12016"</definedName>
    <definedName name="IQ_EST_ACT_PRETAX_GW_INC" hidden="1">"c1708"</definedName>
    <definedName name="IQ_EST_ACT_PRETAX_GW_INC_CIQ" hidden="1">"c4694"</definedName>
    <definedName name="IQ_EST_ACT_PRETAX_INC" hidden="1">"c1701"</definedName>
    <definedName name="IQ_EST_ACT_PRETAX_INC_CIQ" hidden="1">"c4687"</definedName>
    <definedName name="IQ_EST_ACT_PRETAX_REPORT_INC" hidden="1">"c1715"</definedName>
    <definedName name="IQ_EST_ACT_PRETAX_REPORT_INC_CIQ" hidden="1">"c4701"</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EQUITY" hidden="1">"c3548"</definedName>
    <definedName name="IQ_EST_ACT_REV" hidden="1">"c2113"</definedName>
    <definedName name="IQ_EST_ACT_REV_CIQ" hidden="1">"c3666"</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2YR" hidden="1">"c3589"</definedName>
    <definedName name="IQ_EST_CAPEX_GROWTH_2YR_CIQ" hidden="1">"c4973"</definedName>
    <definedName name="IQ_EST_CAPEX_GROWTH_Q_1YR" hidden="1">"c3590"</definedName>
    <definedName name="IQ_EST_CAPEX_GROWTH_Q_1YR_CIQ" hidden="1">"c4974"</definedName>
    <definedName name="IQ_EST_CAPEX_SEQ_GROWTH_Q" hidden="1">"c3591"</definedName>
    <definedName name="IQ_EST_CAPEX_SEQ_GROWTH_Q_CIQ" hidden="1">"c4975"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GROWTH_1YR" hidden="1">"c1774"</definedName>
    <definedName name="IQ_EST_CFPS_GROWTH_1YR_CIQ" hidden="1">"c3709"</definedName>
    <definedName name="IQ_EST_CFPS_GROWTH_2YR" hidden="1">"c1775"</definedName>
    <definedName name="IQ_EST_CFPS_GROWTH_2YR_CIQ" hidden="1">"c3710"</definedName>
    <definedName name="IQ_EST_CFPS_GROWTH_Q_1YR" hidden="1">"c1776"</definedName>
    <definedName name="IQ_EST_CFPS_GROWTH_Q_1YR_CIQ" hidden="1">"c3711"</definedName>
    <definedName name="IQ_EST_CFPS_SEQ_GROWTH_Q" hidden="1">"c1777"</definedName>
    <definedName name="IQ_EST_CFPS_SEQ_GROWTH_Q_CIQ" hidden="1">"c3712"</definedName>
    <definedName name="IQ_EST_CFPS_SURPRISE_PERCENT" hidden="1">"c1872"</definedName>
    <definedName name="IQ_EST_CFPS_SURPRISE_PERCENT_CIQ" hidden="1">"c3724"</definedName>
    <definedName name="IQ_EST_CURRENCY" hidden="1">"c2140"</definedName>
    <definedName name="IQ_EST_CURRENCY_CIQ" hidden="1">"c4769"</definedName>
    <definedName name="IQ_EST_DATE" hidden="1">"c1634"</definedName>
    <definedName name="IQ_EST_DATE_CIQ" hidden="1">"c4770"</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GROWTH_1YR" hidden="1">"c1778"</definedName>
    <definedName name="IQ_EST_DPS_GROWTH_1YR_CIQ" hidden="1">"c3713"</definedName>
    <definedName name="IQ_EST_DPS_GROWTH_2YR" hidden="1">"c1779"</definedName>
    <definedName name="IQ_EST_DPS_GROWTH_2YR_CIQ" hidden="1">"c3714"</definedName>
    <definedName name="IQ_EST_DPS_GROWTH_Q_1YR" hidden="1">"c1780"</definedName>
    <definedName name="IQ_EST_DPS_GROWTH_Q_1YR_CIQ" hidden="1">"c3715"</definedName>
    <definedName name="IQ_EST_DPS_SEQ_GROWTH_Q" hidden="1">"c1781"</definedName>
    <definedName name="IQ_EST_DPS_SEQ_GROWTH_Q_CIQ" hidden="1">"c3716"</definedName>
    <definedName name="IQ_EST_DPS_SURPRISE_PERCENT" hidden="1">"c1874"</definedName>
    <definedName name="IQ_EST_DPS_SURPRISE_PERCENT_CIQ" hidden="1">"c3726"</definedName>
    <definedName name="IQ_EST_EBIT_DIFF" hidden="1">"c1875"</definedName>
    <definedName name="IQ_EST_EBIT_DIFF_CIQ" hidden="1">"c4747"</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2YR_CIQ" hidden="1">"c3689"</definedName>
    <definedName name="IQ_EST_EPS_GROWTH_5YR" hidden="1">"c1655"</definedName>
    <definedName name="IQ_EST_EPS_GROWTH_5YR_BOTTOM_UP" hidden="1">"c5487"</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"c4444"</definedName>
    <definedName name="IQ_EST_FFO_DIFF_CIQ" hidden="1">"c4969"</definedName>
    <definedName name="IQ_EST_FFO_GROWTH_1YR" hidden="1">"c4425"</definedName>
    <definedName name="IQ_EST_FFO_GROWTH_1YR_CIQ" hidden="1">"c4950"</definedName>
    <definedName name="IQ_EST_FFO_GROWTH_2YR" hidden="1">"c4426"</definedName>
    <definedName name="IQ_EST_FFO_GROWTH_2YR_CIQ" hidden="1">"c4951"</definedName>
    <definedName name="IQ_EST_FFO_GROWTH_Q_1YR" hidden="1">"c4427"</definedName>
    <definedName name="IQ_EST_FFO_GROWTH_Q_1YR_CIQ" hidden="1">"c4952"</definedName>
    <definedName name="IQ_EST_FFO_SEQ_GROWTH_Q" hidden="1">"c4428"</definedName>
    <definedName name="IQ_EST_FFO_SEQ_GROWTH_Q_CIQ" hidden="1">"c4953"</definedName>
    <definedName name="IQ_EST_FFO_SHARE_DIFF" hidden="1">"c1869"</definedName>
    <definedName name="IQ_EST_FFO_SHARE_DIFF_CIQ" hidden="1">"c3721"</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URPRISE_PERCENT" hidden="1">"c1870"</definedName>
    <definedName name="IQ_EST_FFO_SHARE_SURPRISE_PERCENT_CIQ" hidden="1">"c3722"</definedName>
    <definedName name="IQ_EST_FFO_SURPRISE_PERCENT" hidden="1">"c4453"</definedName>
    <definedName name="IQ_EST_FFO_SURPRISE_PERCENT_CIQ" hidden="1">"c4982"</definedName>
    <definedName name="IQ_EST_FOOTNOTE" hidden="1">"c4540"</definedName>
    <definedName name="IQ_EST_FOOTNOTE_CIQ" hidden="1">"c12022"</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GW_DIFF" hidden="1">"c1887"</definedName>
    <definedName name="IQ_EST_NI_GW_DIFF_CIQ" hidden="1">"c4757"</definedName>
    <definedName name="IQ_EST_NI_GW_SURPRISE_PERCENT" hidden="1">"c1888"</definedName>
    <definedName name="IQ_EST_NI_GW_SURPRISE_PERCENT_CIQ" hidden="1">"c4758"</definedName>
    <definedName name="IQ_EST_NI_REPORT_DIFF" hidden="1">"c1889"</definedName>
    <definedName name="IQ_EST_NI_REPORT_DIFF_CIQ" hidden="1">"c4759"</definedName>
    <definedName name="IQ_EST_NI_REPORT_SURPRISE_PERCENT" hidden="1">"c1890"</definedName>
    <definedName name="IQ_EST_NI_REPORT_SURPRISE_PERCENT_CIQ" hidden="1">"c4760"</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CIQ" hidden="1">"c12017"</definedName>
    <definedName name="IQ_EST_OPER_INC_SURPRISE_PERCENT" hidden="1">"c1878"</definedName>
    <definedName name="IQ_EST_OPER_INC_SURPRISE_PERCENT_CIQ" hidden="1">"c12018"</definedName>
    <definedName name="IQ_EST_PRE_TAX_DIFF" hidden="1">"c1879"</definedName>
    <definedName name="IQ_EST_PRE_TAX_DIFF_CIQ" hidden="1">"c4749"</definedName>
    <definedName name="IQ_EST_PRE_TAX_GW_DIFF" hidden="1">"c1881"</definedName>
    <definedName name="IQ_EST_PRE_TAX_GW_DIFF_CIQ" hidden="1">"c4751"</definedName>
    <definedName name="IQ_EST_PRE_TAX_GW_SURPRISE_PERCENT" hidden="1">"c1882"</definedName>
    <definedName name="IQ_EST_PRE_TAX_GW_SURPRISE_PERCENT_CIQ" hidden="1">"c4752"</definedName>
    <definedName name="IQ_EST_PRE_TAX_REPORT_DIFF" hidden="1">"c1883"</definedName>
    <definedName name="IQ_EST_PRE_TAX_REPORT_DIFF_CIQ" hidden="1">"c4753"</definedName>
    <definedName name="IQ_EST_PRE_TAX_REPORT_SURPRISE_PERCENT" hidden="1">"c1884"</definedName>
    <definedName name="IQ_EST_PRE_TAX_REPORT_SURPRISE_PERCENT_CIQ" hidden="1">"c4754"</definedName>
    <definedName name="IQ_EST_PRE_TAX_SURPRISE_PERCENT" hidden="1">"c1880"</definedName>
    <definedName name="IQ_EST_PRE_TAX_SURPRISE_PERCENT_CIQ" hidden="1">"c4750"</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HIGH_EST" hidden="1">"c4437"</definedName>
    <definedName name="IQ_FFO_ADJ_HIGH_EST_CIQ" hidden="1">"c4962"</definedName>
    <definedName name="IQ_FFO_ADJ_HIGH_GUIDANCE" hidden="1">"c4202"</definedName>
    <definedName name="IQ_FFO_ADJ_LOW_EST" hidden="1">"c4438"</definedName>
    <definedName name="IQ_FFO_ADJ_LOW_EST_CIQ" hidden="1">"c4963"</definedName>
    <definedName name="IQ_FFO_ADJ_LOW_GUIDANCE" hidden="1">"c4242"</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"c4445"</definedName>
    <definedName name="IQ_FFO_EST_CIQ" hidden="1">"c4970"</definedName>
    <definedName name="IQ_FFO_GUIDANCE" hidden="1">"c4443"</definedName>
    <definedName name="IQ_FFO_HIGH_EST" hidden="1">"c4448"</definedName>
    <definedName name="IQ_FFO_HIGH_EST_CIQ" hidden="1">"c4977"</definedName>
    <definedName name="IQ_FFO_HIGH_GUIDANCE" hidden="1">"c4184"</definedName>
    <definedName name="IQ_FFO_LOW_EST" hidden="1">"c4449"</definedName>
    <definedName name="IQ_FFO_LOW_EST_CIQ" hidden="1">"c4978"</definedName>
    <definedName name="IQ_FFO_LOW_GUIDANCE" hidden="1">"c4224"</definedName>
    <definedName name="IQ_FFO_MEDIAN_EST" hidden="1">"c4450"</definedName>
    <definedName name="IQ_FFO_MEDIAN_EST_CIQ" hidden="1">"c4979"</definedName>
    <definedName name="IQ_FFO_NUM_EST" hidden="1">"c4451"</definedName>
    <definedName name="IQ_FFO_NUM_EST_CIQ" hidden="1">"c4980"</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EST" hidden="1">"c418"</definedName>
    <definedName name="IQ_FFO_SHARE_EST_CIQ" hidden="1">"c3668"</definedName>
    <definedName name="IQ_FFO_SHARE_EST_DET_EST" hidden="1">"c12059"</definedName>
    <definedName name="IQ_FFO_SHARE_EST_DET_EST_CIQ" hidden="1">"c12121"</definedName>
    <definedName name="IQ_FFO_SHARE_EST_DET_EST_CURRENCY" hidden="1">"c12466"</definedName>
    <definedName name="IQ_FFO_SHARE_EST_DET_EST_CURRENCY_CIQ" hidden="1">"c12512"</definedName>
    <definedName name="IQ_FFO_SHARE_EST_DET_EST_DATE" hidden="1">"c12212"</definedName>
    <definedName name="IQ_FFO_SHARE_EST_DET_EST_DATE_CIQ" hidden="1">"c12267"</definedName>
    <definedName name="IQ_FFO_SHARE_EST_DET_EST_INCL" hidden="1">"c12349"</definedName>
    <definedName name="IQ_FFO_SHARE_EST_DET_EST_INCL_CIQ" hidden="1">"c12395"</definedName>
    <definedName name="IQ_FFO_SHARE_EST_DET_EST_ORIGIN" hidden="1">"c12722"</definedName>
    <definedName name="IQ_FFO_SHARE_EST_DET_EST_ORIGIN_CIQ" hidden="1">"c12720"</definedName>
    <definedName name="IQ_FFO_SHARE_GUIDANCE" hidden="1">"c4447"</definedName>
    <definedName name="IQ_FFO_SHARE_HIGH_EST" hidden="1">"c419"</definedName>
    <definedName name="IQ_FFO_SHARE_HIGH_EST_CIQ" hidden="1">"c3670"</definedName>
    <definedName name="IQ_FFO_SHARE_HIGH_GUIDANCE" hidden="1">"c4203"</definedName>
    <definedName name="IQ_FFO_SHARE_LOW_EST" hidden="1">"c420"</definedName>
    <definedName name="IQ_FFO_SHARE_LOW_EST_CIQ" hidden="1">"c3671"</definedName>
    <definedName name="IQ_FFO_SHARE_LOW_GUIDANCE" hidden="1">"c4243"</definedName>
    <definedName name="IQ_FFO_SHARE_MEDIAN_EST" hidden="1">"c1665"</definedName>
    <definedName name="IQ_FFO_SHARE_MEDIAN_EST_CIQ" hidden="1">"c3669"</definedName>
    <definedName name="IQ_FFO_SHARE_NUM_EST" hidden="1">"c421"</definedName>
    <definedName name="IQ_FFO_SHARE_NUM_EST_CIQ" hidden="1">"c3672"</definedName>
    <definedName name="IQ_FFO_SHARE_STDDEV_EST" hidden="1">"c422"</definedName>
    <definedName name="IQ_FFO_SHARE_STDDEV_EST_CIQ" hidden="1">"c3673"</definedName>
    <definedName name="IQ_FFO_STDDEV_EST" hidden="1">"c4452"</definedName>
    <definedName name="IQ_FFO_STDDEV_EST_CIQ" hidden="1">"c4981"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COME_LIST" hidden="1">"c13504"</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AIRMENT_GW_SUPPLE" hidden="1">"c13811"</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"c1407"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CIQ" hidden="1">"c12122"</definedName>
    <definedName name="IQ_LT_GROWTH_DET_EST_DATE" hidden="1">"c12213"</definedName>
    <definedName name="IQ_LT_GROWTH_DET_EST_DATE_CIQ" hidden="1">"c12268"</definedName>
    <definedName name="IQ_LT_GROWTH_DET_EST_INCL" hidden="1">"c12350"</definedName>
    <definedName name="IQ_LT_GROWTH_DET_EST_INCL_CIQ" hidden="1">"c12396"</definedName>
    <definedName name="IQ_LT_GROWTH_DET_EST_ORIGIN" hidden="1">"c12725"</definedName>
    <definedName name="IQ_LT_GROWTH_DET_EST_ORIGIN_CIQ" hidden="1">"c12721"</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HIGH_EST" hidden="1">"c4460"</definedName>
    <definedName name="IQ_MAINT_CAPEX_HIGH_EST_CIQ" hidden="1">"c4989"</definedName>
    <definedName name="IQ_MAINT_CAPEX_HIGH_GUIDANCE" hidden="1">"c4197"</definedName>
    <definedName name="IQ_MAINT_CAPEX_LOW_EST" hidden="1">"c4461"</definedName>
    <definedName name="IQ_MAINT_CAPEX_LOW_EST_CIQ" hidden="1">"c4990"</definedName>
    <definedName name="IQ_MAINT_CAPEX_LOW_GUIDANCE" hidden="1">"c4237"</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hidden="1">"09/28/2014 04:28:11"</definedName>
    <definedName name="IQ_NATIVE_COMPANY_NAME" hidden="1">"c13822"</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CIQ" hidden="1">"c12038"</definedName>
    <definedName name="IQ_NAV_SHARE_DET_EST_CIQ" hidden="1">"c12123"</definedName>
    <definedName name="IQ_NAV_SHARE_DET_EST_CURRENCY_CIQ" hidden="1">"c12514"</definedName>
    <definedName name="IQ_NAV_SHARE_DET_EST_DATE_CIQ" hidden="1">"c12269"</definedName>
    <definedName name="IQ_NAV_SHARE_DET_EST_INCL_CIQ" hidden="1">"c12397"</definedName>
    <definedName name="IQ_NAV_SHARE_DET_EST_ORIGIN" hidden="1">"c12585"</definedName>
    <definedName name="IQ_NAV_SHARE_DET_EST_ORIGIN_CIQ" hidden="1">"c12638"</definedName>
    <definedName name="IQ_NAV_SHARE_EST_CIQ" hidden="1">"c12032"</definedName>
    <definedName name="IQ_NAV_SHARE_HIGH_EST_CIQ" hidden="1">"c12035"</definedName>
    <definedName name="IQ_NAV_SHARE_LOW_EST_CIQ" hidden="1">"c12036"</definedName>
    <definedName name="IQ_NAV_SHARE_MEDIAN_EST_CIQ" hidden="1">"c12033"</definedName>
    <definedName name="IQ_NAV_SHARE_NUM_EST_CIQ" hidden="1">"c12037"</definedName>
    <definedName name="IQ_NAV_SHARE_STDDEV_EST_CIQ" hidden="1">"c12034"</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DET_EST" hidden="1">"c12061"</definedName>
    <definedName name="IQ_NET_DEBT_DET_EST_CIQ" hidden="1">"c12124"</definedName>
    <definedName name="IQ_NET_DEBT_DET_EST_CURRENCY" hidden="1">"c12468"</definedName>
    <definedName name="IQ_NET_DEBT_DET_EST_CURRENCY_CIQ" hidden="1">"c12515"</definedName>
    <definedName name="IQ_NET_DEBT_DET_EST_DATE" hidden="1">"c12214"</definedName>
    <definedName name="IQ_NET_DEBT_DET_EST_DATE_CIQ" hidden="1">"c12270"</definedName>
    <definedName name="IQ_NET_DEBT_DET_EST_INCL" hidden="1">"c12351"</definedName>
    <definedName name="IQ_NET_DEBT_DET_EST_INCL_CIQ" hidden="1">"c12398"</definedName>
    <definedName name="IQ_NET_DEBT_DET_EST_ORIGIN" hidden="1">"c12586"</definedName>
    <definedName name="IQ_NET_DEBT_DET_EST_ORIGIN_CIQ" hidden="1">"c12639"</definedName>
    <definedName name="IQ_NET_DEBT_EBITDA" hidden="1">"c750"</definedName>
    <definedName name="IQ_NET_DEBT_EBITDA_CAPEX" hidden="1">"c2949"</definedName>
    <definedName name="IQ_NET_DEBT_EST" hidden="1">"c3517"</definedName>
    <definedName name="IQ_NET_DEBT_EST_CIQ" hidden="1">"c3814"</definedName>
    <definedName name="IQ_NET_DEBT_GUIDANCE" hidden="1">"c4467"</definedName>
    <definedName name="IQ_NET_DEBT_HIGH_EST" hidden="1">"c3518"</definedName>
    <definedName name="IQ_NET_DEBT_HIGH_EST_CIQ" hidden="1">"c3816"</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GUIDANCE" hidden="1">"c4221"</definedName>
    <definedName name="IQ_NET_DEBT_MEDIAN_EST" hidden="1">"c3520"</definedName>
    <definedName name="IQ_NET_DEBT_MEDIAN_EST_CIQ" hidden="1">"c3815"</definedName>
    <definedName name="IQ_NET_DEBT_NUM_EST" hidden="1">"c3515"</definedName>
    <definedName name="IQ_NET_DEBT_NUM_EST_CIQ" hidden="1">"c3818"</definedName>
    <definedName name="IQ_NET_DEBT_STDDEV_EST" hidden="1">"c3516"</definedName>
    <definedName name="IQ_NET_DEBT_STDDEV_EST_CIQ" hidden="1">"c3819"</definedName>
    <definedName name="IQ_NET_EARNED" hidden="1">"c2734"</definedName>
    <definedName name="IQ_NET_FUNDS_PURCHASED_ASSETS_TOT_FFIEC" hidden="1">"c13448"</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IQ" hidden="1">"c12125"</definedName>
    <definedName name="IQ_NI_DET_EST_CURRENCY" hidden="1">"c12469"</definedName>
    <definedName name="IQ_NI_DET_EST_CURRENCY_CIQ" hidden="1">"c12516"</definedName>
    <definedName name="IQ_NI_DET_EST_DATE" hidden="1">"c12215"</definedName>
    <definedName name="IQ_NI_DET_EST_DATE_CIQ" hidden="1">"c12271"</definedName>
    <definedName name="IQ_NI_DET_EST_INCL" hidden="1">"c12352"</definedName>
    <definedName name="IQ_NI_DET_EST_INCL_CIQ" hidden="1">"c12399"</definedName>
    <definedName name="IQ_NI_DET_EST_ORIGIN" hidden="1">"c12587"</definedName>
    <definedName name="IQ_NI_DET_EST_ORIGIN_CIQ" hidden="1">"c12640"</definedName>
    <definedName name="IQ_NI_EST" hidden="1">"c1716"</definedName>
    <definedName name="IQ_NI_EST_CIQ" hidden="1">"c4702"</definedName>
    <definedName name="IQ_NI_FFIEC" hidden="1">"c13034"</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IQ" hidden="1">"c12126"</definedName>
    <definedName name="IQ_NI_GW_DET_EST_CURRENCY" hidden="1">"c12470"</definedName>
    <definedName name="IQ_NI_GW_DET_EST_CURRENCY_CIQ" hidden="1">"c12517"</definedName>
    <definedName name="IQ_NI_GW_DET_EST_DATE" hidden="1">"c12216"</definedName>
    <definedName name="IQ_NI_GW_DET_EST_DATE_CIQ" hidden="1">"c12272"</definedName>
    <definedName name="IQ_NI_GW_DET_EST_INCL" hidden="1">"c12353"</definedName>
    <definedName name="IQ_NI_GW_DET_EST_INCL_CIQ" hidden="1">"c12400"</definedName>
    <definedName name="IQ_NI_GW_DET_EST_ORIGIN_CIQ" hidden="1">"c12641"</definedName>
    <definedName name="IQ_NI_GW_EST" hidden="1">"c1723"</definedName>
    <definedName name="IQ_NI_GW_EST_CIQ" hidden="1">"c4709"</definedName>
    <definedName name="IQ_NI_GW_GUIDANCE" hidden="1">"c4471"</definedName>
    <definedName name="IQ_NI_GW_HIGH_EST" hidden="1">"c1725"</definedName>
    <definedName name="IQ_NI_GW_HIGH_EST_CIQ" hidden="1">"c4711"</definedName>
    <definedName name="IQ_NI_GW_HIGH_GUIDANCE" hidden="1">"c4178"</definedName>
    <definedName name="IQ_NI_GW_LOW_EST" hidden="1">"c1726"</definedName>
    <definedName name="IQ_NI_GW_LOW_EST_CIQ" hidden="1">"c4712"</definedName>
    <definedName name="IQ_NI_GW_LOW_GUIDANCE" hidden="1">"c4218"</definedName>
    <definedName name="IQ_NI_GW_MEDIAN_EST" hidden="1">"c1724"</definedName>
    <definedName name="IQ_NI_GW_MEDIAN_EST_CIQ" hidden="1">"c4710"</definedName>
    <definedName name="IQ_NI_GW_NUM_EST" hidden="1">"c1727"</definedName>
    <definedName name="IQ_NI_GW_NUM_EST_CIQ" hidden="1">"c4713"</definedName>
    <definedName name="IQ_NI_GW_STDDEV_EST" hidden="1">"c1728"</definedName>
    <definedName name="IQ_NI_GW_STDDEV_EST_CIQ" hidden="1">"c4714"</definedName>
    <definedName name="IQ_NI_HIGH_EST" hidden="1">"c1718"</definedName>
    <definedName name="IQ_NI_HIGH_EST_CIQ" hidden="1">"c4704"</definedName>
    <definedName name="IQ_NI_HIGH_GUIDANCE" hidden="1">"c4176"</definedName>
    <definedName name="IQ_NI_LOW_EST" hidden="1">"c1719"</definedName>
    <definedName name="IQ_NI_LOW_EST_CIQ" hidden="1">"c4705"</definedName>
    <definedName name="IQ_NI_LOW_GUIDANCE" hidden="1">"c4216"</definedName>
    <definedName name="IQ_NI_MARGIN" hidden="1">"c794"</definedName>
    <definedName name="IQ_NI_MEDIAN_EST" hidden="1">"c1717"</definedName>
    <definedName name="IQ_NI_MEDIAN_EST_CIQ" hidden="1">"c4703"</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REPORTED_DET_EST_CIQ" hidden="1">"c12127"</definedName>
    <definedName name="IQ_NI_REPORTED_DET_EST_CURRENCY_CIQ" hidden="1">"c12518"</definedName>
    <definedName name="IQ_NI_REPORTED_DET_EST_DATE_CIQ" hidden="1">"c12273"</definedName>
    <definedName name="IQ_NI_REPORTED_DET_EST_INCL_CIQ" hidden="1">"c12401"</definedName>
    <definedName name="IQ_NI_REPORTED_DET_EST_ORIGIN" hidden="1">"c12588"</definedName>
    <definedName name="IQ_NI_REPORTED_DET_EST_ORIGIN_CIQ" hidden="1">"c12642"</definedName>
    <definedName name="IQ_NI_REPORTED_EST" hidden="1">"c1730"</definedName>
    <definedName name="IQ_NI_REPORTED_EST_CIQ" hidden="1">"c4716"</definedName>
    <definedName name="IQ_NI_REPORTED_HIGH_EST" hidden="1">"c1732"</definedName>
    <definedName name="IQ_NI_REPORTED_HIGH_EST_CIQ" hidden="1">"c4718"</definedName>
    <definedName name="IQ_NI_REPORTED_LOW_EST" hidden="1">"c1733"</definedName>
    <definedName name="IQ_NI_REPORTED_LOW_EST_CIQ" hidden="1">"c4719"</definedName>
    <definedName name="IQ_NI_REPORTED_MEDIAN_EST" hidden="1">"c1731"</definedName>
    <definedName name="IQ_NI_REPORTED_MEDIAN_EST_CIQ" hidden="1">"c4717"</definedName>
    <definedName name="IQ_NI_REPORTED_NUM_EST" hidden="1">"c1734"</definedName>
    <definedName name="IQ_NI_REPORTED_NUM_EST_CIQ" hidden="1">"c4720"</definedName>
    <definedName name="IQ_NI_REPORTED_STDDEV_EST" hidden="1">"c1735"</definedName>
    <definedName name="IQ_NI_REPORTED_STDDEV_EST_CIQ" hidden="1">"c4721"</definedName>
    <definedName name="IQ_NI_SBC_ACT_OR_EST" hidden="1">"c4474"</definedName>
    <definedName name="IQ_NI_SBC_ACT_OR_EST_CIQ" hidden="1">"c5012"</definedName>
    <definedName name="IQ_NI_SBC_EST" hidden="1">"c4473"</definedName>
    <definedName name="IQ_NI_SBC_EST_CIQ" hidden="1">"c5011"</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HIGH_EST" hidden="1">"c4480"</definedName>
    <definedName name="IQ_NI_SBC_GW_HIGH_EST_CIQ" hidden="1">"c5018"</definedName>
    <definedName name="IQ_NI_SBC_GW_LOW_EST" hidden="1">"c4481"</definedName>
    <definedName name="IQ_NI_SBC_GW_LOW_EST_CIQ" hidden="1">"c5019"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LOW_EST" hidden="1">"c4487"</definedName>
    <definedName name="IQ_NI_SBC_LOW_EST_CIQ" hidden="1">"c5025"</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GROSS_LOANS_FFIEC" hidden="1">"c13405"</definedName>
    <definedName name="IQ_NONFARM_NONRES_LL_REC_DOM_FFIEC" hidden="1">"c13626"</definedName>
    <definedName name="IQ_NONFARM_NONRES_RISK_BASED_FFIEC" hidden="1">"c13426"</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CIQ" hidden="1">"c12019"</definedName>
    <definedName name="IQ_OPER_INC_BR" hidden="1">"c850"</definedName>
    <definedName name="IQ_OPER_INC_DET_EST" hidden="1">"c12064"</definedName>
    <definedName name="IQ_OPER_INC_DET_EST_CIQ" hidden="1">"c12128"</definedName>
    <definedName name="IQ_OPER_INC_DET_EST_CIQ_CURRENCY_CIQ" hidden="1">"c12519"</definedName>
    <definedName name="IQ_OPER_INC_DET_EST_CIQ_INCL_INCL_CIQ" hidden="1">"c12402"</definedName>
    <definedName name="IQ_OPER_INC_DET_EST_CURRENCY" hidden="1">"c12471"</definedName>
    <definedName name="IQ_OPER_INC_DET_EST_DATE" hidden="1">"c12217"</definedName>
    <definedName name="IQ_OPER_INC_DET_EST_DATE_CIQ" hidden="1">"c12274"</definedName>
    <definedName name="IQ_OPER_INC_DET_EST_INCL" hidden="1">"c12354"</definedName>
    <definedName name="IQ_OPER_INC_DET_EST_ORIGIN" hidden="1">"c12589"</definedName>
    <definedName name="IQ_OPER_INC_DET_EST_ORIGIN_CIQ" hidden="1">"c12643"</definedName>
    <definedName name="IQ_OPER_INC_EST" hidden="1">"c1688"</definedName>
    <definedName name="IQ_OPER_INC_EST_CIQ" hidden="1">"c12010"</definedName>
    <definedName name="IQ_OPER_INC_FIN" hidden="1">"c851"</definedName>
    <definedName name="IQ_OPER_INC_HIGH_EST" hidden="1">"c1690"</definedName>
    <definedName name="IQ_OPER_INC_HIGH_EST_CIQ" hidden="1">"c12012"</definedName>
    <definedName name="IQ_OPER_INC_INS" hidden="1">"c852"</definedName>
    <definedName name="IQ_OPER_INC_LOW_EST" hidden="1">"c1691"</definedName>
    <definedName name="IQ_OPER_INC_LOW_EST_CIQ" hidden="1">"c12013"</definedName>
    <definedName name="IQ_OPER_INC_MARGIN" hidden="1">"c1448"</definedName>
    <definedName name="IQ_OPER_INC_MEDIAN_EST" hidden="1">"c1689"</definedName>
    <definedName name="IQ_OPER_INC_MEDIAN_EST_CIQ" hidden="1">"c12011"</definedName>
    <definedName name="IQ_OPER_INC_NUM_EST" hidden="1">"c1692"</definedName>
    <definedName name="IQ_OPER_INC_NUM_EST_CIQ" hidden="1">"c12014"</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AX_EQUIVALENT_ADJUSTMENTS_FFIEC" hidden="1">"c13855"</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2MONTHS_CIQ" hidden="1">"c3755"</definedName>
    <definedName name="IQ_PERCENT_CHANGE_EST_CFPS_18MONTHS" hidden="1">"c1813"</definedName>
    <definedName name="IQ_PERCENT_CHANGE_EST_CFPS_18MONTHS_CIQ" hidden="1">"c3756"</definedName>
    <definedName name="IQ_PERCENT_CHANGE_EST_CFPS_3MONTHS" hidden="1">"c1809"</definedName>
    <definedName name="IQ_PERCENT_CHANGE_EST_CFPS_3MONTHS_CIQ" hidden="1">"c3752"</definedName>
    <definedName name="IQ_PERCENT_CHANGE_EST_CFPS_6MONTHS" hidden="1">"c1810"</definedName>
    <definedName name="IQ_PERCENT_CHANGE_EST_CFPS_6MONTHS_CIQ" hidden="1">"c3753"</definedName>
    <definedName name="IQ_PERCENT_CHANGE_EST_CFPS_9MONTHS" hidden="1">"c1811"</definedName>
    <definedName name="IQ_PERCENT_CHANGE_EST_CFPS_9MONTHS_CIQ" hidden="1">"c3754"</definedName>
    <definedName name="IQ_PERCENT_CHANGE_EST_CFPS_DAY" hidden="1">"c1806"</definedName>
    <definedName name="IQ_PERCENT_CHANGE_EST_CFPS_DAY_CIQ" hidden="1">"c3750"</definedName>
    <definedName name="IQ_PERCENT_CHANGE_EST_CFPS_MONTH" hidden="1">"c1808"</definedName>
    <definedName name="IQ_PERCENT_CHANGE_EST_CFPS_MONTH_CIQ" hidden="1">"c3751"</definedName>
    <definedName name="IQ_PERCENT_CHANGE_EST_CFPS_WEEK" hidden="1">"c1807"</definedName>
    <definedName name="IQ_PERCENT_CHANGE_EST_CFPS_WEEK_CIQ" hidden="1">"c3793"</definedName>
    <definedName name="IQ_PERCENT_CHANGE_EST_DPS_12MONTHS" hidden="1">"c1820"</definedName>
    <definedName name="IQ_PERCENT_CHANGE_EST_DPS_12MONTHS_CIQ" hidden="1">"c3762"</definedName>
    <definedName name="IQ_PERCENT_CHANGE_EST_DPS_18MONTHS" hidden="1">"c1821"</definedName>
    <definedName name="IQ_PERCENT_CHANGE_EST_DPS_18MONTHS_CIQ" hidden="1">"c3763"</definedName>
    <definedName name="IQ_PERCENT_CHANGE_EST_DPS_3MONTHS" hidden="1">"c1817"</definedName>
    <definedName name="IQ_PERCENT_CHANGE_EST_DPS_3MONTHS_CIQ" hidden="1">"c3759"</definedName>
    <definedName name="IQ_PERCENT_CHANGE_EST_DPS_6MONTHS" hidden="1">"c1818"</definedName>
    <definedName name="IQ_PERCENT_CHANGE_EST_DPS_6MONTHS_CIQ" hidden="1">"c3760"</definedName>
    <definedName name="IQ_PERCENT_CHANGE_EST_DPS_9MONTHS" hidden="1">"c1819"</definedName>
    <definedName name="IQ_PERCENT_CHANGE_EST_DPS_9MONTHS_CIQ" hidden="1">"c3761"</definedName>
    <definedName name="IQ_PERCENT_CHANGE_EST_DPS_DAY" hidden="1">"c1814"</definedName>
    <definedName name="IQ_PERCENT_CHANGE_EST_DPS_DAY_CIQ" hidden="1">"c3757"</definedName>
    <definedName name="IQ_PERCENT_CHANGE_EST_DPS_MONTH" hidden="1">"c1816"</definedName>
    <definedName name="IQ_PERCENT_CHANGE_EST_DPS_MONTH_CIQ" hidden="1">"c3758"</definedName>
    <definedName name="IQ_PERCENT_CHANGE_EST_DPS_WEEK" hidden="1">"c1815"</definedName>
    <definedName name="IQ_PERCENT_CHANGE_EST_DPS_WEEK_CIQ" hidden="1">"c3794"</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SHARE_12MONTHS" hidden="1">"c1828"</definedName>
    <definedName name="IQ_PERCENT_CHANGE_EST_FFO_SHARE_12MONTHS_CIQ" hidden="1">"c3769"</definedName>
    <definedName name="IQ_PERCENT_CHANGE_EST_FFO_SHARE_18MONTHS" hidden="1">"c1829"</definedName>
    <definedName name="IQ_PERCENT_CHANGE_EST_FFO_SHARE_18MONTHS_CIQ" hidden="1">"c3770"</definedName>
    <definedName name="IQ_PERCENT_CHANGE_EST_FFO_SHARE_3MONTHS" hidden="1">"c1825"</definedName>
    <definedName name="IQ_PERCENT_CHANGE_EST_FFO_SHARE_3MONTHS_CIQ" hidden="1">"c3766"</definedName>
    <definedName name="IQ_PERCENT_CHANGE_EST_FFO_SHARE_6MONTHS" hidden="1">"c1826"</definedName>
    <definedName name="IQ_PERCENT_CHANGE_EST_FFO_SHARE_6MONTHS_CIQ" hidden="1">"c3767"</definedName>
    <definedName name="IQ_PERCENT_CHANGE_EST_FFO_SHARE_9MONTHS" hidden="1">"c1827"</definedName>
    <definedName name="IQ_PERCENT_CHANGE_EST_FFO_SHARE_9MONTHS_CIQ" hidden="1">"c3768"</definedName>
    <definedName name="IQ_PERCENT_CHANGE_EST_FFO_SHARE_DAY" hidden="1">"c1822"</definedName>
    <definedName name="IQ_PERCENT_CHANGE_EST_FFO_SHARE_DAY_CIQ" hidden="1">"c3764"</definedName>
    <definedName name="IQ_PERCENT_CHANGE_EST_FFO_SHARE_MONTH" hidden="1">"c1824"</definedName>
    <definedName name="IQ_PERCENT_CHANGE_EST_FFO_SHARE_MONTH_CIQ" hidden="1">"c3765"</definedName>
    <definedName name="IQ_PERCENT_CHANGE_EST_FFO_SHARE_WEEK" hidden="1">"c1823"</definedName>
    <definedName name="IQ_PERCENT_CHANGE_EST_FFO_SHARE_WEEK_CIQ" hidden="1">"c3795"</definedName>
    <definedName name="IQ_PERCENT_CHANGE_EST_FFO_WEEK" hidden="1">"c1823"</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LEDGED_SEC_INVEST_SECURITIES_FFIEC" hidden="1">"c13467"</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RE_OPEN_COST" hidden="1">"c1040"</definedName>
    <definedName name="IQ_PRE_TAX_ACT_OR_EST" hidden="1">"c2221"</definedName>
    <definedName name="IQ_PRE_TAX_ACT_OR_EST_CIQ" hidden="1">"c5064"</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DET_EST_CIQ" hidden="1">"c12116"</definedName>
    <definedName name="IQ_PRETAX_GW_INC_DET_EST_CURRENCY_CIQ" hidden="1">"c12507"</definedName>
    <definedName name="IQ_PRETAX_GW_INC_DET_EST_DATE_CIQ" hidden="1">"c12262"</definedName>
    <definedName name="IQ_PRETAX_GW_INC_DET_EST_INCL_CIQ" hidden="1">"c12390"</definedName>
    <definedName name="IQ_PRETAX_GW_INC_DET_EST_ORIGIN_CIQ" hidden="1">"c12631"</definedName>
    <definedName name="IQ_PRETAX_GW_INC_EST" hidden="1">"c1702"</definedName>
    <definedName name="IQ_PRETAX_GW_INC_EST_CIQ" hidden="1">"c4688"</definedName>
    <definedName name="IQ_PRETAX_GW_INC_HIGH_EST" hidden="1">"c1704"</definedName>
    <definedName name="IQ_PRETAX_GW_INC_HIGH_EST_CIQ" hidden="1">"c4690"</definedName>
    <definedName name="IQ_PRETAX_GW_INC_LOW_EST" hidden="1">"c1705"</definedName>
    <definedName name="IQ_PRETAX_GW_INC_LOW_EST_CIQ" hidden="1">"c4691"</definedName>
    <definedName name="IQ_PRETAX_GW_INC_MEDIAN_EST" hidden="1">"c1703"</definedName>
    <definedName name="IQ_PRETAX_GW_INC_MEDIAN_EST_CIQ" hidden="1">"c4689"</definedName>
    <definedName name="IQ_PRETAX_GW_INC_NUM_EST" hidden="1">"c1706"</definedName>
    <definedName name="IQ_PRETAX_GW_INC_NUM_EST_CIQ" hidden="1">"c4692"</definedName>
    <definedName name="IQ_PRETAX_GW_INC_STDDEV_EST" hidden="1">"c1707"</definedName>
    <definedName name="IQ_PRETAX_GW_INC_STDDEV_EST_CIQ" hidden="1">"c4693"</definedName>
    <definedName name="IQ_PRETAX_INC_DET_EST" hidden="1">"c12055"</definedName>
    <definedName name="IQ_PRETAX_INC_DET_EST_CIQ" hidden="1">"c12115"</definedName>
    <definedName name="IQ_PRETAX_INC_DET_EST_CURRENCY" hidden="1">"c12462"</definedName>
    <definedName name="IQ_PRETAX_INC_DET_EST_CURRENCY_CIQ" hidden="1">"c12506"</definedName>
    <definedName name="IQ_PRETAX_INC_DET_EST_DATE" hidden="1">"c12208"</definedName>
    <definedName name="IQ_PRETAX_INC_DET_EST_DATE_CIQ" hidden="1">"c12261"</definedName>
    <definedName name="IQ_PRETAX_INC_DET_EST_INCL" hidden="1">"c12345"</definedName>
    <definedName name="IQ_PRETAX_INC_DET_EST_INCL_CIQ" hidden="1">"c12389"</definedName>
    <definedName name="IQ_PRETAX_INC_DET_EST_ORIGIN" hidden="1">"c12771"</definedName>
    <definedName name="IQ_PRETAX_INC_DET_EST_ORIGIN_CIQ" hidden="1">"c12630"</definedName>
    <definedName name="IQ_PRETAX_INC_EST" hidden="1">"c1695"</definedName>
    <definedName name="IQ_PRETAX_INC_EST_CIQ" hidden="1">"c4681"</definedName>
    <definedName name="IQ_PRETAX_INC_HIGH_EST" hidden="1">"c1697"</definedName>
    <definedName name="IQ_PRETAX_INC_HIGH_EST_CIQ" hidden="1">"c4683"</definedName>
    <definedName name="IQ_PRETAX_INC_LOW_EST" hidden="1">"c1698"</definedName>
    <definedName name="IQ_PRETAX_INC_LOW_EST_CIQ" hidden="1">"c4684"</definedName>
    <definedName name="IQ_PRETAX_INC_MEDIAN_EST" hidden="1">"c1696"</definedName>
    <definedName name="IQ_PRETAX_INC_MEDIAN_EST_CIQ" hidden="1">"c4682"</definedName>
    <definedName name="IQ_PRETAX_INC_NUM_EST" hidden="1">"c1699"</definedName>
    <definedName name="IQ_PRETAX_INC_NUM_EST_CIQ" hidden="1">"c4685"</definedName>
    <definedName name="IQ_PRETAX_INC_STDDEV_EST" hidden="1">"c1700"</definedName>
    <definedName name="IQ_PRETAX_INC_STDDEV_EST_CIQ" hidden="1">"c4686"</definedName>
    <definedName name="IQ_PRETAX_OPERATING_INC_AVG_ASSETS_FFIEC" hidden="1">"c13365"</definedName>
    <definedName name="IQ_PRETAX_REPORT_INC_DET_EST_CIQ" hidden="1">"c12117"</definedName>
    <definedName name="IQ_PRETAX_REPORT_INC_DET_EST_CURRENCY_CIQ" hidden="1">"c12508"</definedName>
    <definedName name="IQ_PRETAX_REPORT_INC_DET_EST_DATE_CIQ" hidden="1">"c12263"</definedName>
    <definedName name="IQ_PRETAX_REPORT_INC_DET_EST_INCL_CIQ" hidden="1">"c12391"</definedName>
    <definedName name="IQ_PRETAX_REPORT_INC_DET_EST_ORIGIN_CIQ" hidden="1">"c12719"</definedName>
    <definedName name="IQ_PRETAX_REPORT_INC_EST" hidden="1">"c1709"</definedName>
    <definedName name="IQ_PRETAX_REPORT_INC_EST_CIQ" hidden="1">"c4695"</definedName>
    <definedName name="IQ_PRETAX_REPORT_INC_HIGH_EST" hidden="1">"c1711"</definedName>
    <definedName name="IQ_PRETAX_REPORT_INC_HIGH_EST_CIQ" hidden="1">"c4697"</definedName>
    <definedName name="IQ_PRETAX_REPORT_INC_LOW_EST" hidden="1">"c1712"</definedName>
    <definedName name="IQ_PRETAX_REPORT_INC_LOW_EST_CIQ" hidden="1">"c4698"</definedName>
    <definedName name="IQ_PRETAX_REPORT_INC_MEDIAN_EST" hidden="1">"c1710"</definedName>
    <definedName name="IQ_PRETAX_REPORT_INC_MEDIAN_EST_CIQ" hidden="1">"c4696"</definedName>
    <definedName name="IQ_PRETAX_REPORT_INC_NUM_EST" hidden="1">"c1713"</definedName>
    <definedName name="IQ_PRETAX_REPORT_INC_NUM_EST_CIQ" hidden="1">"c4699"</definedName>
    <definedName name="IQ_PRETAX_REPORT_INC_STDDEV_EST" hidden="1">"c1714"</definedName>
    <definedName name="IQ_PRETAX_REPORT_INC_STDDEV_EST_CIQ" hidden="1">"c4700"</definedName>
    <definedName name="IQ_PRETAX_RETURN_ASSETS_FDIC" hidden="1">"c6731"</definedName>
    <definedName name="IQ_PRICE_CFPS_FWD" hidden="1">"c2237"</definedName>
    <definedName name="IQ_PRICE_CFPS_FWD_CIQ" hidden="1">"c4046"</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CIQ" hidden="1">"c12023"</definedName>
    <definedName name="IQ_PRICE_TARGET_CIQ" hidden="1">"c3613"</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ING_DATE" hidden="1">"c1613"</definedName>
    <definedName name="IQ_PRIMARY_EPS_TYPE" hidden="1">"c4498"</definedName>
    <definedName name="IQ_PRIMARY_EPS_TYPE_CIQ" hidden="1">"c5036"</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ID" hidden="1">"c13755"</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HIGH_EST" hidden="1">"c4501"</definedName>
    <definedName name="IQ_RECURRING_PROFIT_HIGH_EST_CIQ" hidden="1">"c5039"</definedName>
    <definedName name="IQ_RECURRING_PROFIT_LOW_EST" hidden="1">"c4502"</definedName>
    <definedName name="IQ_RECURRING_PROFIT_LOW_EST_CIQ" hidden="1">"c5040"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HIGH_EST" hidden="1">"c4510"</definedName>
    <definedName name="IQ_RECURRING_PROFIT_SHARE_HIGH_EST_CIQ" hidden="1">"c5048"</definedName>
    <definedName name="IQ_RECURRING_PROFIT_SHARE_LOW_EST" hidden="1">"c4511"</definedName>
    <definedName name="IQ_RECURRING_PROFIT_SHARE_LOW_EST_CIQ" hidden="1">"c5049"</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_CATALOG" hidden="1">"c9903"</definedName>
    <definedName name="IQ_RETAIL_SALES_ONLINE" hidden="1">"c9904"</definedName>
    <definedName name="IQ_RETAIL_SALES_RETAIL" hidden="1">"c9902"</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CIQ" hidden="1">"c12020"</definedName>
    <definedName name="IQ_RETURN_ASSETS_BANK" hidden="1">"c1114"</definedName>
    <definedName name="IQ_RETURN_ASSETS_BROK" hidden="1">"c1115"</definedName>
    <definedName name="IQ_RETURN_ASSETS_DET_EST" hidden="1">"c12066"</definedName>
    <definedName name="IQ_RETURN_ASSETS_DET_EST_CIQ" hidden="1">"c12130"</definedName>
    <definedName name="IQ_RETURN_ASSETS_DET_EST_DATE" hidden="1">"c12219"</definedName>
    <definedName name="IQ_RETURN_ASSETS_DET_EST_DATE_CIQ" hidden="1">"c12276"</definedName>
    <definedName name="IQ_RETURN_ASSETS_DET_EST_INCL" hidden="1">"c12356"</definedName>
    <definedName name="IQ_RETURN_ASSETS_DET_EST_INCL_CIQ" hidden="1">"c12404"</definedName>
    <definedName name="IQ_RETURN_ASSETS_DET_EST_ORIGIN" hidden="1">"c12591"</definedName>
    <definedName name="IQ_RETURN_ASSETS_DET_EST_ORIGIN_CIQ" hidden="1">"c12645"</definedName>
    <definedName name="IQ_RETURN_ASSETS_EST" hidden="1">"c3529"</definedName>
    <definedName name="IQ_RETURN_ASSETS_EST_CIQ" hidden="1">"c3828"</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CIQ" hidden="1">"c3830"</definedName>
    <definedName name="IQ_RETURN_ASSETS_HIGH_GUIDANCE" hidden="1">"c4183"</definedName>
    <definedName name="IQ_RETURN_ASSETS_LOW_EST" hidden="1">"c3531"</definedName>
    <definedName name="IQ_RETURN_ASSETS_LOW_EST_CIQ" hidden="1">"c3831"</definedName>
    <definedName name="IQ_RETURN_ASSETS_LOW_GUIDANCE" hidden="1">"c4223"</definedName>
    <definedName name="IQ_RETURN_ASSETS_MEDIAN_EST" hidden="1">"c3532"</definedName>
    <definedName name="IQ_RETURN_ASSETS_MEDIAN_EST_CIQ" hidden="1">"c3829"</definedName>
    <definedName name="IQ_RETURN_ASSETS_NUM_EST" hidden="1">"c3527"</definedName>
    <definedName name="IQ_RETURN_ASSETS_NUM_EST_CIQ" hidden="1">"c3832"</definedName>
    <definedName name="IQ_RETURN_ASSETS_STDDEV_EST" hidden="1">"c3528"</definedName>
    <definedName name="IQ_RETURN_ASSETS_STDDEV_EST_CIQ" hidden="1">"c3833"</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BANK" hidden="1">"c1119"</definedName>
    <definedName name="IQ_RETURN_EQUITY_BROK" hidden="1">"c1120"</definedName>
    <definedName name="IQ_RETURN_EQUITY_DET_EST" hidden="1">"c12067"</definedName>
    <definedName name="IQ_RETURN_EQUITY_DET_EST_CIQ" hidden="1">"c12131"</definedName>
    <definedName name="IQ_RETURN_EQUITY_DET_EST_DATE" hidden="1">"c12220"</definedName>
    <definedName name="IQ_RETURN_EQUITY_DET_EST_DATE_CIQ" hidden="1">"c12277"</definedName>
    <definedName name="IQ_RETURN_EQUITY_DET_EST_INCL" hidden="1">"c12357"</definedName>
    <definedName name="IQ_RETURN_EQUITY_DET_EST_INCL_CIQ" hidden="1">"c12405"</definedName>
    <definedName name="IQ_RETURN_EQUITY_DET_EST_ORIGIN" hidden="1">"c12592"</definedName>
    <definedName name="IQ_RETURN_EQUITY_DET_EST_ORIGIN_CIQ" hidden="1">"c12646"</definedName>
    <definedName name="IQ_RETURN_EQUITY_EST" hidden="1">"c3535"</definedName>
    <definedName name="IQ_RETURN_EQUITY_EST_CIQ" hidden="1">"c3821"</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CIQ" hidden="1">"c3823"</definedName>
    <definedName name="IQ_RETURN_EQUITY_HIGH_GUIDANCE" hidden="1">"c4182"</definedName>
    <definedName name="IQ_RETURN_EQUITY_LOW_EST" hidden="1">"c3537"</definedName>
    <definedName name="IQ_RETURN_EQUITY_LOW_EST_CIQ" hidden="1">"c3824"</definedName>
    <definedName name="IQ_RETURN_EQUITY_LOW_GUIDANCE" hidden="1">"c4222"</definedName>
    <definedName name="IQ_RETURN_EQUITY_MEDIAN_EST" hidden="1">"c3538"</definedName>
    <definedName name="IQ_RETURN_EQUITY_MEDIAN_EST_CIQ" hidden="1">"c3822"</definedName>
    <definedName name="IQ_RETURN_EQUITY_NUM_EST" hidden="1">"c3533"</definedName>
    <definedName name="IQ_RETURN_EQUITY_NUM_EST_CIQ" hidden="1">"c3825"</definedName>
    <definedName name="IQ_RETURN_EQUITY_STDDEV_EST" hidden="1">"c3534"</definedName>
    <definedName name="IQ_RETURN_EQUITY_STDDEV_EST_CIQ" hidden="1">"c3826"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IQ" hidden="1">"c12129"</definedName>
    <definedName name="IQ_REV_DET_EST_CURRENCY" hidden="1">"c12472"</definedName>
    <definedName name="IQ_REV_DET_EST_CURRENCY_CIQ" hidden="1">"c12520"</definedName>
    <definedName name="IQ_REV_DET_EST_DATE" hidden="1">"c12218"</definedName>
    <definedName name="IQ_REV_DET_EST_DATE_CIQ" hidden="1">"c12275"</definedName>
    <definedName name="IQ_REV_DET_EST_INCL" hidden="1">"c12355"</definedName>
    <definedName name="IQ_REV_DET_EST_INCL_CIQ" hidden="1">"c12403"</definedName>
    <definedName name="IQ_REV_DET_EST_ORIGIN" hidden="1">"c12590"</definedName>
    <definedName name="IQ_REV_DET_EST_ORIGIN_CIQ" hidden="1">"c12644"</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BOTTOM_UP" hidden="1">"c5488"</definedName>
    <definedName name="IQ_REVENUE_EST_BOTTOM_UP_CIQ" hidden="1">"c12025"</definedName>
    <definedName name="IQ_REVENUE_EST_CIQ" hidden="1">"c3616"</definedName>
    <definedName name="IQ_REVENUE_GUIDANCE" hidden="1">"c4519"</definedName>
    <definedName name="IQ_REVENUE_HIGH_EST" hidden="1">"c1127"</definedName>
    <definedName name="IQ_REVENUE_HIGH_EST_CIQ" hidden="1">"c3618"</definedName>
    <definedName name="IQ_REVENUE_HIGH_GUIDANCE" hidden="1">"c4169"</definedName>
    <definedName name="IQ_REVENUE_LOW_EST" hidden="1">"c1128"</definedName>
    <definedName name="IQ_REVENUE_LOW_EST_CIQ" hidden="1">"c3619"</definedName>
    <definedName name="IQ_REVENUE_LOW_GUIDANCE" hidden="1">"c4209"</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ISION_DATE_" hidden="1">39244.5892013889</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ISK_ADJ_BANK_ASSETS" hidden="1">"c2670"</definedName>
    <definedName name="IQ_RISK_WEIGHTED_ASSETS_FDIC" hidden="1">"c6370"</definedName>
    <definedName name="IQ_RSI" hidden="1">"c12704"</definedName>
    <definedName name="IQ_RSI_ADJ" hidden="1">"c12705"</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CIQ" hidden="1">"c12133"</definedName>
    <definedName name="IQ_STAND_REC_DET_EST_DATE" hidden="1">"c12222"</definedName>
    <definedName name="IQ_STAND_REC_DET_EST_DATE_CIQ" hidden="1">"c12279"</definedName>
    <definedName name="IQ_STAND_REC_DET_EST_ORIGIN" hidden="1">"c12594"</definedName>
    <definedName name="IQ_STAND_REC_DET_EST_ORIGIN_CIQ" hidden="1">"c12648"</definedName>
    <definedName name="IQ_STAND_REC_NUM_DET_EST" hidden="1">"c12068"</definedName>
    <definedName name="IQ_STAND_REC_NUM_DET_EST_CIQ" hidden="1">"c12132"</definedName>
    <definedName name="IQ_STAND_REC_NUM_DET_EST_DATE" hidden="1">"c12221"</definedName>
    <definedName name="IQ_STAND_REC_NUM_DET_EST_DATE_CIQ" hidden="1">"c12278"</definedName>
    <definedName name="IQ_STAND_REC_NUM_DET_EST_ORIGIN" hidden="1">"c12593"</definedName>
    <definedName name="IQ_STAND_REC_NUM_DET_EST_ORIGIN_CIQ" hidden="1">"c12647"</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IQ" hidden="1">"c12134"</definedName>
    <definedName name="IQ_TARGET_PRICE_DET_EST_CURRENCY" hidden="1">"c12475"</definedName>
    <definedName name="IQ_TARGET_PRICE_DET_EST_CURRENCY_CIQ" hidden="1">"c12523"</definedName>
    <definedName name="IQ_TARGET_PRICE_DET_EST_DATE" hidden="1">"c12223"</definedName>
    <definedName name="IQ_TARGET_PRICE_DET_EST_DATE_CIQ" hidden="1">"c12280"</definedName>
    <definedName name="IQ_TARGET_PRICE_DET_EST_INCL" hidden="1">"c12358"</definedName>
    <definedName name="IQ_TARGET_PRICE_DET_EST_INCL_CIQ" hidden="1">"c12406"</definedName>
    <definedName name="IQ_TARGET_PRICE_DET_EST_ORIGIN" hidden="1">"c12729"</definedName>
    <definedName name="IQ_TARGET_PRICE_DET_EST_ORIGIN_CIQ" hidden="1">"c12730"</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EST" hidden="1">"c4526"</definedName>
    <definedName name="IQ_TEV_EST_CIQ" hidden="1">"c5079"</definedName>
    <definedName name="IQ_TEV_HIGH_EST" hidden="1">"c4527"</definedName>
    <definedName name="IQ_TEV_HIGH_EST_CIQ" hidden="1">"c5080"</definedName>
    <definedName name="IQ_TEV_LOW_EST" hidden="1">"c4528"</definedName>
    <definedName name="IQ_TEV_LOW_EST_CIQ" hidden="1">"c5081"</definedName>
    <definedName name="IQ_TEV_MEDIAN_EST" hidden="1">"c4529"</definedName>
    <definedName name="IQ_TEV_MEDIAN_EST_CIQ" hidden="1">"c5082"</definedName>
    <definedName name="IQ_TEV_NUM_EST" hidden="1">"c4530"</definedName>
    <definedName name="IQ_TEV_NUM_EST_CIQ" hidden="1">"c5083"</definedName>
    <definedName name="IQ_TEV_STDDEV_EST" hidden="1">"c4531"</definedName>
    <definedName name="IQ_TEV_STDDEV_EST_CIQ" hidden="1">"c5084"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HIGH_EST" hidden="1">"c4534"</definedName>
    <definedName name="IQ_TOTAL_DEBT_HIGH_EST_CIQ" hidden="1">"c5087"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INT_EXPENSE_FFIEC" hidden="1">"c13000"</definedName>
    <definedName name="IQ_TOTAL_INT_INCOME_FFIEC" hidden="1">"c12989"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bo">#REF!</definedName>
    <definedName name="iqbce">#REF!</definedName>
    <definedName name="iqbcr">#REF!</definedName>
    <definedName name="iqbfa">#REF!</definedName>
    <definedName name="iqbin">#REF!</definedName>
    <definedName name="iqbiv">#REF!</definedName>
    <definedName name="iqbll">#REF!</definedName>
    <definedName name="iqbnc">#REF!</definedName>
    <definedName name="iqbne">#REF!</definedName>
    <definedName name="iqboa">#REF!</definedName>
    <definedName name="iqboc">#REF!</definedName>
    <definedName name="iqbol">#REF!</definedName>
    <definedName name="iqbre">#REF!</definedName>
    <definedName name="iqpap">#REF!</definedName>
    <definedName name="iqpat">#REF!</definedName>
    <definedName name="iqpbt">#REF!</definedName>
    <definedName name="iqpco">#REF!</definedName>
    <definedName name="iqpda">#REF!</definedName>
    <definedName name="iqpeb">#REF!</definedName>
    <definedName name="iqpei">#REF!</definedName>
    <definedName name="iqpex">#REF!</definedName>
    <definedName name="iqpfe">#REF!</definedName>
    <definedName name="iqpma">#REF!</definedName>
    <definedName name="iqpno">#REF!</definedName>
    <definedName name="iqpop">#REF!</definedName>
    <definedName name="iqpre">#REF!</definedName>
    <definedName name="iqprp">#REF!</definedName>
    <definedName name="iqpte">#REF!</definedName>
    <definedName name="iQShowHideColumns" hidden="1">"iQShowAnnual"</definedName>
    <definedName name="irc">#REF!</definedName>
    <definedName name="ire">#REF!</definedName>
    <definedName name="iresult" localSheetId="4">#REF!</definedName>
    <definedName name="iresult">'[79]GRPS-Y'!$C$24</definedName>
    <definedName name="irf">#REF!</definedName>
    <definedName name="irg">#REF!</definedName>
    <definedName name="irgList" localSheetId="4">#REF!</definedName>
    <definedName name="irgList">[38]Database!#REF!</definedName>
    <definedName name="irp">#REF!</definedName>
    <definedName name="irs" localSheetId="4" hidden="1">{"'PS-SOTM'!$A$1","'PS-SOTM'!$A$2:$M$30","'PS-SOTM'!$A$31:$A$38"}</definedName>
    <definedName name="irs" hidden="1">{"'PS-SOTM'!$A$1","'PS-SOTM'!$A$2:$M$30","'PS-SOTM'!$A$31:$A$38"}</definedName>
    <definedName name="IS_1" localSheetId="9">#REF!</definedName>
    <definedName name="IS_1">#REF!</definedName>
    <definedName name="IS_10" localSheetId="9">#REF!</definedName>
    <definedName name="IS_10">#REF!</definedName>
    <definedName name="IS_11" localSheetId="9">#REF!</definedName>
    <definedName name="IS_11">#REF!</definedName>
    <definedName name="IS_12">#REF!</definedName>
    <definedName name="IS_13">#REF!</definedName>
    <definedName name="IS_14">#REF!</definedName>
    <definedName name="IS_2">#REF!</definedName>
    <definedName name="IS_3">#REF!</definedName>
    <definedName name="IS_4">#REF!</definedName>
    <definedName name="IS_5">#REF!</definedName>
    <definedName name="IS_6">#REF!</definedName>
    <definedName name="IS_7">#REF!</definedName>
    <definedName name="IS_8">#REF!</definedName>
    <definedName name="IS_9">#REF!</definedName>
    <definedName name="IS_p">#REF!</definedName>
    <definedName name="is1_">#REF!</definedName>
    <definedName name="is2_">#REF!</definedName>
    <definedName name="is3_">#REF!</definedName>
    <definedName name="is4_">#REF!</definedName>
    <definedName name="is5_">#REF!</definedName>
    <definedName name="isb">#REF!</definedName>
    <definedName name="isc">#REF!</definedName>
    <definedName name="ise">#REF!</definedName>
    <definedName name="isf">#REF!</definedName>
    <definedName name="ishares">#REF!</definedName>
    <definedName name="isi">#REF!</definedName>
    <definedName name="ISIN">#REF!</definedName>
    <definedName name="isl">#REF!</definedName>
    <definedName name="Isotretinoin">#REF!</definedName>
    <definedName name="IssueOfOrdinaryShareCapital">#REF!</definedName>
    <definedName name="ist">#REF!</definedName>
    <definedName name="ITAXss" localSheetId="4">#REF!</definedName>
    <definedName name="ITAXss">[80]Key_Assume_Common!$D$11</definedName>
    <definedName name="ITDepr">#REF!</definedName>
    <definedName name="ITDepRt">#REF!</definedName>
    <definedName name="ItemA">#REF!</definedName>
    <definedName name="ItemB">#REF!</definedName>
    <definedName name="ItemC">#REF!</definedName>
    <definedName name="ItemD">#REF!</definedName>
    <definedName name="ITEMUNIT_BK">#REF!</definedName>
    <definedName name="ITREE" localSheetId="10">[1]bajaj_copeland!$X$591:$AY$599</definedName>
    <definedName name="ITREE">#REF!</definedName>
    <definedName name="iue">1</definedName>
    <definedName name="iuesymbol">"Rs"</definedName>
    <definedName name="iun">1000000</definedName>
    <definedName name="iunsymbol">"Rsm"</definedName>
    <definedName name="ius">1000000</definedName>
    <definedName name="iusSymbol" localSheetId="4">#REF!</definedName>
    <definedName name="iusSymbol">[38]Database!#REF!</definedName>
    <definedName name="iv_adj">#REF!</definedName>
    <definedName name="iva">#REF!</definedName>
    <definedName name="Ivnt">#REF!</definedName>
    <definedName name="IvntDays">#REF!</definedName>
    <definedName name="IWORKING" localSheetId="10">[1]bajaj_copeland!$AT$594</definedName>
    <definedName name="IWORKING">#REF!</definedName>
    <definedName name="janInv">#REF!</definedName>
    <definedName name="jbfcvf" localSheetId="10" hidden="1">[81]chem_Prices!#REF!</definedName>
    <definedName name="jbfcvf" hidden="1">#REF!</definedName>
    <definedName name="jbgcvc" localSheetId="10" hidden="1">[81]chem_Prices!#REF!</definedName>
    <definedName name="jbgcvc" hidden="1">#REF!</definedName>
    <definedName name="jetstream">#REF!</definedName>
    <definedName name="jetstream_01">#REF!</definedName>
    <definedName name="jetstream_02">#REF!</definedName>
    <definedName name="jetstream_03">#REF!</definedName>
    <definedName name="jetstream_04">#REF!</definedName>
    <definedName name="jetstream_05">#REF!</definedName>
    <definedName name="jetstream_06">#REF!</definedName>
    <definedName name="jhn"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jhn"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jim" localSheetId="4">{"'Directory'!$A$72:$E$91"}</definedName>
    <definedName name="jim">{"'Directory'!$A$72:$E$91"}</definedName>
    <definedName name="jjj" localSheetId="4" hidden="1">{#N/A,#N/A,FALSE,"Status of Projects";#N/A,#N/A,FALSE,"CEA-TEC";#N/A,#N/A,FALSE,"U-Constr.";#N/A,#N/A,FALSE,"summary";#N/A,#N/A,FALSE,"PPP-3 yrs"}</definedName>
    <definedName name="jjj" hidden="1">{#N/A,#N/A,FALSE,"Status of Projects";#N/A,#N/A,FALSE,"CEA-TEC";#N/A,#N/A,FALSE,"U-Constr.";#N/A,#N/A,FALSE,"summary";#N/A,#N/A,FALSE,"PPP-3 yrs"}</definedName>
    <definedName name="jkbj">#REF!</definedName>
    <definedName name="jkk">#REF!</definedName>
    <definedName name="JPN" localSheetId="4">#REF!</definedName>
    <definedName name="JPN">'[16]foundry '!#REF!</definedName>
    <definedName name="jsadjgadf" localSheetId="9" hidden="1">{#N/A,#N/A,FALSE,"Status of Projects";#N/A,#N/A,FALSE,"CEA-TEC";#N/A,#N/A,FALSE,"U-Constr.";#N/A,#N/A,FALSE,"summary";#N/A,#N/A,FALSE,"PPP-3 yrs"}</definedName>
    <definedName name="jsadjgadf" localSheetId="10" hidden="1">{#N/A,#N/A,FALSE,"Status of Projects";#N/A,#N/A,FALSE,"CEA-TEC";#N/A,#N/A,FALSE,"U-Constr.";#N/A,#N/A,FALSE,"summary";#N/A,#N/A,FALSE,"PPP-3 yrs"}</definedName>
    <definedName name="jsadjgadf" localSheetId="4" hidden="1">{#N/A,#N/A,FALSE,"Status of Projects";#N/A,#N/A,FALSE,"CEA-TEC";#N/A,#N/A,FALSE,"U-Constr.";#N/A,#N/A,FALSE,"summary";#N/A,#N/A,FALSE,"PPP-3 yrs"}</definedName>
    <definedName name="jsadjgadf" hidden="1">{#N/A,#N/A,FALSE,"Status of Projects";#N/A,#N/A,FALSE,"CEA-TEC";#N/A,#N/A,FALSE,"U-Constr.";#N/A,#N/A,FALSE,"summary";#N/A,#N/A,FALSE,"PPP-3 yrs"}</definedName>
    <definedName name="junk" localSheetId="9" hidden="1">#REF!</definedName>
    <definedName name="junk" localSheetId="10" hidden="1">[82]Sheet1!#REF!</definedName>
    <definedName name="junk" hidden="1">#REF!</definedName>
    <definedName name="kawahwgt">#REF!</definedName>
    <definedName name="Kd" localSheetId="9">#REF!</definedName>
    <definedName name="Kd">#REF!</definedName>
    <definedName name="Ke" localSheetId="9">#REF!</definedName>
    <definedName name="Ke">#REF!</definedName>
    <definedName name="kebwgt">#REF!</definedName>
    <definedName name="kepwgt">#REF!</definedName>
    <definedName name="Key_Ratios">#REF!</definedName>
    <definedName name="kfjbg" localSheetId="10" hidden="1">[83]Sheet1!$CG$3</definedName>
    <definedName name="kfjbg" hidden="1">#REF!</definedName>
    <definedName name="kjbfdsf" localSheetId="10" hidden="1">[81]chem_Prices!#REF!</definedName>
    <definedName name="kjbfdsf" hidden="1">#REF!</definedName>
    <definedName name="kjiiop" hidden="1">#N/A</definedName>
    <definedName name="kkkkk"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kkkkk"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klll" localSheetId="9">#REF!,#REF!,#REF!</definedName>
    <definedName name="klll">#REF!,#REF!,#REF!</definedName>
    <definedName name="korea">#REF!</definedName>
    <definedName name="Krishnapatnam" localSheetId="0">[65]!Equity_Del_Item</definedName>
    <definedName name="Krishnapatnam">[65]!Equity_Del_Item</definedName>
    <definedName name="ktbwgt">#REF!</definedName>
    <definedName name="L" localSheetId="9">#REF!</definedName>
    <definedName name="L">#REF!</definedName>
    <definedName name="L_A">#REF!</definedName>
    <definedName name="L_and_A" localSheetId="9">#REF!</definedName>
    <definedName name="L_and_A">#REF!</definedName>
    <definedName name="L_Price">#REF!</definedName>
    <definedName name="L_T_obligations_under_cap_leases" localSheetId="9">#REF!</definedName>
    <definedName name="L_T_obligations_under_cap_leases">#REF!</definedName>
    <definedName name="L1L">#REF!,#REF!</definedName>
    <definedName name="L2L">#REF!,#REF!</definedName>
    <definedName name="L3L">#REF!,#REF!</definedName>
    <definedName name="L4L">#REF!,#REF!</definedName>
    <definedName name="L5L">#REF!,#REF!</definedName>
    <definedName name="land_buildings" localSheetId="9">#REF!</definedName>
    <definedName name="land_buildings" localSheetId="10">[28]Template!$D$237:$T$237</definedName>
    <definedName name="land_buildings">#REF!</definedName>
    <definedName name="last" localSheetId="4">#REF!</definedName>
    <definedName name="last">[26]FinancialsNew!#REF!</definedName>
    <definedName name="Last_Installment_Date" localSheetId="9">#REF!</definedName>
    <definedName name="Last_Installment_Date">#REF!</definedName>
    <definedName name="Last_Update" localSheetId="4">#REF!</definedName>
    <definedName name="Last_Update">[2]Header!$E$9</definedName>
    <definedName name="LastCell" localSheetId="9">#REF!</definedName>
    <definedName name="LastCell">#REF!</definedName>
    <definedName name="lastdate">#REF!</definedName>
    <definedName name="LastH">#REF!</definedName>
    <definedName name="LastListUpdate">0</definedName>
    <definedName name="LastOpenedWorkSheet">#REF!</definedName>
    <definedName name="LastRefreshed">#REF!</definedName>
    <definedName name="lastrep">#REF!</definedName>
    <definedName name="Lawyer_Fee">#REF!</definedName>
    <definedName name="Layup_02\03">#REF!</definedName>
    <definedName name="Layup_03\04">#REF!</definedName>
    <definedName name="Layup_04\05">#REF!</definedName>
    <definedName name="LBO">#REF!</definedName>
    <definedName name="lchwgt">#REF!</definedName>
    <definedName name="LCI" localSheetId="4">#REF!</definedName>
    <definedName name="LCI">[41]DATABOX!#REF!</definedName>
    <definedName name="LEAP">#REF!</definedName>
    <definedName name="lease_depreciation">#REF!</definedName>
    <definedName name="lease_exp">#REF!</definedName>
    <definedName name="lease_exp_00">#REF!</definedName>
    <definedName name="lease_exp_01">#REF!</definedName>
    <definedName name="lease_exp_02">#REF!</definedName>
    <definedName name="lease_exp_03">#REF!</definedName>
    <definedName name="lease_exp_04">#REF!</definedName>
    <definedName name="lease_exp_99">#REF!</definedName>
    <definedName name="lease_Inc.">#REF!</definedName>
    <definedName name="lease_income">#REF!</definedName>
    <definedName name="Lease_thereafter">#REF!</definedName>
    <definedName name="Lease_years">#REF!</definedName>
    <definedName name="Lease_yr_1">#REF!</definedName>
    <definedName name="Lease_yr_2">#REF!</definedName>
    <definedName name="Lease_yr_3">#REF!</definedName>
    <definedName name="Lease_yr_4">#REF!</definedName>
    <definedName name="Lease_yr_5">#REF!</definedName>
    <definedName name="LeaseAdj" localSheetId="10">[36]Input!#REF!</definedName>
    <definedName name="LeaseAdj">#REF!</definedName>
    <definedName name="Leased_assets_avg">#REF!</definedName>
    <definedName name="leasendate">#REF!</definedName>
    <definedName name="Legal_Charges">#REF!</definedName>
    <definedName name="Legal_reserve">#REF!</definedName>
    <definedName name="Legal_reserve_copy">#REF!</definedName>
    <definedName name="less_loss_on_evaluation_of_investments">#REF!</definedName>
    <definedName name="LIAB_PEN" localSheetId="10">[1]bajaj_copeland!$C$428</definedName>
    <definedName name="LIAB_PEN">#REF!</definedName>
    <definedName name="LIABILITIES_TOTAL">#REF!</definedName>
    <definedName name="Liberalization" localSheetId="4">#REF!</definedName>
    <definedName name="Liberalization">'[12]#REF'!#REF!</definedName>
    <definedName name="LIFO_Reserve">#REF!</definedName>
    <definedName name="limcount" hidden="1">1</definedName>
    <definedName name="Line_Interface">#REF!</definedName>
    <definedName name="Links" localSheetId="4">#REF!</definedName>
    <definedName name="Links">[2]Header!$AH$2</definedName>
    <definedName name="lippowgt">#REF!</definedName>
    <definedName name="liquid" localSheetId="4">#REF!</definedName>
    <definedName name="liquid">[29]UploaderV4!$F$208:$AE$208</definedName>
    <definedName name="LIST" localSheetId="9">#REF!</definedName>
    <definedName name="LIST" localSheetId="10">[1]InQuart!$G$128</definedName>
    <definedName name="LIST">#REF!</definedName>
    <definedName name="listdate">#REF!</definedName>
    <definedName name="LiveReqs" localSheetId="4">#REF!</definedName>
    <definedName name="LiveReqs">[2]Header!$H$6</definedName>
    <definedName name="LK" localSheetId="4">#REF!</definedName>
    <definedName name="LK">[46]PLold!$G$104:$G$334</definedName>
    <definedName name="lkjhbv" localSheetId="9" hidden="1">#REF!</definedName>
    <definedName name="lkjhbv" localSheetId="10" hidden="1">[84]finstats!#REF!</definedName>
    <definedName name="lkjhbv" hidden="1">#REF!</definedName>
    <definedName name="ll" localSheetId="9">#REF!</definedName>
    <definedName name="ll">#REF!</definedName>
    <definedName name="LLLL">#REF!</definedName>
    <definedName name="Loan">#REF!</definedName>
    <definedName name="Loan_Assets_Q">#REF!</definedName>
    <definedName name="Loan_Loss_Provision_fore">#REF!</definedName>
    <definedName name="Loan_to_equipment_manufacturers_Unsecured">#REF!</definedName>
    <definedName name="Loan_to_equipment_manufacturers_Unsecured_Doubtful">#REF!</definedName>
    <definedName name="LoanGrowth12">#REF!</definedName>
    <definedName name="LoanGrowth13">#REF!</definedName>
    <definedName name="loans_advances" localSheetId="10">[28]Template!$D$186:$T$186</definedName>
    <definedName name="loans_advances">#REF!</definedName>
    <definedName name="loans_advances_A">#REF!</definedName>
    <definedName name="Loans_against_Assets">#REF!</definedName>
    <definedName name="Loans_and_advances">#REF!</definedName>
    <definedName name="Loans_and_advances_total">#REF!</definedName>
    <definedName name="Loans_to_Employees">#REF!</definedName>
    <definedName name="Loans_Total_Assets">#REF!</definedName>
    <definedName name="LoansAdvances">#REF!</definedName>
    <definedName name="LOCAL" localSheetId="4">#REF!</definedName>
    <definedName name="LOCAL">'[12]#REF'!#REF!</definedName>
    <definedName name="LocalPay">#REF!</definedName>
    <definedName name="LogInResponse" localSheetId="4">#REF!</definedName>
    <definedName name="LogInResponse">'[17]#REF'!#REF!</definedName>
    <definedName name="long" localSheetId="4">#REF!</definedName>
    <definedName name="long">[41]DATABOX!#REF!</definedName>
    <definedName name="long_term_debt" localSheetId="10">[28]Template!$D$153:$T$153</definedName>
    <definedName name="long_term_debt">#REF!</definedName>
    <definedName name="LongTermDebt">#REF!</definedName>
    <definedName name="LONNYPL">#REF!</definedName>
    <definedName name="LookUpYears">#REF!</definedName>
    <definedName name="loss">#REF!</definedName>
    <definedName name="LOTUS" localSheetId="10">'[85]Corrupt SSCI'!$B$1:$N$190</definedName>
    <definedName name="LOTUS">#REF!</definedName>
    <definedName name="lshares">#REF!</definedName>
    <definedName name="LT_debt">#REF!</definedName>
    <definedName name="lt_debt_A">#REF!</definedName>
    <definedName name="lt_debt_foreign" localSheetId="10">[28]Template!$D$159:$T$159</definedName>
    <definedName name="lt_debt_foreign">#REF!</definedName>
    <definedName name="LT_debt_growth_fore">#REF!</definedName>
    <definedName name="lt_debt_lease_financing" localSheetId="10">[28]Template!$D$207:$T$207</definedName>
    <definedName name="lt_debt_lease_financing">#REF!</definedName>
    <definedName name="LT_INV">#REF!</definedName>
    <definedName name="LT_LOANS">#REF!</definedName>
    <definedName name="LTDebt">#REF!</definedName>
    <definedName name="LtDebtChg" localSheetId="10" hidden="1">[51]Debt!$K$257:$AA$257</definedName>
    <definedName name="LtDebtChg" hidden="1">#REF!</definedName>
    <definedName name="LtDebtDmy" localSheetId="9" hidden="1">#REF!,#REF!,#REF!,#REF!,#REF!</definedName>
    <definedName name="LtDebtDmy" localSheetId="10" hidden="1">[36]Debt!$A$46:$IV$46,[36]Debt!$A$92:$IV$92,[36]Debt!$A$138:$IV$138,[36]Debt!$A$187:$IV$187,[36]Debt!$A$231:$IV$231</definedName>
    <definedName name="LtDebtDmy" hidden="1">#REF!,#REF!,#REF!,#REF!,#REF!</definedName>
    <definedName name="LtDebtInt" localSheetId="9">#REF!</definedName>
    <definedName name="LtDebtInt">#REF!</definedName>
    <definedName name="LTDebtSer" localSheetId="9" hidden="1">#REF!</definedName>
    <definedName name="LTDebtSer" localSheetId="10" hidden="1">[31]Profile!$BE$5:$BE$35</definedName>
    <definedName name="LTDebtSer" hidden="1">#REF!</definedName>
    <definedName name="ltgr">#REF!</definedName>
    <definedName name="LtInt" localSheetId="9">#REF!</definedName>
    <definedName name="LtInt">#REF!</definedName>
    <definedName name="LTL">#REF!</definedName>
    <definedName name="LTL_CAP">#REF!</definedName>
    <definedName name="LTL_DEBT">#REF!</definedName>
    <definedName name="LTL_TAX">#REF!</definedName>
    <definedName name="M" localSheetId="10">[1]Financials!#REF!</definedName>
    <definedName name="m"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#REF!</definedName>
    <definedName name="M_PlaceofPath" hidden="1">"\\SNYCEQT0100\HOME\LZURLO\DATA\TELMEX\Models\tmx_vdf.xls"</definedName>
    <definedName name="Macro1" localSheetId="9">#REF!</definedName>
    <definedName name="Macro1">#REF!</definedName>
    <definedName name="Macro2" localSheetId="9">#REF!</definedName>
    <definedName name="Macro2">#REF!</definedName>
    <definedName name="Macro3" localSheetId="9">#REF!</definedName>
    <definedName name="Macro3">#REF!</definedName>
    <definedName name="MACROS" localSheetId="10">[1]bajaj_copeland!$A$497</definedName>
    <definedName name="MACROS">#REF!</definedName>
    <definedName name="mahMah">#REF!</definedName>
    <definedName name="MAIN" localSheetId="10">[1]bajaj_copeland!$F$508</definedName>
    <definedName name="MAIN">#REF!</definedName>
    <definedName name="Maintenance_Building">#REF!</definedName>
    <definedName name="Maintenance_Capital_Expenditure">#REF!</definedName>
    <definedName name="Maintenance_Others">#REF!</definedName>
    <definedName name="Major_Maint">#REF!</definedName>
    <definedName name="malaysia">#REF!</definedName>
    <definedName name="man_cash_flow">#REF!</definedName>
    <definedName name="managed">#REF!</definedName>
    <definedName name="managed1">#REF!</definedName>
    <definedName name="Manasement__Agency___Guarantee_Fees">#REF!</definedName>
    <definedName name="manhoursoffqoq">OFFSET(#REF!,0,1,1,COUNTA(#REF!)-1)</definedName>
    <definedName name="manhoursonqoq">OFFSET(#REF!,0,1,1,COUNTA(#REF!)-1)</definedName>
    <definedName name="manhoursqoq">OFFSET(#REF!,0,1,1,COUNTA(#REF!)-1)</definedName>
    <definedName name="ManPowerCost">#REF!</definedName>
    <definedName name="MANUAL" localSheetId="10">[1]bajaj_copeland!$C$10</definedName>
    <definedName name="MANUAL">#REF!</definedName>
    <definedName name="Mar">#REF!</definedName>
    <definedName name="MARGIN" localSheetId="10">[1]bajaj_copeland!$AN$556</definedName>
    <definedName name="MARGIN">#REF!</definedName>
    <definedName name="Margin_analysis">#REF!</definedName>
    <definedName name="Marginal_tax_rate">#REF!</definedName>
    <definedName name="Margins" localSheetId="4">#REF!</definedName>
    <definedName name="Margins">[86]Model!$A$121</definedName>
    <definedName name="market_cap">#REF!</definedName>
    <definedName name="Market_cap_Rs_m">#REF!</definedName>
    <definedName name="market_capitalisation" localSheetId="10">[28]Template!$D$257:$T$257</definedName>
    <definedName name="market_capitalisation">#REF!</definedName>
    <definedName name="market_capitalisation_A">#REF!</definedName>
    <definedName name="Market_capitalization">#REF!</definedName>
    <definedName name="Market_Implied_CAP">#REF!</definedName>
    <definedName name="marketable_securities">#REF!</definedName>
    <definedName name="marketable_securities_at_cost" localSheetId="10">[28]Template!$D$183:$T$183</definedName>
    <definedName name="marketable_securities_at_cost">#REF!</definedName>
    <definedName name="marketable_securities_at_cost_A">#REF!</definedName>
    <definedName name="marketable_securities_at_cost_avg">#REF!</definedName>
    <definedName name="marketing_expenses" localSheetId="10">[28]Template!$D$80:$T$80</definedName>
    <definedName name="marketing_expenses">#REF!</definedName>
    <definedName name="masso" localSheetId="4">#REF!</definedName>
    <definedName name="masso">[29]UploaderV4!$F$102:$AE$102</definedName>
    <definedName name="master">#REF!</definedName>
    <definedName name="mastertemplatelookup">#REF!</definedName>
    <definedName name="mat">#REF!</definedName>
    <definedName name="MATCOST" localSheetId="4">#REF!</definedName>
    <definedName name="MATCOST">[46]PLold!$A$182:$K$186</definedName>
    <definedName name="matcredit" localSheetId="4">#REF!</definedName>
    <definedName name="matcredit">[29]UploaderV4!$F$57:$AE$57</definedName>
    <definedName name="Materials">#REF!</definedName>
    <definedName name="Materials_NetSales">#REF!</definedName>
    <definedName name="MATRIX" localSheetId="10">[1]Financials!#REF!</definedName>
    <definedName name="MATRIX">#REF!</definedName>
    <definedName name="MATss" localSheetId="4">#REF!</definedName>
    <definedName name="MATss">[80]Key_Assume_Common!$D$12</definedName>
    <definedName name="mattrpatequity" localSheetId="4">#REF!</definedName>
    <definedName name="mattrpatequity">[29]UploaderV4!$F$105:$AE$105</definedName>
    <definedName name="Maximum_loan_available">#REF!</definedName>
    <definedName name="maywgt">#REF!</definedName>
    <definedName name="MBASE" localSheetId="10">[1]bajaj_copeland!$Z$526:$AD$526</definedName>
    <definedName name="MBASE">#REF!</definedName>
    <definedName name="mbfl" localSheetId="4">#REF!</definedName>
    <definedName name="mbfl">'[27]P&amp;L(F)'!$H$151:$K$151</definedName>
    <definedName name="mbfll" localSheetId="4">#REF!</definedName>
    <definedName name="mbfll">'[27]P&amp;L(F)'!$E$25:$X$25</definedName>
    <definedName name="mc_ms">#REF!</definedName>
    <definedName name="MCASHTAX" localSheetId="10">[1]bajaj_copeland!$Z$514:$AD$514</definedName>
    <definedName name="MCASHTAX">#REF!</definedName>
    <definedName name="MCOGS" localSheetId="10">[1]bajaj_copeland!$Z$505:$AD$505</definedName>
    <definedName name="MCOGS">#REF!</definedName>
    <definedName name="MCONSTANT" localSheetId="10">[1]bajaj_copeland!$Z$527:$AD$527</definedName>
    <definedName name="MCONSTANT">#REF!</definedName>
    <definedName name="MCOST_CAP" localSheetId="10">[1]bajaj_copeland!$F$558</definedName>
    <definedName name="MCOST_CAP">#REF!</definedName>
    <definedName name="MDATA_FILE" localSheetId="10">[1]bajaj_copeland!$F$520</definedName>
    <definedName name="MDATA_FILE">#REF!</definedName>
    <definedName name="mdda" localSheetId="4">#REF!</definedName>
    <definedName name="mdda">[29]UploaderV4!$F$94:$AE$94</definedName>
    <definedName name="MDEPRECIATION" localSheetId="10">[1]bajaj_copeland!$Z$507:$AD$507</definedName>
    <definedName name="MDEPRECIATION">#REF!</definedName>
    <definedName name="MDP" localSheetId="4">#REF!</definedName>
    <definedName name="MDP">'[45]Stand alone Main'!#REF!</definedName>
    <definedName name="mebit" localSheetId="4">#REF!</definedName>
    <definedName name="mebit">[29]UploaderV4!$F$95:$AE$95</definedName>
    <definedName name="mebitda" localSheetId="4">#REF!</definedName>
    <definedName name="mebitda">[29]UploaderV4!$F$93:$AE$93</definedName>
    <definedName name="MemFree" localSheetId="4">#REF!</definedName>
    <definedName name="MemFree">[2]Header!$AD$11</definedName>
    <definedName name="MemTotal" localSheetId="4">#REF!</definedName>
    <definedName name="MemTotal">[2]Header!$AD$10</definedName>
    <definedName name="MENUFILE">#REF!</definedName>
    <definedName name="MENUFONT">#REF!</definedName>
    <definedName name="MENUMACRO">#REF!</definedName>
    <definedName name="MENUPFCHECK">#REF!</definedName>
    <definedName name="MENUPTAB">#REF!</definedName>
    <definedName name="MENUWORK">#REF!</definedName>
    <definedName name="meps" localSheetId="4">#REF!</definedName>
    <definedName name="meps">[29]UploaderV4!$F$228:$AE$228</definedName>
    <definedName name="MER">#REF!</definedName>
    <definedName name="mergers">#REF!</definedName>
    <definedName name="MESSDAT1">#REF!</definedName>
    <definedName name="MESSDT1">#REF!</definedName>
    <definedName name="MESSEX1">#REF!</definedName>
    <definedName name="MESSEX2">#REF!</definedName>
    <definedName name="MESSFFF">#REF!</definedName>
    <definedName name="MESSPF1">#REF!</definedName>
    <definedName name="MESSPFX">#REF!</definedName>
    <definedName name="metwgt">#REF!</definedName>
    <definedName name="Mexico1">#REF!</definedName>
    <definedName name="Mexico2">#REF!</definedName>
    <definedName name="mexp" localSheetId="4">#REF!</definedName>
    <definedName name="mexp">[29]UploaderV4!$F$92:$AE$92</definedName>
    <definedName name="mfccbint" localSheetId="4">#REF!</definedName>
    <definedName name="mfccbint">[29]UploaderV4!$F$85:$AE$85</definedName>
    <definedName name="mfg">#REF!</definedName>
    <definedName name="MfgExp">#REF!</definedName>
    <definedName name="MfgExpSer" localSheetId="10" hidden="1">[31]Profile!$AQ$5:$AQ$12</definedName>
    <definedName name="MfgExpSer" hidden="1">#REF!</definedName>
    <definedName name="MFORECAST" localSheetId="10">[1]bajaj_copeland!$F$526</definedName>
    <definedName name="MFORECAST">#REF!</definedName>
    <definedName name="MGOTO" localSheetId="10">[1]bajaj_copeland!$F$546</definedName>
    <definedName name="MGOTO">#REF!</definedName>
    <definedName name="MGRATIOS" localSheetId="10">[1]bajaj_copeland!$F$566</definedName>
    <definedName name="MGRATIOS">#REF!</definedName>
    <definedName name="MGROWTH" localSheetId="10">[1]bajaj_copeland!$Z$525:$AD$525</definedName>
    <definedName name="MGROWTH">#REF!</definedName>
    <definedName name="MHELP" localSheetId="10">[1]bajaj_copeland!#REF!</definedName>
    <definedName name="MHELP">#REF!</definedName>
    <definedName name="MHIST_RATIOS" localSheetId="10">[1]bajaj_copeland!$F$554</definedName>
    <definedName name="MHIST_RATIOS">#REF!</definedName>
    <definedName name="MHISTORICAL" localSheetId="10">[1]bajaj_copeland!$F$550</definedName>
    <definedName name="MHISTORICAL">#REF!</definedName>
    <definedName name="mi" localSheetId="4">#REF!</definedName>
    <definedName name="mi">[29]UploaderV4!$F$63:$AE$63</definedName>
    <definedName name="mibs" localSheetId="4">#REF!</definedName>
    <definedName name="mibs">[29]UploaderV4!$F$120:$AE$120</definedName>
    <definedName name="Mico" localSheetId="10">[1]Mico!#REF!</definedName>
    <definedName name="Mico">#REF!</definedName>
    <definedName name="miebitda" localSheetId="4">#REF!</definedName>
    <definedName name="miebitda">[29]UploaderV4!$F$87:$AE$87</definedName>
    <definedName name="MIN_INT">#REF!</definedName>
    <definedName name="MINCREASED" localSheetId="10">[1]bajaj_copeland!$Z$528:$AD$528</definedName>
    <definedName name="MINCREASED">#REF!</definedName>
    <definedName name="minetdebt" localSheetId="4">#REF!</definedName>
    <definedName name="minetdebt">[29]UploaderV4!$F$88:$AE$88</definedName>
    <definedName name="MINETOTHER" localSheetId="10">[1]bajaj_copeland!$Z$523:$AD$523</definedName>
    <definedName name="MINETOTHER">#REF!</definedName>
    <definedName name="MINETPPE" localSheetId="10">[1]bajaj_copeland!$Z$522:$AD$522</definedName>
    <definedName name="MINETPPE">#REF!</definedName>
    <definedName name="MinGraph">#REF!</definedName>
    <definedName name="MINIT" localSheetId="10">[1]bajaj_copeland!$F$516</definedName>
    <definedName name="MINIT">#REF!</definedName>
    <definedName name="minorities" localSheetId="10">[28]Template!$D$227:$T$227</definedName>
    <definedName name="minorities">#REF!</definedName>
    <definedName name="minorities_A">#REF!</definedName>
    <definedName name="minorities_interests_bs">#REF!</definedName>
    <definedName name="minorities_pl" localSheetId="10">[28]Template!$D$62:$T$62</definedName>
    <definedName name="minorities_pl">#REF!</definedName>
    <definedName name="minorities_pl_A">#REF!</definedName>
    <definedName name="Minority_Interest_Q">#REF!</definedName>
    <definedName name="minority_interests" localSheetId="10">[28]Template!$D$259:$T$259</definedName>
    <definedName name="minority_interests">#REF!</definedName>
    <definedName name="minority_interests_pl">#REF!</definedName>
    <definedName name="minority_interests_pl_qtr">#REF!</definedName>
    <definedName name="Minority_interests_PL6">#REF!</definedName>
    <definedName name="MINPUT" localSheetId="10">[1]bajaj_copeland!$F$512</definedName>
    <definedName name="MINPUT">#REF!</definedName>
    <definedName name="mint" localSheetId="4">#REF!</definedName>
    <definedName name="mint">[29]UploaderV4!$F$96:$AE$96</definedName>
    <definedName name="MINTENSITY" localSheetId="10">[1]bajaj_copeland!$Z$524:$AD$524</definedName>
    <definedName name="MINTENSITY">#REF!</definedName>
    <definedName name="MINVESTMENT" localSheetId="10">[1]bajaj_copeland!$Z$530:$AD$530</definedName>
    <definedName name="MINVESTMENT">#REF!</definedName>
    <definedName name="MINVESTYEARS" localSheetId="10">[1]bajaj_copeland!$Z$520:$AD$520</definedName>
    <definedName name="MINVESTYEARS">#REF!</definedName>
    <definedName name="misc_exp" localSheetId="10">[28]Template!$D$225:$T$225</definedName>
    <definedName name="misc_exp">#REF!</definedName>
    <definedName name="misc_reserves">#REF!</definedName>
    <definedName name="Miscellaneous_expenses_not_wo">#REF!</definedName>
    <definedName name="miscellaneous_income">#REF!</definedName>
    <definedName name="miscnotwoff" localSheetId="4">#REF!</definedName>
    <definedName name="miscnotwoff">[29]UploaderV4!$F$117:$AE$117</definedName>
    <definedName name="MIWORKING" localSheetId="10">[1]bajaj_copeland!$Z$521:$AD$521</definedName>
    <definedName name="MIWORKING">#REF!</definedName>
    <definedName name="mj" localSheetId="4">#REF!</definedName>
    <definedName name="mj">'[35]#REF'!#REF!</definedName>
    <definedName name="MKT_COMP" localSheetId="10">[1]bajaj_copeland!$F$534</definedName>
    <definedName name="MKT_COMP">#REF!</definedName>
    <definedName name="MKT_DEBT" localSheetId="10">[1]bajaj_copeland!$C$426</definedName>
    <definedName name="MKT_DEBT">#REF!</definedName>
    <definedName name="mkt_strength">#REF!</definedName>
    <definedName name="mktcap" localSheetId="4">#REF!</definedName>
    <definedName name="mktcap">[29]UploaderV4!$F$293:$AE$293</definedName>
    <definedName name="mktpremium" localSheetId="4">#REF!</definedName>
    <definedName name="mktpremium">[29]UploaderV4!$F$307:$AE$307</definedName>
    <definedName name="ML_1a9i6f1a" localSheetId="4">#REF!</definedName>
    <definedName name="ML_1a9i6f1a">[46]Trends!$A$122:$B$130</definedName>
    <definedName name="ML_1c3d1n6n" localSheetId="4">#REF!</definedName>
    <definedName name="ML_1c3d1n6n">'[21]Orders booked by BHEL'!#REF!</definedName>
    <definedName name="ML_1c7q9d9q" localSheetId="4">#REF!</definedName>
    <definedName name="ML_1c7q9d9q">'[21]Orders booked by BHEL'!#REF!</definedName>
    <definedName name="ML_1f1f4r6w" localSheetId="4">#REF!</definedName>
    <definedName name="ML_1f1f4r6w" xml:space="preserve">                                            [20]Presentation!$B$119:$AB$176</definedName>
    <definedName name="ML_1f6m3u3y" localSheetId="4">#REF!</definedName>
    <definedName name="ML_1f6m3u3y" xml:space="preserve">    [20]XII_Plan_Mkt_shr!$B$8:$D$23</definedName>
    <definedName name="ML_1g9b8c7g" localSheetId="4">#REF!</definedName>
    <definedName name="ML_1g9b8c7g" xml:space="preserve">                        [20]Data!#REF!</definedName>
    <definedName name="ML_1g9y2u4q" localSheetId="4">#REF!</definedName>
    <definedName name="ML_1g9y2u4q">'[87]HDFC Std Life'!$A$76:$I$88</definedName>
    <definedName name="ML_1h7s8p1q" localSheetId="4">#REF!</definedName>
    <definedName name="ML_1h7s8p1q" xml:space="preserve">                                            '[20]RR(P)'!$B$3:$G$47</definedName>
    <definedName name="ML_1i7b3b8f" localSheetId="4">#REF!</definedName>
    <definedName name="ML_1i7b3b8f">[20]Data!#REF!</definedName>
    <definedName name="ML_1i9f7u1u" localSheetId="4">#REF!</definedName>
    <definedName name="ML_1i9f7u1u" xml:space="preserve">                [20]Tables!$B$90:$G$99</definedName>
    <definedName name="ML_1j1y9p1p" localSheetId="4">#REF!</definedName>
    <definedName name="ML_1j1y9p1p" xml:space="preserve">                                [20]Segment!$B$4:$Z$22</definedName>
    <definedName name="ML_1k5y2m3q">#REF!</definedName>
    <definedName name="ML_1p4j6p5r" localSheetId="4">#REF!</definedName>
    <definedName name="ML_1p4j6p5r" xml:space="preserve">                                            '[20]RR(P)'!$B$3:$G$47</definedName>
    <definedName name="ML_1p5p8x2d" localSheetId="4">#REF!</definedName>
    <definedName name="ML_1p5p8x2d" xml:space="preserve">                        [20]Data!#REF!</definedName>
    <definedName name="ML_1p5t4y2q" localSheetId="4">#REF!</definedName>
    <definedName name="ML_1p5t4y2q" xml:space="preserve">                        [20]Capacity!$V$15:$V$20</definedName>
    <definedName name="ML_1p7t4s2x" localSheetId="4">#REF!</definedName>
    <definedName name="ML_1p7t4s2x" xml:space="preserve">                         '[20]Orders-Power'!$E$5:$H$24</definedName>
    <definedName name="ML_1q8m1n6v" localSheetId="4">#REF!</definedName>
    <definedName name="ML_1q8m1n6v" xml:space="preserve">                                [20]XII_Plan_Mkt_shr!$B$8:$D$24</definedName>
    <definedName name="ML_1s8h4m1q" localSheetId="4">#REF!</definedName>
    <definedName name="ML_1s8h4m1q" xml:space="preserve">               [20]Supercritcal!$C$3:$L$22</definedName>
    <definedName name="ML_1s8s8t2q" localSheetId="4">#REF!</definedName>
    <definedName name="ML_1s8s8t2q">[87]SBILife!$A$60:$I$72</definedName>
    <definedName name="ML_1w3b8a2q" localSheetId="4">#REF!</definedName>
    <definedName name="ML_1w3b8a2q" xml:space="preserve">    [20]Sales_table!$B$3:$D$158</definedName>
    <definedName name="ML_2e3e5y4h" localSheetId="4">#REF!</definedName>
    <definedName name="ML_2e3e5y4h" xml:space="preserve">                        [20]Data!#REF!</definedName>
    <definedName name="ML_2e9r8d2g" localSheetId="4">#REF!</definedName>
    <definedName name="ML_2e9r8d2g" xml:space="preserve">                [20]Data!#REF!</definedName>
    <definedName name="ML_2j1p7k4i" localSheetId="4">#REF!</definedName>
    <definedName name="ML_2j1p7k4i">'[21]Orders booked by BHEL'!#REF!</definedName>
    <definedName name="ML_2j2x3j1a" localSheetId="4">#REF!</definedName>
    <definedName name="ML_2j2x3j1a">'[87]HDFC Std Life'!$A$2:$K$51</definedName>
    <definedName name="ML_2k5r9m3a" localSheetId="4">#REF!</definedName>
    <definedName name="ML_2k5r9m3a">'[87]Master Sheet '!$A$186:$E$193</definedName>
    <definedName name="ML_2u5y2m5a" localSheetId="4">#REF!</definedName>
    <definedName name="ML_2u5y2m5a">'[87]Master Sheet '!$A$207:$E$213</definedName>
    <definedName name="ML_2u9x3u5a" localSheetId="4">#REF!</definedName>
    <definedName name="ML_2u9x3u5a">'[87]Birla Sun Life'!$A$73:$I$85</definedName>
    <definedName name="ML_2w9j9k7p" localSheetId="4">#REF!</definedName>
    <definedName name="ML_2w9j9k7p" xml:space="preserve">                                            [20]EE!$B$2:$E$46</definedName>
    <definedName name="ML_2x3a3p4q" localSheetId="4">#REF!</definedName>
    <definedName name="ML_2x3a3p4q" xml:space="preserve">                     '[20]Orders-Power'!$E$5:$H$24</definedName>
    <definedName name="ML_3b5m6a3d" localSheetId="4">#REF!</definedName>
    <definedName name="ML_3b5m6a3d">'[21]Orders booked by BHEL'!#REF!</definedName>
    <definedName name="ML_3c7g1a7g">#REF!</definedName>
    <definedName name="ML_3d6t7l7p" localSheetId="4">#REF!</definedName>
    <definedName name="ML_3d6t7l7p">'[87]Bajaj Allianz'!$A$3:$K$50</definedName>
    <definedName name="ML_3f1p5h6a" localSheetId="4">#REF!</definedName>
    <definedName name="ML_3f1p5h6a" xml:space="preserve">                                            [20]Presentation!$B$81:$AB$116</definedName>
    <definedName name="ML_3h2i5x1t" localSheetId="4">#REF!</definedName>
    <definedName name="ML_3h2i5x1t">'[21]Orders booked by BHEL'!#REF!</definedName>
    <definedName name="ML_3k5z1m3p" localSheetId="4">#REF!</definedName>
    <definedName name="ML_3k5z1m3p">'[87]Max New York Life'!$A$2:$K$50</definedName>
    <definedName name="ML_3k7s8o9p" localSheetId="4">#REF!</definedName>
    <definedName name="ML_3k7s8o9p">'[87]Birla Sun Life'!$A$2:$K$50</definedName>
    <definedName name="ML_3k8z1t3p" localSheetId="4">#REF!</definedName>
    <definedName name="ML_3k8z1t3p">[88]ratios!$A$1:$M$24</definedName>
    <definedName name="ML_3m3w7q8i" localSheetId="4">#REF!</definedName>
    <definedName name="ML_3m3w7q8i" xml:space="preserve">                                            [20]Presentation!$B$119:$AB$176</definedName>
    <definedName name="ML_3m4v7w2c" localSheetId="4">#REF!</definedName>
    <definedName name="ML_3m4v7w2c">'[21]Orders booked by BHEL'!#REF!</definedName>
    <definedName name="ML_3m6s5i7y" localSheetId="4">#REF!</definedName>
    <definedName name="ML_3m6s5i7y" xml:space="preserve">                                            '[20]RR(P)'!$B$3:$G$47</definedName>
    <definedName name="ML_3m9x5w6k" localSheetId="4">#REF!</definedName>
    <definedName name="ML_3m9x5w6k" xml:space="preserve"> '[20]Orders-Power'!$E$6:$H$24</definedName>
    <definedName name="ML_3n1u5n4d" localSheetId="4">#REF!</definedName>
    <definedName name="ML_3n1u5n4d" xml:space="preserve">       [20]Supercritcal!$C$3:$L$22</definedName>
    <definedName name="ML_3p8i3d8i" localSheetId="4">#REF!</definedName>
    <definedName name="ML_3p8i3d8i" xml:space="preserve">                                            [20]Presentation!$B$41:$AB$78</definedName>
    <definedName name="ML_3p9t2p6x" localSheetId="4">#REF!</definedName>
    <definedName name="ML_3p9t2p6x" xml:space="preserve">                                         '[20]Orders-Power'!$E$31:$H$45</definedName>
    <definedName name="ML_3v2f5p6c" localSheetId="4">#REF!</definedName>
    <definedName name="ML_3v2f5p6c" xml:space="preserve">    [20]Sales_table!$B$3:$D$158</definedName>
    <definedName name="ML_3v5f8m9a" localSheetId="4">#REF!</definedName>
    <definedName name="ML_3v5f8m9a" xml:space="preserve">                                [20]Segment!$B$112:$Z$126</definedName>
    <definedName name="ML_4b5r5k9y" localSheetId="4">#REF!</definedName>
    <definedName name="ML_4b5r5k9y">'[21]Orders booked by BHEL'!#REF!</definedName>
    <definedName name="ML_4d6v5l7l" localSheetId="4">#REF!</definedName>
    <definedName name="ML_4d6v5l7l">'[87]Master Sheet '!$A$1:$K$9</definedName>
    <definedName name="ML_4j3z1k1l" localSheetId="4">#REF!</definedName>
    <definedName name="ML_4j3z1k1l">'[87]Bajaj Allianz'!$A$70:$I$81</definedName>
    <definedName name="ML_4j5s8m1l" localSheetId="4">#REF!</definedName>
    <definedName name="ML_4j5s8m1l">[87]SBILife!$A$2:$K$51</definedName>
    <definedName name="ML_4p2w4u2m" localSheetId="4">#REF!</definedName>
    <definedName name="ML_4p2w4u2m" xml:space="preserve">             [20]Supercritcal!$C$3:$L$22</definedName>
    <definedName name="ML_4s8w4t6l" localSheetId="4">#REF!</definedName>
    <definedName name="ML_4s8w4t6l">'[87]ICICI Pru'!$A$2:$K$50</definedName>
    <definedName name="ML_4t8p4p6p" localSheetId="4">#REF!</definedName>
    <definedName name="ML_4t8p4p6p" xml:space="preserve">    [20]XII_Plan_Mkt_shr!$B$25:$D$35</definedName>
    <definedName name="ML_4u3z1k5l" localSheetId="4">#REF!</definedName>
    <definedName name="ML_4u3z1k5l">'[87]Master Sheet '!$B$216:$E$224</definedName>
    <definedName name="ML_4v8u8r5j" localSheetId="4">#REF!</definedName>
    <definedName name="ML_4v8u8r5j" xml:space="preserve">                                            [20]Presentation!$B$119:$AB$176</definedName>
    <definedName name="ML_5c5p9m3y" localSheetId="4">#REF!</definedName>
    <definedName name="ML_5c5p9m3y" xml:space="preserve">                                            [20]Presentation!$B$81:$AB$116</definedName>
    <definedName name="ML_5c7u4e7q" localSheetId="4">#REF!</definedName>
    <definedName name="ML_5c7u4e7q" xml:space="preserve">                                            [20]Presentation!$B$41:$AB$78</definedName>
    <definedName name="ML_5d2g9a3r" localSheetId="4">#REF!</definedName>
    <definedName name="ML_5d2g9a3r" xml:space="preserve">                        '[21]Orders booked by BHEL'!#REF!</definedName>
    <definedName name="ML_5d2m8r7b" localSheetId="4">#REF!</definedName>
    <definedName name="ML_5d2m8r7b" xml:space="preserve">                                        '[21]Orders booked by BHEL'!#REF!</definedName>
    <definedName name="ML_5e8e2p3u" localSheetId="4">#REF!</definedName>
    <definedName name="ML_5e8e2p3u" xml:space="preserve">                                            '[20]RR(P)'!$B$3:$G$47</definedName>
    <definedName name="ML_5g2r2e1e" localSheetId="4">#REF!</definedName>
    <definedName name="ML_5g2r2e1e" xml:space="preserve">                                            '[20]RR(P)'!$B$3:$G$47</definedName>
    <definedName name="ML_5g3s7e7d" localSheetId="4">#REF!</definedName>
    <definedName name="ML_5g3s7e7d" xml:space="preserve">                                            [20]Presentation!$B$119:$AB$176</definedName>
    <definedName name="ML_5i2f2p6v" localSheetId="4">#REF!</definedName>
    <definedName name="ML_5i2f2p6v" xml:space="preserve">    [20]Market!$A$40:$D$48</definedName>
    <definedName name="ML_5i6j9s1i" localSheetId="4">#REF!</definedName>
    <definedName name="ML_5i6j9s1i" xml:space="preserve">                                    [20]Market!$A$388:$F$393</definedName>
    <definedName name="ML_5j3x3k1m">#REF!</definedName>
    <definedName name="ML_5m6t3g8g" localSheetId="4">#REF!</definedName>
    <definedName name="ML_5m6t3g8g">[20]Data!#REF!</definedName>
    <definedName name="ML_5m9p7h9v" localSheetId="4">#REF!</definedName>
    <definedName name="ML_5m9p7h9v" xml:space="preserve">                                [20]Segment!$B$43:$Z$58</definedName>
    <definedName name="ML_5n4m8w6y" localSheetId="4">#REF!</definedName>
    <definedName name="ML_5n4m8w6y" xml:space="preserve">                                           '[20]Orders-Power'!$E$31:$H$45</definedName>
    <definedName name="ML_5s4y2z6m" localSheetId="4">#REF!</definedName>
    <definedName name="ML_5s4y2z6m">[89]MODEL!#REF!</definedName>
    <definedName name="ML_6c3t1j1r" localSheetId="4">#REF!</definedName>
    <definedName name="ML_6c3t1j1r" xml:space="preserve">                                            [20]Presentation!$B$119:$AB$176</definedName>
    <definedName name="ML_6d5x3m7z" localSheetId="4">#REF!</definedName>
    <definedName name="ML_6d5x3m7z">'[87]ICICI Pru'!$A$123:$I$135</definedName>
    <definedName name="ML_6g4w3f1h" localSheetId="4">#REF!</definedName>
    <definedName name="ML_6g4w3f1h" xml:space="preserve">                                            [20]Presentation!$B$81:$AB$116</definedName>
    <definedName name="ML_6j6x3l1z" localSheetId="4">#REF!</definedName>
    <definedName name="ML_6j6x3l1z">'[87]Max New York Life'!$A$87:$I$99</definedName>
    <definedName name="ML_6j9s8u1z" localSheetId="4">#REF!</definedName>
    <definedName name="ML_6j9s8u1z">'[87]Master Sheet '!$A$186:$E$194</definedName>
    <definedName name="ML_6u1b6h4m" localSheetId="4">#REF!</definedName>
    <definedName name="ML_6u1b6h4m">'[21]Orders booked by BHEL'!#REF!</definedName>
    <definedName name="ML_6w3g7s4d" localSheetId="4">#REF!</definedName>
    <definedName name="ML_6w3g7s4d" xml:space="preserve">                        [20]Data!#REF!</definedName>
    <definedName name="ML_7f2i4s2k" localSheetId="4">#REF!</definedName>
    <definedName name="ML_7f2i4s2k" xml:space="preserve">         [20]Supercritcal!$C$3:$L$22</definedName>
    <definedName name="ML_7f7i1x3q" localSheetId="4">#REF!</definedName>
    <definedName name="ML_7f7i1x3q" xml:space="preserve">                        [20]Data!#REF!</definedName>
    <definedName name="ML_7g5e5e2b" localSheetId="4">#REF!</definedName>
    <definedName name="ML_7g5e5e2b">'[33]Retail Breakdown'!#REF!</definedName>
    <definedName name="ML_7k1s8i9i">#REF!</definedName>
    <definedName name="ML_7k5m8k7j" localSheetId="4">#REF!</definedName>
    <definedName name="ML_7k5m8k7j" xml:space="preserve">                   '[20]Orders-Power'!$E$32:$H$45</definedName>
    <definedName name="ML_7m3b4p7p" localSheetId="4">#REF!</definedName>
    <definedName name="ML_7m3b4p7p">'[21]Orders booked by BHEL'!#REF!</definedName>
    <definedName name="ML_7r2b3e9e" localSheetId="4">#REF!</definedName>
    <definedName name="ML_7r2b3e9e" xml:space="preserve">                       '[20]Orders-Power'!$E$32:$H$45</definedName>
    <definedName name="ML_7s5y8e6g" localSheetId="4">#REF!</definedName>
    <definedName name="ML_7s5y8e6g" xml:space="preserve">                        [20]Capacity!$V$15:$V$20</definedName>
    <definedName name="ML_7u3v8j6j" localSheetId="4">#REF!</definedName>
    <definedName name="ML_7u3v8j6j" xml:space="preserve">                        [20]Data!#REF!</definedName>
    <definedName name="ML_7v3i8v4p" localSheetId="4">#REF!</definedName>
    <definedName name="ML_7v3i8v4p" xml:space="preserve">                        [20]Tables!$B$90:$G$99</definedName>
    <definedName name="ML_7x5w2m4p" localSheetId="4">#REF!</definedName>
    <definedName name="ML_7x5w2m4p" xml:space="preserve">                                [20]Data!#REF!</definedName>
    <definedName name="ML_7x7x2h7g" localSheetId="4">#REF!</definedName>
    <definedName name="ML_7x7x2h7g" xml:space="preserve">                                [20]XII_Plan_Mkt_shr!$B$25:$D$36</definedName>
    <definedName name="ML_7y8m7g1i" localSheetId="4">#REF!</definedName>
    <definedName name="ML_7y8m7g1i" xml:space="preserve">                                [20]Capacity!$A$4:$R$13</definedName>
    <definedName name="ML_8f1p1p5x" localSheetId="4">#REF!</definedName>
    <definedName name="ML_8f1p1p5x" xml:space="preserve">                [20]Data!#REF!</definedName>
    <definedName name="ML_8h3m3i1m" localSheetId="4">#REF!</definedName>
    <definedName name="ML_8h3m3i1m">'[21]Orders booked by BHEL'!#REF!</definedName>
    <definedName name="ML_8h5e9i3c">#REF!</definedName>
    <definedName name="ML_8j1x3i8j" localSheetId="4">#REF!</definedName>
    <definedName name="ML_8j1x3i8j">'[87]Master Sheet '!$A$207:$H$215</definedName>
    <definedName name="ML_8m3v6i5a" localSheetId="4">#REF!</definedName>
    <definedName name="ML_8m3v6i5a" xml:space="preserve">                                    [20]Tables!$A$3:$C$9</definedName>
    <definedName name="ML_8p5s1k4g" localSheetId="4">#REF!</definedName>
    <definedName name="ML_8p5s1k4g">'[21]Orders booked by BHEL'!#REF!</definedName>
    <definedName name="ML_8p7h1p5r" localSheetId="4">#REF!</definedName>
    <definedName name="ML_8p7h1p5r" xml:space="preserve">           [20]Supercritcal!$C$3:$L$22</definedName>
    <definedName name="ML_8p7y3h6x" localSheetId="4">#REF!</definedName>
    <definedName name="ML_8p7y3h6x" xml:space="preserve">                                            [20]Presentation!$B$119:$AB$176</definedName>
    <definedName name="ML_8q3m6b2x" localSheetId="4">#REF!</definedName>
    <definedName name="ML_8q3m6b2x" xml:space="preserve">                                 [20]Supercritcal!$C$23:$L$49</definedName>
    <definedName name="ML_8s3q3c1i" localSheetId="4">#REF!</definedName>
    <definedName name="ML_8s3q3c1i">'[21]Orders booked by BHEL'!#REF!</definedName>
    <definedName name="ML_8s9d7q9u" localSheetId="4">#REF!</definedName>
    <definedName name="ML_8s9d7q9u" xml:space="preserve">   '[20]Orders-Power'!$E$5:$H$24</definedName>
    <definedName name="ML_8u6k2q2a" localSheetId="4">#REF!</definedName>
    <definedName name="ML_8u6k2q2a">'[21]Orders booked by BHEL'!#REF!</definedName>
    <definedName name="ML_9a9e2p2p" localSheetId="4">#REF!</definedName>
    <definedName name="ML_9a9e2p2p" xml:space="preserve">                                            [20]Presentation!$B$119:$AB$176</definedName>
    <definedName name="ML_9b6m8m8u" localSheetId="4">#REF!</definedName>
    <definedName name="ML_9b6m8m8u" xml:space="preserve">                        [20]Data!#REF!</definedName>
    <definedName name="ML_9g3r6t7h" localSheetId="4">#REF!</definedName>
    <definedName name="ML_9g3r6t7h">'[21]Orders booked by BHEL'!#REF!</definedName>
    <definedName name="ML_9j4a9m4x" localSheetId="4">#REF!</definedName>
    <definedName name="ML_9j4a9m4x" xml:space="preserve">     [20]Supercritcal!$C$3:$L$22</definedName>
    <definedName name="ML_9j4m7g8t" localSheetId="4">#REF!</definedName>
    <definedName name="ML_9j4m7g8t" xml:space="preserve">                        [20]Data!#REF!</definedName>
    <definedName name="ML_9m3u1c7f" localSheetId="4">#REF!</definedName>
    <definedName name="ML_9m3u1c7f" xml:space="preserve">                                    [20]Bidding!$A$31:$F$37</definedName>
    <definedName name="ML_9m9k7r2e" localSheetId="4">#REF!</definedName>
    <definedName name="ML_9m9k7r2e" xml:space="preserve">                             '[20]Orders-Power'!$E$32:$H$45</definedName>
    <definedName name="ML_9r4c5c3i" localSheetId="4">#REF!</definedName>
    <definedName name="ML_9r4c5c3i" xml:space="preserve">                                            [20]Presentation!$B$119:$AB$176</definedName>
    <definedName name="ML_9u7u6o5w" localSheetId="4">#REF!</definedName>
    <definedName name="ML_9u7u6o5w">'[87]Bajaj Allianz'!$A$70:$I$82</definedName>
    <definedName name="ML_9v2b4t9q" localSheetId="4">#REF!</definedName>
    <definedName name="ML_9v2b4t9q" xml:space="preserve">                                            [20]Presentation!$B$119:$AB$176</definedName>
    <definedName name="ML_Table_1">#REF!</definedName>
    <definedName name="ML_Table_10" localSheetId="4">#REF!</definedName>
    <definedName name="ML_Table_10">'[33]Retail Breakdown'!#REF!</definedName>
    <definedName name="ML_Table_11" localSheetId="4">#REF!</definedName>
    <definedName name="ML_Table_11">'[33]Retail Breakdown'!#REF!</definedName>
    <definedName name="ML_Table_9" localSheetId="4">#REF!</definedName>
    <definedName name="ML_Table_9">'[33]Retail Breakdown'!#REF!</definedName>
    <definedName name="mm" localSheetId="9" hidden="1">{#N/A,#N/A,FALSE,"Status of Projects";#N/A,#N/A,FALSE,"CEA-TEC";#N/A,#N/A,FALSE,"U-Constr.";#N/A,#N/A,FALSE,"summary";#N/A,#N/A,FALSE,"PPP-3 yrs"}</definedName>
    <definedName name="mm" localSheetId="10" hidden="1">{#N/A,#N/A,FALSE,"Status of Projects";#N/A,#N/A,FALSE,"CEA-TEC";#N/A,#N/A,FALSE,"U-Constr.";#N/A,#N/A,FALSE,"summary";#N/A,#N/A,FALSE,"PPP-3 yrs"}</definedName>
    <definedName name="mm" localSheetId="4" hidden="1">{#N/A,#N/A,FALSE,"Status of Projects";#N/A,#N/A,FALSE,"CEA-TEC";#N/A,#N/A,FALSE,"U-Constr.";#N/A,#N/A,FALSE,"summary";#N/A,#N/A,FALSE,"PPP-3 yrs"}</definedName>
    <definedName name="mm" hidden="1">{#N/A,#N/A,FALSE,"Status of Projects";#N/A,#N/A,FALSE,"CEA-TEC";#N/A,#N/A,FALSE,"U-Constr.";#N/A,#N/A,FALSE,"summary";#N/A,#N/A,FALSE,"PPP-3 yrs"}</definedName>
    <definedName name="MMAIN" localSheetId="9">#REF!</definedName>
    <definedName name="MMAIN" localSheetId="10">[1]bajaj_copeland!$D$508</definedName>
    <definedName name="MMAIN">#REF!</definedName>
    <definedName name="MMARGIN" localSheetId="9">#REF!</definedName>
    <definedName name="MMARGIN" localSheetId="10">[1]bajaj_copeland!$Z$508:$AD$508</definedName>
    <definedName name="MMARGIN">#REF!</definedName>
    <definedName name="mmi" localSheetId="4">#REF!</definedName>
    <definedName name="mmi">[29]UploaderV4!$F$103:$AE$103</definedName>
    <definedName name="mmnote">#REF!</definedName>
    <definedName name="MMRA_Copy" localSheetId="9">#REF!</definedName>
    <definedName name="MMRA_Copy">#REF!</definedName>
    <definedName name="MMRA_Copy_Sum">#REF!</definedName>
    <definedName name="MMRA_Copy1">#REF!</definedName>
    <definedName name="MMRA_Copy1_Sum">#REF!</definedName>
    <definedName name="MMRA_Orig">#REF!</definedName>
    <definedName name="MMRA_Orig_Sum">#REF!</definedName>
    <definedName name="MMRA_Orig1">#REF!</definedName>
    <definedName name="MMRA_Orig1_Sum">#REF!</definedName>
    <definedName name="mn">1000000</definedName>
    <definedName name="mna" localSheetId="4">#REF!</definedName>
    <definedName name="mna">[29]UploaderV4!$F$205:$AE$205</definedName>
    <definedName name="mnbg" localSheetId="9" hidden="1">{#N/A,#N/A,FALSE,"Status of Projects";#N/A,#N/A,FALSE,"CEA-TEC";#N/A,#N/A,FALSE,"U-Constr.";#N/A,#N/A,FALSE,"summary";#N/A,#N/A,FALSE,"PPP-3 yrs"}</definedName>
    <definedName name="mnbg" localSheetId="10" hidden="1">{#N/A,#N/A,FALSE,"Status of Projects";#N/A,#N/A,FALSE,"CEA-TEC";#N/A,#N/A,FALSE,"U-Constr.";#N/A,#N/A,FALSE,"summary";#N/A,#N/A,FALSE,"PPP-3 yrs"}</definedName>
    <definedName name="mnbg" localSheetId="4" hidden="1">{#N/A,#N/A,FALSE,"Status of Projects";#N/A,#N/A,FALSE,"CEA-TEC";#N/A,#N/A,FALSE,"U-Constr.";#N/A,#N/A,FALSE,"summary";#N/A,#N/A,FALSE,"PPP-3 yrs"}</definedName>
    <definedName name="mnbg" hidden="1">{#N/A,#N/A,FALSE,"Status of Projects";#N/A,#N/A,FALSE,"CEA-TEC";#N/A,#N/A,FALSE,"U-Constr.";#N/A,#N/A,FALSE,"summary";#N/A,#N/A,FALSE,"PPP-3 yrs"}</definedName>
    <definedName name="MNETPPE" localSheetId="9">#REF!</definedName>
    <definedName name="MNETPPE" localSheetId="10">[1]bajaj_copeland!$Z$509:$AD$509</definedName>
    <definedName name="MNETPPE">#REF!</definedName>
    <definedName name="MNOPLAT" localSheetId="9">#REF!</definedName>
    <definedName name="MNOPLAT" localSheetId="10">[1]bajaj_copeland!$Z$529:$AD$529</definedName>
    <definedName name="MNOPLAT">#REF!</definedName>
    <definedName name="Model_Name">#REF!</definedName>
    <definedName name="model_status" localSheetId="9">#REF!</definedName>
    <definedName name="model_status">#REF!</definedName>
    <definedName name="ModeName">#REF!</definedName>
    <definedName name="modernwgt">#REF!</definedName>
    <definedName name="Modified" localSheetId="4" hidden="1">{"'PS-SOTM'!$A$1","'PS-SOTM'!$A$2:$M$30","'PS-SOTM'!$A$31:$A$38"}</definedName>
    <definedName name="Modified" hidden="1">{"'PS-SOTM'!$A$1","'PS-SOTM'!$A$2:$M$30","'PS-SOTM'!$A$31:$A$38"}</definedName>
    <definedName name="MOGOTO" localSheetId="10">[1]bajaj_copeland!$F$579</definedName>
    <definedName name="MOGOTO">#REF!</definedName>
    <definedName name="MONTH" localSheetId="10">[1]bajaj_copeland!$I$442</definedName>
    <definedName name="MONTH">#REF!</definedName>
    <definedName name="monthly" localSheetId="4" hidden="1">{#N/A,#N/A,FALSE,"Status of Projects";#N/A,#N/A,FALSE,"CEA-TEC";#N/A,#N/A,FALSE,"U-Constr.";#N/A,#N/A,FALSE,"summary";#N/A,#N/A,FALSE,"PPP-3 yrs"}</definedName>
    <definedName name="monthly" hidden="1">{#N/A,#N/A,FALSE,"Status of Projects";#N/A,#N/A,FALSE,"CEA-TEC";#N/A,#N/A,FALSE,"U-Constr.";#N/A,#N/A,FALSE,"summary";#N/A,#N/A,FALSE,"PPP-3 yrs"}</definedName>
    <definedName name="Months">#REF!</definedName>
    <definedName name="MOTHER" localSheetId="10">[1]bajaj_copeland!$Z$511:$AD$511</definedName>
    <definedName name="MOTHER">#REF!</definedName>
    <definedName name="motherincome" localSheetId="4">#REF!</definedName>
    <definedName name="motherincome">[29]UploaderV4!$F$97:$AE$97</definedName>
    <definedName name="MoveTo">#REF!</definedName>
    <definedName name="mpahsis" localSheetId="4">#REF!</definedName>
    <definedName name="mpahsis">'[27]P&amp;L(F)'!$H$150:$K$150</definedName>
    <definedName name="mpat" localSheetId="4">#REF!</definedName>
    <definedName name="mpat">[29]UploaderV4!$F$101:$AE$101</definedName>
    <definedName name="mpbt" localSheetId="4">#REF!</definedName>
    <definedName name="mpbt">[29]UploaderV4!$F$98:$AE$98</definedName>
    <definedName name="mperbondint" localSheetId="4">#REF!</definedName>
    <definedName name="mperbondint">[29]UploaderV4!$F$86:$AE$86</definedName>
    <definedName name="mphasis" localSheetId="4">#REF!</definedName>
    <definedName name="mphasis">'[27]P&amp;L(F)'!#REF!</definedName>
    <definedName name="mphasisbfl" localSheetId="4">#REF!</definedName>
    <definedName name="mphasisbfl">'[27]P&amp;L(F)'!#REF!</definedName>
    <definedName name="mprefdiv" localSheetId="4">#REF!</definedName>
    <definedName name="mprefdiv">[29]UploaderV4!$F$104:$AE$104</definedName>
    <definedName name="MPREROIC" localSheetId="10">[1]bajaj_copeland!$Z$513:$AD$513</definedName>
    <definedName name="MPREROIC">#REF!</definedName>
    <definedName name="MPRINT" localSheetId="10">[1]bajaj_copeland!$F$591</definedName>
    <definedName name="MPRINT">#REF!</definedName>
    <definedName name="MRC">#REF!</definedName>
    <definedName name="mrev" localSheetId="4">#REF!</definedName>
    <definedName name="mrev">[29]UploaderV4!$F$91:$AE$91</definedName>
    <definedName name="MrgnTax" localSheetId="10">[36]Profile!#REF!</definedName>
    <definedName name="MrgnTax">#REF!</definedName>
    <definedName name="MROIC" localSheetId="10">[1]bajaj_copeland!$Z$515:$AD$515</definedName>
    <definedName name="MROIC">#REF!</definedName>
    <definedName name="MROICYEARS" localSheetId="10">[1]bajaj_copeland!$Z$503:$AD$503</definedName>
    <definedName name="MROICYEARS">#REF!</definedName>
    <definedName name="MRTREE" localSheetId="10">[1]bajaj_copeland!$F$583</definedName>
    <definedName name="MRTREE">#REF!</definedName>
    <definedName name="MS" localSheetId="10">[1]bajaj_copeland!$A$497</definedName>
    <definedName name="MS">#REF!</definedName>
    <definedName name="MSG_A" localSheetId="10">[1]bajaj_copeland!$Z$506:$AD$506</definedName>
    <definedName name="MSG_A">#REF!</definedName>
    <definedName name="mtax" localSheetId="4">#REF!</definedName>
    <definedName name="mtax">[29]UploaderV4!$F$99:$AE$99</definedName>
    <definedName name="mtaxrate" localSheetId="4">#REF!</definedName>
    <definedName name="mtaxrate">[29]UploaderV4!$F$100:$AE$100</definedName>
    <definedName name="MTREE_INVEST" localSheetId="10">[1]bajaj_copeland!$F$587</definedName>
    <definedName name="MTREE_INVEST">#REF!</definedName>
    <definedName name="MTURNOVER" localSheetId="10">[1]bajaj_copeland!$Z$512:$AD$512</definedName>
    <definedName name="MTURNOVER">#REF!</definedName>
    <definedName name="Multiplier">#REF!</definedName>
    <definedName name="Mutual_Fund_units">#REF!</definedName>
    <definedName name="MVALUE" localSheetId="10">[1]bajaj_copeland!$F$538</definedName>
    <definedName name="MVALUE">#REF!</definedName>
    <definedName name="MWACC" localSheetId="10">[1]bajaj_copeland!$F$530</definedName>
    <definedName name="MWACC">#REF!</definedName>
    <definedName name="MWINDOW" localSheetId="10">[1]bajaj_copeland!$F$542</definedName>
    <definedName name="MWINDOW">#REF!</definedName>
    <definedName name="MWORKING" localSheetId="10">[1]bajaj_copeland!$Z$510:$AD$510</definedName>
    <definedName name="MWORKING">#REF!</definedName>
    <definedName name="myPASSWORD" localSheetId="4">#REF!</definedName>
    <definedName name="myPASSWORD">'[17]#REF'!#REF!</definedName>
    <definedName name="n" localSheetId="4" hidden="1">{#N/A,#N/A,FALSE,"Status of Projects";#N/A,#N/A,FALSE,"CEA-TEC";#N/A,#N/A,FALSE,"U-Constr.";#N/A,#N/A,FALSE,"summary";#N/A,#N/A,FALSE,"PPP-3 yrs"}</definedName>
    <definedName name="n">#REF!</definedName>
    <definedName name="N_A">#REF!</definedName>
    <definedName name="name">#REF!</definedName>
    <definedName name="nas">#REF!</definedName>
    <definedName name="NAV">#REF!</definedName>
    <definedName name="nbd">#REF!</definedName>
    <definedName name="nbn">#REF!</definedName>
    <definedName name="ND_EQ">#REF!</definedName>
    <definedName name="net" localSheetId="4">#REF!</definedName>
    <definedName name="net">'[37]Input_FS(Q)'!#REF!</definedName>
    <definedName name="Net_Acquisitions_Disposals">#REF!</definedName>
    <definedName name="Net_Adj_capitalized_expenses">#REF!</definedName>
    <definedName name="Net_adj_for_capitalized_expenses">#REF!</definedName>
    <definedName name="Net_Assets">#REF!</definedName>
    <definedName name="net_assets_on_lease">#REF!</definedName>
    <definedName name="Net_block_total">#REF!</definedName>
    <definedName name="NET_CAPEX">#REF!</definedName>
    <definedName name="Net_Capital_Employed">#REF!</definedName>
    <definedName name="net_cash">#REF!</definedName>
    <definedName name="NET_CASH_ACC">#REF!</definedName>
    <definedName name="Net_cash_per_shr">#REF!</definedName>
    <definedName name="net_chg_in_cash">#REF!</definedName>
    <definedName name="Net_chg_in_cash6">#REF!</definedName>
    <definedName name="Net_current_assets">#REF!</definedName>
    <definedName name="net_current_assets_A">#REF!</definedName>
    <definedName name="NET_DEBT">#REF!</definedName>
    <definedName name="net_debt_cash" localSheetId="10">[28]Template!$D$157:$T$157</definedName>
    <definedName name="net_debt_cash">#REF!</definedName>
    <definedName name="Net_debt_cash6">#REF!</definedName>
    <definedName name="Net_DPS">#REF!</definedName>
    <definedName name="Net_Exceptionals">#REF!</definedName>
    <definedName name="net_fixed_assets" localSheetId="10">[28]Template!$D$194:$T$194</definedName>
    <definedName name="net_fixed_assets">#REF!</definedName>
    <definedName name="net_fixed_assets_A">#REF!</definedName>
    <definedName name="net_fixed_assets_avg" localSheetId="10">[28]Template!$D$248:$T$248</definedName>
    <definedName name="net_fixed_assets_avg">#REF!</definedName>
    <definedName name="Net_fixed_assets_avg6">#REF!</definedName>
    <definedName name="Net_Income">#REF!</definedName>
    <definedName name="Net_income_adj_cap_expenses">#REF!</definedName>
    <definedName name="Net_income_fore">#REF!</definedName>
    <definedName name="Net_income_growth">#REF!</definedName>
    <definedName name="Net_income_growth_avg">#REF!</definedName>
    <definedName name="net_income_qtr">#REF!</definedName>
    <definedName name="Net_Income_total">#REF!</definedName>
    <definedName name="NET_INT">#REF!</definedName>
    <definedName name="net_int_A">#REF!</definedName>
    <definedName name="Net_Interest">#REF!</definedName>
    <definedName name="Net_interest_income">#REF!</definedName>
    <definedName name="net_interest_income_Q">#REF!</definedName>
    <definedName name="Net_Interest_saved_on_account_of_Dilution">#REF!</definedName>
    <definedName name="net_loans">#REF!</definedName>
    <definedName name="net_loans_avg">#REF!</definedName>
    <definedName name="net_loans_break_up">#REF!</definedName>
    <definedName name="Net_margin">#REF!</definedName>
    <definedName name="Net_margin_fore">#REF!</definedName>
    <definedName name="net_non_recurring_items">#REF!</definedName>
    <definedName name="Net_NPA_Rs_bn">#REF!</definedName>
    <definedName name="Net_NPAs">#REF!</definedName>
    <definedName name="Net_NPAs_Q">#REF!</definedName>
    <definedName name="net_npl">#REF!</definedName>
    <definedName name="net_npls_Q">#REF!</definedName>
    <definedName name="Net_PPE">#REF!</definedName>
    <definedName name="Net_PPE_DCF">#REF!</definedName>
    <definedName name="Net_PPE_growth_fore">#REF!</definedName>
    <definedName name="net_profit" localSheetId="10">[28]Template!$D$64:$T$64</definedName>
    <definedName name="net_profit">#REF!</definedName>
    <definedName name="net_profit_A">#REF!</definedName>
    <definedName name="net_profit_for_bs">#REF!</definedName>
    <definedName name="net_profit_growth" localSheetId="4">#REF!</definedName>
    <definedName name="net_profit_growth">'[47]RMF Annual'!$E$149:$U$149</definedName>
    <definedName name="net_profit_margin" localSheetId="4">#REF!</definedName>
    <definedName name="net_profit_margin">'[47]RMF Annual'!$E$154:$U$154</definedName>
    <definedName name="net_profit_on_exchange_transactions">#REF!</definedName>
    <definedName name="net_profit_qtr">#REF!</definedName>
    <definedName name="Net_property_under_capital_leases">#REF!</definedName>
    <definedName name="net_revenue">#REF!</definedName>
    <definedName name="net_sales" localSheetId="10">[28]Template!$D$45:$T$45</definedName>
    <definedName name="net_sales">#REF!</definedName>
    <definedName name="net_sales_A">#REF!</definedName>
    <definedName name="Net_sales_DCF">#REF!</definedName>
    <definedName name="Net_sales_fore">#REF!</definedName>
    <definedName name="net_sales_growth">#REF!</definedName>
    <definedName name="Net_sales_growth_fore">#REF!</definedName>
    <definedName name="net_sales_Q">#REF!</definedName>
    <definedName name="net_sales_qtr">#REF!</definedName>
    <definedName name="NET_TANG_ASSETS">#REF!</definedName>
    <definedName name="net_tang_bv_shr">#REF!</definedName>
    <definedName name="Net_Tax_Benefit_of_Non_Op_Charges_Gains">#REF!</definedName>
    <definedName name="Net_Unrealized_Gains_Losses">#REF!</definedName>
    <definedName name="Net_working_capital">#REF!</definedName>
    <definedName name="Net_Working_Capital_Core">#REF!</definedName>
    <definedName name="Net_working_capital_DCF">#REF!</definedName>
    <definedName name="Net_Working_Capital_Inflation">#REF!</definedName>
    <definedName name="Net_working_capital_turns">#REF!</definedName>
    <definedName name="Net_working_capital_turns_DCF">#REF!</definedName>
    <definedName name="Net_worth">#REF!</definedName>
    <definedName name="NetAssets">#REF!</definedName>
    <definedName name="netattrdebt" localSheetId="4">#REF!</definedName>
    <definedName name="netattrdebt">[29]UploaderV4!$F$292:$AE$292</definedName>
    <definedName name="NetCA">#REF!</definedName>
    <definedName name="NetCAChg" localSheetId="10" hidden="1">[51]Input!$K$101:$AA$101</definedName>
    <definedName name="NetCAChg" hidden="1">#REF!</definedName>
    <definedName name="NetCashflowBeforeFinancing">#REF!</definedName>
    <definedName name="NetCashflowFromFinancing">#REF!</definedName>
    <definedName name="NetCashflowFromInvestingActivities">#REF!</definedName>
    <definedName name="NetCashflowFromOperations">#REF!</definedName>
    <definedName name="NetCashflowFromReturnsOnInvestmentsAndServicingOfDebt">#REF!</definedName>
    <definedName name="NetCFDepJ1">#REF!</definedName>
    <definedName name="NetCFWODepGs">#REF!</definedName>
    <definedName name="NetCFWODepJ1">#REF!</definedName>
    <definedName name="NETCHGBORROW">#REF!</definedName>
    <definedName name="NETCHGCASH">#REF!</definedName>
    <definedName name="NetCurrentAssets">#REF!</definedName>
    <definedName name="NetDebt">#REF!</definedName>
    <definedName name="netdebt_equity">#REF!</definedName>
    <definedName name="NetDebtChg" localSheetId="10" hidden="1">[31]Formats!$K$107:$AA$107</definedName>
    <definedName name="NetDebtChg" hidden="1">#REF!</definedName>
    <definedName name="NetDebtPerShare" localSheetId="4">#REF!</definedName>
    <definedName name="NetDebtPerShare">[50]projections!#REF!</definedName>
    <definedName name="NetEq">#REF!</definedName>
    <definedName name="NetEqChg" localSheetId="10" hidden="1">[51]Input!$K$46:$AA$46</definedName>
    <definedName name="NetEqChg" hidden="1">#REF!</definedName>
    <definedName name="NetEstInt">#REF!</definedName>
    <definedName name="netfa_sales">#REF!</definedName>
    <definedName name="NetInterestCharge">#REF!</definedName>
    <definedName name="NetOpInc" localSheetId="10">[52]Validation!#REF!</definedName>
    <definedName name="NetOpInc">#REF!</definedName>
    <definedName name="NETPPE" localSheetId="10">[1]bajaj_copeland!$AV$570</definedName>
    <definedName name="NETPPE">#REF!</definedName>
    <definedName name="NetProfit">#REF!</definedName>
    <definedName name="NetProfitMargin">#REF!</definedName>
    <definedName name="NetRsrv">#REF!</definedName>
    <definedName name="NetSales">#REF!</definedName>
    <definedName name="NetWC_turns_fore">#REF!</definedName>
    <definedName name="networth">#REF!</definedName>
    <definedName name="Networth_avg">#REF!</definedName>
    <definedName name="New"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Ne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NEW_INVESTMENT" localSheetId="10">[1]bajaj_copeland!$W$332</definedName>
    <definedName name="NEW_INVESTMENT">#REF!</definedName>
    <definedName name="newbel" localSheetId="4">{"'Directory'!$A$72:$E$91"}</definedName>
    <definedName name="newbel">{"'Directory'!$A$72:$E$91"}</definedName>
    <definedName name="newbls" localSheetId="4">{"'Directory'!$A$72:$E$91"}</definedName>
    <definedName name="newbls">{"'Directory'!$A$72:$E$91"}</definedName>
    <definedName name="newcal_ni00">#REF!</definedName>
    <definedName name="newcal_ni01">#REF!</definedName>
    <definedName name="newcal_ni02">#REF!</definedName>
    <definedName name="newcal_ni03">#REF!</definedName>
    <definedName name="newcal_ni04">#REF!</definedName>
    <definedName name="newcal_ni96">#REF!</definedName>
    <definedName name="newcal_ni97">#REF!</definedName>
    <definedName name="newcal_ni98">#REF!</definedName>
    <definedName name="newcal_ni99">#REF!</definedName>
    <definedName name="newdata" localSheetId="10">'[90]final 061106'!$B$5:$L$90</definedName>
    <definedName name="newdata">#REF!</definedName>
    <definedName name="NEWSHRCAPITAL">#REF!</definedName>
    <definedName name="NEWSPAPERS">#REF!</definedName>
    <definedName name="newt" localSheetId="4">{"'Directory'!$A$72:$E$91"}</definedName>
    <definedName name="newt">{"'Directory'!$A$72:$E$91"}</definedName>
    <definedName name="newusw">#REF!</definedName>
    <definedName name="newwcom" localSheetId="4">{"'Directory'!$A$72:$E$91"}</definedName>
    <definedName name="newwcom">{"'Directory'!$A$72:$E$91"}</definedName>
    <definedName name="NFA">#REF!</definedName>
    <definedName name="NFAChg" localSheetId="10" hidden="1">[51]CapEx!$K$117:$AA$117</definedName>
    <definedName name="NFAChg" hidden="1">#REF!</definedName>
    <definedName name="NI">#REF!</definedName>
    <definedName name="niagawgt">#REF!</definedName>
    <definedName name="NIBCLs">#REF!</definedName>
    <definedName name="NIM_Q">#REF!</definedName>
    <definedName name="Nitin" localSheetId="10" hidden="1">'[91]Sheet3 (2)'!$A$60:$A$76</definedName>
    <definedName name="Nitin" hidden="1">#REF!</definedName>
    <definedName name="nitu"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m" localSheetId="4" hidden="1">{"'PS-SOTM'!$A$1","'PS-SOTM'!$A$2:$M$30","'PS-SOTM'!$A$31:$A$38"}</definedName>
    <definedName name="nm" hidden="1">{"'PS-SOTM'!$A$1","'PS-SOTM'!$A$2:$M$30","'PS-SOTM'!$A$31:$A$38"}</definedName>
    <definedName name="nn" localSheetId="9" hidden="1">{#N/A,#N/A,FALSE,"Status of Projects";#N/A,#N/A,FALSE,"CEA-TEC";#N/A,#N/A,FALSE,"U-Constr.";#N/A,#N/A,FALSE,"summary";#N/A,#N/A,FALSE,"PPP-3 yrs"}</definedName>
    <definedName name="nn" localSheetId="10" hidden="1">{#N/A,#N/A,FALSE,"Status of Projects";#N/A,#N/A,FALSE,"CEA-TEC";#N/A,#N/A,FALSE,"U-Constr.";#N/A,#N/A,FALSE,"summary";#N/A,#N/A,FALSE,"PPP-3 yrs"}</definedName>
    <definedName name="nn" localSheetId="4" hidden="1">{#N/A,#N/A,FALSE,"Status of Projects";#N/A,#N/A,FALSE,"CEA-TEC";#N/A,#N/A,FALSE,"U-Constr.";#N/A,#N/A,FALSE,"summary";#N/A,#N/A,FALSE,"PPP-3 yrs"}</definedName>
    <definedName name="nn" hidden="1">{#N/A,#N/A,FALSE,"Status of Projects";#N/A,#N/A,FALSE,"CEA-TEC";#N/A,#N/A,FALSE,"U-Constr.";#N/A,#N/A,FALSE,"summary";#N/A,#N/A,FALSE,"PPP-3 yrs"}</definedName>
    <definedName name="nnnnnnnnnn" localSheetId="9" hidden="1">{#N/A,#N/A,FALSE,"Status of Projects";#N/A,#N/A,FALSE,"CEA-TEC";#N/A,#N/A,FALSE,"U-Constr.";#N/A,#N/A,FALSE,"summary";#N/A,#N/A,FALSE,"PPP-3 yrs"}</definedName>
    <definedName name="nnnnnnnnnn" localSheetId="10" hidden="1">{#N/A,#N/A,FALSE,"Status of Projects";#N/A,#N/A,FALSE,"CEA-TEC";#N/A,#N/A,FALSE,"U-Constr.";#N/A,#N/A,FALSE,"summary";#N/A,#N/A,FALSE,"PPP-3 yrs"}</definedName>
    <definedName name="nnnnnnnnnn" localSheetId="4" hidden="1">{#N/A,#N/A,FALSE,"Status of Projects";#N/A,#N/A,FALSE,"CEA-TEC";#N/A,#N/A,FALSE,"U-Constr.";#N/A,#N/A,FALSE,"summary";#N/A,#N/A,FALSE,"PPP-3 yrs"}</definedName>
    <definedName name="nnnnnnnnnn" hidden="1">{#N/A,#N/A,FALSE,"Status of Projects";#N/A,#N/A,FALSE,"CEA-TEC";#N/A,#N/A,FALSE,"U-Constr.";#N/A,#N/A,FALSE,"summary";#N/A,#N/A,FALSE,"PPP-3 yrs"}</definedName>
    <definedName name="NNOPLAT" localSheetId="9">#REF!</definedName>
    <definedName name="NNOPLAT" localSheetId="10">[1]bajaj_copeland!$M$100</definedName>
    <definedName name="NNOPLAT">#REF!</definedName>
    <definedName name="no_f_years">#REF!</definedName>
    <definedName name="No_of_ATMs_Q" localSheetId="9">#REF!</definedName>
    <definedName name="No_of_ATMs_Q">#REF!</definedName>
    <definedName name="No_of_employees_Q" localSheetId="9">#REF!</definedName>
    <definedName name="No_of_employees_Q">#REF!</definedName>
    <definedName name="No_of_Months_in_the_reporting_period">#REF!</definedName>
    <definedName name="No_of_shares_mn">#REF!</definedName>
    <definedName name="no_shares">#REF!</definedName>
    <definedName name="Non_Convertible_Debentures_Secured">#REF!</definedName>
    <definedName name="Non_Convertible_Debentures_Unsecured">#REF!</definedName>
    <definedName name="non_current_assets">#REF!</definedName>
    <definedName name="Non_current_assets6">#REF!</definedName>
    <definedName name="non_current_liabilities">#REF!</definedName>
    <definedName name="non_int_income_Q">#REF!</definedName>
    <definedName name="non_interest_income">#REF!</definedName>
    <definedName name="NON_OPRT_INC">#REF!</definedName>
    <definedName name="non_performing_loans">#REF!</definedName>
    <definedName name="Non_Performing_or_Peripheral_Assets_NPAs">#REF!</definedName>
    <definedName name="non_recurring_expenses">#REF!</definedName>
    <definedName name="non_recurring_items" localSheetId="10">[28]Template!$D$57:$T$57</definedName>
    <definedName name="non_recurring_items">#REF!</definedName>
    <definedName name="non_recurring_items_A">#REF!</definedName>
    <definedName name="non_recurring_items_Q">#REF!</definedName>
    <definedName name="non_recurring_items_qtr">#REF!</definedName>
    <definedName name="Non_Recurring_loss_gain">#REF!</definedName>
    <definedName name="noname" localSheetId="10">[92]Introduction!$E$14</definedName>
    <definedName name="noname">#REF!</definedName>
    <definedName name="NONCAP">#REF!</definedName>
    <definedName name="NONLEAP">#REF!</definedName>
    <definedName name="NONOPINC" localSheetId="4">#REF!</definedName>
    <definedName name="NONOPINC">[46]PLold!$A$291:$K$301</definedName>
    <definedName name="nonrecurcost">#REF!</definedName>
    <definedName name="NONREG" localSheetId="4">#REF!</definedName>
    <definedName name="NONREG">'[12]#REF'!#REF!</definedName>
    <definedName name="NOPAT">#REF!</definedName>
    <definedName name="NOPAT_Core">#REF!</definedName>
    <definedName name="NOPAT_DCF">#REF!</definedName>
    <definedName name="NOPAT_fore">#REF!</definedName>
    <definedName name="NOPAT_growth">#REF!</definedName>
    <definedName name="NOPAT_growth_avg">#REF!</definedName>
    <definedName name="NOPAT_margin">#REF!</definedName>
    <definedName name="NOPAT_margin_fore">#REF!</definedName>
    <definedName name="NOPAT_Margins_Core">#REF!</definedName>
    <definedName name="NOPAT_Share">#REF!</definedName>
    <definedName name="NOPBT">#REF!</definedName>
    <definedName name="NOPBT_fore">#REF!</definedName>
    <definedName name="NOPLAT" localSheetId="10">[1]bajaj_copeland!$C$100:$L$146</definedName>
    <definedName name="NOPLAT">#REF!</definedName>
    <definedName name="NOPLAT6">#REF!</definedName>
    <definedName name="NOPLATP" localSheetId="10">[1]bajaj_copeland!$C$100:$L$146</definedName>
    <definedName name="NOPLATP">#REF!</definedName>
    <definedName name="Norm_forecast_11_15">#REF!</definedName>
    <definedName name="Norm_forecast_16_25">#REF!</definedName>
    <definedName name="Norm_forecast_4_5">#REF!</definedName>
    <definedName name="Norm_forecast_6_10">#REF!</definedName>
    <definedName name="NOSH" localSheetId="10">'[63]Summary finl - Consolidated'!$B$6</definedName>
    <definedName name="NOSH">#REF!</definedName>
    <definedName name="notes_payable" localSheetId="10">[28]Template!$D$201:$T$201</definedName>
    <definedName name="notes_payable">#REF!</definedName>
    <definedName name="Notes1">#REF!</definedName>
    <definedName name="noth">#REF!</definedName>
    <definedName name="NoYears">#REF!</definedName>
    <definedName name="NP">#REF!</definedName>
    <definedName name="NPT_1">#REF!</definedName>
    <definedName name="NPT_10">#REF!</definedName>
    <definedName name="NPT_11">#REF!</definedName>
    <definedName name="NPT_12">#REF!</definedName>
    <definedName name="NPT_13">#REF!</definedName>
    <definedName name="NPT_14">#REF!</definedName>
    <definedName name="NPT_2">#REF!</definedName>
    <definedName name="NPT_3">#REF!</definedName>
    <definedName name="NPT_4">#REF!</definedName>
    <definedName name="NPT_5">#REF!</definedName>
    <definedName name="NPT_6">#REF!</definedName>
    <definedName name="NPT_7">#REF!</definedName>
    <definedName name="NPT_8">#REF!</definedName>
    <definedName name="NPT_9">#REF!</definedName>
    <definedName name="NPT_EY1">#REF!</definedName>
    <definedName name="NPT_EY2">#REF!</definedName>
    <definedName name="NPT_EY3">#REF!</definedName>
    <definedName name="NPT_P">#REF!</definedName>
    <definedName name="npv_eso">#REF!</definedName>
    <definedName name="npv_leases">#REF!</definedName>
    <definedName name="npv_shr">#REF!</definedName>
    <definedName name="NRC">#REF!</definedName>
    <definedName name="NRItem">#REF!</definedName>
    <definedName name="NS">#REF!</definedName>
    <definedName name="nta" localSheetId="4">#REF!</definedName>
    <definedName name="nta">[38]Database!#REF!</definedName>
    <definedName name="NtnlPr" localSheetId="10" hidden="1">[31]Capital!$K$77:$AA$77</definedName>
    <definedName name="NtnlPr" hidden="1">#REF!</definedName>
    <definedName name="Number_of_Shares">#REF!</definedName>
    <definedName name="NW">#REF!</definedName>
    <definedName name="nwc" localSheetId="4">#REF!</definedName>
    <definedName name="nwc">[29]UploaderV4!$F$166:$AE$166</definedName>
    <definedName name="nwexgwreval" localSheetId="4">#REF!</definedName>
    <definedName name="nwexgwreval">[29]UploaderV4!$F$285:$AE$285</definedName>
    <definedName name="o">#REF!</definedName>
    <definedName name="O.Op.Inc" localSheetId="10">[52]Validation!#REF!</definedName>
    <definedName name="O.Op.Inc">#REF!</definedName>
    <definedName name="O_I" localSheetId="4">#REF!</definedName>
    <definedName name="O_I">[26]FinancialsNew!#REF!</definedName>
    <definedName name="oaa">#REF!</definedName>
    <definedName name="oai">#REF!</definedName>
    <definedName name="oal">#REF!</definedName>
    <definedName name="oan">#REF!</definedName>
    <definedName name="oar">#REF!</definedName>
    <definedName name="oba">#REF!</definedName>
    <definedName name="obb">#REF!</definedName>
    <definedName name="obc">#REF!</definedName>
    <definedName name="obd">#REF!</definedName>
    <definedName name="obe">#REF!</definedName>
    <definedName name="obt">#REF!</definedName>
    <definedName name="OCA">#REF!</definedName>
    <definedName name="ocbcwgt">#REF!</definedName>
    <definedName name="occ">#REF!</definedName>
    <definedName name="oci">#REF!</definedName>
    <definedName name="oco">#REF!</definedName>
    <definedName name="ocr">#REF!</definedName>
    <definedName name="ofa">#REF!</definedName>
    <definedName name="Off_B_S_Income">#REF!</definedName>
    <definedName name="Off_B_S_Income_DCF">#REF!</definedName>
    <definedName name="Off_B_S_Income_fore">#REF!</definedName>
    <definedName name="Off_B_S_Income_growth_fore">#REF!</definedName>
    <definedName name="Off_High_Cov" localSheetId="4">#REF!</definedName>
    <definedName name="Off_High_Cov">'[12]#REF'!$N$229</definedName>
    <definedName name="offbsrw" localSheetId="4">#REF!</definedName>
    <definedName name="offbsrw">[29]UploaderV4!$F$186:$AE$186</definedName>
    <definedName name="Office_Equipments_AD">#REF!</definedName>
    <definedName name="Office_Equipments_Dep">#REF!</definedName>
    <definedName name="Office_Equipments_GB">#REF!</definedName>
    <definedName name="Office_Equipments_NB">#REF!</definedName>
    <definedName name="ofl">#REF!</definedName>
    <definedName name="ofn">#REF!</definedName>
    <definedName name="oga">#REF!</definedName>
    <definedName name="ogm">#REF!</definedName>
    <definedName name="ogn">#REF!</definedName>
    <definedName name="ogp">#REF!</definedName>
    <definedName name="ogw">#REF!</definedName>
    <definedName name="OHL">#REF!</definedName>
    <definedName name="OI">#REF!</definedName>
    <definedName name="OIGrowth12">#REF!</definedName>
    <definedName name="OIGrowth13">#REF!</definedName>
    <definedName name="oir">#REF!</definedName>
    <definedName name="ois">#REF!</definedName>
    <definedName name="oit">#REF!</definedName>
    <definedName name="OL_1">#REF!</definedName>
    <definedName name="OL_10">#REF!</definedName>
    <definedName name="OL_11">#REF!</definedName>
    <definedName name="OL_12">#REF!</definedName>
    <definedName name="OL_13">#REF!</definedName>
    <definedName name="OL_14">#REF!</definedName>
    <definedName name="OL_2">#REF!</definedName>
    <definedName name="OL_3">#REF!</definedName>
    <definedName name="OL_4">#REF!</definedName>
    <definedName name="OL_5">#REF!</definedName>
    <definedName name="OL_6">#REF!</definedName>
    <definedName name="OL_7">#REF!</definedName>
    <definedName name="OL_8">#REF!</definedName>
    <definedName name="OL_9">#REF!</definedName>
    <definedName name="OL_interest_accrued">#REF!</definedName>
    <definedName name="OL_P">#REF!</definedName>
    <definedName name="olb">#REF!</definedName>
    <definedName name="oldcal_ni00">#REF!</definedName>
    <definedName name="oldcal_ni01">#REF!</definedName>
    <definedName name="oldcal_ni02">#REF!</definedName>
    <definedName name="oldcal_ni03">#REF!</definedName>
    <definedName name="oldcal_ni04">#REF!</definedName>
    <definedName name="oldcal_ni96">#REF!</definedName>
    <definedName name="oldcal_ni97">#REF!</definedName>
    <definedName name="oldcal_ni98">#REF!</definedName>
    <definedName name="oldcal_ni99">#REF!</definedName>
    <definedName name="oldcal00_eps">#REF!</definedName>
    <definedName name="oldcal01_eps">#REF!</definedName>
    <definedName name="oldcal02_eps">#REF!</definedName>
    <definedName name="oldcal03_eps">#REF!</definedName>
    <definedName name="oldcal04_eps">#REF!</definedName>
    <definedName name="oldcal96_eps">#REF!</definedName>
    <definedName name="oldcal97_eps">#REF!</definedName>
    <definedName name="oldcal98_eps">#REF!</definedName>
    <definedName name="oldcal99_eps">#REF!</definedName>
    <definedName name="oldfy_00">#REF!</definedName>
    <definedName name="oldfy_01">#REF!</definedName>
    <definedName name="oldfy_02">#REF!</definedName>
    <definedName name="oldfy_03">#REF!</definedName>
    <definedName name="oldfy_04">#REF!</definedName>
    <definedName name="oldfy_97">#REF!</definedName>
    <definedName name="oldfy_98">#REF!</definedName>
    <definedName name="oldfy_99">#REF!</definedName>
    <definedName name="oli">#REF!</definedName>
    <definedName name="oll">#REF!</definedName>
    <definedName name="oln">#REF!</definedName>
    <definedName name="olo">#REF!</definedName>
    <definedName name="olr">#REF!</definedName>
    <definedName name="olt">#REF!</definedName>
    <definedName name="omv">#REF!</definedName>
    <definedName name="onb">#REF!</definedName>
    <definedName name="onc">#REF!</definedName>
    <definedName name="onp">#REF!</definedName>
    <definedName name="ons">#REF!</definedName>
    <definedName name="ooa">#REF!</definedName>
    <definedName name="oop">#REF!</definedName>
    <definedName name="oot">#REF!</definedName>
    <definedName name="OP_CF">#REF!</definedName>
    <definedName name="Op_Inc_to_net_int_02">#REF!</definedName>
    <definedName name="OPBDT">#REF!</definedName>
    <definedName name="OPBILD">#REF!</definedName>
    <definedName name="OPBT">#REF!</definedName>
    <definedName name="opcashflow_totaldebt">#REF!</definedName>
    <definedName name="OPCF">#REF!</definedName>
    <definedName name="opd">#REF!</definedName>
    <definedName name="opencash" localSheetId="4">#REF!</definedName>
    <definedName name="opencash">[29]UploaderV4!$F$219:$AE$219</definedName>
    <definedName name="opencashtranslation" localSheetId="4">#REF!</definedName>
    <definedName name="opencashtranslation">[29]UploaderV4!$F$220:$AE$220</definedName>
    <definedName name="OpEqSh">#REF!</definedName>
    <definedName name="OPER_MARGIN">#REF!</definedName>
    <definedName name="OPER_PROFIT">#REF!</definedName>
    <definedName name="OPERATING" localSheetId="10">[1]bajaj_copeland!$C$247:$L$283</definedName>
    <definedName name="OPERATING">#REF!</definedName>
    <definedName name="operating_expenses" localSheetId="10">[28]Template!$D$48:$T$48</definedName>
    <definedName name="operating_expenses">#REF!</definedName>
    <definedName name="operating_expenses_A">#REF!</definedName>
    <definedName name="operating_expenses_Q">#REF!</definedName>
    <definedName name="operating_expenses_qtr">#REF!</definedName>
    <definedName name="Operating_expenses_total">#REF!</definedName>
    <definedName name="Operating_expenses6">#REF!</definedName>
    <definedName name="operating_free_cash_flow" localSheetId="10">[28]Template!$D$175:$T$175</definedName>
    <definedName name="operating_free_cash_flow">#REF!</definedName>
    <definedName name="Operating_income">#REF!</definedName>
    <definedName name="Operating_income_fore">#REF!</definedName>
    <definedName name="operating_income_Q">#REF!</definedName>
    <definedName name="Operating_Lease_Expense">#REF!</definedName>
    <definedName name="Operating_Lease_Expense_fore">#REF!</definedName>
    <definedName name="operating_lease_payments">#REF!</definedName>
    <definedName name="operating_profit">#REF!</definedName>
    <definedName name="Operating_Profit_before_working_Capital_changes">#REF!</definedName>
    <definedName name="operating_profit_Q">#REF!</definedName>
    <definedName name="operating_profit_qtr">#REF!</definedName>
    <definedName name="Operating_profit6">#REF!</definedName>
    <definedName name="Operating_Sys" localSheetId="4">#REF!</definedName>
    <definedName name="Operating_Sys">[2]Header!$AD$9</definedName>
    <definedName name="OperatingCashflow">#REF!</definedName>
    <definedName name="OperatingProfit">#REF!</definedName>
    <definedName name="OperatingProfitMargin">#REF!</definedName>
    <definedName name="OperatingRatio">#REF!</definedName>
    <definedName name="OperatingStatistics" localSheetId="4">#REF!</definedName>
    <definedName name="OperatingStatistics">[11]Old!$A$1:$P$66</definedName>
    <definedName name="Operational_Cash_Flow">#REF!</definedName>
    <definedName name="operexp">#REF!</definedName>
    <definedName name="Opex">#REF!</definedName>
    <definedName name="opexGrowth12">#REF!</definedName>
    <definedName name="OpexGrowth13">#REF!</definedName>
    <definedName name="opi">#REF!</definedName>
    <definedName name="OpIncDmy" localSheetId="10" hidden="1">[31]Input!$115:$115</definedName>
    <definedName name="OpIncDmy" hidden="1">#REF!</definedName>
    <definedName name="OpIncSer" localSheetId="10" hidden="1">[31]Profile!$BP$5:$BP$12</definedName>
    <definedName name="OpIncSer" hidden="1">#REF!</definedName>
    <definedName name="opm">#REF!</definedName>
    <definedName name="OpNPV">#REF!</definedName>
    <definedName name="OPRT_INC">#REF!</definedName>
    <definedName name="opt">#REF!</definedName>
    <definedName name="orbcwgt">#REF!</definedName>
    <definedName name="Ordinary_Dividend">#REF!</definedName>
    <definedName name="OrdinaryDividends">#REF!</definedName>
    <definedName name="orw">#REF!</definedName>
    <definedName name="osb">#REF!</definedName>
    <definedName name="osi">#REF!</definedName>
    <definedName name="osn">#REF!</definedName>
    <definedName name="osp">#REF!</definedName>
    <definedName name="ost">#REF!</definedName>
    <definedName name="Oth" localSheetId="4">#REF!</definedName>
    <definedName name="Oth">[26]FinancialsNew!#REF!</definedName>
    <definedName name="Oth.Op.Inc" localSheetId="10">[52]Validation!#REF!</definedName>
    <definedName name="Oth.Op.Inc">#REF!</definedName>
    <definedName name="othca" localSheetId="4">#REF!</definedName>
    <definedName name="othca">[29]UploaderV4!$F$158:$AE$158</definedName>
    <definedName name="othcff" localSheetId="4">#REF!</definedName>
    <definedName name="othcff">[29]UploaderV4!$F$215:$AE$215</definedName>
    <definedName name="othcfi" localSheetId="4">#REF!</definedName>
    <definedName name="othcfi">[29]UploaderV4!$F$209:$AE$209</definedName>
    <definedName name="OthCFItem">#REF!</definedName>
    <definedName name="othcfo" localSheetId="4">#REF!</definedName>
    <definedName name="othcfo">[29]UploaderV4!$F$201:$AE$201</definedName>
    <definedName name="othcl" localSheetId="4">#REF!</definedName>
    <definedName name="othcl">[29]UploaderV4!$F$162:$AE$162</definedName>
    <definedName name="OTHER" localSheetId="10">'[1]#REF'!#REF!</definedName>
    <definedName name="OTHER">#REF!</definedName>
    <definedName name="other_appropriation">#REF!</definedName>
    <definedName name="Other_Asset_Core">#REF!</definedName>
    <definedName name="Other_asset_turns">#REF!</definedName>
    <definedName name="Other_asset_turns_DCF">#REF!</definedName>
    <definedName name="Other_asset_turns_fore">#REF!</definedName>
    <definedName name="Other_assets">#REF!</definedName>
    <definedName name="Other_assets_DCF">#REF!</definedName>
    <definedName name="other_assets_Q">#REF!</definedName>
    <definedName name="Other_Assets2">#REF!</definedName>
    <definedName name="Other_Bank_Loans_Unsecured">#REF!</definedName>
    <definedName name="other_borrowings">#REF!</definedName>
    <definedName name="OTHER_CA">#REF!</definedName>
    <definedName name="other_cash_and_bank_balances">#REF!</definedName>
    <definedName name="other_current_assets" localSheetId="10">[28]Template!$D$187:$T$187</definedName>
    <definedName name="other_current_assets">#REF!</definedName>
    <definedName name="other_current_assets_A">#REF!</definedName>
    <definedName name="Other_current_assets_growth_fore">#REF!</definedName>
    <definedName name="Other_Current_Assets2">#REF!</definedName>
    <definedName name="other_current_liabilities" localSheetId="10">[28]Template!$D$205:$T$205</definedName>
    <definedName name="other_current_liabilities">#REF!</definedName>
    <definedName name="other_current_liabilities_A">#REF!</definedName>
    <definedName name="Other_current_liabilities_growth_fore">#REF!</definedName>
    <definedName name="Other_Current_Liabilities2">#REF!</definedName>
    <definedName name="Other_DCF">#REF!</definedName>
    <definedName name="other_deferred_assets" localSheetId="10">[28]Template!$D$196:$T$196</definedName>
    <definedName name="other_deferred_assets">#REF!</definedName>
    <definedName name="other_deferred_liabilities" localSheetId="10">[28]Template!$D$215:$T$215</definedName>
    <definedName name="other_deferred_liabilities">#REF!</definedName>
    <definedName name="other_deposits">#REF!</definedName>
    <definedName name="Other_dividends">#REF!</definedName>
    <definedName name="other_eo_items_Q">#REF!</definedName>
    <definedName name="other_exp_Q">#REF!</definedName>
    <definedName name="Other_Expenses">#REF!</definedName>
    <definedName name="Other_Expenses_fore">#REF!</definedName>
    <definedName name="Other_expenses_gains">#REF!</definedName>
    <definedName name="Other_expenses_gains_fore">#REF!</definedName>
    <definedName name="Other_expenses_growth_fore">#REF!</definedName>
    <definedName name="Other_Expenses_Q">#REF!</definedName>
    <definedName name="other_financing_activities">#REF!</definedName>
    <definedName name="Other_fixed_asset_turns">#REF!</definedName>
    <definedName name="Other_fixed_asset_turns_fore">#REF!</definedName>
    <definedName name="Other_fixed_assets">#REF!</definedName>
    <definedName name="Other_Fixed_Assets_AD">#REF!</definedName>
    <definedName name="Other_Fixed_Assets_Dep">#REF!</definedName>
    <definedName name="Other_Fixed_Assets_GB">#REF!</definedName>
    <definedName name="Other_fixed_assets_growth_fore">#REF!</definedName>
    <definedName name="Other_Fixed_Assets_NB">#REF!</definedName>
    <definedName name="Other_fixed_assets2">#REF!</definedName>
    <definedName name="Other_growth_fore">#REF!</definedName>
    <definedName name="OTHER_INC">#REF!</definedName>
    <definedName name="Other_inc_exp_fore">#REF!</definedName>
    <definedName name="other_income" localSheetId="10">[28]Template!$D$46:$T$46</definedName>
    <definedName name="other_income">#REF!</definedName>
    <definedName name="other_income_A">#REF!</definedName>
    <definedName name="Other_Income_Associates">#REF!</definedName>
    <definedName name="Other_income_growth_fore">#REF!</definedName>
    <definedName name="other_income_pbt" localSheetId="4">#REF!</definedName>
    <definedName name="other_income_pbt">'[47]RMF Annual'!$E$156:$U$156</definedName>
    <definedName name="other_income_Q">#REF!</definedName>
    <definedName name="other_income_qtr">#REF!</definedName>
    <definedName name="Other_income_total">#REF!</definedName>
    <definedName name="Other_income6">#REF!</definedName>
    <definedName name="other_int_expended">#REF!</definedName>
    <definedName name="Other_Intangible_Assets">#REF!</definedName>
    <definedName name="other_intangible_fixed_assets" localSheetId="10">[28]Template!$D$243:$T$243</definedName>
    <definedName name="other_intangible_fixed_assets">#REF!</definedName>
    <definedName name="other_investing_activities">#REF!</definedName>
    <definedName name="other_investment">#REF!</definedName>
    <definedName name="other_liab._and_provisions">#REF!</definedName>
    <definedName name="other_liab_Q">#REF!</definedName>
    <definedName name="Other_liabilities">#REF!</definedName>
    <definedName name="Other_liabilities_growth_fore">#REF!</definedName>
    <definedName name="Other_liabilities2">#REF!</definedName>
    <definedName name="other_loans">#REF!</definedName>
    <definedName name="Other_loans_total">#REF!</definedName>
    <definedName name="Other_Long_Term_Liabilities">#REF!</definedName>
    <definedName name="Other_LT_Debt">#REF!</definedName>
    <definedName name="other_material">#REF!</definedName>
    <definedName name="Other_ncome_expenses">#REF!</definedName>
    <definedName name="other_non_current_assets" localSheetId="10">[28]Template!$D$197:$T$197</definedName>
    <definedName name="other_non_current_assets">#REF!</definedName>
    <definedName name="other_non_current_assets_A">#REF!</definedName>
    <definedName name="other_non_current_liabilities" localSheetId="10">[28]Template!$D$216:$T$216</definedName>
    <definedName name="other_non_current_liabilities">#REF!</definedName>
    <definedName name="other_non_equity_interests" localSheetId="10">[28]Template!$D$260:$T$260</definedName>
    <definedName name="other_non_equity_interests">#REF!</definedName>
    <definedName name="other_non_int_income_Q">#REF!</definedName>
    <definedName name="Other_Operating">#REF!</definedName>
    <definedName name="other_operating_activities">#REF!</definedName>
    <definedName name="other_operating_exp.">#REF!</definedName>
    <definedName name="other_operating_expenses" localSheetId="10">[28]Template!$D$85:$T$85</definedName>
    <definedName name="other_operating_expenses">#REF!</definedName>
    <definedName name="other_operating_expenses_A">#REF!</definedName>
    <definedName name="other_operating_expenses_qtr">#REF!</definedName>
    <definedName name="other_operating_income">#REF!</definedName>
    <definedName name="other_operating_income_A">#REF!</definedName>
    <definedName name="other_operating_income_qtr">#REF!</definedName>
    <definedName name="Other_operating_income6">#REF!</definedName>
    <definedName name="other_pre_tax_Q">#REF!</definedName>
    <definedName name="other_pretax" localSheetId="10">[28]Template!$D$58:$T$58</definedName>
    <definedName name="other_pretax">#REF!</definedName>
    <definedName name="other_prov_Q">#REF!</definedName>
    <definedName name="other_provision">#REF!</definedName>
    <definedName name="other_provisions" localSheetId="10">[28]Template!$D$83:$T$83</definedName>
    <definedName name="other_provisions">#REF!</definedName>
    <definedName name="other_provisions_bs" localSheetId="10">[28]Template!$D$213:$T$213</definedName>
    <definedName name="other_provisions_bs">#REF!</definedName>
    <definedName name="other_reserves" localSheetId="10">[28]Template!$D$223:$T$223</definedName>
    <definedName name="other_reserves">#REF!</definedName>
    <definedName name="Other_Segment_Revenues">#REF!</definedName>
    <definedName name="Other_ST_Debt">#REF!</definedName>
    <definedName name="other_tangible_fixed_assets" localSheetId="10">[28]Template!$D$239:$T$239</definedName>
    <definedName name="other_tangible_fixed_assets">#REF!</definedName>
    <definedName name="Other1">#REF!</definedName>
    <definedName name="OtherAssets">#REF!</definedName>
    <definedName name="OtherCurrentAssets">#REF!</definedName>
    <definedName name="OtherCurrentLiabilities">#REF!</definedName>
    <definedName name="OtherExpenses">#REF!</definedName>
    <definedName name="OTHERINC">#REF!</definedName>
    <definedName name="OtherIncome">#REF!</definedName>
    <definedName name="OtherLoans">#REF!</definedName>
    <definedName name="OtherRelated">#REF!</definedName>
    <definedName name="others">#REF!</definedName>
    <definedName name="others_assets">#REF!</definedName>
    <definedName name="others_int">#REF!</definedName>
    <definedName name="others_non_current_assets">#REF!</definedName>
    <definedName name="others_non_current_liabilities">#REF!</definedName>
    <definedName name="others_provisions">#REF!</definedName>
    <definedName name="OTHEXP" localSheetId="4">#REF!</definedName>
    <definedName name="OTHEXP">[46]PLold!$A$233:$K$249</definedName>
    <definedName name="othinc" localSheetId="4">#REF!</definedName>
    <definedName name="othinc">[29]UploaderV4!$F$49:$AE$49</definedName>
    <definedName name="othinvest" localSheetId="4">#REF!</definedName>
    <definedName name="othinvest">[29]UploaderV4!$F$207:$AE$207</definedName>
    <definedName name="othltwcl" localSheetId="4">#REF!</definedName>
    <definedName name="othltwcl">[29]UploaderV4!$F$163:$AE$163</definedName>
    <definedName name="OTHMANEXP" localSheetId="4">#REF!</definedName>
    <definedName name="OTHMANEXP">[46]PLold!$A$214:$K$231</definedName>
    <definedName name="othnonca" localSheetId="4">#REF!</definedName>
    <definedName name="othnonca">[29]UploaderV4!$F$159:$AE$159</definedName>
    <definedName name="othoffbs" localSheetId="4">#REF!</definedName>
    <definedName name="othoffbs">[29]UploaderV4!$F$189:$AE$189</definedName>
    <definedName name="OthOpInc">#REF!</definedName>
    <definedName name="othoprincome" localSheetId="4">#REF!</definedName>
    <definedName name="othoprincome">[29]UploaderV4!$F$15:$AE$15</definedName>
    <definedName name="OTHRELINC" localSheetId="4">#REF!</definedName>
    <definedName name="OTHRELINC">[46]PLold!$A$115:$K$125</definedName>
    <definedName name="OTHREXPENSES">#REF!</definedName>
    <definedName name="oti">#REF!</definedName>
    <definedName name="otl">#REF!</definedName>
    <definedName name="otp">#REF!</definedName>
    <definedName name="ots">#REF!</definedName>
    <definedName name="ott">#REF!</definedName>
    <definedName name="oubwgt">#REF!</definedName>
    <definedName name="OutputGrowthEstimates">#REF!</definedName>
    <definedName name="outside_india_investment">#REF!</definedName>
    <definedName name="outstanding_share">#REF!</definedName>
    <definedName name="OVERSEAS">#REF!</definedName>
    <definedName name="OWN" localSheetId="4">#REF!</definedName>
    <definedName name="OWN">[2]Header!#REF!</definedName>
    <definedName name="OWN_BM14">#REF!</definedName>
    <definedName name="OWN_BM15">#REF!</definedName>
    <definedName name="OWN_BM21">#REF!</definedName>
    <definedName name="OWN_BM22_P1">#REF!</definedName>
    <definedName name="OWN_BM23_P1">#REF!</definedName>
    <definedName name="OWN_BM24_P1">#REF!</definedName>
    <definedName name="OWN_BM25_P1">#REF!</definedName>
    <definedName name="OWN_BM31">#REF!</definedName>
    <definedName name="OWN_BM32_N1">#REF!</definedName>
    <definedName name="OWN_BM33_N1">#REF!</definedName>
    <definedName name="OWN_BM34_N1">#REF!</definedName>
    <definedName name="OWN_BM35_N1">#REF!</definedName>
    <definedName name="OWN_BM42_N1">#REF!</definedName>
    <definedName name="OWN_BM43_N1">#REF!</definedName>
    <definedName name="OWN_BM44_N1">#REF!</definedName>
    <definedName name="OWN_BM45_N1">#REF!</definedName>
    <definedName name="p">#REF!</definedName>
    <definedName name="p_and_l">#REF!</definedName>
    <definedName name="P_L">#REF!</definedName>
    <definedName name="page1">#REF!</definedName>
    <definedName name="Page12">#REF!</definedName>
    <definedName name="page2">#REF!</definedName>
    <definedName name="pai">#REF!</definedName>
    <definedName name="paid_up_capital" localSheetId="10">[28]Template!$D$219:$T$219</definedName>
    <definedName name="paid_up_capital">#REF!</definedName>
    <definedName name="paid_up_capital_A">#REF!</definedName>
    <definedName name="Paid_up_capital_avg">#REF!</definedName>
    <definedName name="pandl">#REF!</definedName>
    <definedName name="paninwgt">#REF!</definedName>
    <definedName name="par">#REF!</definedName>
    <definedName name="para1">#REF!</definedName>
    <definedName name="para2">#REF!</definedName>
    <definedName name="parse" hidden="1">#REF!</definedName>
    <definedName name="Partial_year">#REF!</definedName>
    <definedName name="PAT">#REF!</definedName>
    <definedName name="pat_margin">#REF!</definedName>
    <definedName name="payable" localSheetId="4">#REF!</definedName>
    <definedName name="payable">[29]UploaderV4!$F$161:$AE$161</definedName>
    <definedName name="payable_days">#REF!</definedName>
    <definedName name="Payout_ratio_on_underlying" localSheetId="4">#REF!</definedName>
    <definedName name="Payout_ratio_on_underlying">[50]Figures!#REF!</definedName>
    <definedName name="Payout_ratios">#REF!</definedName>
    <definedName name="PayoutRatio">#REF!</definedName>
    <definedName name="pb">#REF!</definedName>
    <definedName name="PBASE" localSheetId="10">[1]bajaj_copeland!$X$526:$AB$526</definedName>
    <definedName name="PBASE">#REF!</definedName>
    <definedName name="pbd">#REF!</definedName>
    <definedName name="PBIDT">#REF!</definedName>
    <definedName name="PBT">#REF!</definedName>
    <definedName name="pbt_growth">#REF!</definedName>
    <definedName name="pbt_margin">#REF!</definedName>
    <definedName name="pbt_Q">#REF!</definedName>
    <definedName name="pbtaxo" localSheetId="4">#REF!</definedName>
    <definedName name="pbtaxo">[29]UploaderV4!$F$52:$AE$52</definedName>
    <definedName name="pbtbxo" localSheetId="4">#REF!</definedName>
    <definedName name="pbtbxo">[29]UploaderV4!$F$50:$AE$50</definedName>
    <definedName name="pbv" localSheetId="4">#REF!</definedName>
    <definedName name="pbv">'[47]RMF Annual'!$E$164:$U$164</definedName>
    <definedName name="PCASHTAX" localSheetId="10">[1]bajaj_copeland!$X$514:$AB$514</definedName>
    <definedName name="PCASHTAX">#REF!</definedName>
    <definedName name="pce">#REF!</definedName>
    <definedName name="pcf">#REF!</definedName>
    <definedName name="pciwgt">#REF!</definedName>
    <definedName name="pco">#REF!</definedName>
    <definedName name="PCOGS" localSheetId="10">[1]bajaj_copeland!$X$505:$AB$505</definedName>
    <definedName name="PCOGS">#REF!</definedName>
    <definedName name="PCONSTANT" localSheetId="10">[1]bajaj_copeland!$X$527:$AB$527</definedName>
    <definedName name="PCONSTANT">#REF!</definedName>
    <definedName name="pcx">#REF!</definedName>
    <definedName name="PD" localSheetId="4">#REF!</definedName>
    <definedName name="PD">[2]Header!#REF!</definedName>
    <definedName name="pdays" localSheetId="4">#REF!</definedName>
    <definedName name="pdays">[29]UploaderV4!$F$248:$AE$248</definedName>
    <definedName name="pde">#REF!</definedName>
    <definedName name="PDEPRECIATION" localSheetId="10">[1]bajaj_copeland!$X$507:$AB$507</definedName>
    <definedName name="PDEPRECIATION">#REF!</definedName>
    <definedName name="PDESIG">#REF!</definedName>
    <definedName name="pdl">#REF!</definedName>
    <definedName name="pdp">#REF!</definedName>
    <definedName name="pdr">#REF!</definedName>
    <definedName name="PDvTax">#REF!</definedName>
    <definedName name="pe">#REF!</definedName>
    <definedName name="pe_to_pop">#REF!</definedName>
    <definedName name="peb">#REF!</definedName>
    <definedName name="pebanddata">#REF!</definedName>
    <definedName name="peg">#REF!</definedName>
    <definedName name="pei">#REF!</definedName>
    <definedName name="pension" localSheetId="4">#REF!</definedName>
    <definedName name="pension">[29]UploaderV4!$F$188:$AE$188</definedName>
    <definedName name="Pension_Provisions_etc">#REF!</definedName>
    <definedName name="per">#REF!</definedName>
    <definedName name="per_capita">#REF!</definedName>
    <definedName name="Per_share__Rs">#REF!</definedName>
    <definedName name="percent_change">#REF!</definedName>
    <definedName name="pereldata">#REF!</definedName>
    <definedName name="perf" localSheetId="4">#REF!</definedName>
    <definedName name="perf">[2]Header!$B$2:$Q$7</definedName>
    <definedName name="Perf_97" localSheetId="4">#REF!</definedName>
    <definedName name="Perf_97">'[12]#REF'!$O$225</definedName>
    <definedName name="Perf_98" localSheetId="4">#REF!</definedName>
    <definedName name="Perf_98">'[12]#REF'!$P$225</definedName>
    <definedName name="Perf_99" localSheetId="4">#REF!</definedName>
    <definedName name="Perf_99">'[12]#REF'!$Q$225</definedName>
    <definedName name="Performance" localSheetId="4">#REF!</definedName>
    <definedName name="Performance">[2]Header!$K$15:$R$18</definedName>
    <definedName name="period_months" localSheetId="10">[28]Template!$D$39:$T$39</definedName>
    <definedName name="period_months">#REF!</definedName>
    <definedName name="period_months_A">#REF!</definedName>
    <definedName name="period_months_qtr">#REF!</definedName>
    <definedName name="Peripheral_Assets">#REF!</definedName>
    <definedName name="pet">#REF!</definedName>
    <definedName name="PEVA" localSheetId="10">[1]bajaj_copeland!$A$447:$L$481</definedName>
    <definedName name="PEVA">#REF!</definedName>
    <definedName name="pfc">#REF!</definedName>
    <definedName name="PFCF" localSheetId="4">#REF!</definedName>
    <definedName name="PFCF">[26]FinancialsNew!#REF!</definedName>
    <definedName name="pfx">#REF!</definedName>
    <definedName name="pga">#REF!</definedName>
    <definedName name="pgp">#REF!</definedName>
    <definedName name="PGROWTH" localSheetId="10">[1]bajaj_copeland!$X$525:$AB$525</definedName>
    <definedName name="PGROWTH">#REF!</definedName>
    <definedName name="pgv">#REF!</definedName>
    <definedName name="philippines">#REF!</definedName>
    <definedName name="PHISTORICAL" localSheetId="10">[1]bajaj_copeland!$F$596</definedName>
    <definedName name="PHISTORICAL">#REF!</definedName>
    <definedName name="Picture3" localSheetId="4">{"Mcp08.PrintRep",""}</definedName>
    <definedName name="Picture3">{"Mcp08.PrintRep",""}</definedName>
    <definedName name="pie">#REF!</definedName>
    <definedName name="pii">#REF!</definedName>
    <definedName name="pin">#REF!</definedName>
    <definedName name="PINCREASED" localSheetId="10">[1]bajaj_copeland!$X$528:$AB$528</definedName>
    <definedName name="PINCREASED">#REF!</definedName>
    <definedName name="PINETOTHER" localSheetId="10">[1]bajaj_copeland!$X$523:$AB$523</definedName>
    <definedName name="PINETOTHER">#REF!</definedName>
    <definedName name="PINETPPE" localSheetId="10">[1]bajaj_copeland!$X$522:$AB$522</definedName>
    <definedName name="PINETPPE">#REF!</definedName>
    <definedName name="PINTENSITY" localSheetId="10">[1]bajaj_copeland!$X$524:$AB$524</definedName>
    <definedName name="PINTENSITY">#REF!</definedName>
    <definedName name="PINVESTMENT" localSheetId="10">[1]bajaj_copeland!$X$530:$AB$530</definedName>
    <definedName name="PINVESTMENT">#REF!</definedName>
    <definedName name="PINVESTYEARS" localSheetId="10">[1]bajaj_copeland!$X$520:$AB$520</definedName>
    <definedName name="PINVESTYEARS">#REF!</definedName>
    <definedName name="Pit">50</definedName>
    <definedName name="PIWORKING" localSheetId="10">[1]bajaj_copeland!$X$521:$AB$521</definedName>
    <definedName name="PIWORKING">#REF!</definedName>
    <definedName name="PJDepreciation">#REF!</definedName>
    <definedName name="PL" localSheetId="10">[1]Financials!#REF!</definedName>
    <definedName name="PL">#REF!</definedName>
    <definedName name="PL_ASSOC">#REF!</definedName>
    <definedName name="pl_ganesh">#REF!</definedName>
    <definedName name="pl_jb">#REF!</definedName>
    <definedName name="pl_ratio_jb">#REF!</definedName>
    <definedName name="pl_sski">#REF!</definedName>
    <definedName name="Plant_and_Machinery_AD">#REF!</definedName>
    <definedName name="Plant_and_Machinery_Dep">#REF!</definedName>
    <definedName name="Plant_and_Machinery_GB">#REF!</definedName>
    <definedName name="Plant_and_Machinery_NB">#REF!</definedName>
    <definedName name="plant_equipment" localSheetId="10">[28]Template!$D$238:$T$238</definedName>
    <definedName name="plant_equipment">#REF!</definedName>
    <definedName name="Plant_Wise_Capacity">#REF!</definedName>
    <definedName name="plf_bhira">#REF!</definedName>
    <definedName name="plf_bhivpuri">#REF!</definedName>
    <definedName name="plf_khopoli">#REF!</definedName>
    <definedName name="PLN" localSheetId="4">#REF!</definedName>
    <definedName name="PLN">'[12]#REF'!#REF!</definedName>
    <definedName name="plr" localSheetId="10">[28]Template!$D$387:$T$387</definedName>
    <definedName name="plr">#REF!</definedName>
    <definedName name="pm">#REF!</definedName>
    <definedName name="PM_BM12">#REF!</definedName>
    <definedName name="PM_BM13">#REF!</definedName>
    <definedName name="PM_BM14">#REF!</definedName>
    <definedName name="PM_BM22_N1">#REF!</definedName>
    <definedName name="PM_BM23_N1">#REF!</definedName>
    <definedName name="PM_BM24_N1">#REF!</definedName>
    <definedName name="PM_BM25_N1">#REF!</definedName>
    <definedName name="PM_BM32_N1">#REF!</definedName>
    <definedName name="PM_BM33_N1">#REF!</definedName>
    <definedName name="PM_BM34_N1">#REF!</definedName>
    <definedName name="PM_BM35_N1">#REF!</definedName>
    <definedName name="PM_BM42_N1">#REF!</definedName>
    <definedName name="PM_BM43_N1">#REF!</definedName>
    <definedName name="PM_BM44_N1">#REF!</definedName>
    <definedName name="PM_BM45_N1">#REF!</definedName>
    <definedName name="PMARGIN" localSheetId="10">[1]bajaj_copeland!$X$508:$AB$508</definedName>
    <definedName name="PMARGIN">#REF!</definedName>
    <definedName name="pmi">#REF!</definedName>
    <definedName name="pmp">#REF!</definedName>
    <definedName name="PN_BM15">#REF!</definedName>
    <definedName name="pnbwgt">#REF!</definedName>
    <definedName name="PNETPPE" localSheetId="10">[1]bajaj_copeland!$X$509:$AB$509</definedName>
    <definedName name="PNETPPE">#REF!</definedName>
    <definedName name="pni">#REF!</definedName>
    <definedName name="PnL">#REF!</definedName>
    <definedName name="pno">#REF!</definedName>
    <definedName name="PNOPLAT" localSheetId="10">[1]bajaj_copeland!$X$529:$AB$529</definedName>
    <definedName name="PNOPLAT">#REF!</definedName>
    <definedName name="pnp">#REF!</definedName>
    <definedName name="pof">#REF!</definedName>
    <definedName name="poi">#REF!</definedName>
    <definedName name="poo">#REF!</definedName>
    <definedName name="POOL">#REF!</definedName>
    <definedName name="pop">#REF!</definedName>
    <definedName name="pop_growth">#REF!</definedName>
    <definedName name="Post_tax_stock_gains_losses" localSheetId="4">#REF!</definedName>
    <definedName name="Post_tax_stock_gains_losses">[50]Figures!#REF!</definedName>
    <definedName name="Postage__Telegraph___Telephone">#REF!</definedName>
    <definedName name="POTHER" localSheetId="10">[1]bajaj_copeland!$X$511:$AB$511</definedName>
    <definedName name="POTHER">#REF!</definedName>
    <definedName name="pov">#REF!</definedName>
    <definedName name="power" localSheetId="10">[28]Template!$D$77:$T$77</definedName>
    <definedName name="power">#REF!</definedName>
    <definedName name="power_A">#REF!</definedName>
    <definedName name="power_fuel">#REF!</definedName>
    <definedName name="power_oil_fuel_Q">#REF!</definedName>
    <definedName name="powerpur" localSheetId="4">#REF!</definedName>
    <definedName name="powerpur">[29]UploaderV4!$F$28:$AE$28</definedName>
    <definedName name="powerworking">#REF!</definedName>
    <definedName name="POWFLAG">#REF!</definedName>
    <definedName name="POWFLAG1">#REF!</definedName>
    <definedName name="POWFLAGE">#REF!</definedName>
    <definedName name="POWFLAGFZ">#REF!</definedName>
    <definedName name="POWFLAGFZQ">#REF!</definedName>
    <definedName name="POWFLAGFZX">#REF!</definedName>
    <definedName name="POWFLAGQ">#REF!</definedName>
    <definedName name="POWINDEXI">#REF!</definedName>
    <definedName name="pox">#REF!</definedName>
    <definedName name="ppb">#REF!</definedName>
    <definedName name="ppi">#REF!</definedName>
    <definedName name="ppl">#REF!</definedName>
    <definedName name="PPnE_turns_fore">#REF!</definedName>
    <definedName name="ppr">#REF!</definedName>
    <definedName name="PPREROIC" localSheetId="10">[1]bajaj_copeland!$X$513:$AB$513</definedName>
    <definedName name="PPREROIC">#REF!</definedName>
    <definedName name="ppt">#REF!</definedName>
    <definedName name="pr00">#REF!</definedName>
    <definedName name="prd">#REF!</definedName>
    <definedName name="PrDiv">#REF!</definedName>
    <definedName name="pre">#REF!</definedName>
    <definedName name="PRE_EPS">#REF!</definedName>
    <definedName name="Pre_Exceptional_PBT">#REF!</definedName>
    <definedName name="PRE_NP">#REF!</definedName>
    <definedName name="Pre_provision_profit_Q">#REF!</definedName>
    <definedName name="pre_tax_profit" localSheetId="10">[28]Template!$D$59:$T$59</definedName>
    <definedName name="pre_tax_profit">#REF!</definedName>
    <definedName name="pre_tax_profit_A">#REF!</definedName>
    <definedName name="pre_tax_profit_before_non_recurring_items">#REF!</definedName>
    <definedName name="pre_tax_profit_before_non_recurring_items_qtr">#REF!</definedName>
    <definedName name="pre_tax_profit_Q">#REF!</definedName>
    <definedName name="pre_tax_profit_qtr">#REF!</definedName>
    <definedName name="PreCompDebt">#REF!</definedName>
    <definedName name="PREF_DIV">#REF!</definedName>
    <definedName name="prefdiv" localSheetId="4">#REF!</definedName>
    <definedName name="prefdiv">[29]UploaderV4!$F$65:$AE$65</definedName>
    <definedName name="preference_capital">#REF!</definedName>
    <definedName name="preference_dividend" localSheetId="10">[28]Template!$D$63:$T$63</definedName>
    <definedName name="preference_dividend">#REF!</definedName>
    <definedName name="preference_dividend_A">#REF!</definedName>
    <definedName name="preference_dividend_qtr">#REF!</definedName>
    <definedName name="Preference_dividend6">#REF!</definedName>
    <definedName name="preference_share_capital" localSheetId="10">[28]Template!$D$210:$T$210</definedName>
    <definedName name="preference_share_capital">#REF!</definedName>
    <definedName name="preference_share_capital_A">#REF!</definedName>
    <definedName name="Preference_Share_Paid_Up">#REF!</definedName>
    <definedName name="PreferenceDividends">#REF!</definedName>
    <definedName name="Preferred_book_value">#REF!</definedName>
    <definedName name="Preferred_Dividends">#REF!</definedName>
    <definedName name="Preferred_stock">#REF!</definedName>
    <definedName name="Preferred_stock_growth_fore">#REF!</definedName>
    <definedName name="prefperpe" localSheetId="4">#REF!</definedName>
    <definedName name="prefperpe">[29]UploaderV4!$F$122:$AE$122</definedName>
    <definedName name="Premises_AD">#REF!</definedName>
    <definedName name="Premises_Dep">#REF!</definedName>
    <definedName name="Premises_GB">#REF!</definedName>
    <definedName name="Premises_NB">#REF!</definedName>
    <definedName name="Prepaid_Expenses">#REF!</definedName>
    <definedName name="Prepaid_financial_charges_on_Commercial_Paper">#REF!</definedName>
    <definedName name="Preprovision_profit">#REF!</definedName>
    <definedName name="PREROIC" localSheetId="10">[1]bajaj_copeland!$AF$561</definedName>
    <definedName name="PREROIC">#REF!</definedName>
    <definedName name="Present_Value_Oper_lease">#REF!</definedName>
    <definedName name="PRETAX">#REF!</definedName>
    <definedName name="Pretax_income">#REF!</definedName>
    <definedName name="Pretax_income_fore">#REF!</definedName>
    <definedName name="PreTaxProfit">#REF!</definedName>
    <definedName name="PREV_NETCASH">#REF!</definedName>
    <definedName name="previous_year_dep_Q">#REF!</definedName>
    <definedName name="PrfDmy" localSheetId="10" hidden="1">[31]Input!$27:$27</definedName>
    <definedName name="PrfDmy" hidden="1">#REF!</definedName>
    <definedName name="PrfShSer" localSheetId="10" hidden="1">[31]Profile!$AX$5:$AX$12</definedName>
    <definedName name="PrfShSer" hidden="1">#REF!</definedName>
    <definedName name="prg">#REF!</definedName>
    <definedName name="pri">#REF!</definedName>
    <definedName name="price">#REF!</definedName>
    <definedName name="price_book">#REF!</definedName>
    <definedName name="price1">#REF!</definedName>
    <definedName name="priceh">#REF!</definedName>
    <definedName name="Pricipal_Repay_Sensitivity">#REF!</definedName>
    <definedName name="Pricipal_Sensitivity">#REF!</definedName>
    <definedName name="print" localSheetId="10">[93]Interface!$B$29:$O$74</definedName>
    <definedName name="print">#REF!</definedName>
    <definedName name="print_1">#REF!</definedName>
    <definedName name="print_2">#REF!</definedName>
    <definedName name="print_3">#REF!</definedName>
    <definedName name="print_4">#REF!</definedName>
    <definedName name="_xlnm.Print_Area" localSheetId="9">#REF!</definedName>
    <definedName name="_xlnm.Print_Area">#REF!</definedName>
    <definedName name="Print_Area_MI" localSheetId="9">#REF!</definedName>
    <definedName name="Print_Area_MI">#REF!</definedName>
    <definedName name="Print_Front_Page" localSheetId="9">#REF!</definedName>
    <definedName name="Print_Front_Page">#REF!</definedName>
    <definedName name="Print_Investor_Copy">#REF!</definedName>
    <definedName name="_xlnm.Print_Titles">#REF!</definedName>
    <definedName name="Print_Titles_MI" localSheetId="9">#REF!,#REF!</definedName>
    <definedName name="Print_Titles_MI" localSheetId="10">[1]bajaj_copeland!$A$1:$B$65536,[1]bajaj_copeland!$A$1:$IV$7</definedName>
    <definedName name="Print_Titles_MI">#REF!,#REF!</definedName>
    <definedName name="Print1" localSheetId="9">#REF!</definedName>
    <definedName name="Print1">#REF!</definedName>
    <definedName name="Print2" localSheetId="9">#REF!</definedName>
    <definedName name="Print2">#REF!</definedName>
    <definedName name="PRINTREGION">#REF!</definedName>
    <definedName name="PRINTSINGLE">#REF!</definedName>
    <definedName name="PrintZone">#REF!,#REF!</definedName>
    <definedName name="PRIOR_PERIOD_ADJUSTMENTS" localSheetId="9">#REF!</definedName>
    <definedName name="PRIOR_PERIOD_ADJUSTMENTS">#REF!</definedName>
    <definedName name="prior_period_adjustments_qtr">#REF!</definedName>
    <definedName name="prior_year_income_exp_Q">#REF!</definedName>
    <definedName name="priortax" localSheetId="4">#REF!</definedName>
    <definedName name="priortax">[29]UploaderV4!$F$56:$AE$56</definedName>
    <definedName name="prl">#REF!</definedName>
    <definedName name="proceeds_from_asset_sales">#REF!</definedName>
    <definedName name="Process">#REF!</definedName>
    <definedName name="ProdDmy" localSheetId="10" hidden="1">[31]Input!$A$274:$AE$291</definedName>
    <definedName name="ProdDmy" hidden="1">#REF!</definedName>
    <definedName name="Product" localSheetId="10" hidden="1">[31]Profile!$AE$5:$AE$12</definedName>
    <definedName name="Product" hidden="1">#REF!</definedName>
    <definedName name="production">#REF!</definedName>
    <definedName name="Productwise_Capacity">#REF!</definedName>
    <definedName name="ProdUnit" localSheetId="10" hidden="1">[31]Profile!$AF$5:$AF$12</definedName>
    <definedName name="ProdUnit" hidden="1">#REF!</definedName>
    <definedName name="Professional___Consultancy_charges">#REF!</definedName>
    <definedName name="Profit___Loss_for_the_period">#REF!</definedName>
    <definedName name="Profit___Loss_for_the_period_from_continuing_Operations">#REF!</definedName>
    <definedName name="Profit___Loss_form_discontinuing_Operations">#REF!</definedName>
    <definedName name="profit_after_tax" localSheetId="10">[28]Template!$D$61:$T$61</definedName>
    <definedName name="profit_after_tax">#REF!</definedName>
    <definedName name="profit_after_tax_A">#REF!</definedName>
    <definedName name="Profit_and_Loss_Account">#REF!</definedName>
    <definedName name="Profit_and_Loss_Account_PL">#REF!</definedName>
    <definedName name="Profit_before_exceptional_and_extraordinary_items_and_tax">#REF!</definedName>
    <definedName name="Profit_before_extraordinary_items_and_tax">#REF!</definedName>
    <definedName name="Profit_before_tax">#REF!</definedName>
    <definedName name="Profit_before_tax_and_exceptional_items">#REF!</definedName>
    <definedName name="Profit_before_tax_and_exceptional_items_PL">#REF!</definedName>
    <definedName name="Profit_before_tax_and_exceptional_items_Q">#REF!</definedName>
    <definedName name="Profit_before_tax_PL">#REF!</definedName>
    <definedName name="Profit_before_tax_Q">#REF!</definedName>
    <definedName name="profit_from_associates_Q">#REF!</definedName>
    <definedName name="Profit_Loss">#REF!</definedName>
    <definedName name="Profit_Loss_Account_Balance">#REF!</definedName>
    <definedName name="profit_loss_on_sale_of_assets">#REF!</definedName>
    <definedName name="profit_loss_on_sale_of_assets_Q">#REF!</definedName>
    <definedName name="profit_loss_on_sale_of_investments">#REF!</definedName>
    <definedName name="profit_loss_on_sale_of_investments_Q">#REF!</definedName>
    <definedName name="Profit_n_Loss_of_associate">#REF!</definedName>
    <definedName name="Profit_on_Sale_of_Investment">#REF!</definedName>
    <definedName name="profit_on_sale_of_investments_and_assets">#REF!</definedName>
    <definedName name="Profit_on_Sale_of_Owned_Assets">#REF!</definedName>
    <definedName name="Profit_y" localSheetId="4">#REF!</definedName>
    <definedName name="Profit_y">[26]FinancialsNew!#REF!</definedName>
    <definedName name="profits">#REF!</definedName>
    <definedName name="PROIC" localSheetId="10">[1]bajaj_copeland!$X$542:$BA$589</definedName>
    <definedName name="PROIC">#REF!</definedName>
    <definedName name="PROICF" localSheetId="10">[1]bajaj_copeland!$X$491:$BA$537</definedName>
    <definedName name="PROICF">#REF!</definedName>
    <definedName name="PROICYEARS" localSheetId="10">[1]bajaj_copeland!$X$503:$AB$503</definedName>
    <definedName name="PROICYEARS">#REF!</definedName>
    <definedName name="PROJECT">#REF!</definedName>
    <definedName name="Proposed_Dividend_BS">#REF!</definedName>
    <definedName name="Proposed_Final_Dividend">#REF!</definedName>
    <definedName name="Proposed_Final_Dividend_PL">#REF!</definedName>
    <definedName name="Proposed_Final_Dividend_Rate">#REF!</definedName>
    <definedName name="Proposed_Interim_Dividend">#REF!</definedName>
    <definedName name="prov_on_npl_Q">#REF!</definedName>
    <definedName name="prov_on_sa_Q">#REF!</definedName>
    <definedName name="Provision_and_write_offs_total">#REF!</definedName>
    <definedName name="provision_charges">#REF!</definedName>
    <definedName name="provision_charges_Q">#REF!</definedName>
    <definedName name="Provision_for_Contingencies_Secured_Doubtful">#REF!</definedName>
    <definedName name="Provision_for_Contingencies_Unsecured_Doubtful">#REF!</definedName>
    <definedName name="provision_for_contingent_liabilities_other">#REF!</definedName>
    <definedName name="Provision_for_Employee_Benefits">#REF!</definedName>
    <definedName name="Provision_for_Expenses">#REF!</definedName>
    <definedName name="Provision_for_Non_Performing_Assets">#REF!</definedName>
    <definedName name="provision_for_NPAs">#REF!</definedName>
    <definedName name="Provision_for_Securitisation">#REF!</definedName>
    <definedName name="provision_for_tax">#REF!</definedName>
    <definedName name="Provision_for_Taxation">#REF!</definedName>
    <definedName name="PROVISIONS">#REF!</definedName>
    <definedName name="Provisions_and_write_offs_Q">#REF!</definedName>
    <definedName name="Provisions_Contingencies">#REF!</definedName>
    <definedName name="Provisions_Corporate_Dividend_Tax">#REF!</definedName>
    <definedName name="Provisions_Economic_Rehabilitation">#REF!</definedName>
    <definedName name="Provisions_Final_dividend">#REF!</definedName>
    <definedName name="Provisions_for_investment_depriciation">#REF!</definedName>
    <definedName name="Provisions_Fringe_benefit_tax">#REF!</definedName>
    <definedName name="Provisions_Gratuity">#REF!</definedName>
    <definedName name="Provisions_Income_tax">#REF!</definedName>
    <definedName name="Provisions_Interim_dividend">#REF!</definedName>
    <definedName name="Provisions_Leave_Encashment">#REF!</definedName>
    <definedName name="Provisions_Q">#REF!</definedName>
    <definedName name="Provisions_Staff_Welfare_Expenses">#REF!</definedName>
    <definedName name="Provisions_total">#REF!</definedName>
    <definedName name="Provisions_total_PL">#REF!</definedName>
    <definedName name="Provisions_write_offs_Q">#REF!</definedName>
    <definedName name="provlt" localSheetId="4">#REF!</definedName>
    <definedName name="provlt">[29]UploaderV4!$F$165:$AE$165</definedName>
    <definedName name="provst" localSheetId="4">#REF!</definedName>
    <definedName name="provst">[29]UploaderV4!$F$164:$AE$164</definedName>
    <definedName name="PrsExp">#REF!</definedName>
    <definedName name="PrsExpSer" localSheetId="10" hidden="1">[31]Profile!$AS$5:$AS$12</definedName>
    <definedName name="PrsExpSer" hidden="1">#REF!</definedName>
    <definedName name="PrsVar">#REF!</definedName>
    <definedName name="PrTax">#REF!</definedName>
    <definedName name="prx">#REF!</definedName>
    <definedName name="pryear">#REF!</definedName>
    <definedName name="PrYears" localSheetId="10" hidden="1">[51]Profile!$K$5:$AA$5</definedName>
    <definedName name="PrYears" hidden="1">#REF!</definedName>
    <definedName name="pse">#REF!</definedName>
    <definedName name="PSFvsCotton"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G_A" localSheetId="9">#REF!</definedName>
    <definedName name="PSG_A" localSheetId="10">[1]bajaj_copeland!$X$506:$AB$506</definedName>
    <definedName name="PSG_A">#REF!</definedName>
    <definedName name="psr">#REF!</definedName>
    <definedName name="PSV" localSheetId="9">#REF!</definedName>
    <definedName name="PSV">#REF!</definedName>
    <definedName name="PSYvsCY"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t_cod">#REF!</definedName>
    <definedName name="pta">#REF!</definedName>
    <definedName name="ptc">#REF!</definedName>
    <definedName name="PTC_Equity_Investment">#REF!</definedName>
    <definedName name="ptd">#REF!</definedName>
    <definedName name="pti">#REF!</definedName>
    <definedName name="pto">#REF!</definedName>
    <definedName name="PTURNOVER" localSheetId="10">[1]bajaj_copeland!$X$512:$AB$512</definedName>
    <definedName name="PTURNOVER">#REF!</definedName>
    <definedName name="PUB_FileID" hidden="1">"L10003649.xls"</definedName>
    <definedName name="PUB_UserID" hidden="1">"MAYERX"</definedName>
    <definedName name="pubwgt">#REF!</definedName>
    <definedName name="pur" localSheetId="4">#REF!</definedName>
    <definedName name="pur">[29]UploaderV4!$F$19:$AE$19</definedName>
    <definedName name="pur_finished_goods_Q">#REF!</definedName>
    <definedName name="purchase_of_finished_goods" localSheetId="9">#REF!</definedName>
    <definedName name="purchase_of_finished_goods">#REF!</definedName>
    <definedName name="purchase_of_finished_goods_qtr" localSheetId="9">#REF!</definedName>
    <definedName name="purchase_of_finished_goods_qtr">#REF!</definedName>
    <definedName name="PV_CFPS" localSheetId="9">#REF!</definedName>
    <definedName name="PV_CFPS">#REF!</definedName>
    <definedName name="PV_DPS">#REF!</definedName>
    <definedName name="PV_EPS">#REF!</definedName>
    <definedName name="PV_leases">#REF!</definedName>
    <definedName name="pv_leases_00">#REF!</definedName>
    <definedName name="pv_leases_01">#REF!</definedName>
    <definedName name="PV_leases_02">#REF!</definedName>
    <definedName name="PV_leases_03">#REF!</definedName>
    <definedName name="PV_leases_04">#REF!</definedName>
    <definedName name="pv_leases_99">#REF!</definedName>
    <definedName name="PV_NP">#REF!</definedName>
    <definedName name="PV_of_Economic_Profit">#REF!</definedName>
    <definedName name="PV_of_FCF">#REF!</definedName>
    <definedName name="PV_of_Residual_Value">#REF!</definedName>
    <definedName name="PV_Oper_lease">#REF!</definedName>
    <definedName name="PV_PRETAX">#REF!</definedName>
    <definedName name="PVGO">#REF!</definedName>
    <definedName name="PWORKING" localSheetId="10">[1]bajaj_copeland!$X$510:$AB$510</definedName>
    <definedName name="PWORKING">#REF!</definedName>
    <definedName name="pxd">#REF!</definedName>
    <definedName name="pxp">#REF!</definedName>
    <definedName name="PZX">#REF!</definedName>
    <definedName name="Q"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1.1" localSheetId="9">#REF!</definedName>
    <definedName name="Q1.1">#REF!</definedName>
    <definedName name="Q1.2" localSheetId="9">#REF!,#REF!,#REF!</definedName>
    <definedName name="Q1.2">#REF!,#REF!,#REF!</definedName>
    <definedName name="Q1.2004.06">#REF!</definedName>
    <definedName name="Q1.2005.06">#REF!</definedName>
    <definedName name="Q1.2006.06">#REF!</definedName>
    <definedName name="Q1.2007.06">#REF!</definedName>
    <definedName name="Q1.2008.06">#REF!</definedName>
    <definedName name="Q1.3" localSheetId="9">#REF!,#REF!,#REF!</definedName>
    <definedName name="Q1.3">#REF!,#REF!,#REF!</definedName>
    <definedName name="Q1.4" localSheetId="9">#REF!,#REF!,#REF!</definedName>
    <definedName name="Q1.4">#REF!,#REF!,#REF!</definedName>
    <definedName name="Q1_00">#REF!</definedName>
    <definedName name="q1_00grsmgn">#REF!</definedName>
    <definedName name="Q1_01">#REF!</definedName>
    <definedName name="q1_01grsmgn">#REF!</definedName>
    <definedName name="Q1_02">#REF!</definedName>
    <definedName name="q1_02grsmgn">#REF!</definedName>
    <definedName name="q1_03">#REF!</definedName>
    <definedName name="Q1_86">#REF!</definedName>
    <definedName name="Q1_87">#REF!</definedName>
    <definedName name="Q1_88">#REF!</definedName>
    <definedName name="Q1_89">#REF!</definedName>
    <definedName name="Q1_90">#REF!</definedName>
    <definedName name="Q1_91">#REF!</definedName>
    <definedName name="Q1_92">#REF!</definedName>
    <definedName name="Q1_93">#REF!</definedName>
    <definedName name="Q1_94">#REF!</definedName>
    <definedName name="Q1_95">#REF!</definedName>
    <definedName name="Q1_96">#REF!</definedName>
    <definedName name="q1_98">#REF!</definedName>
    <definedName name="q1_98opmgn">#REF!</definedName>
    <definedName name="Q1_99">#REF!</definedName>
    <definedName name="q1_99opmgn">#REF!</definedName>
    <definedName name="Q2.1">#REF!,#REF!,#REF!</definedName>
    <definedName name="Q2.2">#REF!,#REF!,#REF!</definedName>
    <definedName name="Q2.2004.09">#REF!</definedName>
    <definedName name="Q2.2005.09">#REF!</definedName>
    <definedName name="Q2.2006.09">#REF!</definedName>
    <definedName name="Q2.2007.09">#REF!</definedName>
    <definedName name="Q2.2008.09">#REF!</definedName>
    <definedName name="Q2.3">#REF!,#REF!,#REF!</definedName>
    <definedName name="Q2.4">#REF!,#REF!,#REF!</definedName>
    <definedName name="Q2_00">#REF!</definedName>
    <definedName name="q2_00grsmgn">#REF!</definedName>
    <definedName name="Q2_01">#REF!</definedName>
    <definedName name="q2_01grsmgn">#REF!</definedName>
    <definedName name="Q2_02">#REF!</definedName>
    <definedName name="q2_02grsmgn">#REF!</definedName>
    <definedName name="q2_03">#REF!</definedName>
    <definedName name="Q2_86">#REF!</definedName>
    <definedName name="Q2_87">#REF!</definedName>
    <definedName name="Q2_88">#REF!</definedName>
    <definedName name="Q2_89">#REF!</definedName>
    <definedName name="Q2_90">#REF!</definedName>
    <definedName name="Q2_91">#REF!</definedName>
    <definedName name="Q2_92">#REF!</definedName>
    <definedName name="Q2_93">#REF!</definedName>
    <definedName name="Q2_94">#REF!</definedName>
    <definedName name="Q2_95">#REF!</definedName>
    <definedName name="Q2_96">#REF!</definedName>
    <definedName name="q2_98opmgn">#REF!</definedName>
    <definedName name="Q2_99">#REF!</definedName>
    <definedName name="q2_99opmgn">#REF!</definedName>
    <definedName name="Q3.1">#REF!,#REF!,#REF!</definedName>
    <definedName name="Q3.2004.12">#REF!</definedName>
    <definedName name="Q3.2005.12">#REF!</definedName>
    <definedName name="Q3.2006.12">#REF!</definedName>
    <definedName name="Q3.2007.12">#REF!</definedName>
    <definedName name="Q3.2008.12">#REF!</definedName>
    <definedName name="Q3_00">#REF!</definedName>
    <definedName name="Q3_01">#REF!</definedName>
    <definedName name="q3_01grsmgn">#REF!</definedName>
    <definedName name="Q3_02">#REF!</definedName>
    <definedName name="q3_02grsmgn">#REF!</definedName>
    <definedName name="q3_03">#REF!</definedName>
    <definedName name="Q3_86">#REF!</definedName>
    <definedName name="Q3_87">#REF!</definedName>
    <definedName name="Q3_88">#REF!</definedName>
    <definedName name="Q3_89">#REF!</definedName>
    <definedName name="Q3_90">#REF!</definedName>
    <definedName name="Q3_91">#REF!</definedName>
    <definedName name="Q3_92">#REF!</definedName>
    <definedName name="Q3_93">#REF!</definedName>
    <definedName name="Q3_94">#REF!</definedName>
    <definedName name="Q3_95">#REF!</definedName>
    <definedName name="Q3_96">#REF!</definedName>
    <definedName name="q3_97opmgn">#REF!</definedName>
    <definedName name="q3_98opmgn">#REF!</definedName>
    <definedName name="Q3_99">#REF!</definedName>
    <definedName name="q3_99opmgn">#REF!</definedName>
    <definedName name="Q399_">#REF!</definedName>
    <definedName name="Q399RESULT">#REF!</definedName>
    <definedName name="Q4.2004.03">#REF!</definedName>
    <definedName name="Q4.2005.03">#REF!</definedName>
    <definedName name="Q4.2006.03">#REF!</definedName>
    <definedName name="Q4.2007.03">#REF!</definedName>
    <definedName name="Q4_00">#REF!</definedName>
    <definedName name="q4_00grsmgn">#REF!</definedName>
    <definedName name="Q4_01">#REF!</definedName>
    <definedName name="q4_01grsmgn">#REF!</definedName>
    <definedName name="Q4_02">#REF!</definedName>
    <definedName name="q4_02grsmgn">#REF!</definedName>
    <definedName name="q4_03">#REF!</definedName>
    <definedName name="Q4_86">#REF!</definedName>
    <definedName name="Q4_87">#REF!</definedName>
    <definedName name="Q4_88">#REF!</definedName>
    <definedName name="Q4_89">#REF!</definedName>
    <definedName name="Q4_90">#REF!</definedName>
    <definedName name="Q4_91">#REF!</definedName>
    <definedName name="Q4_92">#REF!</definedName>
    <definedName name="Q4_93">#REF!</definedName>
    <definedName name="Q4_94">#REF!</definedName>
    <definedName name="Q4_95">#REF!</definedName>
    <definedName name="Q4_96">#REF!</definedName>
    <definedName name="q4_97opmgn">#REF!</definedName>
    <definedName name="q4_98opmgn">#REF!</definedName>
    <definedName name="Q4_99">#REF!</definedName>
    <definedName name="q4_99grsmgn">#REF!</definedName>
    <definedName name="q4_99opmgn">#REF!</definedName>
    <definedName name="qbca" localSheetId="4">#REF!</definedName>
    <definedName name="qbca">'[40]Aardvark-Q'!$A$130:$IV$130</definedName>
    <definedName name="qbce" localSheetId="4">#REF!</definedName>
    <definedName name="qbce">'[40]Aardvark-Q'!$A$131:$IV$131</definedName>
    <definedName name="qbcl" localSheetId="4">#REF!</definedName>
    <definedName name="qbcl">'[40]Aardvark-Q'!$A$148:$IV$148</definedName>
    <definedName name="qbdp" localSheetId="4">#REF!</definedName>
    <definedName name="qbdp">'[40]Aardvark-Q'!$A$149:$IV$149</definedName>
    <definedName name="qbte" localSheetId="4">#REF!</definedName>
    <definedName name="qbte">'[40]Aardvark-Q'!$A$156:$IV$156</definedName>
    <definedName name="qbtt" localSheetId="4">#REF!</definedName>
    <definedName name="qbtt">'[40]Aardvark-Q'!$A$154:$IV$154</definedName>
    <definedName name="QEF_BM21">#REF!</definedName>
    <definedName name="QEF_BM22_N1">#REF!</definedName>
    <definedName name="QEF_BM23_N1">#REF!</definedName>
    <definedName name="QEF_BM31">#REF!</definedName>
    <definedName name="QEF_BM32_N1">#REF!</definedName>
    <definedName name="QEF_BM33_N1">#REF!</definedName>
    <definedName name="QEF_BM41">#REF!</definedName>
    <definedName name="QEF_BM42_N1">#REF!</definedName>
    <definedName name="QEF_BM43_N1">#REF!</definedName>
    <definedName name="QEF_BM51">#REF!</definedName>
    <definedName name="QEF_BM52_N1">#REF!</definedName>
    <definedName name="QEF_BM53_N1">#REF!</definedName>
    <definedName name="QL1.1">#REF!,#REF!</definedName>
    <definedName name="QL1.2">#REF!,#REF!</definedName>
    <definedName name="QL1.3">#REF!,#REF!</definedName>
    <definedName name="QL1.4">#REF!,#REF!</definedName>
    <definedName name="QL2.1">#REF!,#REF!</definedName>
    <definedName name="QL2.2">#REF!,#REF!</definedName>
    <definedName name="QL2.3">#REF!,#REF!</definedName>
    <definedName name="QL2.4">#REF!,#REF!</definedName>
    <definedName name="QL3.1">#REF!,#REF!</definedName>
    <definedName name="qpai" localSheetId="4">#REF!</definedName>
    <definedName name="qpai">'[40]Aardvark-Q'!$A$106:$IV$106</definedName>
    <definedName name="qpat" localSheetId="4">#REF!</definedName>
    <definedName name="qpat">'[40]Aardvark-Q'!$A$117:$IV$117</definedName>
    <definedName name="qpbd" localSheetId="4">#REF!</definedName>
    <definedName name="qpbd">'[40]Aardvark-Q'!$A$119:$IV$119</definedName>
    <definedName name="qpco" localSheetId="4">#REF!</definedName>
    <definedName name="qpco">'[40]Aardvark-Q'!$A$71:$IV$71</definedName>
    <definedName name="qpcx" localSheetId="4">#REF!</definedName>
    <definedName name="qpcx">'[40]Aardvark-Q'!$A$94:$IV$94</definedName>
    <definedName name="qpde" localSheetId="4">#REF!</definedName>
    <definedName name="qpde">'[40]Aardvark-Q'!$A$82:$IV$82</definedName>
    <definedName name="qpdp" localSheetId="4">#REF!</definedName>
    <definedName name="qpdp">'[40]Aardvark-Q'!$A$124:$IV$124</definedName>
    <definedName name="qpdr" localSheetId="4">#REF!</definedName>
    <definedName name="qpdr">'[40]Aardvark-Q'!$A$120:$IV$120</definedName>
    <definedName name="qpei" localSheetId="4">#REF!</definedName>
    <definedName name="qpei">'[40]Aardvark-Q'!$A$108:$IV$108</definedName>
    <definedName name="qpet" localSheetId="4">#REF!</definedName>
    <definedName name="qpet">'[40]Aardvark-Q'!$A$122:$IV$122</definedName>
    <definedName name="qpfc" localSheetId="4">#REF!</definedName>
    <definedName name="qpfc">'[40]Aardvark-Q'!$A$89:$IV$89</definedName>
    <definedName name="qpfx" localSheetId="4">#REF!</definedName>
    <definedName name="qpfx">'[40]Aardvark-Q'!$A$87:$IV$87</definedName>
    <definedName name="qpga" localSheetId="4">#REF!</definedName>
    <definedName name="qpga">'[40]Aardvark-Q'!$A$79:$IV$79</definedName>
    <definedName name="qpgv" localSheetId="4">#REF!</definedName>
    <definedName name="qpgv">'[40]Aardvark-Q'!$A$101:$IV$101</definedName>
    <definedName name="qpie" localSheetId="4">#REF!</definedName>
    <definedName name="qpie">'[40]Aardvark-Q'!$A$85:$IV$85</definedName>
    <definedName name="qpii" localSheetId="4">#REF!</definedName>
    <definedName name="qpii">'[40]Aardvark-Q'!$A$84:$IV$84</definedName>
    <definedName name="qpin" localSheetId="4">#REF!</definedName>
    <definedName name="qpin">'[40]Aardvark-Q'!$A$105:$IV$105</definedName>
    <definedName name="qpl">#REF!</definedName>
    <definedName name="qpl_pg1">#REF!</definedName>
    <definedName name="qpl_pg2">#REF!</definedName>
    <definedName name="qpmi" localSheetId="4">#REF!</definedName>
    <definedName name="qpmi">'[40]Aardvark-Q'!$A$118:$IV$118</definedName>
    <definedName name="qpni" localSheetId="4">#REF!</definedName>
    <definedName name="qpni">'[40]Aardvark-Q'!$A$86:$IV$86</definedName>
    <definedName name="qpno" localSheetId="4">#REF!</definedName>
    <definedName name="qpno">'[40]Aardvark-Q'!$A$123:$IV$123</definedName>
    <definedName name="qpnp" localSheetId="4">#REF!</definedName>
    <definedName name="qpnp">'[40]Aardvark-Q'!$A$121:$IV$121</definedName>
    <definedName name="qpof" localSheetId="4">#REF!</definedName>
    <definedName name="qpof">'[40]Aardvark-Q'!$A$104:$IV$104</definedName>
    <definedName name="qpoi" localSheetId="4">#REF!</definedName>
    <definedName name="qpoi">'[40]Aardvark-Q'!$A$107:$IV$107</definedName>
    <definedName name="qpoo" localSheetId="4">#REF!</definedName>
    <definedName name="qpoo">'[40]Aardvark-Q'!$A$90:$IV$90</definedName>
    <definedName name="qpop" localSheetId="4">#REF!</definedName>
    <definedName name="qpop">'[40]Aardvark-Q'!$A$83:$IV$83</definedName>
    <definedName name="qpov" localSheetId="4">#REF!</definedName>
    <definedName name="qpov">'[40]Aardvark-Q'!$A$102:$IV$102</definedName>
    <definedName name="qpox" localSheetId="4">#REF!</definedName>
    <definedName name="qpox">'[40]Aardvark-Q'!$A$97:$IV$97</definedName>
    <definedName name="qppb" localSheetId="4">#REF!</definedName>
    <definedName name="qppb">'[40]Aardvark-Q'!$A$99:$IV$99</definedName>
    <definedName name="qppi" localSheetId="4">#REF!</definedName>
    <definedName name="qppi">'[40]Aardvark-Q'!$A$92:$IV$92</definedName>
    <definedName name="qppl" localSheetId="4">#REF!</definedName>
    <definedName name="qppl">'[40]Aardvark-Q'!$A$103:$IV$103</definedName>
    <definedName name="qppt" localSheetId="4">#REF!</definedName>
    <definedName name="qppt">'[40]Aardvark-Q'!$A$110:$IV$110</definedName>
    <definedName name="qpre" localSheetId="4">#REF!</definedName>
    <definedName name="qpre">'[40]Aardvark-Q'!$A$69:$IV$69</definedName>
    <definedName name="qpri" localSheetId="4">#REF!</definedName>
    <definedName name="qpri">'[40]Aardvark-Q'!$A$88:$IV$88</definedName>
    <definedName name="qprl" localSheetId="4">#REF!</definedName>
    <definedName name="qprl">'[40]Aardvark-Q'!$A$96:$IV$96</definedName>
    <definedName name="qprx" localSheetId="4">#REF!</definedName>
    <definedName name="qprx">'[40]Aardvark-Q'!$A$93:$IV$93</definedName>
    <definedName name="qpse" localSheetId="4">#REF!</definedName>
    <definedName name="qpse">'[40]Aardvark-Q'!$A$77:$IV$77</definedName>
    <definedName name="qpsr" localSheetId="4">#REF!</definedName>
    <definedName name="qpsr">'[40]Aardvark-Q'!$A$95:$IV$95</definedName>
    <definedName name="qpsv" localSheetId="4">#REF!</definedName>
    <definedName name="qpsv">'[40]Aardvark-Q'!$A$100:$IV$100</definedName>
    <definedName name="qpta" localSheetId="4">#REF!</definedName>
    <definedName name="qpta">'[40]Aardvark-Q'!$A$116:$IV$116</definedName>
    <definedName name="qptc" localSheetId="4">#REF!</definedName>
    <definedName name="qptc">'[40]Aardvark-Q'!$A$112:$IV$112</definedName>
    <definedName name="qptd" localSheetId="4">#REF!</definedName>
    <definedName name="qptd">'[40]Aardvark-Q'!$A$111:$IV$111</definedName>
    <definedName name="qpti" localSheetId="4">#REF!</definedName>
    <definedName name="qpti">'[40]Aardvark-Q'!$A$91:$IV$91</definedName>
    <definedName name="qpxp" localSheetId="4">#REF!</definedName>
    <definedName name="qpxp">'[40]Aardvark-Q'!$A$98:$IV$98</definedName>
    <definedName name="qq" localSheetId="9" hidden="1">#REF!</definedName>
    <definedName name="qq" localSheetId="10" hidden="1">[94]Sheet1!#REF!</definedName>
    <definedName name="qq" hidden="1">#REF!</definedName>
    <definedName name="qqq" localSheetId="4">#REF!</definedName>
    <definedName name="qqq">'[27]P&amp;L(F)'!$G$1:$G$65536</definedName>
    <definedName name="qqqq" localSheetId="4">#REF!</definedName>
    <definedName name="qqqq">'[27]P&amp;L(F)'!#REF!</definedName>
    <definedName name="qqqqq" localSheetId="4">#REF!</definedName>
    <definedName name="qqqqq">'[27]P&amp;L(F)'!#REF!</definedName>
    <definedName name="qqqqqqqqq" localSheetId="4">#REF!</definedName>
    <definedName name="qqqqqqqqq">'[27]P&amp;L(F)'!#REF!</definedName>
    <definedName name="qqqqqqqqqqqqqqqq" localSheetId="4">#REF!</definedName>
    <definedName name="qqqqqqqqqqqqqqqq">'[27]P&amp;L(F)'!#REF!</definedName>
    <definedName name="Qtr_seq_growth" localSheetId="9">#REF!</definedName>
    <definedName name="Qtr_seq_growth">#REF!</definedName>
    <definedName name="QuanOpDmy" localSheetId="9">#REF!,#REF!,#REF!,#REF!,#REF!,#REF!</definedName>
    <definedName name="QuanOpDmy" localSheetId="10">[36]QuanOP!$A$15:$IV$15,[36]QuanOP!$A$25:$IV$25,[36]QuanOP!$A$35:$IV$35,[36]QuanOP!$A$45:$IV$45,[36]QuanOP!$A$55:$IV$55,[36]QuanOP!$A$65:$IV$65</definedName>
    <definedName name="QuanOpDmy">#REF!,#REF!,#REF!,#REF!,#REF!,#REF!</definedName>
    <definedName name="Quarter_end" localSheetId="9">#REF!</definedName>
    <definedName name="Quarter_end">#REF!</definedName>
    <definedName name="quarter_end1" localSheetId="9">#REF!</definedName>
    <definedName name="quarter_end1">#REF!</definedName>
    <definedName name="quarterly_end" localSheetId="9">#REF!</definedName>
    <definedName name="quarterly_end">#REF!</definedName>
    <definedName name="Quarters">#REF!</definedName>
    <definedName name="quick_ratio">#REF!</definedName>
    <definedName name="qwe"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rrty" localSheetId="9" hidden="1">{"'PS-SOTM'!$A$1","'PS-SOTM'!$A$2:$M$30","'PS-SOTM'!$A$31:$A$38"}</definedName>
    <definedName name="qwerrty" localSheetId="10" hidden="1">{"'PS-SOTM'!$A$1","'PS-SOTM'!$A$2:$M$30","'PS-SOTM'!$A$31:$A$38"}</definedName>
    <definedName name="qwerrty" localSheetId="4" hidden="1">{"'PS-SOTM'!$A$1","'PS-SOTM'!$A$2:$M$30","'PS-SOTM'!$A$31:$A$38"}</definedName>
    <definedName name="qwerrty" hidden="1">{"'PS-SOTM'!$A$1","'PS-SOTM'!$A$2:$M$30","'PS-SOTM'!$A$31:$A$38"}</definedName>
    <definedName name="R_" localSheetId="9">#REF!</definedName>
    <definedName name="R_" localSheetId="10">[1]bajaj_copeland!$O$10</definedName>
    <definedName name="R_">#REF!</definedName>
    <definedName name="R_D_amort_years" localSheetId="9">#REF!</definedName>
    <definedName name="R_D_amort_years">#REF!</definedName>
    <definedName name="R_D_Amortization" localSheetId="9">#REF!</definedName>
    <definedName name="R_D_Amortization">#REF!</definedName>
    <definedName name="R_D_Capzed">#REF!</definedName>
    <definedName name="R_D_expense">#REF!</definedName>
    <definedName name="R_D_expense_IS">#REF!</definedName>
    <definedName name="R_M_Breakdown">#REF!</definedName>
    <definedName name="ra">#REF!</definedName>
    <definedName name="rad">#REF!</definedName>
    <definedName name="Range_Names">#REF!</definedName>
    <definedName name="RangeLookUpYears">#REF!</definedName>
    <definedName name="ranj" localSheetId="9" hidden="1">{"'PS-SOTM'!$A$1","'PS-SOTM'!$A$2:$M$30","'PS-SOTM'!$A$31:$A$38"}</definedName>
    <definedName name="ranj" localSheetId="10" hidden="1">{"'PS-SOTM'!$A$1","'PS-SOTM'!$A$2:$M$30","'PS-SOTM'!$A$31:$A$38"}</definedName>
    <definedName name="ranj" localSheetId="4" hidden="1">{"'PS-SOTM'!$A$1","'PS-SOTM'!$A$2:$M$30","'PS-SOTM'!$A$31:$A$38"}</definedName>
    <definedName name="ranj" hidden="1">{"'PS-SOTM'!$A$1","'PS-SOTM'!$A$2:$M$30","'PS-SOTM'!$A$31:$A$38"}</definedName>
    <definedName name="ranja" localSheetId="9" hidden="1">{#N/A,#N/A,FALSE,"Status of Projects";#N/A,#N/A,FALSE,"CEA-TEC";#N/A,#N/A,FALSE,"U-Constr.";#N/A,#N/A,FALSE,"summary";#N/A,#N/A,FALSE,"PPP-3 yrs"}</definedName>
    <definedName name="ranja" localSheetId="10" hidden="1">{#N/A,#N/A,FALSE,"Status of Projects";#N/A,#N/A,FALSE,"CEA-TEC";#N/A,#N/A,FALSE,"U-Constr.";#N/A,#N/A,FALSE,"summary";#N/A,#N/A,FALSE,"PPP-3 yrs"}</definedName>
    <definedName name="ranja" localSheetId="4" hidden="1">{#N/A,#N/A,FALSE,"Status of Projects";#N/A,#N/A,FALSE,"CEA-TEC";#N/A,#N/A,FALSE,"U-Constr.";#N/A,#N/A,FALSE,"summary";#N/A,#N/A,FALSE,"PPP-3 yrs"}</definedName>
    <definedName name="ranja" hidden="1">{#N/A,#N/A,FALSE,"Status of Projects";#N/A,#N/A,FALSE,"CEA-TEC";#N/A,#N/A,FALSE,"U-Constr.";#N/A,#N/A,FALSE,"summary";#N/A,#N/A,FALSE,"PPP-3 yrs"}</definedName>
    <definedName name="ranjan" localSheetId="9" hidden="1">{"'PS-SOTM'!$A$1","'PS-SOTM'!$A$2:$M$30","'PS-SOTM'!$A$31:$A$38"}</definedName>
    <definedName name="ranjan" localSheetId="10" hidden="1">{"'PS-SOTM'!$A$1","'PS-SOTM'!$A$2:$M$30","'PS-SOTM'!$A$31:$A$38"}</definedName>
    <definedName name="ranjan" localSheetId="4" hidden="1">{"'PS-SOTM'!$A$1","'PS-SOTM'!$A$2:$M$30","'PS-SOTM'!$A$31:$A$38"}</definedName>
    <definedName name="ranjan" hidden="1">{"'PS-SOTM'!$A$1","'PS-SOTM'!$A$2:$M$30","'PS-SOTM'!$A$31:$A$38"}</definedName>
    <definedName name="RAT" localSheetId="4">#REF!</definedName>
    <definedName name="RAT">[2]Header!#REF!</definedName>
    <definedName name="RAT_AdminExpensesGrowth">#REF!</definedName>
    <definedName name="RAT_AdminIncomeGrowth">#REF!</definedName>
    <definedName name="RAT_AdminMargin">#REF!</definedName>
    <definedName name="RAT_AvgShareholdersFunds">#REF!</definedName>
    <definedName name="RAT_AvgTotalAssets">#REF!</definedName>
    <definedName name="RAT_BAN_AvgEarningAssets">#REF!</definedName>
    <definedName name="RAT_BAN_AvgEarningAssetsGrowth">#REF!</definedName>
    <definedName name="RAT_BAN_AvgEarningAssetsToTotalAssets">#REF!</definedName>
    <definedName name="RAT_BAN_BorrowingGrowth">#REF!</definedName>
    <definedName name="RAT_BAN_DepositGrowth">#REF!</definedName>
    <definedName name="RAT_BAN_ExpenseRatio">#REF!</definedName>
    <definedName name="RAT_BAN_ICG">#REF!</definedName>
    <definedName name="RAT_BAN_ICGExcExceptionals">#REF!</definedName>
    <definedName name="RAT_BAN_InterestSpread">#REF!</definedName>
    <definedName name="RAT_BAN_LLPToNetProfit">#REF!</definedName>
    <definedName name="RAT_BAN_LLPToTotalEquity">#REF!</definedName>
    <definedName name="RAT_BAN_LLPToTotalLoans">#REF!</definedName>
    <definedName name="RAT_BAN_LoanGrowth">#REF!</definedName>
    <definedName name="RAT_BAN_LoanLossProvisionToTotalAssets">#REF!</definedName>
    <definedName name="RAT_BAN_NetInterestIncomeToTotalAssets">#REF!</definedName>
    <definedName name="RAT_BAN_NetProfitExcExceptionalsToTotalAss">#REF!</definedName>
    <definedName name="RAT_BAN_NetProfitToTotalAss">#REF!</definedName>
    <definedName name="RAT_BAN_NonInterestExpenseToTotalAss">#REF!</definedName>
    <definedName name="RAT_BAN_NonInterestIncomeToOperatingIncome">#REF!</definedName>
    <definedName name="RAT_BAN_NonInterestIncomeToTotalAssets">#REF!</definedName>
    <definedName name="RAT_BAN_OperatingIncomeToTotalAss">#REF!</definedName>
    <definedName name="RAT_BAN_OtherExpenseToOperatingIncome">#REF!</definedName>
    <definedName name="RAT_BAN_OtherIncomeToOperatingIncome">#REF!</definedName>
    <definedName name="RAT_BAN_OtherIncomeToTotalAss">#REF!</definedName>
    <definedName name="RAT_BAN_PreTaxProfitToTotalAss">#REF!</definedName>
    <definedName name="RAT_BAN_Profitibility">#REF!</definedName>
    <definedName name="RAT_BAN_RevenueComposition">#REF!</definedName>
    <definedName name="RAT_BAN_TaxToTotalAssets">#REF!</definedName>
    <definedName name="RAT_BAN_TotalEarningAssetsGrowth">#REF!</definedName>
    <definedName name="RAT_BAN_User011">#REF!</definedName>
    <definedName name="RAT_BAN_User031">#REF!</definedName>
    <definedName name="RAT_BAN_User032">#REF!</definedName>
    <definedName name="RAT_BAN_User041">#REF!</definedName>
    <definedName name="RAT_BAN_User042">#REF!</definedName>
    <definedName name="RAT_BAN_User043">#REF!</definedName>
    <definedName name="RAT_BAN_User044">#REF!</definedName>
    <definedName name="RAT_BAN_User045">#REF!</definedName>
    <definedName name="RAT_BAN_User051">#REF!</definedName>
    <definedName name="RAT_BAN_User052">#REF!</definedName>
    <definedName name="RAT_BAN_User071">#REF!</definedName>
    <definedName name="RAT_BAN_User072">#REF!</definedName>
    <definedName name="RAT_BAN_User073">#REF!</definedName>
    <definedName name="RAT_BAN_User074">#REF!</definedName>
    <definedName name="RAT_BAN_User101">#REF!</definedName>
    <definedName name="RAT_BAN_User102">#REF!</definedName>
    <definedName name="RAT_BAN_User103">#REF!</definedName>
    <definedName name="RAT_BAN_User104">#REF!</definedName>
    <definedName name="RAT_BAN_User105">#REF!</definedName>
    <definedName name="RAT_BAN_User106">#REF!</definedName>
    <definedName name="RAT_BAN_User107">#REF!</definedName>
    <definedName name="RAT_BAN_User108">#REF!</definedName>
    <definedName name="RAT_BAN_User109">#REF!</definedName>
    <definedName name="RAT_BAN_User110">#REF!</definedName>
    <definedName name="RAT_BAN_User111">#REF!</definedName>
    <definedName name="RAT_BAN_User112">#REF!</definedName>
    <definedName name="RAT_BAN_User113">#REF!</definedName>
    <definedName name="RAT_BAN_User114">#REF!</definedName>
    <definedName name="RAT_BAN_User115">#REF!</definedName>
    <definedName name="RAT_BAN_User116">#REF!</definedName>
    <definedName name="RAT_BAN_User117">#REF!</definedName>
    <definedName name="RAT_BAN_User118">#REF!</definedName>
    <definedName name="RAT_BAN_User119">#REF!</definedName>
    <definedName name="RAT_BAN_User120">#REF!</definedName>
    <definedName name="RAT_BAN_User121">#REF!</definedName>
    <definedName name="RAT_BAN_User122">#REF!</definedName>
    <definedName name="RAT_BAN_User123">#REF!</definedName>
    <definedName name="RAT_BAN_YieldOnEarningAssets">#REF!</definedName>
    <definedName name="RAT_BookValue">#REF!</definedName>
    <definedName name="RAT_CapitalEmployed">#REF!</definedName>
    <definedName name="RAT_CFPS">#REF!</definedName>
    <definedName name="RAT_CFPSGrowth">#REF!</definedName>
    <definedName name="RAT_CGSGrowth">#REF!</definedName>
    <definedName name="RAT_CreditorDays">#REF!</definedName>
    <definedName name="RAT_CurrentRatio">#REF!</definedName>
    <definedName name="RAT_DebtorDays">#REF!</definedName>
    <definedName name="RAT_DebtToEquity">#REF!</definedName>
    <definedName name="RAT_DebtToOperatingCashFlow">#REF!</definedName>
    <definedName name="RAT_DividendCover">#REF!</definedName>
    <definedName name="RAT_DividendPayOutRatio">#REF!</definedName>
    <definedName name="RAT_DPS">#REF!</definedName>
    <definedName name="RAT_DPSGrowth">#REF!</definedName>
    <definedName name="RAT_EBITDAGrowth">#REF!</definedName>
    <definedName name="RAT_EBITDAMargin">#REF!</definedName>
    <definedName name="RAT_EBITGrowth">#REF!</definedName>
    <definedName name="RAT_EBITMargin">#REF!</definedName>
    <definedName name="RAT_EBITtoCapitalEmployed">#REF!</definedName>
    <definedName name="RAT_EPS">#REF!</definedName>
    <definedName name="RAT_EPSAdj">#REF!</definedName>
    <definedName name="RAT_EPSAdjusted">#REF!</definedName>
    <definedName name="RAT_EPSAdjustedExcExceptionals">#REF!</definedName>
    <definedName name="RAT_EPSExcExceptionals">#REF!</definedName>
    <definedName name="RAT_EPSExcExceptionalsAdj">#REF!</definedName>
    <definedName name="RAT_EPSFullyDiluted">#REF!</definedName>
    <definedName name="RAT_EPSFullyDilutedExcExceptionals">#REF!</definedName>
    <definedName name="RAT_EPSGrowth">#REF!</definedName>
    <definedName name="RAT_EPSGrowthExcExceptionals">#REF!</definedName>
    <definedName name="RAT_EPSGrowthexcExceptionalsRelative">#REF!</definedName>
    <definedName name="RAT_EPSGrowthRelative">#REF!</definedName>
    <definedName name="RAT_EPSGrowthToPE">#REF!</definedName>
    <definedName name="RAT_EPSGrowthToPEExcExceptionals">#REF!</definedName>
    <definedName name="RAT_EPSPrimary">#REF!</definedName>
    <definedName name="RAT_EPSPrimaryExcExceptionals">#REF!</definedName>
    <definedName name="RAT_Equity_ShareholderFunds_Switch">#REF!</definedName>
    <definedName name="RAT_EquityToAssets">#REF!</definedName>
    <definedName name="RAT_EVToEBITDA">#REF!</definedName>
    <definedName name="RAT_Gearing">#REF!</definedName>
    <definedName name="RAT_GearingGross">#REF!</definedName>
    <definedName name="RAT_GearingNet">#REF!</definedName>
    <definedName name="RAT_GearingToNTA">#REF!</definedName>
    <definedName name="RAT_GrossMargin">#REF!</definedName>
    <definedName name="RAT_GrossProfitGrowth">#REF!</definedName>
    <definedName name="RAT_InterestCover">#REF!</definedName>
    <definedName name="RAT_InventoryDays">#REF!</definedName>
    <definedName name="RAT_Liquidity">#REF!</definedName>
    <definedName name="RAT_LookUpYears">#REF!</definedName>
    <definedName name="RAT_MarketCapToEBIT">#REF!</definedName>
    <definedName name="RAT_MarketCapToEBITDA">#REF!</definedName>
    <definedName name="RAT_NetDebt">#REF!</definedName>
    <definedName name="RAT_NetDebtToTotalEquity">#REF!</definedName>
    <definedName name="RAT_NetIncomeGrowth">#REF!</definedName>
    <definedName name="RAT_NetMargin">#REF!</definedName>
    <definedName name="RAT_NetMarginExcExceptionals">#REF!</definedName>
    <definedName name="RAT_NetProfitExcExceptionalsGrowth">#REF!</definedName>
    <definedName name="RAT_OtherIncomeGrowth">#REF!</definedName>
    <definedName name="RAT_PBookValue">#REF!</definedName>
    <definedName name="RAT_PCF">#REF!</definedName>
    <definedName name="RAT_PEexcExceptionalsGrowthToEPS">#REF!</definedName>
    <definedName name="RAT_PEGrowthToEPS">#REF!</definedName>
    <definedName name="RAT_PEMarket">#REF!</definedName>
    <definedName name="RAT_PEMarketEPSGrowth">#REF!</definedName>
    <definedName name="RAT_PER">#REF!</definedName>
    <definedName name="RAT_PERelative">#REF!</definedName>
    <definedName name="RAT_PERelativeExcExceptionals">#REF!</definedName>
    <definedName name="RAT_PERExcExceptionals">#REF!</definedName>
    <definedName name="RAT_PHistoric">#REF!</definedName>
    <definedName name="RAT_PretaxGrowth">#REF!</definedName>
    <definedName name="RAT_PretaxMargin">#REF!</definedName>
    <definedName name="RAT_QuickRatio">#REF!</definedName>
    <definedName name="RAT_RevenueGrowth">#REF!</definedName>
    <definedName name="RAT_ROA">#REF!</definedName>
    <definedName name="RAT_ROAAvg">#REF!</definedName>
    <definedName name="RAT_ROAExcExceptionals">#REF!</definedName>
    <definedName name="RAT_ROAExcExceptionalsAvg">#REF!</definedName>
    <definedName name="RAT_ROCE">#REF!</definedName>
    <definedName name="RAT_ROE">#REF!</definedName>
    <definedName name="RAT_ROEAvg">#REF!</definedName>
    <definedName name="RAT_ROEExcExceptionals">#REF!</definedName>
    <definedName name="RAT_ROEExcExceptionalsAvg">#REF!</definedName>
    <definedName name="RAT_Shares">#REF!</definedName>
    <definedName name="RAT_SharesAdj">#REF!</definedName>
    <definedName name="RAT_SustainedFund">#REF!</definedName>
    <definedName name="RAT_SustainedFundCover">#REF!</definedName>
    <definedName name="RAT_TableEV">#REF!</definedName>
    <definedName name="RAT_TableEVPerShare">#REF!</definedName>
    <definedName name="RAT_TotalAssets">#REF!</definedName>
    <definedName name="RAT_TotalDebt">#REF!</definedName>
    <definedName name="RAT_TotalEquity">#REF!</definedName>
    <definedName name="RAT_WCTurnover">#REF!</definedName>
    <definedName name="RAT_Yield">#REF!</definedName>
    <definedName name="RATES" localSheetId="4">#REF!</definedName>
    <definedName name="RATES">[2]Header!#REF!</definedName>
    <definedName name="Rates___Taxes">#REF!</definedName>
    <definedName name="Rates_and_Taxes">#REF!</definedName>
    <definedName name="RATES2" localSheetId="4">#REF!</definedName>
    <definedName name="RATES2">[2]Header!#REF!</definedName>
    <definedName name="Rating">#REF!</definedName>
    <definedName name="RATIO" localSheetId="4">#REF!</definedName>
    <definedName name="RATIO">'[45]Stand alone Main'!#REF!</definedName>
    <definedName name="Ratio_Analysis" localSheetId="4">#REF!</definedName>
    <definedName name="Ratio_Analysis">[86]Model!$A$150</definedName>
    <definedName name="ratio_jb">#REF!</definedName>
    <definedName name="ratios" localSheetId="10">[1]bajaj_copeland!$C$247:$L$413</definedName>
    <definedName name="ratios">#REF!</definedName>
    <definedName name="raw_mat">#REF!</definedName>
    <definedName name="raw_mat_consumed_Q">#REF!</definedName>
    <definedName name="raw_material" localSheetId="10">[28]Template!$D$75:$T$75</definedName>
    <definedName name="raw_material">#REF!</definedName>
    <definedName name="raw_material_A">#REF!</definedName>
    <definedName name="raw_material_consumed">#REF!</definedName>
    <definedName name="raw_material_consumed_qtr">#REF!</definedName>
    <definedName name="Raw_Materials">#REF!</definedName>
    <definedName name="RawMat" localSheetId="10" hidden="1">[31]Profile!$AK$5:$AK$12</definedName>
    <definedName name="RawMat" hidden="1">#REF!</definedName>
    <definedName name="rbi_balances">#REF!</definedName>
    <definedName name="RBORDER" localSheetId="10">[1]bajaj_copeland!$A$1:$A$7</definedName>
    <definedName name="RBORDER">#REF!</definedName>
    <definedName name="rce">#REF!</definedName>
    <definedName name="rcr">#REF!</definedName>
    <definedName name="Rd">#REF!</definedName>
    <definedName name="rd_expenses" localSheetId="10">[28]Template!$D$81:$T$81</definedName>
    <definedName name="rd_expenses">#REF!</definedName>
    <definedName name="RDBdata" localSheetId="4">#REF!</definedName>
    <definedName name="RDBdata">[95]RDB!$D$1:$Q$65536</definedName>
    <definedName name="rde">#REF!</definedName>
    <definedName name="Re">#REF!</definedName>
    <definedName name="read_area">#REF!</definedName>
    <definedName name="rec">#REF!</definedName>
    <definedName name="recdate">#REF!</definedName>
    <definedName name="receivable_days">#REF!</definedName>
    <definedName name="reco">#REF!</definedName>
    <definedName name="Recom">#REF!</definedName>
    <definedName name="recommendation">#REF!</definedName>
    <definedName name="recommendationH">#REF!</definedName>
    <definedName name="_xlnm.Recorder" localSheetId="10">[1]Macro1!$A$1:$A$65536</definedName>
    <definedName name="_xlnm.Recorder">#REF!</definedName>
    <definedName name="recovery_Q">#REF!</definedName>
    <definedName name="Recruitment_effort">#REF!</definedName>
    <definedName name="recurring_pbt_ex_forex_Q">#REF!</definedName>
    <definedName name="recurring_pbt_Q">#REF!</definedName>
    <definedName name="redo" localSheetId="9" hidden="1">{#N/A,#N/A,FALSE,"ACQ_GRAPHS";#N/A,#N/A,FALSE,"T_1 GRAPHS";#N/A,#N/A,FALSE,"T_2 GRAPHS";#N/A,#N/A,FALSE,"COMB_GRAPHS"}</definedName>
    <definedName name="redo" localSheetId="10" hidden="1">{#N/A,#N/A,FALSE,"ACQ_GRAPHS";#N/A,#N/A,FALSE,"T_1 GRAPHS";#N/A,#N/A,FALSE,"T_2 GRAPHS";#N/A,#N/A,FALSE,"COMB_GRAPHS"}</definedName>
    <definedName name="redo" localSheetId="4" hidden="1">{#N/A,#N/A,FALSE,"ACQ_GRAPHS";#N/A,#N/A,FALSE,"T_1 GRAPHS";#N/A,#N/A,FALSE,"T_2 GRAPHS";#N/A,#N/A,FALSE,"COMB_GRAPHS"}</definedName>
    <definedName name="redo" hidden="1">{#N/A,#N/A,FALSE,"ACQ_GRAPHS";#N/A,#N/A,FALSE,"T_1 GRAPHS";#N/A,#N/A,FALSE,"T_2 GRAPHS";#N/A,#N/A,FALSE,"COMB_GRAPHS"}</definedName>
    <definedName name="redo1" localSheetId="9" hidden="1">{#N/A,#N/A,FALSE,"ACQ_GRAPHS";#N/A,#N/A,FALSE,"T_1 GRAPHS";#N/A,#N/A,FALSE,"T_2 GRAPHS";#N/A,#N/A,FALSE,"COMB_GRAPHS"}</definedName>
    <definedName name="redo1" localSheetId="10" hidden="1">{#N/A,#N/A,FALSE,"ACQ_GRAPHS";#N/A,#N/A,FALSE,"T_1 GRAPHS";#N/A,#N/A,FALSE,"T_2 GRAPHS";#N/A,#N/A,FALSE,"COMB_GRAPHS"}</definedName>
    <definedName name="redo1" localSheetId="4" hidden="1">{#N/A,#N/A,FALSE,"ACQ_GRAPHS";#N/A,#N/A,FALSE,"T_1 GRAPHS";#N/A,#N/A,FALSE,"T_2 GRAPHS";#N/A,#N/A,FALSE,"COMB_GRAPHS"}</definedName>
    <definedName name="redo1" hidden="1">{#N/A,#N/A,FALSE,"ACQ_GRAPHS";#N/A,#N/A,FALSE,"T_1 GRAPHS";#N/A,#N/A,FALSE,"T_2 GRAPHS";#N/A,#N/A,FALSE,"COMB_GRAPHS"}</definedName>
    <definedName name="redo2" localSheetId="9" hidden="1">{#N/A,#N/A,FALSE,"ACQ_GRAPHS";#N/A,#N/A,FALSE,"T_1 GRAPHS";#N/A,#N/A,FALSE,"T_2 GRAPHS";#N/A,#N/A,FALSE,"COMB_GRAPHS"}</definedName>
    <definedName name="redo2" localSheetId="10" hidden="1">{#N/A,#N/A,FALSE,"ACQ_GRAPHS";#N/A,#N/A,FALSE,"T_1 GRAPHS";#N/A,#N/A,FALSE,"T_2 GRAPHS";#N/A,#N/A,FALSE,"COMB_GRAPHS"}</definedName>
    <definedName name="redo2" localSheetId="4" hidden="1">{#N/A,#N/A,FALSE,"ACQ_GRAPHS";#N/A,#N/A,FALSE,"T_1 GRAPHS";#N/A,#N/A,FALSE,"T_2 GRAPHS";#N/A,#N/A,FALSE,"COMB_GRAPHS"}</definedName>
    <definedName name="redo2" hidden="1">{#N/A,#N/A,FALSE,"ACQ_GRAPHS";#N/A,#N/A,FALSE,"T_1 GRAPHS";#N/A,#N/A,FALSE,"T_2 GRAPHS";#N/A,#N/A,FALSE,"COMB_GRAPHS"}</definedName>
    <definedName name="ref2print">#REF!</definedName>
    <definedName name="ref3print">#REF!</definedName>
    <definedName name="refdate">#REF!</definedName>
    <definedName name="REGIONTAB">#REF!</definedName>
    <definedName name="relperfdata" localSheetId="9">#REF!</definedName>
    <definedName name="relperfdata">#REF!</definedName>
    <definedName name="Rent" localSheetId="9">#REF!</definedName>
    <definedName name="Rent">#REF!</definedName>
    <definedName name="rent__taxes__lighting">#REF!</definedName>
    <definedName name="rent_taxes_lighting">#REF!</definedName>
    <definedName name="RentElecAlloc">#REF!</definedName>
    <definedName name="REP" localSheetId="9">#REF!</definedName>
    <definedName name="REP">#REF!</definedName>
    <definedName name="REP_BankingRatios">#REF!</definedName>
    <definedName name="REP_CHT_DivisionalBreakdown">"Chart 416"</definedName>
    <definedName name="REP_CHT_GeographicalBreakdown">"Chart 417"</definedName>
    <definedName name="REP_CHT_Spare1">"Chart 422"</definedName>
    <definedName name="REP_CHT_Spare2">"Chart 423"</definedName>
    <definedName name="rep_eps">#REF!</definedName>
    <definedName name="REP_EWL_CorporateProfile2">#REF!</definedName>
    <definedName name="REP_EWL_Divisional_Column1">#REF!</definedName>
    <definedName name="REP_EWL_Divisional_Column2">#REF!</definedName>
    <definedName name="REP_EWL_Geographical_Column1">#REF!</definedName>
    <definedName name="REP_EWL_Geographical_Column2">#REF!</definedName>
    <definedName name="REP_EWL_Lookup_Years">#REF!</definedName>
    <definedName name="REP_EWL_Other1_Column1">#REF!</definedName>
    <definedName name="REP_EWL_Other1_Column2">#REF!</definedName>
    <definedName name="REP_EWL_Other2_Column1">#REF!</definedName>
    <definedName name="REP_EWL_Other2_Column2">#REF!</definedName>
    <definedName name="REP_EWL_QuarterlyRange">#REF!</definedName>
    <definedName name="REP_EWL_Range1">#REF!</definedName>
    <definedName name="REP_EWL_Range2">#REF!</definedName>
    <definedName name="REP_EWL_Semi_AnnualRange">#REF!</definedName>
    <definedName name="REP_EWL_Sheet1">#REF!</definedName>
    <definedName name="REP_EWL_Sheet2">#REF!</definedName>
    <definedName name="REP_EWL_Sheet3">#REF!</definedName>
    <definedName name="REP_EWL_Table">#REF!</definedName>
    <definedName name="REP_EWL_Title_Chart1">#REF!</definedName>
    <definedName name="REP_EWL_Title_Chart2">#REF!</definedName>
    <definedName name="REP_EWL_Title_Chart3">#REF!</definedName>
    <definedName name="REP_EWL_Title_Chart4">#REF!</definedName>
    <definedName name="REP_EWL_ValuationRange">#REF!</definedName>
    <definedName name="REP_HideRowsRange1">#REF!</definedName>
    <definedName name="REP_HideRowsRange10">#REF!</definedName>
    <definedName name="REP_HideRowsRange11">#REF!</definedName>
    <definedName name="REP_HideRowsRange12">#REF!</definedName>
    <definedName name="REP_HideRowsRange13">#REF!</definedName>
    <definedName name="REP_HideRowsRange14">#REF!</definedName>
    <definedName name="REP_HideRowsRange15">#REF!</definedName>
    <definedName name="REP_HideRowsRange16">#REF!</definedName>
    <definedName name="REP_HideRowsRange17">#REF!</definedName>
    <definedName name="REP_HideRowsRange18">#REF!</definedName>
    <definedName name="REP_HideRowsRange19">#REF!</definedName>
    <definedName name="REP_HideRowsRange2">#REF!</definedName>
    <definedName name="REP_HideRowsRange20">#REF!</definedName>
    <definedName name="REP_HideRowsRange21">#REF!</definedName>
    <definedName name="REP_HideRowsRange22">#REF!</definedName>
    <definedName name="REP_HideRowsRange23">#REF!</definedName>
    <definedName name="REP_HideRowsRange24">#REF!</definedName>
    <definedName name="REP_HideRowsRange25">#REF!</definedName>
    <definedName name="REP_HideRowsRange26">#REF!</definedName>
    <definedName name="REP_HideRowsRange27">#REF!</definedName>
    <definedName name="REP_HideRowsRange28">#REF!</definedName>
    <definedName name="REP_HideRowsRange29">#REF!</definedName>
    <definedName name="REP_HideRowsRange3">#REF!</definedName>
    <definedName name="REP_HideRowsRange30">#REF!</definedName>
    <definedName name="REP_HideRowsRange4">#REF!</definedName>
    <definedName name="REP_HideRowsRange5">#REF!</definedName>
    <definedName name="REP_HideRowsRange6">#REF!</definedName>
    <definedName name="REP_HideRowsRange7">#REF!</definedName>
    <definedName name="REP_HideRowsRange8">#REF!</definedName>
    <definedName name="REP_HideRowsRange9">#REF!</definedName>
    <definedName name="rep_net_profit_growth">#REF!</definedName>
    <definedName name="REP_RangeBalanceSheet">#REF!</definedName>
    <definedName name="REP_RangeCashFlow">#REF!</definedName>
    <definedName name="REP_RangeEarningsDrivers">#REF!</definedName>
    <definedName name="REP_RangeProfitLoss">#REF!</definedName>
    <definedName name="REP_RangeRatios">#REF!</definedName>
    <definedName name="REP_RangeRatios2">#REF!</definedName>
    <definedName name="REP_RatiosCapStructure">#REF!</definedName>
    <definedName name="REP_RatiosEPS">#REF!</definedName>
    <definedName name="REP_RatiosOperatingGrowth">#REF!</definedName>
    <definedName name="REP_RatiosOperatingRatios">#REF!</definedName>
    <definedName name="REP_RatiosPESharePriceMatrix">#REF!</definedName>
    <definedName name="REP_RatiosROI">#REF!</definedName>
    <definedName name="REP_RatiosSharePriceMatrix">#REF!</definedName>
    <definedName name="REP_RatiosValuation">#REF!</definedName>
    <definedName name="REP_Reporting_Table1">#REF!</definedName>
    <definedName name="REP_Reporting_Table2">#REF!</definedName>
    <definedName name="REP_Reporting_Table3">#REF!</definedName>
    <definedName name="REP_Reporting_Table4">#REF!</definedName>
    <definedName name="REP_Reporting_Table5">#REF!</definedName>
    <definedName name="REP_UserDefinedNamedRows">#REF!</definedName>
    <definedName name="Repairs___Maintenance">#REF!</definedName>
    <definedName name="Repay_Orig">#REF!</definedName>
    <definedName name="Repay_Sensitivity">#REF!</definedName>
    <definedName name="Repayment_period">#REF!</definedName>
    <definedName name="Repayment_Starts_on">#REF!</definedName>
    <definedName name="reported_eps">#REF!</definedName>
    <definedName name="Reported_net_income" localSheetId="4">#REF!</definedName>
    <definedName name="Reported_net_income">[50]Figures!#REF!</definedName>
    <definedName name="Reported_Net_profit">#REF!</definedName>
    <definedName name="Reported_Profit___Loss_for_the_period">#REF!</definedName>
    <definedName name="Reported_Profit_after_tax">#REF!</definedName>
    <definedName name="reported_profit_after_tax_Q">#REF!</definedName>
    <definedName name="reps" localSheetId="4">#REF!</definedName>
    <definedName name="reps">[29]UploaderV4!$F$226:$AE$226</definedName>
    <definedName name="reqdetails" localSheetId="4">#REF!</definedName>
    <definedName name="reqdetails">[2]Header!$O$15:$T$345</definedName>
    <definedName name="Required_cash">#REF!</definedName>
    <definedName name="Required_Cash_Core">#REF!</definedName>
    <definedName name="Required_cash_percent">#REF!</definedName>
    <definedName name="rere" hidden="1">#REF!</definedName>
    <definedName name="rerwer" localSheetId="10" hidden="1">[83]Sheet1!$CA$3</definedName>
    <definedName name="rerwer" hidden="1">#REF!</definedName>
    <definedName name="RES">#REF!</definedName>
    <definedName name="resbrr" localSheetId="4">#REF!</definedName>
    <definedName name="resbrr">[29]UploaderV4!$F$116:$AE$116</definedName>
    <definedName name="rescap" localSheetId="4">#REF!</definedName>
    <definedName name="rescap">[29]UploaderV4!$F$112:$AE$112</definedName>
    <definedName name="Reserve_for_Bad___Doubtful_Debts">#REF!</definedName>
    <definedName name="Reserve_for_Bad___Doubtful_Debts_BS">#REF!</definedName>
    <definedName name="Reserve_for_Bad_and_Doubtful_Debts">#REF!</definedName>
    <definedName name="Reserve_for_Bad_and_Doubtful_DebtsPL">#REF!</definedName>
    <definedName name="Reserve_for_Bad_Doubtful_Debts_PL">#REF!</definedName>
    <definedName name="reserves">#REF!</definedName>
    <definedName name="Reserves_And_Surplus">#REF!</definedName>
    <definedName name="Reserves_and_surplus_Q">#REF!</definedName>
    <definedName name="reserves_specific">#REF!</definedName>
    <definedName name="reserves_surplus" localSheetId="10">[28]Template!$D$224:$T$224</definedName>
    <definedName name="reserves_surplus">#REF!</definedName>
    <definedName name="reserves_surplus_A">#REF!</definedName>
    <definedName name="reserves_surplus_avg">#REF!</definedName>
    <definedName name="reserves_surplus_Q">#REF!</definedName>
    <definedName name="ReservesAndSurplus">#REF!</definedName>
    <definedName name="Residual_Value">#REF!</definedName>
    <definedName name="resoth" localSheetId="4">#REF!</definedName>
    <definedName name="resoth">[29]UploaderV4!$F$114:$AE$114</definedName>
    <definedName name="respremium" localSheetId="4">#REF!</definedName>
    <definedName name="respremium">[29]UploaderV4!$F$113:$AE$113</definedName>
    <definedName name="RESQ399">#REF!</definedName>
    <definedName name="resreval" localSheetId="4">#REF!</definedName>
    <definedName name="resreval">[29]UploaderV4!$F$111:$AE$111</definedName>
    <definedName name="RESTORECOLWIDTH">#REF!</definedName>
    <definedName name="RESTOREFORMAT">#REF!</definedName>
    <definedName name="restranslation" localSheetId="4">#REF!</definedName>
    <definedName name="restranslation">[29]UploaderV4!$F$115:$AE$115</definedName>
    <definedName name="Restructuring_charges">#REF!</definedName>
    <definedName name="Restructuring_charges_growth_fore">#REF!</definedName>
    <definedName name="Result">#REF!</definedName>
    <definedName name="resultdt" localSheetId="4">#REF!</definedName>
    <definedName name="resultdt">[29]UploaderV4!$E$342</definedName>
    <definedName name="RESULTS" localSheetId="10">[1]bajaj_copeland!$C$335:$L$378</definedName>
    <definedName name="RESULTS">#REF!</definedName>
    <definedName name="reswar" localSheetId="4">#REF!</definedName>
    <definedName name="reswar">[29]UploaderV4!$F$110:$AE$110</definedName>
    <definedName name="ret_ratios_jb">#REF!</definedName>
    <definedName name="retail_assets">#REF!</definedName>
    <definedName name="Retail_deposits_4QMA">#REF!</definedName>
    <definedName name="Retail_deposits_ex_SA_4QMA">#REF!</definedName>
    <definedName name="retail_income">#REF!</definedName>
    <definedName name="retained_earnings" localSheetId="10">[28]Template!$D$221:$T$221</definedName>
    <definedName name="retained_earnings">#REF!</definedName>
    <definedName name="retained_earnings_A">#REF!</definedName>
    <definedName name="Retained_Interest_in_Securitised_Assets">#REF!</definedName>
    <definedName name="Retained_Interest_in_Securitised_Assets_BS">#REF!</definedName>
    <definedName name="RetainedProfit">#REF!</definedName>
    <definedName name="RetEarn">#REF!</definedName>
    <definedName name="Retentions">#REF!</definedName>
    <definedName name="retirement_provision" localSheetId="10">[28]Template!$D$212:$T$212</definedName>
    <definedName name="retirement_provision">#REF!</definedName>
    <definedName name="ReturnOnAssets">#REF!</definedName>
    <definedName name="ReturnOnAverageAssets">#REF!</definedName>
    <definedName name="ReturnOnAverageEquity">#REF!</definedName>
    <definedName name="ReturnOnEquity">#REF!</definedName>
    <definedName name="returnsprint2">#REF!</definedName>
    <definedName name="reuters">#REF!</definedName>
    <definedName name="reuters_code">#REF!</definedName>
    <definedName name="reuters_codeh">#REF!</definedName>
    <definedName name="rev">#REF!</definedName>
    <definedName name="Rev_anal">#REF!</definedName>
    <definedName name="Rev_EE">#REF!</definedName>
    <definedName name="Rev_FY00" localSheetId="4">#REF!</definedName>
    <definedName name="Rev_FY00">'[64]US West Model '!$AM$12</definedName>
    <definedName name="Rev_FY97" localSheetId="4">#REF!</definedName>
    <definedName name="Rev_FY97">'[64]US West Model '!$X$12</definedName>
    <definedName name="Rev_FY98" localSheetId="4">#REF!</definedName>
    <definedName name="Rev_FY98">'[64]US West Model '!$AC$12</definedName>
    <definedName name="Rev_FY99" localSheetId="4">#REF!</definedName>
    <definedName name="Rev_FY99">'[64]US West Model '!$AH$12</definedName>
    <definedName name="rev00" localSheetId="4">#REF!</definedName>
    <definedName name="rev00">'[23]Income Statement'!$BD$17</definedName>
    <definedName name="rev1q">#REF!</definedName>
    <definedName name="rev2q">#REF!</definedName>
    <definedName name="rev3q">#REF!</definedName>
    <definedName name="rev4q">#REF!</definedName>
    <definedName name="RevalRsrv">#REF!</definedName>
    <definedName name="revaluation_reserves" localSheetId="10">[28]Template!$D$222:$T$222</definedName>
    <definedName name="revaluation_reserves">#REF!</definedName>
    <definedName name="revaluation_reserves_avg">#REF!</definedName>
    <definedName name="Revanal_client_conc">#REF!</definedName>
    <definedName name="Revanal_contract">#REF!</definedName>
    <definedName name="Revanal_Domain">#REF!</definedName>
    <definedName name="Revanal_Geog">#REF!</definedName>
    <definedName name="Revanal_Service">#REF!</definedName>
    <definedName name="Revanal_tech">#REF!</definedName>
    <definedName name="REVENUE">#REF!</definedName>
    <definedName name="Revenue_2" localSheetId="4">#REF!</definedName>
    <definedName name="Revenue_2">'[12]Rev sum'!#REF!</definedName>
    <definedName name="Revenue_Breakout">#REF!</definedName>
    <definedName name="Revenue_from_Operations">#REF!</definedName>
    <definedName name="RevGrowth">#REF!</definedName>
    <definedName name="Revision" localSheetId="4">#REF!</definedName>
    <definedName name="Revision">'[39]Sample Layout'!$Z$20</definedName>
    <definedName name="REVLOC">#REF!</definedName>
    <definedName name="revs00_q1">#REF!</definedName>
    <definedName name="revs00_q2">#REF!</definedName>
    <definedName name="revs00_q3">#REF!</definedName>
    <definedName name="revs00_q4">#REF!</definedName>
    <definedName name="revs01_q1">#REF!</definedName>
    <definedName name="revs01_q2">#REF!</definedName>
    <definedName name="revs01_q3">#REF!</definedName>
    <definedName name="revs01_q4">#REF!</definedName>
    <definedName name="revs02_q1">#REF!</definedName>
    <definedName name="revs02_q2">#REF!</definedName>
    <definedName name="revs02_q3">#REF!</definedName>
    <definedName name="revs02_q4">#REF!</definedName>
    <definedName name="revs96_q1">#REF!</definedName>
    <definedName name="revs96_q2">#REF!</definedName>
    <definedName name="revs96_q3">#REF!</definedName>
    <definedName name="revs96_q4">#REF!</definedName>
    <definedName name="revs97_q1">#REF!</definedName>
    <definedName name="revs97_q2">#REF!</definedName>
    <definedName name="revs97_q3">#REF!</definedName>
    <definedName name="revs97_q4">#REF!</definedName>
    <definedName name="revs98_q1">#REF!</definedName>
    <definedName name="revs98_q2">#REF!</definedName>
    <definedName name="revs98_q3">#REF!</definedName>
    <definedName name="revs98_q4">#REF!</definedName>
    <definedName name="revs99_q1">#REF!</definedName>
    <definedName name="revs99_q2">#REF!</definedName>
    <definedName name="revs99_q3">#REF!</definedName>
    <definedName name="revs99_q4">#REF!</definedName>
    <definedName name="Rf" localSheetId="10">[63]ESOP_issuance!$B$4</definedName>
    <definedName name="Rf">#REF!</definedName>
    <definedName name="rfa">#REF!</definedName>
    <definedName name="rfs">#REF!</definedName>
    <definedName name="RI_BM11">#REF!</definedName>
    <definedName name="RI_BM12">#REF!</definedName>
    <definedName name="RI_BM13">#REF!</definedName>
    <definedName name="RI_BM14">#REF!</definedName>
    <definedName name="RI_BM15">#REF!</definedName>
    <definedName name="RI_BM16">#REF!</definedName>
    <definedName name="RI_BM17">#REF!</definedName>
    <definedName name="RI_BM18">#REF!</definedName>
    <definedName name="RI_BM19">#REF!</definedName>
    <definedName name="RI_BM21_N0">#REF!</definedName>
    <definedName name="RI_BM22_N0">#REF!</definedName>
    <definedName name="RI_BM23">#REF!</definedName>
    <definedName name="RI_BM24">#REF!</definedName>
    <definedName name="RI_BM25">#REF!</definedName>
    <definedName name="RI_BM26_N0">#REF!</definedName>
    <definedName name="RI_BM27_N0">#REF!</definedName>
    <definedName name="RI_BM28">#REF!</definedName>
    <definedName name="RI_BM29">#REF!</definedName>
    <definedName name="ric">#REF!</definedName>
    <definedName name="rica">#REF!</definedName>
    <definedName name="ricf">#REF!</definedName>
    <definedName name="ricx">#REF!</definedName>
    <definedName name="right_border">#REF!</definedName>
    <definedName name="RIsk_free_30yr_Treas">#REF!</definedName>
    <definedName name="RiskTemplateSheetName">"myTemplate"</definedName>
    <definedName name="RJASSET">#REF!</definedName>
    <definedName name="RM">#REF!</definedName>
    <definedName name="rm_price">#REF!</definedName>
    <definedName name="RMconsumed">#REF!</definedName>
    <definedName name="RMDmy" localSheetId="10" hidden="1">[31]Input!$A$424:$AF$438</definedName>
    <definedName name="RMDmy" hidden="1">#REF!</definedName>
    <definedName name="rminr" localSheetId="4">#REF!</definedName>
    <definedName name="rminr">[29]UploaderV4!$F$22:$AE$22</definedName>
    <definedName name="RMUnit" localSheetId="10" hidden="1">[31]Profile!$AL$5:$AL$12</definedName>
    <definedName name="RMUnit" hidden="1">#REF!</definedName>
    <definedName name="rmusd" localSheetId="4">#REF!</definedName>
    <definedName name="rmusd">[29]UploaderV4!$F$21:$AE$21</definedName>
    <definedName name="RnD_expense">#REF!</definedName>
    <definedName name="RnD_expense_fore">#REF!</definedName>
    <definedName name="RnD_expense_growth_fore">#REF!</definedName>
    <definedName name="RnD_expenses_fore">#REF!</definedName>
    <definedName name="rnf">#REF!</definedName>
    <definedName name="rng_VBA_Formats" xml:space="preserve"> OFFSET(#REF!, 0, 0,#REF!)</definedName>
    <definedName name="rng_VBA_Formats_Terminal" xml:space="preserve"> OFFSET(#REF!, 0, 0,#REF!)</definedName>
    <definedName name="rng_VBA_HeaderContents">#REF!</definedName>
    <definedName name="rng_VBA_LineStyles" xml:space="preserve"> OFFSET(#REF!, 0, 0,#REF!)</definedName>
    <definedName name="rng_VBA_Names" xml:space="preserve"> OFFSET(#REF!, 0, 0,#REF!)</definedName>
    <definedName name="rnknum" localSheetId="4">#REF!</definedName>
    <definedName name="rnknum">[49]Sheet2!$DR$1</definedName>
    <definedName name="rns">#REF!</definedName>
    <definedName name="roa">#REF!</definedName>
    <definedName name="ROAA">#REF!</definedName>
    <definedName name="ROAC">#REF!</definedName>
    <definedName name="roads_July04" hidden="1">#N/A</definedName>
    <definedName name="ROAE" localSheetId="9">#REF!</definedName>
    <definedName name="ROAE">#REF!</definedName>
    <definedName name="roc_00">#REF!</definedName>
    <definedName name="roc_01">#REF!</definedName>
    <definedName name="roc_02">#REF!</definedName>
    <definedName name="roc_03">#REF!</definedName>
    <definedName name="roc_04">#REF!</definedName>
    <definedName name="roc_05">#REF!</definedName>
    <definedName name="roc_05_eso">#REF!</definedName>
    <definedName name="roc_06">#REF!</definedName>
    <definedName name="roc_06_eso">#REF!</definedName>
    <definedName name="roc_07">#REF!</definedName>
    <definedName name="roc_07_eso">#REF!</definedName>
    <definedName name="roc_08">#REF!</definedName>
    <definedName name="roc_99">#REF!</definedName>
    <definedName name="ROCE" localSheetId="9">#REF!</definedName>
    <definedName name="ROCE">#REF!</definedName>
    <definedName name="ROE" localSheetId="9">#REF!</definedName>
    <definedName name="ROE" localSheetId="10">[1]InQuart!$D$167</definedName>
    <definedName name="ROE">#REF!</definedName>
    <definedName name="roe_cost_of_capital">#REF!</definedName>
    <definedName name="roic" localSheetId="10">[1]bajaj_copeland!$X$542:$BA$589</definedName>
    <definedName name="roic">#REF!</definedName>
    <definedName name="ROIC_DCF">#REF!</definedName>
    <definedName name="roic_print" localSheetId="10">[1]bajaj_copeland!$V$543</definedName>
    <definedName name="roic_print">#REF!</definedName>
    <definedName name="roic_wacc" localSheetId="10">[28]Template!$D$334:$T$334</definedName>
    <definedName name="roic_wacc">#REF!</definedName>
    <definedName name="ROICF" localSheetId="10">[1]bajaj_copeland!$X$493</definedName>
    <definedName name="ROICF">#REF!</definedName>
    <definedName name="ROICYEARS" localSheetId="10">[1]bajaj_copeland!$AD$584</definedName>
    <definedName name="ROICYEARS">#REF!</definedName>
    <definedName name="RONE">"ARRAY(I7:T7)"</definedName>
    <definedName name="RORIC__3_yr_rolling">#REF!</definedName>
    <definedName name="rot">#REF!</definedName>
    <definedName name="ROW" localSheetId="4">#REF!</definedName>
    <definedName name="ROW">'[16]foundry '!#REF!</definedName>
    <definedName name="Rowend">#REF!</definedName>
    <definedName name="royal" localSheetId="4">#REF!</definedName>
    <definedName name="royal">[29]UploaderV4!$F$30:$AE$30</definedName>
    <definedName name="royalty" localSheetId="10">[28]Template!$D$84:$T$84</definedName>
    <definedName name="royalty">#REF!</definedName>
    <definedName name="rpat" localSheetId="4">#REF!</definedName>
    <definedName name="rpat">[29]UploaderV4!$F$60:$AE$60</definedName>
    <definedName name="rpat_after_MI">#REF!</definedName>
    <definedName name="rpat_after_MI_Q">#REF!</definedName>
    <definedName name="rr" localSheetId="10" hidden="1">[94]Sheet2!#REF!</definedName>
    <definedName name="rr" hidden="1">#REF!</definedName>
    <definedName name="rre">#REF!</definedName>
    <definedName name="RRROIC" localSheetId="10">[1]bajaj_copeland!$X$545</definedName>
    <definedName name="RRROIC">#REF!</definedName>
    <definedName name="rs" localSheetId="4">#REF!</definedName>
    <definedName name="rs">'[12]Dem-HH'!$I$13</definedName>
    <definedName name="RSAccountsPayable">#REF!</definedName>
    <definedName name="RSBasicDPS">#REF!</definedName>
    <definedName name="RSBasicEPS">#REF!</definedName>
    <definedName name="RSBookIncomeTax">#REF!</definedName>
    <definedName name="RSCapitalExpenditure">#REF!</definedName>
    <definedName name="RSCash">#REF!</definedName>
    <definedName name="RSChangesinCommonStock">#REF!</definedName>
    <definedName name="RSChangesinLTDebt">#REF!</definedName>
    <definedName name="RSChangesinOtherEquity">#REF!</definedName>
    <definedName name="RSChangesinSTDebt">#REF!</definedName>
    <definedName name="RSChangesinWorkingCapital">#REF!</definedName>
    <definedName name="RSCOGS">#REF!</definedName>
    <definedName name="RSCommonDividendsPaid">#REF!</definedName>
    <definedName name="RSCommonStock">#REF!</definedName>
    <definedName name="RSDepreciation">#REF!</definedName>
    <definedName name="RSInvestments">#REF!</definedName>
    <definedName name="RSLongTermDebt">#REF!</definedName>
    <definedName name="RSNetFixedAssets">#REF!</definedName>
    <definedName name="RSNetInterest">#REF!</definedName>
    <definedName name="RSNetRevenue">#REF!</definedName>
    <definedName name="RSNPAT">#REF!</definedName>
    <definedName name="RSOperatingProfit">#REF!</definedName>
    <definedName name="RSOtherEquity">#REF!</definedName>
    <definedName name="RSOtherIncome">#REF!</definedName>
    <definedName name="RSOtherLTAssets">#REF!</definedName>
    <definedName name="RSOtherLTLiabilities">#REF!</definedName>
    <definedName name="RSPretaxProfit">#REF!</definedName>
    <definedName name="RSReservesandPremium">#REF!</definedName>
    <definedName name="RSRetainedEarnings">#REF!</definedName>
    <definedName name="RSSGandA">#REF!</definedName>
    <definedName name="RSShortTermDebt">#REF!</definedName>
    <definedName name="RSTotalCurrentAssets">#REF!</definedName>
    <definedName name="RSTotalCurrentLiabilities">#REF!</definedName>
    <definedName name="RSTotalEquity">#REF!</definedName>
    <definedName name="RSWeightedaverageeps">#REF!</definedName>
    <definedName name="RSweightedaverageshares">#REF!</definedName>
    <definedName name="RSYears">#REF!</definedName>
    <definedName name="rtghbgfkj" hidden="1">#REF!</definedName>
    <definedName name="RTREE" localSheetId="10">[1]bajaj_copeland!$V$543</definedName>
    <definedName name="RTREE">#REF!</definedName>
    <definedName name="rtret" localSheetId="9"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0"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4"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g"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y" localSheetId="9">#REF!</definedName>
    <definedName name="rty">#REF!</definedName>
    <definedName name="Rupee_Loans_to_Equipment_Manufacturers_Secured_Doubtful" localSheetId="9">#REF!</definedName>
    <definedName name="Rupee_Loans_to_Equipment_Manufacturers_Secured_Doubtful">#REF!</definedName>
    <definedName name="Rupee_Term_Loans_from_banks" localSheetId="9">#REF!</definedName>
    <definedName name="Rupee_Term_Loans_from_banks">#REF!</definedName>
    <definedName name="Rupee_Term_Loans_to_IPP_Secured_Doubtful">#REF!</definedName>
    <definedName name="Rupee_Term_Loans_to_IPP_Unsecured">#REF!</definedName>
    <definedName name="rural">#REF!</definedName>
    <definedName name="rural_urban">#REF!</definedName>
    <definedName name="rus">#REF!</definedName>
    <definedName name="rwc">#REF!</definedName>
    <definedName name="rwoffbs" localSheetId="4">#REF!</definedName>
    <definedName name="rwoffbs">[29]UploaderV4!$F$289:$AE$289</definedName>
    <definedName name="rwt">#REF!</definedName>
    <definedName name="s" localSheetId="10">[96]Interface!$B$29</definedName>
    <definedName name="s">#REF!</definedName>
    <definedName name="S_T_obligations_under_cap_leases">#REF!</definedName>
    <definedName name="SA_Adj._Net_Profit_16">#REF!</definedName>
    <definedName name="SA_Adj._Net_Profit_17">#REF!</definedName>
    <definedName name="SA_Adj._Net_Profit_18">#REF!</definedName>
    <definedName name="SA_Adj._Net_Profit_19">#REF!</definedName>
    <definedName name="SA_Book_Value_16">#REF!</definedName>
    <definedName name="SA_Book_Value_17">#REF!</definedName>
    <definedName name="SA_Book_Value_18">#REF!</definedName>
    <definedName name="SA_Book_Value_19">#REF!</definedName>
    <definedName name="SA_Cash_16">#REF!</definedName>
    <definedName name="SA_Cash_17">#REF!</definedName>
    <definedName name="SA_Cash_18">#REF!</definedName>
    <definedName name="SA_Cash_19">#REF!</definedName>
    <definedName name="SA_Core_ROIC_16">#REF!</definedName>
    <definedName name="SA_Core_ROIC_17">#REF!</definedName>
    <definedName name="SA_Core_ROIC_18">#REF!</definedName>
    <definedName name="SA_Core_ROIC_19">#REF!</definedName>
    <definedName name="SA_Depreciation_16">#REF!</definedName>
    <definedName name="SA_Depreciation_17">#REF!</definedName>
    <definedName name="SA_Depreciation_18">#REF!</definedName>
    <definedName name="SA_Depreciation_19">#REF!</definedName>
    <definedName name="SA_Dividends_16">#REF!</definedName>
    <definedName name="SA_Dividends_17">#REF!</definedName>
    <definedName name="SA_Dividends_18">#REF!</definedName>
    <definedName name="SA_Dividends_19">#REF!</definedName>
    <definedName name="SA_Earnings_16">#REF!</definedName>
    <definedName name="SA_Earnings_17">#REF!</definedName>
    <definedName name="SA_Earnings_18">#REF!</definedName>
    <definedName name="SA_Earnings_19">#REF!</definedName>
    <definedName name="SA_EBITDA_16">#REF!</definedName>
    <definedName name="SA_EBITDA_17">#REF!</definedName>
    <definedName name="SA_EBITDA_18">#REF!</definedName>
    <definedName name="SA_EBITDA_19">#REF!</definedName>
    <definedName name="SA_EBITDA_Margin_16">#REF!</definedName>
    <definedName name="SA_EBITDA_Margin_17">#REF!</definedName>
    <definedName name="SA_EBITDA_Margin_18">#REF!</definedName>
    <definedName name="SA_EBITDA_Margin_19">#REF!</definedName>
    <definedName name="SA_EV_EBITDA__x_16">#REF!</definedName>
    <definedName name="SA_EV_EBITDA__x_17">#REF!</definedName>
    <definedName name="SA_EV_EBITDA__x_18">#REF!</definedName>
    <definedName name="SA_EV_EBITDA__x_19">#REF!</definedName>
    <definedName name="SA_FCFF_16">#REF!</definedName>
    <definedName name="SA_FCFF_17">#REF!</definedName>
    <definedName name="SA_FCFF_18">#REF!</definedName>
    <definedName name="SA_FCFF_19">#REF!</definedName>
    <definedName name="SA_Gross_Debt_16">#REF!</definedName>
    <definedName name="SA_Gross_Debt_17">#REF!</definedName>
    <definedName name="SA_Gross_Debt_18">#REF!</definedName>
    <definedName name="SA_Gross_Debt_19">#REF!</definedName>
    <definedName name="SA_Interest_Expense_16">#REF!</definedName>
    <definedName name="SA_Interest_Expense_17">#REF!</definedName>
    <definedName name="SA_Interest_Expense_18">#REF!</definedName>
    <definedName name="SA_Interest_Expense_19">#REF!</definedName>
    <definedName name="SA_Net_Margin_16">#REF!</definedName>
    <definedName name="SA_Net_Margin_17">#REF!</definedName>
    <definedName name="SA_Net_Margin_18">#REF!</definedName>
    <definedName name="SA_Net_Margin_19">#REF!</definedName>
    <definedName name="SA_Net_Profit_16">#REF!</definedName>
    <definedName name="SA_Net_Profit_17">#REF!</definedName>
    <definedName name="SA_Net_Profit_18">#REF!</definedName>
    <definedName name="SA_Net_Profit_19">#REF!</definedName>
    <definedName name="SA_Other_Income_16">#REF!</definedName>
    <definedName name="SA_Other_Income_17">#REF!</definedName>
    <definedName name="SA_Other_Income_18">#REF!</definedName>
    <definedName name="SA_Other_Income_19">#REF!</definedName>
    <definedName name="SA_P_B__x_16">#REF!</definedName>
    <definedName name="SA_P_B__x_17">#REF!</definedName>
    <definedName name="SA_P_B__x_18">#REF!</definedName>
    <definedName name="SA_P_B__x_19">#REF!</definedName>
    <definedName name="SA_P_E__x_16">#REF!</definedName>
    <definedName name="SA_P_E__x_17">#REF!</definedName>
    <definedName name="SA_P_E__x_18">#REF!</definedName>
    <definedName name="SA_P_E__x_19">#REF!</definedName>
    <definedName name="SA_ROE_16">#REF!</definedName>
    <definedName name="SA_ROE_17">#REF!</definedName>
    <definedName name="SA_ROE_18">#REF!</definedName>
    <definedName name="SA_ROE_19">#REF!</definedName>
    <definedName name="SA_Sales_16">#REF!</definedName>
    <definedName name="SA_Sales_17">#REF!</definedName>
    <definedName name="SA_Sales_18">#REF!</definedName>
    <definedName name="SA_Sales_19">#REF!</definedName>
    <definedName name="SA_Total_Equity_16">#REF!</definedName>
    <definedName name="SA_Total_Equity_17">#REF!</definedName>
    <definedName name="SA_Total_Equity_18">#REF!</definedName>
    <definedName name="SA_Total_Equity_19">#REF!</definedName>
    <definedName name="sad">#REF!</definedName>
    <definedName name="saf">#REF!</definedName>
    <definedName name="sahreholders_equity_Q" localSheetId="4">#REF!</definedName>
    <definedName name="sahreholders_equity_Q">'[97]Template-Q'!#REF!</definedName>
    <definedName name="sal">#REF!</definedName>
    <definedName name="Salaries__Wases_and_Bonus">#REF!</definedName>
    <definedName name="Salary_Bonus_Incentives">#REF!</definedName>
    <definedName name="sale2006" localSheetId="10">[98]Workings!$F$33:$F$37</definedName>
    <definedName name="sale2006">#REF!</definedName>
    <definedName name="sale2007" localSheetId="10">[98]Workings!$G$33:$G$37</definedName>
    <definedName name="sale2007">#REF!</definedName>
    <definedName name="sale2008" localSheetId="10">[98]Workings!$H$33:$H$37</definedName>
    <definedName name="sale2008">#REF!</definedName>
    <definedName name="sale2009" localSheetId="10">[98]Workings!$I$33:$I$37</definedName>
    <definedName name="sale2009">#REF!</definedName>
    <definedName name="sale2010" localSheetId="10">[98]Workings!$J$33:$J$37</definedName>
    <definedName name="sale2010">#REF!</definedName>
    <definedName name="sale2011" localSheetId="10">[98]Workings!$K$33:$K$36</definedName>
    <definedName name="sale2011">#REF!</definedName>
    <definedName name="SALE2012" localSheetId="10">[99]Workings!$L$33:$L$36</definedName>
    <definedName name="SALE2012">#REF!</definedName>
    <definedName name="Sales">#REF!</definedName>
    <definedName name="Sales_Breakdown">#REF!</definedName>
    <definedName name="Sales_Breakup">#REF!</definedName>
    <definedName name="Sales_Data">#REF!</definedName>
    <definedName name="Sales_growth">#REF!</definedName>
    <definedName name="Sales_growth_avg">#REF!</definedName>
    <definedName name="sales_netfa">#REF!</definedName>
    <definedName name="sales_real_growth">#REF!</definedName>
    <definedName name="sales_realisation">#REF!</definedName>
    <definedName name="sales_totalassets">#REF!</definedName>
    <definedName name="sales_val_growth">#REF!</definedName>
    <definedName name="sales_value">#REF!</definedName>
    <definedName name="sales_vol">#REF!</definedName>
    <definedName name="sales_vol_growth">#REF!</definedName>
    <definedName name="sales07" localSheetId="10">[100]Hist!$C$12</definedName>
    <definedName name="sales07">#REF!</definedName>
    <definedName name="sales08" localSheetId="10">[100]Hist!$D$12</definedName>
    <definedName name="sales08">#REF!</definedName>
    <definedName name="sales09" localSheetId="10">[100]Hist!$E$12</definedName>
    <definedName name="sales09">#REF!</definedName>
    <definedName name="sales10" localSheetId="10">[100]PL!$J$11</definedName>
    <definedName name="sales10">#REF!</definedName>
    <definedName name="sales11" localSheetId="10">[100]PL!$K$11</definedName>
    <definedName name="sales11">#REF!</definedName>
    <definedName name="sales12" localSheetId="10">[100]PL!$L$11</definedName>
    <definedName name="sales12">#REF!</definedName>
    <definedName name="sales13" localSheetId="10">[100]PL!$M$11</definedName>
    <definedName name="sales13">#REF!</definedName>
    <definedName name="sales14" localSheetId="10">[100]PL!$N$11</definedName>
    <definedName name="sales14">#REF!</definedName>
    <definedName name="SalesPrint" localSheetId="0">[101]!SalesPrint</definedName>
    <definedName name="SalesPrint" localSheetId="4">#REF!</definedName>
    <definedName name="SalesPrint">[101]!SalesPrint</definedName>
    <definedName name="SalesPrintA" localSheetId="0">[101]!SalesPrintA</definedName>
    <definedName name="SalesPrintA" localSheetId="4">#REF!</definedName>
    <definedName name="SalesPrintA">[101]!SalesPrintA</definedName>
    <definedName name="SalesTax">#REF!</definedName>
    <definedName name="SalestoRevenue">#REF!</definedName>
    <definedName name="salesusd" localSheetId="4">#REF!</definedName>
    <definedName name="salesusd">[29]UploaderV4!$F$12:$AE$12</definedName>
    <definedName name="salesusdlnk" localSheetId="4">#REF!</definedName>
    <definedName name="salesusdlnk">[29]UploaderV4!$F$13:$AE$13</definedName>
    <definedName name="SaleUnit" localSheetId="9" hidden="1">#REF!,#REF!,#REF!,#REF!,#REF!,#REF!,#REF!,#REF!</definedName>
    <definedName name="SaleUnit" localSheetId="10" hidden="1">[36]Input!$K$156:$Y$156,[36]Input!$K$174:$Y$174,[36]Input!$K$192:$Y$192,[36]Input!$K$210:$Y$210,[36]Input!$K$228:$Y$228,[36]Input!$K$246:$Y$246,[36]Input!$K$264:$Y$264,[36]Input!$K$282:$Y$282</definedName>
    <definedName name="SaleUnit" hidden="1">#REF!,#REF!,#REF!,#REF!,#REF!,#REF!,#REF!,#REF!</definedName>
    <definedName name="SaleVal" localSheetId="9">#REF!</definedName>
    <definedName name="SaleVal">#REF!</definedName>
    <definedName name="SaleValue" localSheetId="9" hidden="1">#REF!,#REF!,#REF!,#REF!,#REF!,#REF!,#REF!,#REF!</definedName>
    <definedName name="SaleValue" localSheetId="10" hidden="1">[36]Input!$K$159:$Y$159,[36]Input!$K$177:$Y$177,[36]Input!$K$195:$Y$195,[36]Input!$K$213:$Y$213,[36]Input!$K$231:$Y$231,[36]Input!$K$249:$Y$249,[36]Input!$K$267:$Y$267,[36]Input!$K$285:$Y$285</definedName>
    <definedName name="SaleValue" hidden="1">#REF!,#REF!,#REF!,#REF!,#REF!,#REF!,#REF!,#REF!</definedName>
    <definedName name="SaleVol" localSheetId="9">#REF!</definedName>
    <definedName name="SaleVol">#REF!</definedName>
    <definedName name="sas" localSheetId="9">#REF!</definedName>
    <definedName name="sas">#REF!</definedName>
    <definedName name="savings_deposits" localSheetId="9">#REF!</definedName>
    <definedName name="savings_deposits">#REF!</definedName>
    <definedName name="savings_deposits_Q">#REF!</definedName>
    <definedName name="sbiplr" localSheetId="4">#REF!</definedName>
    <definedName name="sbiplr">[29]UploaderV4!$F$302:$AE$302</definedName>
    <definedName name="sbiwgt">#REF!</definedName>
    <definedName name="scaff">#REF!</definedName>
    <definedName name="scbwgt">#REF!</definedName>
    <definedName name="SCENTER" localSheetId="10">'[85]Corrupt SSCI'!$B$1:$P$166</definedName>
    <definedName name="SCENTER">#REF!</definedName>
    <definedName name="Schedule" localSheetId="4">#REF!</definedName>
    <definedName name="Schedule">[2]Header!$E$5</definedName>
    <definedName name="Schroder_exceptionals" localSheetId="4">#REF!</definedName>
    <definedName name="Schroder_exceptionals">[50]Figures!#REF!</definedName>
    <definedName name="SCI_Afra">#REF!</definedName>
    <definedName name="SCi_Loan">#REF!</definedName>
    <definedName name="SCI_Suez">#REF!</definedName>
    <definedName name="sciciwgt">#REF!</definedName>
    <definedName name="Scrip_Factor">#REF!</definedName>
    <definedName name="SCrt">#REF!</definedName>
    <definedName name="ScrtDays">#REF!</definedName>
    <definedName name="sd" localSheetId="9">#REF!</definedName>
    <definedName name="sd"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bt">#REF!</definedName>
    <definedName name="SdbtDays">#REF!</definedName>
    <definedName name="sdcasc"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casc"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d" localSheetId="10" hidden="1">[69]Internet!#REF!</definedName>
    <definedName name="sdd" hidden="1">#REF!</definedName>
    <definedName name="sds" localSheetId="9" hidden="1">{"Print Summary",#N/A,FALSE,"Bal_Graphs";"Print Summary",#N/A,FALSE,"DCF";"Print Summary",#N/A,FALSE,"Graphs";"Print Summary",#N/A,FALSE,"Summary"}</definedName>
    <definedName name="sds" localSheetId="10" hidden="1">{"Print Summary",#N/A,FALSE,"Bal_Graphs";"Print Summary",#N/A,FALSE,"DCF";"Print Summary",#N/A,FALSE,"Graphs";"Print Summary",#N/A,FALSE,"Summary"}</definedName>
    <definedName name="sds" localSheetId="4" hidden="1">{"Print Summary",#N/A,FALSE,"Bal_Graphs";"Print Summary",#N/A,FALSE,"DCF";"Print Summary",#N/A,FALSE,"Graphs";"Print Summary",#N/A,FALSE,"Summary"}</definedName>
    <definedName name="sds" hidden="1">{"Print Summary",#N/A,FALSE,"Bal_Graphs";"Print Summary",#N/A,FALSE,"DCF";"Print Summary",#N/A,FALSE,"Graphs";"Print Summary",#N/A,FALSE,"Summary"}</definedName>
    <definedName name="SEARCH">#REF!</definedName>
    <definedName name="secsplit">"Chart 3"</definedName>
    <definedName name="sector" localSheetId="9">#REF!</definedName>
    <definedName name="sector">#REF!</definedName>
    <definedName name="sector_name" localSheetId="9">#REF!</definedName>
    <definedName name="sector_name">#REF!</definedName>
    <definedName name="SECTORa" localSheetId="9">#REF!</definedName>
    <definedName name="SECTORa">#REF!</definedName>
    <definedName name="SectorTable" localSheetId="4">#REF!</definedName>
    <definedName name="SectorTable">[38]Database!#REF!</definedName>
    <definedName name="Secured_borrowings_total">#REF!</definedName>
    <definedName name="secured_loans">#REF!</definedName>
    <definedName name="SecuredLoans">#REF!</definedName>
    <definedName name="sed"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f" localSheetId="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0"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g" localSheetId="9">#REF!</definedName>
    <definedName name="seg">#REF!</definedName>
    <definedName name="Segment1_income" localSheetId="9">#REF!</definedName>
    <definedName name="Segment1_income">#REF!</definedName>
    <definedName name="Segment1_income_DCF" localSheetId="9">#REF!</definedName>
    <definedName name="Segment1_income_DCF">#REF!</definedName>
    <definedName name="Segment1_income_fore">#REF!</definedName>
    <definedName name="Segment1_income_growth_fore">#REF!</definedName>
    <definedName name="Segment2_income">#REF!</definedName>
    <definedName name="Segment2_income_DCF">#REF!</definedName>
    <definedName name="Segment2_income_fore">#REF!</definedName>
    <definedName name="Segment2_income_growth_fore">#REF!</definedName>
    <definedName name="Segmental_income">#REF!</definedName>
    <definedName name="Segmt">#REF!</definedName>
    <definedName name="SelExp">#REF!</definedName>
    <definedName name="SelExpSer" localSheetId="10" hidden="1">[31]Profile!$AR$5:$AR$12</definedName>
    <definedName name="SelExpSer" hidden="1">#REF!</definedName>
    <definedName name="selling_admin_exp_Q">#REF!</definedName>
    <definedName name="selling_distribution_expenses">#REF!</definedName>
    <definedName name="Selling_general_and_admn_expenses_total">#REF!</definedName>
    <definedName name="SELSTANDARD">#REF!</definedName>
    <definedName name="selUSER" localSheetId="4">#REF!</definedName>
    <definedName name="selUSER">'[17]#REF'!#REF!</definedName>
    <definedName name="sencount" hidden="1">1</definedName>
    <definedName name="sensex">#REF!</definedName>
    <definedName name="sensit_analysis" localSheetId="9">#REF!</definedName>
    <definedName name="sensit_analysis">#REF!</definedName>
    <definedName name="sensiti">#REF!</definedName>
    <definedName name="Sensitivity" localSheetId="9">#REF!</definedName>
    <definedName name="Sensitivity">#REF!</definedName>
    <definedName name="sensprint">#REF!</definedName>
    <definedName name="Serial_number" localSheetId="9">#REF!</definedName>
    <definedName name="Serial_number" localSheetId="10">'[63]Black-scholes calculator'!$C$3</definedName>
    <definedName name="Serial_number">#REF!</definedName>
    <definedName name="sert" localSheetId="9" hidden="1">{#N/A,#N/A,FALSE,"Status of Projects";#N/A,#N/A,FALSE,"CEA-TEC";#N/A,#N/A,FALSE,"U-Constr.";#N/A,#N/A,FALSE,"summary";#N/A,#N/A,FALSE,"PPP-3 yrs"}</definedName>
    <definedName name="sert" localSheetId="10" hidden="1">{#N/A,#N/A,FALSE,"Status of Projects";#N/A,#N/A,FALSE,"CEA-TEC";#N/A,#N/A,FALSE,"U-Constr.";#N/A,#N/A,FALSE,"summary";#N/A,#N/A,FALSE,"PPP-3 yrs"}</definedName>
    <definedName name="sert" localSheetId="4" hidden="1">{#N/A,#N/A,FALSE,"Status of Projects";#N/A,#N/A,FALSE,"CEA-TEC";#N/A,#N/A,FALSE,"U-Constr.";#N/A,#N/A,FALSE,"summary";#N/A,#N/A,FALSE,"PPP-3 yrs"}</definedName>
    <definedName name="sert" hidden="1">{#N/A,#N/A,FALSE,"Status of Projects";#N/A,#N/A,FALSE,"CEA-TEC";#N/A,#N/A,FALSE,"U-Constr.";#N/A,#N/A,FALSE,"summary";#N/A,#N/A,FALSE,"PPP-3 yrs"}</definedName>
    <definedName name="Service_charses_on_Loans">#REF!</definedName>
    <definedName name="SETDATADIR">#REF!</definedName>
    <definedName name="SETOUTOUT">#REF!</definedName>
    <definedName name="SETOUTTAB">#REF!</definedName>
    <definedName name="Setup" localSheetId="4">#REF!</definedName>
    <definedName name="Setup">[2]Header!$AC$2</definedName>
    <definedName name="sew" localSheetId="4">#REF!</definedName>
    <definedName name="sew">'[37]Input_FS(Q)'!#REF!</definedName>
    <definedName name="sfdsdf" hidden="1">#N/A</definedName>
    <definedName name="sFormat" localSheetId="4">#REF!</definedName>
    <definedName name="sFormat">[2]Header!$AQ$4</definedName>
    <definedName name="sFreq" localSheetId="4">#REF!</definedName>
    <definedName name="sFreq">[2]Header!$AQ$5</definedName>
    <definedName name="sfsd" localSheetId="9" hidden="1">#REF!</definedName>
    <definedName name="sfsd" localSheetId="10" hidden="1">[102]finstats!#REF!</definedName>
    <definedName name="sfsd" hidden="1">#REF!</definedName>
    <definedName name="SG_A" localSheetId="9">#REF!</definedName>
    <definedName name="SG_A" localSheetId="10">[1]bajaj_copeland!$AV$554</definedName>
    <definedName name="SG_A">#REF!</definedName>
    <definedName name="SGA" localSheetId="9">#REF!</definedName>
    <definedName name="SGA">#REF!</definedName>
    <definedName name="sga_expenses" localSheetId="10">[28]Template!$D$79:$T$79</definedName>
    <definedName name="sga_expenses">#REF!</definedName>
    <definedName name="sga_expenses_A">#REF!</definedName>
    <definedName name="SGA_fore">#REF!</definedName>
    <definedName name="SGA_growth">#REF!</definedName>
    <definedName name="SGA_growth_avg">#REF!</definedName>
    <definedName name="SGA_growth_fore">#REF!</definedName>
    <definedName name="SGA_margin">#REF!</definedName>
    <definedName name="SGA_margin_fore">#REF!</definedName>
    <definedName name="SGCInv">#REF!</definedName>
    <definedName name="SGCInvChg" localSheetId="10" hidden="1">[51]Input!$K$99:$AA$99</definedName>
    <definedName name="SGCInvChg" hidden="1">#REF!</definedName>
    <definedName name="sh">#REF!</definedName>
    <definedName name="sh_pri">#REF!</definedName>
    <definedName name="sh_pti">#REF!</definedName>
    <definedName name="share_capital">#REF!</definedName>
    <definedName name="Share_Data" localSheetId="10">'[1]#REF'!#REF!</definedName>
    <definedName name="Share_Data">#REF!</definedName>
    <definedName name="Share_Issues">#REF!</definedName>
    <definedName name="share_of_associate_profit_qtr">#REF!</definedName>
    <definedName name="share_outstanding">#REF!</definedName>
    <definedName name="share_premium" localSheetId="10">[28]Template!$D$220:$T$220</definedName>
    <definedName name="share_premium">#REF!</definedName>
    <definedName name="share_premium_A">#REF!</definedName>
    <definedName name="Share_price">#REF!</definedName>
    <definedName name="share_vol">#REF!</definedName>
    <definedName name="sharecap" localSheetId="4">#REF!</definedName>
    <definedName name="sharecap">[29]UploaderV4!$F$108:$AE$108</definedName>
    <definedName name="ShareCapital">#REF!</definedName>
    <definedName name="Shareholder_value">#REF!</definedName>
    <definedName name="Shareholder_Value_EVA">#REF!</definedName>
    <definedName name="ShareholderFunds">#REF!</definedName>
    <definedName name="Shareholders__Funds_Q">#REF!</definedName>
    <definedName name="shareholders_equity" localSheetId="10">[28]Template!$D$226:$T$226</definedName>
    <definedName name="shareholders_equity">#REF!</definedName>
    <definedName name="shareholders_equity_A">#REF!</definedName>
    <definedName name="shareholders_equity_Q">#REF!</definedName>
    <definedName name="shareholders_funds">#REF!</definedName>
    <definedName name="Shareholders_Funds_Q">#REF!</definedName>
    <definedName name="ShareholdersFunds">#REF!</definedName>
    <definedName name="SHARES">#REF!</definedName>
    <definedName name="shares_avg">#REF!</definedName>
    <definedName name="Shares_DCF">#REF!</definedName>
    <definedName name="Shares_fore">#REF!</definedName>
    <definedName name="Shares_growth">#REF!</definedName>
    <definedName name="Shares_growth_fore">#REF!</definedName>
    <definedName name="Shares_In_Issue">#REF!</definedName>
    <definedName name="shares_outstanding_Q">#REF!</definedName>
    <definedName name="shares_qtr">#REF!</definedName>
    <definedName name="Shares_repurchase_liability">#REF!</definedName>
    <definedName name="SHARES00" localSheetId="4">#REF!,#REF!</definedName>
    <definedName name="SHARES00">[41]DATABOX!$AD$3,[41]DATABOX!$AF$1:$AF$65536</definedName>
    <definedName name="SHARES98" localSheetId="4">#REF!,#REF!</definedName>
    <definedName name="SHARES98">[41]DATABOX!$AD$3,[41]DATABOX!$AD$1:$AD$65536</definedName>
    <definedName name="SHARES99" localSheetId="4">#REF!,#REF!</definedName>
    <definedName name="SHARES99">[41]DATABOX!$AD$3,[41]DATABOX!$AE$1:$AE$65536</definedName>
    <definedName name="shinhanwgt">#REF!</definedName>
    <definedName name="SHIP" localSheetId="10">'[85]Monthly Ship+Prod'!$D$290:$D$466</definedName>
    <definedName name="SHIP">#REF!</definedName>
    <definedName name="Short_Flow_Data">#REF!</definedName>
    <definedName name="short_term_debt" localSheetId="10">[28]Template!$D$152:$T$152</definedName>
    <definedName name="short_term_debt">#REF!</definedName>
    <definedName name="shortname">#REF!</definedName>
    <definedName name="ShortTermDebt">#REF!</definedName>
    <definedName name="ShOutst">#REF!</definedName>
    <definedName name="ShowDetails" localSheetId="4">#REF!</definedName>
    <definedName name="ShowDetails">[2]Header!$AH$13</definedName>
    <definedName name="ShPrm">#REF!</definedName>
    <definedName name="ShPrmChg" localSheetId="10" hidden="1">[51]Input!$K$47:$AA$47</definedName>
    <definedName name="ShPrmChg" hidden="1">#REF!</definedName>
    <definedName name="SI_BM11">#REF!</definedName>
    <definedName name="SI_BM12">#REF!</definedName>
    <definedName name="SI_BM13">#REF!</definedName>
    <definedName name="SI_BM14">#REF!</definedName>
    <definedName name="SI_BM15">#REF!</definedName>
    <definedName name="SI_BM16">#REF!</definedName>
    <definedName name="SI_BM17">#REF!</definedName>
    <definedName name="SI_BM18">#REF!</definedName>
    <definedName name="SI_BM21_N0">#REF!</definedName>
    <definedName name="SI_BM22_P2">#REF!</definedName>
    <definedName name="SI_BM23">#REF!</definedName>
    <definedName name="SI_BM24">#REF!</definedName>
    <definedName name="SI_BM25_N0">#REF!</definedName>
    <definedName name="SI_BM26_N0">#REF!</definedName>
    <definedName name="Simplex">#REF!</definedName>
    <definedName name="sin" localSheetId="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0"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gapore">#REF!</definedName>
    <definedName name="Site_Num">#REF!</definedName>
    <definedName name="SKV_BM11">#REF!</definedName>
    <definedName name="SKV_BM12">#REF!</definedName>
    <definedName name="SKV_BM13">#REF!</definedName>
    <definedName name="SKV_BM14">#REF!</definedName>
    <definedName name="SKV_BM21">#REF!</definedName>
    <definedName name="SKV_BM22_P0">#REF!</definedName>
    <definedName name="SKV_BM23_P0">#REF!</definedName>
    <definedName name="SKV_BM24_P0">#REF!</definedName>
    <definedName name="SKV_BM31">#REF!</definedName>
    <definedName name="SKV_BM32_P0">#REF!</definedName>
    <definedName name="SKV_BM33_P0">#REF!</definedName>
    <definedName name="SKV_BM34_P0">#REF!</definedName>
    <definedName name="small_cap">#REF!</definedName>
    <definedName name="Small_is_beautiful_fund_bonds_Investment">#REF!</definedName>
    <definedName name="SNG" localSheetId="4">#REF!</definedName>
    <definedName name="SNG">[41]DATABOX!#REF!</definedName>
    <definedName name="snts">#REF!</definedName>
    <definedName name="software">#REF!</definedName>
    <definedName name="Softwares_GB">#REF!</definedName>
    <definedName name="Solv" localSheetId="4">#REF!</definedName>
    <definedName name="Solv">[26]FinancialsNew!#REF!</definedName>
    <definedName name="solver_adj" localSheetId="10" hidden="1">[4]Hi_low!#REF!</definedName>
    <definedName name="solver_adj" hidden="1">#REF!</definedName>
    <definedName name="solver_lhs10" hidden="1">#REF!</definedName>
    <definedName name="solver_lhs11" hidden="1">#REF!</definedName>
    <definedName name="solver_lhs12" hidden="1">#REF!</definedName>
    <definedName name="solver_lhs13" hidden="1">#REF!</definedName>
    <definedName name="solver_lhs14" hidden="1">#REF!</definedName>
    <definedName name="solver_lhs15" hidden="1">#REF!</definedName>
    <definedName name="solver_lhs16" hidden="1">#REF!</definedName>
    <definedName name="solver_lhs17" hidden="1">#REF!</definedName>
    <definedName name="solver_lhs18" hidden="1">#REF!</definedName>
    <definedName name="solver_lhs19" hidden="1">#REF!</definedName>
    <definedName name="solver_lhs20" hidden="1">#REF!</definedName>
    <definedName name="solver_lhs21" hidden="1">#REF!</definedName>
    <definedName name="solver_lhs22" hidden="1">#REF!</definedName>
    <definedName name="solver_lhs23" hidden="1">#REF!</definedName>
    <definedName name="solver_lhs24" hidden="1">#REF!</definedName>
    <definedName name="solver_lhs25" hidden="1">#REF!</definedName>
    <definedName name="solver_lhs26" hidden="1">#REF!</definedName>
    <definedName name="solver_lhs27" hidden="1">#REF!</definedName>
    <definedName name="solver_lhs6" hidden="1">#REF!</definedName>
    <definedName name="solver_lhs7" hidden="1">#REF!</definedName>
    <definedName name="solver_lhs8" hidden="1">#REF!</definedName>
    <definedName name="solver_lhs9" hidden="1">#REF!</definedName>
    <definedName name="solver_lin" hidden="1">0</definedName>
    <definedName name="solver_num" hidden="1">0</definedName>
    <definedName name="solver_opt" localSheetId="10" hidden="1">[4]Hi_low!#REF!</definedName>
    <definedName name="solver_opt" hidden="1">#REF!</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2</definedName>
    <definedName name="solver_rel16" hidden="1">3</definedName>
    <definedName name="solver_rel17" hidden="1">3</definedName>
    <definedName name="solver_rel18" hidden="1">3</definedName>
    <definedName name="solver_rel19" hidden="1">3</definedName>
    <definedName name="solver_rel20" hidden="1">3</definedName>
    <definedName name="solver_rel21" hidden="1">3</definedName>
    <definedName name="solver_rel22" hidden="1">2</definedName>
    <definedName name="solver_rel23" hidden="1">2</definedName>
    <definedName name="solver_rel24" hidden="1">3</definedName>
    <definedName name="solver_rel25" hidden="1">3</definedName>
    <definedName name="solver_rel26" hidden="1">1</definedName>
    <definedName name="solver_rel27" hidden="1">3</definedName>
    <definedName name="solver_rel6" hidden="1">3</definedName>
    <definedName name="solver_rel7" hidden="1">3</definedName>
    <definedName name="solver_rel8" hidden="1">3</definedName>
    <definedName name="solver_rel9" hidden="1">3</definedName>
    <definedName name="solver_rhs10" hidden="1">270</definedName>
    <definedName name="solver_rhs11" hidden="1">10</definedName>
    <definedName name="solver_rhs12" hidden="1">40</definedName>
    <definedName name="solver_rhs13" hidden="1">30</definedName>
    <definedName name="solver_rhs14" hidden="1">20</definedName>
    <definedName name="solver_rhs15" hidden="1">100</definedName>
    <definedName name="solver_rhs16" hidden="1">15</definedName>
    <definedName name="solver_rhs17" hidden="1">10</definedName>
    <definedName name="solver_rhs18" hidden="1">5</definedName>
    <definedName name="solver_rhs19" hidden="1">1</definedName>
    <definedName name="solver_rhs20" hidden="1">1</definedName>
    <definedName name="solver_rhs21" hidden="1">15</definedName>
    <definedName name="solver_rhs22" hidden="1">0</definedName>
    <definedName name="solver_rhs23" hidden="1">0</definedName>
    <definedName name="solver_rhs24" hidden="1">4</definedName>
    <definedName name="solver_rhs25" hidden="1">5</definedName>
    <definedName name="solver_rhs26" hidden="1">3</definedName>
    <definedName name="solver_rhs27" hidden="1">10</definedName>
    <definedName name="solver_rhs6" hidden="1">8.5</definedName>
    <definedName name="solver_rhs7" hidden="1">25</definedName>
    <definedName name="solver_rhs8" hidden="1">110</definedName>
    <definedName name="solver_rhs9" hidden="1">40</definedName>
    <definedName name="solver_typ" localSheetId="9" hidden="1">3</definedName>
    <definedName name="solver_typ" localSheetId="10" hidden="1">3</definedName>
    <definedName name="solver_typ" hidden="1">1</definedName>
    <definedName name="solver_val" localSheetId="9" hidden="1">0.1076</definedName>
    <definedName name="solver_val" localSheetId="10" hidden="1">0.1076</definedName>
    <definedName name="solver_val" hidden="1">0</definedName>
    <definedName name="Sources"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ources" hidden="1">{TRUE,TRUE,-1.25,-15.5,604.5,369,FALSE,FALSE,TRUE,TRUE,0,1,83,1,38,4,5,4,TRUE,TRUE,3,TRUE,1,TRUE,75,"Swvu.inputs._.raw._.data.","ACwvu.inputs._.raw._.data.",#N/A,FALSE,FALSE,0.5,0.5,0.5,0.5,2,"&amp;F","&amp;A&amp;RPage &amp;P",FALSE,FALSE,FALSE,FALSE,1,60,#N/A,#N/A,"=R1C61:R53C89","=C1:C5",#N/A,#N/A,FALSE,FALSE,FALSE,1,600,600,FALSE,FALSE,TRUE,TRUE,TRUE}</definedName>
    <definedName name="SP" localSheetId="9">#REF!</definedName>
    <definedName name="SP" localSheetId="10">[85]Perform!$A$461:$V$556</definedName>
    <definedName name="SP">#REF!</definedName>
    <definedName name="Special_Reserve_created___maintained" localSheetId="9">#REF!</definedName>
    <definedName name="Special_Reserve_created___maintained">#REF!</definedName>
    <definedName name="Special_Reserve_created_and_maintained_PL" localSheetId="9">#REF!</definedName>
    <definedName name="Special_Reserve_created_and_maintained_PL">#REF!</definedName>
    <definedName name="Special_Reserve_created_maintained_BS_1">#REF!</definedName>
    <definedName name="Special_Reserve_created_maintained_BS_2">#REF!</definedName>
    <definedName name="speciality_chem">#REF!</definedName>
    <definedName name="Spread">#REF!</definedName>
    <definedName name="Spread_on_debt">#REF!</definedName>
    <definedName name="Spread_Q">#REF!</definedName>
    <definedName name="sps">#REF!</definedName>
    <definedName name="SQEF_BM011">#REF!</definedName>
    <definedName name="SQEF_BM0110">#REF!</definedName>
    <definedName name="SQEF_BM0111">#REF!</definedName>
    <definedName name="SQEF_BM0112">#REF!</definedName>
    <definedName name="SQEF_BM0113">#REF!</definedName>
    <definedName name="SQEF_BM0114">#REF!</definedName>
    <definedName name="SQEF_BM0115">#REF!</definedName>
    <definedName name="SQEF_BM0116">#REF!</definedName>
    <definedName name="SQEF_BM0117">#REF!</definedName>
    <definedName name="SQEF_BM0118">#REF!</definedName>
    <definedName name="SQEF_BM0119">#REF!</definedName>
    <definedName name="SQEF_BM012">#REF!</definedName>
    <definedName name="SQEF_BM0120">#REF!</definedName>
    <definedName name="SQEF_BM0121">#REF!</definedName>
    <definedName name="SQEF_BM0122">#REF!</definedName>
    <definedName name="SQEF_BM0123">#REF!</definedName>
    <definedName name="SQEF_BM0124">#REF!</definedName>
    <definedName name="SQEF_BM0125">#REF!</definedName>
    <definedName name="SQEF_BM0126">#REF!</definedName>
    <definedName name="SQEF_BM0127">#REF!</definedName>
    <definedName name="SQEF_BM0128">#REF!</definedName>
    <definedName name="SQEF_BM0129">#REF!</definedName>
    <definedName name="SQEF_BM013">#REF!</definedName>
    <definedName name="SQEF_BM0130">#REF!</definedName>
    <definedName name="SQEF_BM0131">#REF!</definedName>
    <definedName name="SQEF_BM0132">#REF!</definedName>
    <definedName name="SQEF_BM0133">#REF!</definedName>
    <definedName name="SQEF_BM0134">#REF!</definedName>
    <definedName name="SQEF_BM0135">#REF!</definedName>
    <definedName name="SQEF_BM0136">#REF!</definedName>
    <definedName name="SQEF_BM0137">#REF!</definedName>
    <definedName name="SQEF_BM0138">#REF!</definedName>
    <definedName name="SQEF_BM0139">#REF!</definedName>
    <definedName name="SQEF_BM014">#REF!</definedName>
    <definedName name="SQEF_BM0140">#REF!</definedName>
    <definedName name="SQEF_BM0141">#REF!</definedName>
    <definedName name="SQEF_BM0142">#REF!</definedName>
    <definedName name="SQEF_BM0143">#REF!</definedName>
    <definedName name="SQEF_BM015">#REF!</definedName>
    <definedName name="SQEF_BM016">#REF!</definedName>
    <definedName name="SQEF_BM017">#REF!</definedName>
    <definedName name="SQEF_BM018">#REF!</definedName>
    <definedName name="SQEF_BM019">#REF!</definedName>
    <definedName name="SQEF_BM021">#REF!</definedName>
    <definedName name="SQEF_BM0210_N0">#REF!</definedName>
    <definedName name="SQEF_BM0211_N0">#REF!</definedName>
    <definedName name="SQEF_BM0212_N0">#REF!</definedName>
    <definedName name="SQEF_BM0213_N0">#REF!</definedName>
    <definedName name="SQEF_BM0214_N0">#REF!</definedName>
    <definedName name="SQEF_BM0215_N0">#REF!</definedName>
    <definedName name="SQEF_BM0216_N0">#REF!</definedName>
    <definedName name="SQEF_BM0217_N0">#REF!</definedName>
    <definedName name="SQEF_BM0218_N2">#REF!</definedName>
    <definedName name="SQEF_BM0219">#REF!</definedName>
    <definedName name="SQEF_BM022_N0">#REF!</definedName>
    <definedName name="SQEF_BM0220">#REF!</definedName>
    <definedName name="SQEF_BM0221">#REF!</definedName>
    <definedName name="SQEF_BM0222">#REF!</definedName>
    <definedName name="SQEF_BM0223">#REF!</definedName>
    <definedName name="SQEF_BM0224">#REF!</definedName>
    <definedName name="SQEF_BM0225">#REF!</definedName>
    <definedName name="SQEF_BM0226">#REF!</definedName>
    <definedName name="SQEF_BM0229_P0">#REF!</definedName>
    <definedName name="SQEF_BM023_N0">#REF!</definedName>
    <definedName name="SQEF_BM0230_P0">#REF!</definedName>
    <definedName name="SQEF_BM0231_P0">#REF!</definedName>
    <definedName name="SQEF_BM0232_P0">#REF!</definedName>
    <definedName name="SQEF_BM0233">#REF!</definedName>
    <definedName name="SQEF_BM0234_P0">#REF!</definedName>
    <definedName name="SQEF_BM0235_P0">#REF!</definedName>
    <definedName name="SQEF_BM0236_P0">#REF!</definedName>
    <definedName name="SQEF_BM0237_P0">#REF!</definedName>
    <definedName name="SQEF_BM0238_P0">#REF!</definedName>
    <definedName name="SQEF_BM0239">#REF!</definedName>
    <definedName name="SQEF_BM024_N0">#REF!</definedName>
    <definedName name="SQEF_BM0240_P0">#REF!</definedName>
    <definedName name="SQEF_BM0241_P0">#REF!</definedName>
    <definedName name="SQEF_BM0242_P0">#REF!</definedName>
    <definedName name="SQEF_BM0243_P0">#REF!</definedName>
    <definedName name="SQEF_BM025_N0">#REF!</definedName>
    <definedName name="SQEF_BM026_N0">#REF!</definedName>
    <definedName name="SQEF_BM027_N0">#REF!</definedName>
    <definedName name="SQEF_BM028_N0">#REF!</definedName>
    <definedName name="SQEF_BM029_N0">#REF!</definedName>
    <definedName name="SQEF_BM031">#REF!</definedName>
    <definedName name="SQEF_BM0310_N0">#REF!</definedName>
    <definedName name="SQEF_BM0311_N0">#REF!</definedName>
    <definedName name="SQEF_BM0312_N0">#REF!</definedName>
    <definedName name="SQEF_BM0313_N0">#REF!</definedName>
    <definedName name="SQEF_BM0314_N0">#REF!</definedName>
    <definedName name="SQEF_BM0315_N0">#REF!</definedName>
    <definedName name="SQEF_BM0316_N0">#REF!</definedName>
    <definedName name="SQEF_BM0317_N0">#REF!</definedName>
    <definedName name="SQEF_BM0318_N2">#REF!</definedName>
    <definedName name="SQEF_BM0319">#REF!</definedName>
    <definedName name="SQEF_BM032_N0">#REF!</definedName>
    <definedName name="SQEF_BM0320">#REF!</definedName>
    <definedName name="SQEF_BM0321">#REF!</definedName>
    <definedName name="SQEF_BM0322">#REF!</definedName>
    <definedName name="SQEF_BM0323">#REF!</definedName>
    <definedName name="SQEF_BM0324">#REF!</definedName>
    <definedName name="SQEF_BM0325">#REF!</definedName>
    <definedName name="SQEF_BM0326">#REF!</definedName>
    <definedName name="SQEF_BM0329_P0">#REF!</definedName>
    <definedName name="SQEF_BM033_N0">#REF!</definedName>
    <definedName name="SQEF_BM0330_P0">#REF!</definedName>
    <definedName name="SQEF_BM0331_P0">#REF!</definedName>
    <definedName name="SQEF_BM0332_P0">#REF!</definedName>
    <definedName name="SQEF_BM0333">#REF!</definedName>
    <definedName name="SQEF_BM0334_P0">#REF!</definedName>
    <definedName name="SQEF_BM0335_P0">#REF!</definedName>
    <definedName name="SQEF_BM0336_P0">#REF!</definedName>
    <definedName name="SQEF_BM0337_P0">#REF!</definedName>
    <definedName name="SQEF_BM0338_P0">#REF!</definedName>
    <definedName name="SQEF_BM0339">#REF!</definedName>
    <definedName name="SQEF_BM034_N0">#REF!</definedName>
    <definedName name="SQEF_BM0340_P0">#REF!</definedName>
    <definedName name="SQEF_BM0341_P0">#REF!</definedName>
    <definedName name="SQEF_BM0342_P0">#REF!</definedName>
    <definedName name="SQEF_BM0343_P0">#REF!</definedName>
    <definedName name="SQEF_BM035_N0">#REF!</definedName>
    <definedName name="SQEF_BM036_N0">#REF!</definedName>
    <definedName name="SQEF_BM037_N0">#REF!</definedName>
    <definedName name="SQEF_BM038_N0">#REF!</definedName>
    <definedName name="SQEF_BM039_N0">#REF!</definedName>
    <definedName name="SQEF_BM041">#REF!</definedName>
    <definedName name="SQEF_BM0410_N0">#REF!</definedName>
    <definedName name="SQEF_BM0411_N0">#REF!</definedName>
    <definedName name="SQEF_BM0412_N0">#REF!</definedName>
    <definedName name="SQEF_BM0413_N0">#REF!</definedName>
    <definedName name="SQEF_BM0414_N0">#REF!</definedName>
    <definedName name="SQEF_BM0415_N0">#REF!</definedName>
    <definedName name="SQEF_BM0416_N0">#REF!</definedName>
    <definedName name="SQEF_BM0417_N0">#REF!</definedName>
    <definedName name="SQEF_BM0418_N2">#REF!</definedName>
    <definedName name="SQEF_BM0419">#REF!</definedName>
    <definedName name="SQEF_BM042_N0">#REF!</definedName>
    <definedName name="SQEF_BM0420">#REF!</definedName>
    <definedName name="SQEF_BM0421">#REF!</definedName>
    <definedName name="SQEF_BM0422">#REF!</definedName>
    <definedName name="SQEF_BM0423">#REF!</definedName>
    <definedName name="SQEF_BM0424">#REF!</definedName>
    <definedName name="SQEF_BM0425">#REF!</definedName>
    <definedName name="SQEF_BM0426">#REF!</definedName>
    <definedName name="SQEF_BM0429_P0">#REF!</definedName>
    <definedName name="SQEF_BM043_N0">#REF!</definedName>
    <definedName name="SQEF_BM0430_P0">#REF!</definedName>
    <definedName name="SQEF_BM0431_P0">#REF!</definedName>
    <definedName name="SQEF_BM0432_P0">#REF!</definedName>
    <definedName name="SQEF_BM0433">#REF!</definedName>
    <definedName name="SQEF_BM0434_P0">#REF!</definedName>
    <definedName name="SQEF_BM0435_P0">#REF!</definedName>
    <definedName name="SQEF_BM0436_P0">#REF!</definedName>
    <definedName name="SQEF_BM0437_P0">#REF!</definedName>
    <definedName name="SQEF_BM0438_P0">#REF!</definedName>
    <definedName name="SQEF_BM0439">#REF!</definedName>
    <definedName name="SQEF_BM044_N0">#REF!</definedName>
    <definedName name="SQEF_BM0440_P0">#REF!</definedName>
    <definedName name="SQEF_BM0441_P0">#REF!</definedName>
    <definedName name="SQEF_BM0442_P0">#REF!</definedName>
    <definedName name="SQEF_BM0443_P0">#REF!</definedName>
    <definedName name="SQEF_BM045_N0">#REF!</definedName>
    <definedName name="SQEF_BM046_N0">#REF!</definedName>
    <definedName name="SQEF_BM047_N0">#REF!</definedName>
    <definedName name="SQEF_BM048_N0">#REF!</definedName>
    <definedName name="SQEF_BM049_N0">#REF!</definedName>
    <definedName name="SQEF_BM051">#REF!</definedName>
    <definedName name="SQEF_BM0510_N0">#REF!</definedName>
    <definedName name="SQEF_BM0511_N0">#REF!</definedName>
    <definedName name="SQEF_BM0512_N0">#REF!</definedName>
    <definedName name="SQEF_BM0513_N0">#REF!</definedName>
    <definedName name="SQEF_BM0514_N0">#REF!</definedName>
    <definedName name="SQEF_BM0515_N0">#REF!</definedName>
    <definedName name="SQEF_BM0516_N0">#REF!</definedName>
    <definedName name="SQEF_BM0517_N0">#REF!</definedName>
    <definedName name="SQEF_BM0518_N2">#REF!</definedName>
    <definedName name="SQEF_BM0519">#REF!</definedName>
    <definedName name="SQEF_BM052_N0">#REF!</definedName>
    <definedName name="SQEF_BM0520">#REF!</definedName>
    <definedName name="SQEF_BM0521">#REF!</definedName>
    <definedName name="SQEF_BM0522">#REF!</definedName>
    <definedName name="SQEF_BM0523">#REF!</definedName>
    <definedName name="SQEF_BM0524">#REF!</definedName>
    <definedName name="SQEF_BM0525">#REF!</definedName>
    <definedName name="SQEF_BM0526">#REF!</definedName>
    <definedName name="SQEF_BM0529_P0">#REF!</definedName>
    <definedName name="SQEF_BM053_N0">#REF!</definedName>
    <definedName name="SQEF_BM0530_P0">#REF!</definedName>
    <definedName name="SQEF_BM0531_P0">#REF!</definedName>
    <definedName name="SQEF_BM0532_P0">#REF!</definedName>
    <definedName name="SQEF_BM0533">#REF!</definedName>
    <definedName name="SQEF_BM0534_P0">#REF!</definedName>
    <definedName name="SQEF_BM0535_P0">#REF!</definedName>
    <definedName name="SQEF_BM0536_P0">#REF!</definedName>
    <definedName name="SQEF_BM0537_P0">#REF!</definedName>
    <definedName name="SQEF_BM0538_P0">#REF!</definedName>
    <definedName name="SQEF_BM0539">#REF!</definedName>
    <definedName name="SQEF_BM054_N0">#REF!</definedName>
    <definedName name="SQEF_BM0540_P0">#REF!</definedName>
    <definedName name="SQEF_BM0541_P0">#REF!</definedName>
    <definedName name="SQEF_BM0542_P0">#REF!</definedName>
    <definedName name="SQEF_BM0543_P0">#REF!</definedName>
    <definedName name="SQEF_BM055_N0">#REF!</definedName>
    <definedName name="SQEF_BM056_N0">#REF!</definedName>
    <definedName name="SQEF_BM057_N0">#REF!</definedName>
    <definedName name="SQEF_BM058_N0">#REF!</definedName>
    <definedName name="SQEF_BM059_N0">#REF!</definedName>
    <definedName name="SQEF_BM061">#REF!</definedName>
    <definedName name="SQEF_BM0610_N0">#REF!</definedName>
    <definedName name="SQEF_BM0611_N0">#REF!</definedName>
    <definedName name="SQEF_BM0612_N0">#REF!</definedName>
    <definedName name="SQEF_BM0613_N0">#REF!</definedName>
    <definedName name="SQEF_BM0614_N0">#REF!</definedName>
    <definedName name="SQEF_BM0615_N0">#REF!</definedName>
    <definedName name="SQEF_BM0616_N0">#REF!</definedName>
    <definedName name="SQEF_BM0617_N0">#REF!</definedName>
    <definedName name="SQEF_BM0618_N2">#REF!</definedName>
    <definedName name="SQEF_BM0619">#REF!</definedName>
    <definedName name="SQEF_BM062_N0">#REF!</definedName>
    <definedName name="SQEF_BM0620">#REF!</definedName>
    <definedName name="SQEF_BM0621">#REF!</definedName>
    <definedName name="SQEF_BM0622">#REF!</definedName>
    <definedName name="SQEF_BM0623">#REF!</definedName>
    <definedName name="SQEF_BM0624">#REF!</definedName>
    <definedName name="SQEF_BM0625">#REF!</definedName>
    <definedName name="SQEF_BM0626">#REF!</definedName>
    <definedName name="SQEF_BM0629_P0">#REF!</definedName>
    <definedName name="SQEF_BM063_N0">#REF!</definedName>
    <definedName name="SQEF_BM0630_P0">#REF!</definedName>
    <definedName name="SQEF_BM0631_P0">#REF!</definedName>
    <definedName name="SQEF_BM0632_P0">#REF!</definedName>
    <definedName name="SQEF_BM0633">#REF!</definedName>
    <definedName name="SQEF_BM0634_P0">#REF!</definedName>
    <definedName name="SQEF_BM0635_P0">#REF!</definedName>
    <definedName name="SQEF_BM0636_P0">#REF!</definedName>
    <definedName name="SQEF_BM0637_P0">#REF!</definedName>
    <definedName name="SQEF_BM0638_P0">#REF!</definedName>
    <definedName name="SQEF_BM0639">#REF!</definedName>
    <definedName name="SQEF_BM064_N0">#REF!</definedName>
    <definedName name="SQEF_BM0640_P0">#REF!</definedName>
    <definedName name="SQEF_BM0641_P0">#REF!</definedName>
    <definedName name="SQEF_BM0642_P0">#REF!</definedName>
    <definedName name="SQEF_BM0643_P0">#REF!</definedName>
    <definedName name="SQEF_BM065_N0">#REF!</definedName>
    <definedName name="SQEF_BM066_N0">#REF!</definedName>
    <definedName name="SQEF_BM067_N0">#REF!</definedName>
    <definedName name="SQEF_BM068_N0">#REF!</definedName>
    <definedName name="SQEF_BM069_N0">#REF!</definedName>
    <definedName name="SQEF_BM071">#REF!</definedName>
    <definedName name="SQEF_BM0710_N0">#REF!</definedName>
    <definedName name="SQEF_BM0711_N0">#REF!</definedName>
    <definedName name="SQEF_BM0712_N0">#REF!</definedName>
    <definedName name="SQEF_BM0713_N0">#REF!</definedName>
    <definedName name="SQEF_BM0714_N0">#REF!</definedName>
    <definedName name="SQEF_BM0715_N0">#REF!</definedName>
    <definedName name="SQEF_BM0716_N0">#REF!</definedName>
    <definedName name="SQEF_BM0717_N0">#REF!</definedName>
    <definedName name="SQEF_BM0718_N2">#REF!</definedName>
    <definedName name="SQEF_BM0719">#REF!</definedName>
    <definedName name="SQEF_BM072_N0">#REF!</definedName>
    <definedName name="SQEF_BM0720">#REF!</definedName>
    <definedName name="SQEF_BM0721">#REF!</definedName>
    <definedName name="SQEF_BM0722">#REF!</definedName>
    <definedName name="SQEF_BM0723">#REF!</definedName>
    <definedName name="SQEF_BM0724">#REF!</definedName>
    <definedName name="SQEF_BM0725">#REF!</definedName>
    <definedName name="SQEF_BM0726">#REF!</definedName>
    <definedName name="SQEF_BM0729_P0">#REF!</definedName>
    <definedName name="SQEF_BM073_N0">#REF!</definedName>
    <definedName name="SQEF_BM0730_P0">#REF!</definedName>
    <definedName name="SQEF_BM0731_P0">#REF!</definedName>
    <definedName name="SQEF_BM0732_P0">#REF!</definedName>
    <definedName name="SQEF_BM0733">#REF!</definedName>
    <definedName name="SQEF_BM0734_P0">#REF!</definedName>
    <definedName name="SQEF_BM0735_P0">#REF!</definedName>
    <definedName name="SQEF_BM0736_P0">#REF!</definedName>
    <definedName name="SQEF_BM0737_P0">#REF!</definedName>
    <definedName name="SQEF_BM0738_P0">#REF!</definedName>
    <definedName name="SQEF_BM0739">#REF!</definedName>
    <definedName name="SQEF_BM074_N0">#REF!</definedName>
    <definedName name="SQEF_BM0740_P0">#REF!</definedName>
    <definedName name="SQEF_BM0741_P0">#REF!</definedName>
    <definedName name="SQEF_BM0742_P0">#REF!</definedName>
    <definedName name="SQEF_BM0743_P0">#REF!</definedName>
    <definedName name="SQEF_BM075_N0">#REF!</definedName>
    <definedName name="SQEF_BM076_N0">#REF!</definedName>
    <definedName name="SQEF_BM077_N0">#REF!</definedName>
    <definedName name="SQEF_BM078_N0">#REF!</definedName>
    <definedName name="SQEF_BM079_N0">#REF!</definedName>
    <definedName name="SQEF_BM081">#REF!</definedName>
    <definedName name="SQEF_BM0810_N0">#REF!</definedName>
    <definedName name="SQEF_BM0811_N0">#REF!</definedName>
    <definedName name="SQEF_BM0812_N0">#REF!</definedName>
    <definedName name="SQEF_BM0813_N0">#REF!</definedName>
    <definedName name="SQEF_BM0814_N0">#REF!</definedName>
    <definedName name="SQEF_BM0815_N0">#REF!</definedName>
    <definedName name="SQEF_BM0816_N0">#REF!</definedName>
    <definedName name="SQEF_BM0817_N0">#REF!</definedName>
    <definedName name="SQEF_BM0818_N2">#REF!</definedName>
    <definedName name="SQEF_BM0819">#REF!</definedName>
    <definedName name="SQEF_BM082_N0">#REF!</definedName>
    <definedName name="SQEF_BM0820">#REF!</definedName>
    <definedName name="SQEF_BM0821">#REF!</definedName>
    <definedName name="SQEF_BM0822">#REF!</definedName>
    <definedName name="SQEF_BM0823">#REF!</definedName>
    <definedName name="SQEF_BM0824">#REF!</definedName>
    <definedName name="SQEF_BM0825">#REF!</definedName>
    <definedName name="SQEF_BM0826">#REF!</definedName>
    <definedName name="SQEF_BM0829_P0">#REF!</definedName>
    <definedName name="SQEF_BM083_N0">#REF!</definedName>
    <definedName name="SQEF_BM0830_P0">#REF!</definedName>
    <definedName name="SQEF_BM0831_P0">#REF!</definedName>
    <definedName name="SQEF_BM0832_P0">#REF!</definedName>
    <definedName name="SQEF_BM0833">#REF!</definedName>
    <definedName name="SQEF_BM0834_P0">#REF!</definedName>
    <definedName name="SQEF_BM0835_P0">#REF!</definedName>
    <definedName name="SQEF_BM0836_P0">#REF!</definedName>
    <definedName name="SQEF_BM0837_P0">#REF!</definedName>
    <definedName name="SQEF_BM0838_P0">#REF!</definedName>
    <definedName name="SQEF_BM0839">#REF!</definedName>
    <definedName name="SQEF_BM084_N0">#REF!</definedName>
    <definedName name="SQEF_BM0840_P0">#REF!</definedName>
    <definedName name="SQEF_BM0841_P0">#REF!</definedName>
    <definedName name="SQEF_BM0842_P0">#REF!</definedName>
    <definedName name="SQEF_BM0843_P0">#REF!</definedName>
    <definedName name="SQEF_BM085_N0">#REF!</definedName>
    <definedName name="SQEF_BM086_N0">#REF!</definedName>
    <definedName name="SQEF_BM087_N0">#REF!</definedName>
    <definedName name="SQEF_BM088_N0">#REF!</definedName>
    <definedName name="SQEF_BM089_N0">#REF!</definedName>
    <definedName name="SQEF_BM091">#REF!</definedName>
    <definedName name="SQEF_BM0910_N0">#REF!</definedName>
    <definedName name="SQEF_BM0911_N0">#REF!</definedName>
    <definedName name="SQEF_BM0912_N0">#REF!</definedName>
    <definedName name="SQEF_BM0913_N0">#REF!</definedName>
    <definedName name="SQEF_BM0914_N0">#REF!</definedName>
    <definedName name="SQEF_BM0915_N0">#REF!</definedName>
    <definedName name="SQEF_BM0916_N0">#REF!</definedName>
    <definedName name="SQEF_BM0917_N0">#REF!</definedName>
    <definedName name="SQEF_BM0918_N2">#REF!</definedName>
    <definedName name="SQEF_BM0919">#REF!</definedName>
    <definedName name="SQEF_BM092_N0">#REF!</definedName>
    <definedName name="SQEF_BM0920">#REF!</definedName>
    <definedName name="SQEF_BM0921">#REF!</definedName>
    <definedName name="SQEF_BM0922">#REF!</definedName>
    <definedName name="SQEF_BM0923">#REF!</definedName>
    <definedName name="SQEF_BM0924">#REF!</definedName>
    <definedName name="SQEF_BM0925">#REF!</definedName>
    <definedName name="SQEF_BM0926">#REF!</definedName>
    <definedName name="SQEF_BM0929_P0">#REF!</definedName>
    <definedName name="SQEF_BM093_N0">#REF!</definedName>
    <definedName name="SQEF_BM0930_P0">#REF!</definedName>
    <definedName name="SQEF_BM0931_P0">#REF!</definedName>
    <definedName name="SQEF_BM0932_P0">#REF!</definedName>
    <definedName name="SQEF_BM0933">#REF!</definedName>
    <definedName name="SQEF_BM0934_P0">#REF!</definedName>
    <definedName name="SQEF_BM0935_P0">#REF!</definedName>
    <definedName name="SQEF_BM0936_P0">#REF!</definedName>
    <definedName name="SQEF_BM0937_P0">#REF!</definedName>
    <definedName name="SQEF_BM0938_P0">#REF!</definedName>
    <definedName name="SQEF_BM0939">#REF!</definedName>
    <definedName name="SQEF_BM094_N0">#REF!</definedName>
    <definedName name="SQEF_BM0940_P0">#REF!</definedName>
    <definedName name="SQEF_BM0941_P0">#REF!</definedName>
    <definedName name="SQEF_BM0942_P0">#REF!</definedName>
    <definedName name="SQEF_BM0943_P0">#REF!</definedName>
    <definedName name="SQEF_BM095_N0">#REF!</definedName>
    <definedName name="SQEF_BM096_N0">#REF!</definedName>
    <definedName name="SQEF_BM097_N0">#REF!</definedName>
    <definedName name="SQEF_BM098_N0">#REF!</definedName>
    <definedName name="SQEF_BM099_N0">#REF!</definedName>
    <definedName name="SQEF_BM101">#REF!</definedName>
    <definedName name="SQEF_BM1010_N0">#REF!</definedName>
    <definedName name="SQEF_BM1011_N0">#REF!</definedName>
    <definedName name="SQEF_BM1012_N0">#REF!</definedName>
    <definedName name="SQEF_BM1013_N0">#REF!</definedName>
    <definedName name="SQEF_BM1014_N0">#REF!</definedName>
    <definedName name="SQEF_BM1015_N0">#REF!</definedName>
    <definedName name="SQEF_BM1016_N0">#REF!</definedName>
    <definedName name="SQEF_BM1017_N0">#REF!</definedName>
    <definedName name="SQEF_BM1018_N2">#REF!</definedName>
    <definedName name="SQEF_BM1019">#REF!</definedName>
    <definedName name="SQEF_BM102_N0">#REF!</definedName>
    <definedName name="SQEF_BM1020">#REF!</definedName>
    <definedName name="SQEF_BM1021">#REF!</definedName>
    <definedName name="SQEF_BM1022">#REF!</definedName>
    <definedName name="SQEF_BM1023">#REF!</definedName>
    <definedName name="SQEF_BM1024">#REF!</definedName>
    <definedName name="SQEF_BM1025">#REF!</definedName>
    <definedName name="SQEF_BM1026">#REF!</definedName>
    <definedName name="SQEF_BM1029_P0">#REF!</definedName>
    <definedName name="SQEF_BM103_N0">#REF!</definedName>
    <definedName name="SQEF_BM1030_P0">#REF!</definedName>
    <definedName name="SQEF_BM1031_P0">#REF!</definedName>
    <definedName name="SQEF_BM1032_P0">#REF!</definedName>
    <definedName name="SQEF_BM1033">#REF!</definedName>
    <definedName name="SQEF_BM1034_P0">#REF!</definedName>
    <definedName name="SQEF_BM1035_P0">#REF!</definedName>
    <definedName name="SQEF_BM1036_P0">#REF!</definedName>
    <definedName name="SQEF_BM1037_P0">#REF!</definedName>
    <definedName name="SQEF_BM1038_P0">#REF!</definedName>
    <definedName name="SQEF_BM1039">#REF!</definedName>
    <definedName name="SQEF_BM104_N0">#REF!</definedName>
    <definedName name="SQEF_BM1040_P0">#REF!</definedName>
    <definedName name="SQEF_BM1041_P0">#REF!</definedName>
    <definedName name="SQEF_BM1042_P0">#REF!</definedName>
    <definedName name="SQEF_BM1043_P0">#REF!</definedName>
    <definedName name="SQEF_BM105_N0">#REF!</definedName>
    <definedName name="SQEF_BM106_N0">#REF!</definedName>
    <definedName name="SQEF_BM107_N0">#REF!</definedName>
    <definedName name="SQEF_BM108_N0">#REF!</definedName>
    <definedName name="SQEF_BM109_N0">#REF!</definedName>
    <definedName name="SQEF_BM111">#REF!</definedName>
    <definedName name="SQEF_BM1110_N0">#REF!</definedName>
    <definedName name="SQEF_BM1111_N0">#REF!</definedName>
    <definedName name="SQEF_BM1112_N0">#REF!</definedName>
    <definedName name="SQEF_BM1113_N0">#REF!</definedName>
    <definedName name="SQEF_BM1114_N0">#REF!</definedName>
    <definedName name="SQEF_BM1115_N0">#REF!</definedName>
    <definedName name="SQEF_BM1116_N0">#REF!</definedName>
    <definedName name="SQEF_BM1117_N0">#REF!</definedName>
    <definedName name="SQEF_BM1118_N2">#REF!</definedName>
    <definedName name="SQEF_BM1119">#REF!</definedName>
    <definedName name="SQEF_BM112_N0">#REF!</definedName>
    <definedName name="SQEF_BM1120">#REF!</definedName>
    <definedName name="SQEF_BM1121">#REF!</definedName>
    <definedName name="SQEF_BM1122">#REF!</definedName>
    <definedName name="SQEF_BM1123">#REF!</definedName>
    <definedName name="SQEF_BM1124">#REF!</definedName>
    <definedName name="SQEF_BM1125">#REF!</definedName>
    <definedName name="SQEF_BM1126">#REF!</definedName>
    <definedName name="SQEF_BM1129_P0">#REF!</definedName>
    <definedName name="SQEF_BM113_N0">#REF!</definedName>
    <definedName name="SQEF_BM1130_P0">#REF!</definedName>
    <definedName name="SQEF_BM1131_P0">#REF!</definedName>
    <definedName name="SQEF_BM1132_P0">#REF!</definedName>
    <definedName name="SQEF_BM1133">#REF!</definedName>
    <definedName name="SQEF_BM1134_P0">#REF!</definedName>
    <definedName name="SQEF_BM1135_P0">#REF!</definedName>
    <definedName name="SQEF_BM1136_P0">#REF!</definedName>
    <definedName name="SQEF_BM1137_P0">#REF!</definedName>
    <definedName name="SQEF_BM1138_P0">#REF!</definedName>
    <definedName name="SQEF_BM1139">#REF!</definedName>
    <definedName name="SQEF_BM114_N0">#REF!</definedName>
    <definedName name="SQEF_BM1140_P0">#REF!</definedName>
    <definedName name="SQEF_BM1141_P0">#REF!</definedName>
    <definedName name="SQEF_BM1142_P0">#REF!</definedName>
    <definedName name="SQEF_BM1143_P0">#REF!</definedName>
    <definedName name="SQEF_BM115_N0">#REF!</definedName>
    <definedName name="SQEF_BM116_N0">#REF!</definedName>
    <definedName name="SQEF_BM117_N0">#REF!</definedName>
    <definedName name="SQEF_BM118_N0">#REF!</definedName>
    <definedName name="SQEF_BM119_N0">#REF!</definedName>
    <definedName name="SQEF_BM121">#REF!</definedName>
    <definedName name="SQEF_BM1210_N0">#REF!</definedName>
    <definedName name="SQEF_BM1211_N0">#REF!</definedName>
    <definedName name="SQEF_BM1212_N0">#REF!</definedName>
    <definedName name="SQEF_BM1213_N0">#REF!</definedName>
    <definedName name="SQEF_BM1214_N0">#REF!</definedName>
    <definedName name="SQEF_BM1215_N0">#REF!</definedName>
    <definedName name="SQEF_BM1216_N0">#REF!</definedName>
    <definedName name="SQEF_BM1217_N0">#REF!</definedName>
    <definedName name="SQEF_BM1218_N2">#REF!</definedName>
    <definedName name="SQEF_BM1219">#REF!</definedName>
    <definedName name="SQEF_BM122_N0">#REF!</definedName>
    <definedName name="SQEF_BM1220">#REF!</definedName>
    <definedName name="SQEF_BM1221">#REF!</definedName>
    <definedName name="SQEF_BM1222">#REF!</definedName>
    <definedName name="SQEF_BM1223">#REF!</definedName>
    <definedName name="SQEF_BM1224">#REF!</definedName>
    <definedName name="SQEF_BM1225">#REF!</definedName>
    <definedName name="SQEF_BM1226">#REF!</definedName>
    <definedName name="SQEF_BM1229_P0">#REF!</definedName>
    <definedName name="SQEF_BM123_N0">#REF!</definedName>
    <definedName name="SQEF_BM1230_P0">#REF!</definedName>
    <definedName name="SQEF_BM1231_P0">#REF!</definedName>
    <definedName name="SQEF_BM1232_P0">#REF!</definedName>
    <definedName name="SQEF_BM1233">#REF!</definedName>
    <definedName name="SQEF_BM1234_P0">#REF!</definedName>
    <definedName name="SQEF_BM1235_P0">#REF!</definedName>
    <definedName name="SQEF_BM1236_P0">#REF!</definedName>
    <definedName name="SQEF_BM1237_P0">#REF!</definedName>
    <definedName name="SQEF_BM1238_P0">#REF!</definedName>
    <definedName name="SQEF_BM1239">#REF!</definedName>
    <definedName name="SQEF_BM124_N0">#REF!</definedName>
    <definedName name="SQEF_BM1240_P0">#REF!</definedName>
    <definedName name="SQEF_BM1241_P0">#REF!</definedName>
    <definedName name="SQEF_BM1242_P0">#REF!</definedName>
    <definedName name="SQEF_BM1243_P0">#REF!</definedName>
    <definedName name="SQEF_BM125_N0">#REF!</definedName>
    <definedName name="SQEF_BM126_N0">#REF!</definedName>
    <definedName name="SQEF_BM127_N0">#REF!</definedName>
    <definedName name="SQEF_BM128_N0">#REF!</definedName>
    <definedName name="SQEF_BM129_N0">#REF!</definedName>
    <definedName name="SQEF_BM131">#REF!</definedName>
    <definedName name="SQEF_BM1310_N0">#REF!</definedName>
    <definedName name="SQEF_BM1311_N0">#REF!</definedName>
    <definedName name="SQEF_BM1312_N0">#REF!</definedName>
    <definedName name="SQEF_BM1313_N0">#REF!</definedName>
    <definedName name="SQEF_BM1314_N0">#REF!</definedName>
    <definedName name="SQEF_BM1315_N0">#REF!</definedName>
    <definedName name="SQEF_BM1316_N0">#REF!</definedName>
    <definedName name="SQEF_BM1317_N0">#REF!</definedName>
    <definedName name="SQEF_BM1318_N2">#REF!</definedName>
    <definedName name="SQEF_BM1319">#REF!</definedName>
    <definedName name="SQEF_BM132_N0">#REF!</definedName>
    <definedName name="SQEF_BM1320">#REF!</definedName>
    <definedName name="SQEF_BM1321">#REF!</definedName>
    <definedName name="SQEF_BM1322">#REF!</definedName>
    <definedName name="SQEF_BM1323">#REF!</definedName>
    <definedName name="SQEF_BM1324">#REF!</definedName>
    <definedName name="SQEF_BM1325">#REF!</definedName>
    <definedName name="SQEF_BM1326">#REF!</definedName>
    <definedName name="SQEF_BM1329_P0">#REF!</definedName>
    <definedName name="SQEF_BM133_N0">#REF!</definedName>
    <definedName name="SQEF_BM1330_P0">#REF!</definedName>
    <definedName name="SQEF_BM1331_P0">#REF!</definedName>
    <definedName name="SQEF_BM1332_P0">#REF!</definedName>
    <definedName name="SQEF_BM1333">#REF!</definedName>
    <definedName name="SQEF_BM1334_P0">#REF!</definedName>
    <definedName name="SQEF_BM1335_P0">#REF!</definedName>
    <definedName name="SQEF_BM1336_P0">#REF!</definedName>
    <definedName name="SQEF_BM1337_P0">#REF!</definedName>
    <definedName name="SQEF_BM1338_P0">#REF!</definedName>
    <definedName name="SQEF_BM1339">#REF!</definedName>
    <definedName name="SQEF_BM134_N0">#REF!</definedName>
    <definedName name="SQEF_BM1340_P0">#REF!</definedName>
    <definedName name="SQEF_BM1341_P0">#REF!</definedName>
    <definedName name="SQEF_BM1342_P0">#REF!</definedName>
    <definedName name="SQEF_BM1343_P0">#REF!</definedName>
    <definedName name="SQEF_BM135_N0">#REF!</definedName>
    <definedName name="SQEF_BM136_N0">#REF!</definedName>
    <definedName name="SQEF_BM137_N0">#REF!</definedName>
    <definedName name="SQEF_BM138_N0">#REF!</definedName>
    <definedName name="SQEF_BM139_N0">#REF!</definedName>
    <definedName name="SQEF_BM141">#REF!</definedName>
    <definedName name="SQEF_BM1410_N0">#REF!</definedName>
    <definedName name="SQEF_BM1411_N0">#REF!</definedName>
    <definedName name="SQEF_BM1412_N0">#REF!</definedName>
    <definedName name="SQEF_BM1413_N0">#REF!</definedName>
    <definedName name="SQEF_BM1414_N0">#REF!</definedName>
    <definedName name="SQEF_BM1415_N0">#REF!</definedName>
    <definedName name="SQEF_BM1416_N0">#REF!</definedName>
    <definedName name="SQEF_BM1417_N0">#REF!</definedName>
    <definedName name="SQEF_BM1418_N2">#REF!</definedName>
    <definedName name="SQEF_BM1419">#REF!</definedName>
    <definedName name="SQEF_BM142_N0">#REF!</definedName>
    <definedName name="SQEF_BM1420">#REF!</definedName>
    <definedName name="SQEF_BM1421">#REF!</definedName>
    <definedName name="SQEF_BM1422">#REF!</definedName>
    <definedName name="SQEF_BM1423">#REF!</definedName>
    <definedName name="SQEF_BM1424">#REF!</definedName>
    <definedName name="SQEF_BM1425">#REF!</definedName>
    <definedName name="SQEF_BM1426">#REF!</definedName>
    <definedName name="SQEF_BM1429_P0">#REF!</definedName>
    <definedName name="SQEF_BM143_N0">#REF!</definedName>
    <definedName name="SQEF_BM1430_P0">#REF!</definedName>
    <definedName name="SQEF_BM1431_P0">#REF!</definedName>
    <definedName name="SQEF_BM1432_P0">#REF!</definedName>
    <definedName name="SQEF_BM1433">#REF!</definedName>
    <definedName name="SQEF_BM1434_P0">#REF!</definedName>
    <definedName name="SQEF_BM1435_P0">#REF!</definedName>
    <definedName name="SQEF_BM1436_P0">#REF!</definedName>
    <definedName name="SQEF_BM1437_P0">#REF!</definedName>
    <definedName name="SQEF_BM1438_P0">#REF!</definedName>
    <definedName name="SQEF_BM1439">#REF!</definedName>
    <definedName name="SQEF_BM144_N0">#REF!</definedName>
    <definedName name="SQEF_BM1440_P0">#REF!</definedName>
    <definedName name="SQEF_BM1441_P0">#REF!</definedName>
    <definedName name="SQEF_BM1442_P0">#REF!</definedName>
    <definedName name="SQEF_BM1443_P0">#REF!</definedName>
    <definedName name="SQEF_BM145_N0">#REF!</definedName>
    <definedName name="SQEF_BM146_N0">#REF!</definedName>
    <definedName name="SQEF_BM147_N0">#REF!</definedName>
    <definedName name="SQEF_BM148_N0">#REF!</definedName>
    <definedName name="SQEF_BM149_N0">#REF!</definedName>
    <definedName name="SQEF_BM151">#REF!</definedName>
    <definedName name="SQEF_BM1510_N0">#REF!</definedName>
    <definedName name="SQEF_BM1511_N0">#REF!</definedName>
    <definedName name="SQEF_BM1512_N0">#REF!</definedName>
    <definedName name="SQEF_BM1513_N0">#REF!</definedName>
    <definedName name="SQEF_BM1514_N0">#REF!</definedName>
    <definedName name="SQEF_BM1515_N0">#REF!</definedName>
    <definedName name="SQEF_BM1516_N0">#REF!</definedName>
    <definedName name="SQEF_BM1517_N0">#REF!</definedName>
    <definedName name="SQEF_BM1518_N2">#REF!</definedName>
    <definedName name="SQEF_BM1519">#REF!</definedName>
    <definedName name="SQEF_BM152_N0">#REF!</definedName>
    <definedName name="SQEF_BM1520">#REF!</definedName>
    <definedName name="SQEF_BM1521">#REF!</definedName>
    <definedName name="SQEF_BM1522">#REF!</definedName>
    <definedName name="SQEF_BM1523">#REF!</definedName>
    <definedName name="SQEF_BM1524">#REF!</definedName>
    <definedName name="SQEF_BM1525">#REF!</definedName>
    <definedName name="SQEF_BM1526">#REF!</definedName>
    <definedName name="SQEF_BM1529_P0">#REF!</definedName>
    <definedName name="SQEF_BM153_N0">#REF!</definedName>
    <definedName name="SQEF_BM1530_P0">#REF!</definedName>
    <definedName name="SQEF_BM1531_P0">#REF!</definedName>
    <definedName name="SQEF_BM1532_P0">#REF!</definedName>
    <definedName name="SQEF_BM1533">#REF!</definedName>
    <definedName name="SQEF_BM1534_P0">#REF!</definedName>
    <definedName name="SQEF_BM1535_P0">#REF!</definedName>
    <definedName name="SQEF_BM1536_P0">#REF!</definedName>
    <definedName name="SQEF_BM1537_P0">#REF!</definedName>
    <definedName name="SQEF_BM1538_P0">#REF!</definedName>
    <definedName name="SQEF_BM1539">#REF!</definedName>
    <definedName name="SQEF_BM154_N0">#REF!</definedName>
    <definedName name="SQEF_BM1540_P0">#REF!</definedName>
    <definedName name="SQEF_BM1541_P0">#REF!</definedName>
    <definedName name="SQEF_BM1542_P0">#REF!</definedName>
    <definedName name="SQEF_BM1543_P0">#REF!</definedName>
    <definedName name="SQEF_BM155_N0">#REF!</definedName>
    <definedName name="SQEF_BM156_N0">#REF!</definedName>
    <definedName name="SQEF_BM157_N0">#REF!</definedName>
    <definedName name="SQEF_BM158_N0">#REF!</definedName>
    <definedName name="SQEF_BM159_N0">#REF!</definedName>
    <definedName name="SQEF_BM161">#REF!</definedName>
    <definedName name="SQEF_BM1610_N0">#REF!</definedName>
    <definedName name="SQEF_BM1611_N0">#REF!</definedName>
    <definedName name="SQEF_BM1612_N0">#REF!</definedName>
    <definedName name="SQEF_BM1613_N0">#REF!</definedName>
    <definedName name="SQEF_BM1614_N0">#REF!</definedName>
    <definedName name="SQEF_BM1615_N0">#REF!</definedName>
    <definedName name="SQEF_BM1616_N0">#REF!</definedName>
    <definedName name="SQEF_BM1617_N0">#REF!</definedName>
    <definedName name="SQEF_BM1618_N2">#REF!</definedName>
    <definedName name="SQEF_BM1619">#REF!</definedName>
    <definedName name="SQEF_BM162_N0">#REF!</definedName>
    <definedName name="SQEF_BM1620">#REF!</definedName>
    <definedName name="SQEF_BM1621">#REF!</definedName>
    <definedName name="SQEF_BM1622">#REF!</definedName>
    <definedName name="SQEF_BM1623">#REF!</definedName>
    <definedName name="SQEF_BM1624">#REF!</definedName>
    <definedName name="SQEF_BM1625">#REF!</definedName>
    <definedName name="SQEF_BM1626">#REF!</definedName>
    <definedName name="SQEF_BM1629_P0">#REF!</definedName>
    <definedName name="SQEF_BM163_N0">#REF!</definedName>
    <definedName name="SQEF_BM1630_P0">#REF!</definedName>
    <definedName name="SQEF_BM1631_P0">#REF!</definedName>
    <definedName name="SQEF_BM1632_P0">#REF!</definedName>
    <definedName name="SQEF_BM1633">#REF!</definedName>
    <definedName name="SQEF_BM1634_P0">#REF!</definedName>
    <definedName name="SQEF_BM1635_P0">#REF!</definedName>
    <definedName name="SQEF_BM1636_P0">#REF!</definedName>
    <definedName name="SQEF_BM1637_P0">#REF!</definedName>
    <definedName name="SQEF_BM1638_P0">#REF!</definedName>
    <definedName name="SQEF_BM1639">#REF!</definedName>
    <definedName name="SQEF_BM164_N0">#REF!</definedName>
    <definedName name="SQEF_BM1640_P0">#REF!</definedName>
    <definedName name="SQEF_BM1641_P0">#REF!</definedName>
    <definedName name="SQEF_BM1642_P0">#REF!</definedName>
    <definedName name="SQEF_BM1643_P0">#REF!</definedName>
    <definedName name="SQEF_BM165_N0">#REF!</definedName>
    <definedName name="SQEF_BM166_N0">#REF!</definedName>
    <definedName name="SQEF_BM167_N0">#REF!</definedName>
    <definedName name="SQEF_BM168_N0">#REF!</definedName>
    <definedName name="SQEF_BM169_N0">#REF!</definedName>
    <definedName name="SQEF_BM171">#REF!</definedName>
    <definedName name="SQEF_BM1710_N0">#REF!</definedName>
    <definedName name="SQEF_BM1711_N0">#REF!</definedName>
    <definedName name="SQEF_BM1712_N0">#REF!</definedName>
    <definedName name="SQEF_BM1713_N0">#REF!</definedName>
    <definedName name="SQEF_BM1714_N0">#REF!</definedName>
    <definedName name="SQEF_BM1715_N0">#REF!</definedName>
    <definedName name="SQEF_BM1716_N0">#REF!</definedName>
    <definedName name="SQEF_BM1717_N0">#REF!</definedName>
    <definedName name="SQEF_BM1718_N2">#REF!</definedName>
    <definedName name="SQEF_BM1719">#REF!</definedName>
    <definedName name="SQEF_BM172_N0">#REF!</definedName>
    <definedName name="SQEF_BM1720">#REF!</definedName>
    <definedName name="SQEF_BM1721">#REF!</definedName>
    <definedName name="SQEF_BM1722">#REF!</definedName>
    <definedName name="SQEF_BM1723">#REF!</definedName>
    <definedName name="SQEF_BM1724">#REF!</definedName>
    <definedName name="SQEF_BM1725">#REF!</definedName>
    <definedName name="SQEF_BM1726">#REF!</definedName>
    <definedName name="SQEF_BM1729_P0">#REF!</definedName>
    <definedName name="SQEF_BM173_N0">#REF!</definedName>
    <definedName name="SQEF_BM1730_P0">#REF!</definedName>
    <definedName name="SQEF_BM1731_P0">#REF!</definedName>
    <definedName name="SQEF_BM1732_P0">#REF!</definedName>
    <definedName name="SQEF_BM1733">#REF!</definedName>
    <definedName name="SQEF_BM1734_P0">#REF!</definedName>
    <definedName name="SQEF_BM1735_P0">#REF!</definedName>
    <definedName name="SQEF_BM1736_P0">#REF!</definedName>
    <definedName name="SQEF_BM1737_P0">#REF!</definedName>
    <definedName name="SQEF_BM1738_P0">#REF!</definedName>
    <definedName name="SQEF_BM1739">#REF!</definedName>
    <definedName name="SQEF_BM174_N0">#REF!</definedName>
    <definedName name="SQEF_BM1740_P0">#REF!</definedName>
    <definedName name="SQEF_BM1741_P0">#REF!</definedName>
    <definedName name="SQEF_BM1742_P0">#REF!</definedName>
    <definedName name="SQEF_BM1743_P0">#REF!</definedName>
    <definedName name="SQEF_BM175_N0">#REF!</definedName>
    <definedName name="SQEF_BM176_N0">#REF!</definedName>
    <definedName name="SQEF_BM177_N0">#REF!</definedName>
    <definedName name="SQEF_BM178_N0">#REF!</definedName>
    <definedName name="SQEF_BM179_N0">#REF!</definedName>
    <definedName name="ss">#REF!</definedName>
    <definedName name="SS_Revenue_Analysis">#REF!</definedName>
    <definedName name="sski_eps">#REF!</definedName>
    <definedName name="sski_net_profit">#REF!</definedName>
    <definedName name="sss" localSheetId="4" hidden="1">{"Page 1",#N/A,TRUE,"Sheet1";"Page 2",#N/A,TRUE,"Sheet1"}</definedName>
    <definedName name="sss" hidden="1">{"Page 1",#N/A,TRUE,"Sheet1";"Page 2",#N/A,TRUE,"Sheet1"}</definedName>
    <definedName name="ssss" localSheetId="4">#REF!</definedName>
    <definedName name="ssss">'[103]Stand alone Main'!#REF!</definedName>
    <definedName name="SSTRING">#REF!</definedName>
    <definedName name="st" localSheetId="4">#REF!</definedName>
    <definedName name="st">[104]Old!#REF!</definedName>
    <definedName name="ST_debt">#REF!</definedName>
    <definedName name="st_debt_A">#REF!</definedName>
    <definedName name="st_debt_foreign" localSheetId="10">[28]Template!$D$158:$T$158</definedName>
    <definedName name="st_debt_foreign">#REF!</definedName>
    <definedName name="ST_debt_growth_fore">#REF!</definedName>
    <definedName name="st_debt_lease_financing" localSheetId="10">[28]Template!$D$202:$T$202</definedName>
    <definedName name="st_debt_lease_financing">#REF!</definedName>
    <definedName name="ST_LOANS">#REF!</definedName>
    <definedName name="sTable" localSheetId="4">#REF!</definedName>
    <definedName name="sTable">[2]Header!$AJ$2:$AQ$11</definedName>
    <definedName name="stable_growth_rate">#REF!</definedName>
    <definedName name="staff" localSheetId="4">#REF!</definedName>
    <definedName name="staff">[29]UploaderV4!$F$23:$AE$23</definedName>
    <definedName name="Staff_Numbers">#REF!</definedName>
    <definedName name="Staff_Welfare">#REF!</definedName>
    <definedName name="StaffCosts">#REF!</definedName>
    <definedName name="staffinr" localSheetId="4">#REF!</definedName>
    <definedName name="staffinr">[29]UploaderV4!$F$25:$AE$25</definedName>
    <definedName name="staffusd" localSheetId="4">#REF!</definedName>
    <definedName name="staffusd">[29]UploaderV4!$F$24:$AE$24</definedName>
    <definedName name="Staightline_charge">#REF!</definedName>
    <definedName name="stamps_and_stationery">#REF!</definedName>
    <definedName name="Start">#REF!</definedName>
    <definedName name="START_DETAIL" localSheetId="10">[93]Interface!$B$29</definedName>
    <definedName name="START_DETAIL">#REF!</definedName>
    <definedName name="START_HEADER" localSheetId="10">[93]Interface!$B$2</definedName>
    <definedName name="START_HEADER">#REF!</definedName>
    <definedName name="StartPosition">#REF!</definedName>
    <definedName name="state_luxury_tax">#REF!</definedName>
    <definedName name="state_mktsh">#REF!</definedName>
    <definedName name="Stationery___Printing">#REF!</definedName>
    <definedName name="statutory_rate_of_tax" localSheetId="10">[28]Template!$D$394:$T$394</definedName>
    <definedName name="statutory_rate_of_tax">#REF!</definedName>
    <definedName name="Statutory_Reserves">#REF!</definedName>
    <definedName name="StDebt">#REF!</definedName>
    <definedName name="StDebtChg" localSheetId="10" hidden="1">[51]Debt!$K$258:$AA$258</definedName>
    <definedName name="StDebtChg" hidden="1">#REF!</definedName>
    <definedName name="StDebtDmy" localSheetId="9" hidden="1">#REF!,#REF!,#REF!,#REF!,#REF!</definedName>
    <definedName name="StDebtDmy" localSheetId="10" hidden="1">[36]Debt!$A$57:$IV$57,[36]Debt!$A$103:$IV$103,[36]Debt!$A$149:$IV$149,[36]Debt!$A$197:$IV$197,[36]Debt!$A$242:$IV$242</definedName>
    <definedName name="StDebtDmy" hidden="1">#REF!,#REF!,#REF!,#REF!,#REF!</definedName>
    <definedName name="STDebtSer" localSheetId="9" hidden="1">#REF!</definedName>
    <definedName name="STDebtSer" localSheetId="10" hidden="1">[31]Profile!$BK$5:$BK$12</definedName>
    <definedName name="STDebtSer" hidden="1">#REF!</definedName>
    <definedName name="stebitda00" localSheetId="4">#REF!</definedName>
    <definedName name="stebitda00">[105]Consolidated!$T$38</definedName>
    <definedName name="stEBITDA99" localSheetId="4">#REF!</definedName>
    <definedName name="stEBITDA99">[105]Consolidated!$O$38</definedName>
    <definedName name="steps00" localSheetId="4">#REF!</definedName>
    <definedName name="steps00">[105]Consolidated!$T$34</definedName>
    <definedName name="steps99" localSheetId="4">#REF!</definedName>
    <definedName name="steps99">[105]Consolidated!$O$34</definedName>
    <definedName name="Sterling"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Int" localSheetId="9">#REF!</definedName>
    <definedName name="StInt">#REF!</definedName>
    <definedName name="STKCHG" localSheetId="4">#REF!</definedName>
    <definedName name="STKCHG">[46]PLold!$A$188:$K$191</definedName>
    <definedName name="stock_adj_Q">#REF!</definedName>
    <definedName name="stock_adjustment">#REF!</definedName>
    <definedName name="stock_adjustment_qtr" localSheetId="9">#REF!</definedName>
    <definedName name="stock_adjustment_qtr">#REF!</definedName>
    <definedName name="Stock_price" localSheetId="9">#REF!</definedName>
    <definedName name="Stock_price">#REF!</definedName>
    <definedName name="Stock_price_close">#REF!</definedName>
    <definedName name="Stock_price_high">#REF!</definedName>
    <definedName name="Stock_price_low">#REF!</definedName>
    <definedName name="stock_rating_absolute">#REF!</definedName>
    <definedName name="stock_rating_relative">#REF!</definedName>
    <definedName name="StockDetails">#REF!</definedName>
    <definedName name="STOCKOP" localSheetId="10">[1]bajaj_copeland!$C$431</definedName>
    <definedName name="STOCKOP">#REF!</definedName>
    <definedName name="StockPrice" localSheetId="4">#REF!</definedName>
    <definedName name="StockPrice">'[39]Sample Layout'!$Z$8</definedName>
    <definedName name="STORY" localSheetId="10">[1]Financials!#REF!</definedName>
    <definedName name="STORY">#REF!</definedName>
    <definedName name="stRev00" localSheetId="4">#REF!</definedName>
    <definedName name="stRev00">[105]Consolidated!$T$14</definedName>
    <definedName name="stREV99" localSheetId="4">#REF!</definedName>
    <definedName name="stREV99">[105]Consolidated!$O$14</definedName>
    <definedName name="stype">#REF!</definedName>
    <definedName name="subcon" localSheetId="4">#REF!</definedName>
    <definedName name="subcon">[29]UploaderV4!$F$32:$AE$32</definedName>
    <definedName name="subsector">#REF!</definedName>
    <definedName name="Subsidiaries_Equity_Investment">#REF!</definedName>
    <definedName name="Subsidiary_Investments">#REF!</definedName>
    <definedName name="sudhir"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mmary" localSheetId="9">#REF!</definedName>
    <definedName name="summary">#REF!</definedName>
    <definedName name="Summary_1" localSheetId="9">#REF!</definedName>
    <definedName name="Summary_1">#REF!</definedName>
    <definedName name="Summary_1991" localSheetId="9">#REF!</definedName>
    <definedName name="Summary_1991">#REF!</definedName>
    <definedName name="Summary_1992">#REF!</definedName>
    <definedName name="Summary_1993">#REF!</definedName>
    <definedName name="Summary_1994">#REF!</definedName>
    <definedName name="Summary_1995">#REF!</definedName>
    <definedName name="Summary_1996">#REF!</definedName>
    <definedName name="Summary_1997">#REF!</definedName>
    <definedName name="Summary_2">#REF!</definedName>
    <definedName name="Summary_3">#REF!</definedName>
    <definedName name="Summary_4">#REF!</definedName>
    <definedName name="Summary_Date">#REF!</definedName>
    <definedName name="Summary_EY1">#REF!</definedName>
    <definedName name="Summary_EY2">#REF!</definedName>
    <definedName name="Summary_P">#REF!</definedName>
    <definedName name="summary_stn"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ndry_Creditors" localSheetId="9">#REF!</definedName>
    <definedName name="Sundry_Creditors">#REF!</definedName>
    <definedName name="Sundry_Debtors" localSheetId="9">#REF!</definedName>
    <definedName name="Sundry_Debtors">#REF!</definedName>
    <definedName name="SUP_CALC" localSheetId="9">#REF!</definedName>
    <definedName name="SUP_CALC" localSheetId="10">[1]bajaj_copeland!$C$380:$L$413</definedName>
    <definedName name="SUP_CALC">#REF!</definedName>
    <definedName name="surat_dahisar_pcu" localSheetId="10">[61]Tax!#REF!</definedName>
    <definedName name="surat_dahisar_pcu">#REF!</definedName>
    <definedName name="swa">#REF!</definedName>
    <definedName name="swap">#REF!</definedName>
    <definedName name="Swap_Premium___Net">#REF!</definedName>
    <definedName name="swd"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w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wl" localSheetId="9">#REF!</definedName>
    <definedName name="swl">#REF!</definedName>
    <definedName name="sws" localSheetId="9">#REF!</definedName>
    <definedName name="sws">#REF!</definedName>
    <definedName name="Syndicated_Foreign_Currency_loans_from_banks" localSheetId="9">#REF!</definedName>
    <definedName name="Syndicated_Foreign_Currency_loans_from_banks">#REF!</definedName>
    <definedName name="synergy"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ynergy"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ysPWORD" localSheetId="4">#REF!</definedName>
    <definedName name="sysPWORD">[19]systems!#REF!</definedName>
    <definedName name="SystemDefaults_AaRate">#REF!</definedName>
    <definedName name="SystemDefaults_AdjustmentSwitch">#REF!</definedName>
    <definedName name="SystemDefaults_Country">#REF!</definedName>
    <definedName name="SystemDefaults_CSEYieldThreshold">#REF!</definedName>
    <definedName name="SystemDefaults_Currency">#REF!</definedName>
    <definedName name="SystemDefaults_CurrentYear">#REF!</definedName>
    <definedName name="SystemDefaults_DateLastModified">#REF!</definedName>
    <definedName name="SystemDefaults_DecimalPlacesChoices">#REF!</definedName>
    <definedName name="SystemDefaults_DecimalSwitch">#REF!</definedName>
    <definedName name="SystemDefaults_EPSCalcMethods">#REF!</definedName>
    <definedName name="SystemDefaults_EPSSwitch">#REF!</definedName>
    <definedName name="SystemDefaults_EquityRiskPremiumEquity">#REF!</definedName>
    <definedName name="SystemDefaults_EquityShareholdersFundsSwitch">#REF!</definedName>
    <definedName name="SystemDefaults_Error1">#REF!</definedName>
    <definedName name="SystemDefaults_Error2">#REF!</definedName>
    <definedName name="SystemDefaults_Error3">#REF!</definedName>
    <definedName name="SystemDefaults_ExpiryDate" hidden="1">#REF!</definedName>
    <definedName name="SystemDefaults_ExpiryStatus" hidden="1">#REF!</definedName>
    <definedName name="SystemDefaults_ForeignPriceSwitch">#REF!</definedName>
    <definedName name="SystemDefaults_GearingSwitch">#REF!</definedName>
    <definedName name="SystemDefaults_IDCode">#REF!</definedName>
    <definedName name="SystemDefaults_InsertColumnsSheets1">#REF!</definedName>
    <definedName name="SystemDefaults_InsertColumnsSheets2">#REF!</definedName>
    <definedName name="SystemDefaults_InsertRowsRangeNamesFOR">#REF!</definedName>
    <definedName name="SystemDefaults_InsertRowsRangeNamesRAT">#REF!</definedName>
    <definedName name="SystemDefaults_IterationSwitch">#REF!</definedName>
    <definedName name="SystemDefaults_LocalStockCode">#REF!</definedName>
    <definedName name="SystemDefaults_MarketCode">#REF!</definedName>
    <definedName name="SystemDefaults_MarketName">#REF!</definedName>
    <definedName name="SystemDefaults_ModelChanges">#REF!</definedName>
    <definedName name="SystemDefaults_ModelChoices">#REF!</definedName>
    <definedName name="SystemDefaults_ModelSwitch">#REF!</definedName>
    <definedName name="SystemDefaults_NameForConsolidated">#REF!</definedName>
    <definedName name="SystemDefaults_NameForNetProfitExcAdj2">#REF!</definedName>
    <definedName name="SystemDefaults_NameForNetProfitExcAdj3">#REF!</definedName>
    <definedName name="SystemDefaults_NameForNetProfitExcAdjustments">#REF!</definedName>
    <definedName name="SystemDefaults_NextDividend">#REF!</definedName>
    <definedName name="SystemDefaults_ResultsDue">#REF!</definedName>
    <definedName name="SystemDefaults_Rounding">#REF!</definedName>
    <definedName name="SystemDefaults_Shareholder1">#REF!</definedName>
    <definedName name="SystemDefaults_Shareholder2">#REF!</definedName>
    <definedName name="SystemDefaults_Shareholder3">#REF!</definedName>
    <definedName name="SystemDefaults_Shareholder4">#REF!</definedName>
    <definedName name="SystemDefaults_Shareholder5">#REF!</definedName>
    <definedName name="SystemDefaults_ShareRepurchaseLimit">#REF!</definedName>
    <definedName name="SystemDefaults_ShareTransactionDescriptions">#REF!</definedName>
    <definedName name="SystemDefaults_ShareTransactionTypes1">#REF!</definedName>
    <definedName name="SystemDefaults_Spare1">#REF!</definedName>
    <definedName name="SystemDefaults_Spare2">#REF!</definedName>
    <definedName name="SystemDefaults_Spare3">#REF!</definedName>
    <definedName name="SystemDefaults_SystemSheets">#REF!</definedName>
    <definedName name="SystemDefaults_TaxRate">#REF!</definedName>
    <definedName name="SystemDefaults_TreasuryRate">#REF!</definedName>
    <definedName name="SystemDefaults_Units">#REF!</definedName>
    <definedName name="SystemDefaults_UpdateYearSheets1">#REF!</definedName>
    <definedName name="SystemDefaults_UpdateYearSheets2">#REF!</definedName>
    <definedName name="SystemDefaults_UpdateYearSheets3">#REF!</definedName>
    <definedName name="SystemDefaults_UserMode">#REF!</definedName>
    <definedName name="SystemDefaults_VersionDate">#REF!</definedName>
    <definedName name="SystemDefaults_VersionNumber">#REF!</definedName>
    <definedName name="SystemDefaults_YearCodeForecast">#REF!</definedName>
    <definedName name="SystemDefaults_YearCodeHistoric">#REF!</definedName>
    <definedName name="t"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t"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TA" localSheetId="9">#REF!</definedName>
    <definedName name="TA">#REF!</definedName>
    <definedName name="TABFLAG">#REF!</definedName>
    <definedName name="TABLE1">#REF!</definedName>
    <definedName name="TABNUM">#REF!</definedName>
    <definedName name="TABNUM2">#REF!</definedName>
    <definedName name="TABSECTION">#REF!</definedName>
    <definedName name="TABXI">#REF!</definedName>
    <definedName name="taiwan">#REF!</definedName>
    <definedName name="Tangible_Fixed_Assets">#REF!</definedName>
    <definedName name="tangible_networth">#REF!</definedName>
    <definedName name="tangible_networth_avg.">#REF!</definedName>
    <definedName name="target">#REF!</definedName>
    <definedName name="Target_debt_to_capital" localSheetId="9">#REF!</definedName>
    <definedName name="Target_debt_to_capital">#REF!</definedName>
    <definedName name="target_pri">#REF!</definedName>
    <definedName name="Target_Price">#REF!</definedName>
    <definedName name="tataprice">#REF!</definedName>
    <definedName name="TAX">#REF!</definedName>
    <definedName name="Tax_benefit_from_interest">#REF!</definedName>
    <definedName name="Tax_benefit_from_oper_leases">#REF!</definedName>
    <definedName name="Tax_benefit_from_ops_leases">#REF!</definedName>
    <definedName name="tax_burden" localSheetId="4">#REF!</definedName>
    <definedName name="tax_burden">'[30]Annual Temp'!#REF!</definedName>
    <definedName name="TAX_COMPUTATION">#REF!</definedName>
    <definedName name="Tax_current_n_deferred">#REF!</definedName>
    <definedName name="Tax_for_Previous_Year">#REF!</definedName>
    <definedName name="Tax_for_the_current_year">#REF!</definedName>
    <definedName name="tax_on_dividend_paid">#REF!</definedName>
    <definedName name="tax_on_dividend_paid_qtr.">#REF!</definedName>
    <definedName name="Tax_on_dividend_provided">#REF!</definedName>
    <definedName name="tax_on_dividends_payable">#REF!</definedName>
    <definedName name="tax_on_eo_Q">#REF!</definedName>
    <definedName name="tax_on_equity_dividend" localSheetId="4">#REF!</definedName>
    <definedName name="tax_on_equity_dividend">'[47]RMF Annual'!$E$45:$U$45</definedName>
    <definedName name="tax_on_equity_dividend_A">#REF!</definedName>
    <definedName name="tax_on_forex_Q">#REF!</definedName>
    <definedName name="tax_on_non_recurring_items" localSheetId="10">[28]Template!$D$109:$T$109</definedName>
    <definedName name="tax_on_non_recurring_items">#REF!</definedName>
    <definedName name="tax_on_non_recurring_items_qtr">#REF!</definedName>
    <definedName name="tax_on_preference_dividend" localSheetId="4">#REF!</definedName>
    <definedName name="tax_on_preference_dividend">'[47]RMF Annual'!$E$43:$U$43</definedName>
    <definedName name="tax_on_preference_dividend_A">#REF!</definedName>
    <definedName name="Tax_others">#REF!</definedName>
    <definedName name="Tax_Paid">#REF!</definedName>
    <definedName name="tax_paid_in_advance">#REF!</definedName>
    <definedName name="tax_payable" localSheetId="10">[28]Template!$D$203:$T$203</definedName>
    <definedName name="tax_payable">#REF!</definedName>
    <definedName name="TAX_PROV">#REF!</definedName>
    <definedName name="tax_provided" localSheetId="10">[28]Template!$D$60:$T$60</definedName>
    <definedName name="tax_provided">#REF!</definedName>
    <definedName name="tax_provided_A">#REF!</definedName>
    <definedName name="tax_provided_Q">#REF!</definedName>
    <definedName name="tax_provided_qtr">#REF!</definedName>
    <definedName name="tax_provision">#REF!</definedName>
    <definedName name="Tax_Q">#REF!</definedName>
    <definedName name="tax_qtr">#REF!</definedName>
    <definedName name="TAX_RATE">#REF!</definedName>
    <definedName name="tax_rate_A">#REF!</definedName>
    <definedName name="Tax_rate_for_WACC">#REF!</definedName>
    <definedName name="Tax_rate_Q">#REF!</definedName>
    <definedName name="Tax_Shield_Tax_Rate">#REF!</definedName>
    <definedName name="Tax_total">#REF!</definedName>
    <definedName name="TaxAndDividendProvisions">#REF!</definedName>
    <definedName name="Taxation">#REF!</definedName>
    <definedName name="TaxPaid">#REF!</definedName>
    <definedName name="TaxProvision">#REF!</definedName>
    <definedName name="TaxRate">#REF!</definedName>
    <definedName name="TB">#REF!</definedName>
    <definedName name="tbbwgt">#REF!</definedName>
    <definedName name="tbl_standardColours">#REF!</definedName>
    <definedName name="TC_Num">#REF!</definedName>
    <definedName name="tcd">#REF!</definedName>
    <definedName name="tcf">#REF!</definedName>
    <definedName name="tci">#REF!</definedName>
    <definedName name="tcs">#REF!</definedName>
    <definedName name="TD">#REF!</definedName>
    <definedName name="tea_estates">#REF!</definedName>
    <definedName name="Template.WIRE">"DBACCESS"</definedName>
    <definedName name="Template_Data">#REF!</definedName>
    <definedName name="term_deposits_from_banks">#REF!</definedName>
    <definedName name="term_deposits_from_others">#REF!</definedName>
    <definedName name="term_deposits_Q">#REF!</definedName>
    <definedName name="Term_Deposits_with_Scheduled_Banks">#REF!</definedName>
    <definedName name="term_loans">#REF!</definedName>
    <definedName name="Term_Loans_from_Banks_Secured">#REF!</definedName>
    <definedName name="Term_Loans_from_Institutions_Secured">#REF!</definedName>
    <definedName name="TerminalGrowth">#REF!</definedName>
    <definedName name="Termratio12">#REF!</definedName>
    <definedName name="TermRatio13">#REF!</definedName>
    <definedName name="TEST0">#REF!</definedName>
    <definedName name="TESTHKEY">#REF!</definedName>
    <definedName name="TESTKEYS">#REF!</definedName>
    <definedName name="TESTVKEY">#REF!</definedName>
    <definedName name="TESTWIDTH">#REF!</definedName>
    <definedName name="tetley">#REF!</definedName>
    <definedName name="tev">#REF!</definedName>
    <definedName name="Tevanal_contract">#REF!</definedName>
    <definedName name="textToday">#REF!</definedName>
    <definedName name="tfbwgt">#REF!</definedName>
    <definedName name="tfc">#REF!</definedName>
    <definedName name="tfd">#REF!</definedName>
    <definedName name="tfo">#REF!</definedName>
    <definedName name="tfr">#REF!</definedName>
    <definedName name="Tg" localSheetId="10">[106]DCF_consolidated!$B$60</definedName>
    <definedName name="Tg">#REF!</definedName>
    <definedName name="tggg" localSheetId="10" hidden="1">[81]chem_Prices!#REF!</definedName>
    <definedName name="tggg" hidden="1">#REF!</definedName>
    <definedName name="thailand">#REF!</definedName>
    <definedName name="thh" hidden="1">#REF!</definedName>
    <definedName name="tiarawgt">#REF!</definedName>
    <definedName name="Tick">#REF!</definedName>
    <definedName name="Ticker">#REF!&amp;" Equity"</definedName>
    <definedName name="Tier_I_cap.adequacy">#REF!</definedName>
    <definedName name="Tier_II_cap.adequacy">#REF!</definedName>
    <definedName name="tier_II_capital_bonds">#REF!</definedName>
    <definedName name="time_deposits">#REF!</definedName>
    <definedName name="tin">#REF!</definedName>
    <definedName name="tisco3" localSheetId="9" hidden="1">{#N/A,#N/A,FALSE,"Status of Projects";#N/A,#N/A,FALSE,"CEA-TEC";#N/A,#N/A,FALSE,"U-Constr.";#N/A,#N/A,FALSE,"summary";#N/A,#N/A,FALSE,"PPP-3 yrs"}</definedName>
    <definedName name="tisco3" localSheetId="4" hidden="1">{#N/A,#N/A,FALSE,"Status of Projects";#N/A,#N/A,FALSE,"CEA-TEC";#N/A,#N/A,FALSE,"U-Constr.";#N/A,#N/A,FALSE,"summary";#N/A,#N/A,FALSE,"PPP-3 yrs"}</definedName>
    <definedName name="tisco3" hidden="1">{#N/A,#N/A,FALSE,"Status of Projects";#N/A,#N/A,FALSE,"CEA-TEC";#N/A,#N/A,FALSE,"U-Constr.";#N/A,#N/A,FALSE,"summary";#N/A,#N/A,FALSE,"PPP-3 yrs"}</definedName>
    <definedName name="title.balancesheet" localSheetId="4">#REF!</definedName>
    <definedName name="title.balancesheet">'[39]Sample Layout'!$V$136:$AD$136</definedName>
    <definedName name="title.businessbackground" localSheetId="4">#REF!</definedName>
    <definedName name="title.businessbackground">'[39]Sample Layout'!$B$48:$J$48</definedName>
    <definedName name="title.capitalhistory" localSheetId="4">#REF!</definedName>
    <definedName name="title.capitalhistory">'[39]Sample Layout'!$L$9:$T$9</definedName>
    <definedName name="title.cashflow" localSheetId="4">#REF!</definedName>
    <definedName name="title.cashflow">'[39]Sample Layout'!$AF$89:$AN$89</definedName>
    <definedName name="title.comments" localSheetId="4">#REF!</definedName>
    <definedName name="title.comments">'[39]Sample Layout'!$AF$148:$AN$148</definedName>
    <definedName name="title.dividenddata" localSheetId="4">#REF!</definedName>
    <definedName name="title.dividenddata">'[39]Sample Layout'!$AF$140:$AN$140</definedName>
    <definedName name="title.expansionplans" localSheetId="4">#REF!</definedName>
    <definedName name="title.expansionplans">'[39]Sample Layout'!$V$119:$AD$119</definedName>
    <definedName name="title.forecastandratings" localSheetId="4">#REF!</definedName>
    <definedName name="title.forecastandratings">'[39]Sample Layout'!$B$31:$J$31</definedName>
    <definedName name="title.mainpoints" localSheetId="4">#REF!</definedName>
    <definedName name="title.mainpoints">'[39]Sample Layout'!$B$4:$J$4</definedName>
    <definedName name="title.majorshareholders" localSheetId="4">#REF!</definedName>
    <definedName name="title.majorshareholders">'[39]Sample Layout'!$L$19:$T$19</definedName>
    <definedName name="title.miscellaneous" localSheetId="4">#REF!</definedName>
    <definedName name="title.miscellaneous">'[39]Sample Layout'!$AF$165:$AN$165</definedName>
    <definedName name="title.outlook" localSheetId="4">#REF!</definedName>
    <definedName name="title.outlook">'[39]Sample Layout'!$L$48:$T$48</definedName>
    <definedName name="title.pricechart" localSheetId="4">#REF!</definedName>
    <definedName name="title.pricechart">'[39]Sample Layout'!$L$31:$T$31</definedName>
    <definedName name="title.profitbreakdown" localSheetId="4">#REF!</definedName>
    <definedName name="title.profitbreakdown">'[39]Sample Layout'!$V$89:$AD$89</definedName>
    <definedName name="title.profitforecasts" localSheetId="4">#REF!</definedName>
    <definedName name="title.profitforecasts">'[39]Sample Layout'!$V$110:$AD$110</definedName>
    <definedName name="title.ratioanalysis" localSheetId="4">#REF!</definedName>
    <definedName name="title.ratioanalysis">'[39]Sample Layout'!$V$165:$AD$165</definedName>
    <definedName name="title.sharedata" localSheetId="4">#REF!</definedName>
    <definedName name="title.sharedata">'[39]Sample Layout'!$L$4:$T$4</definedName>
    <definedName name="title.subsiaries" localSheetId="4">#REF!</definedName>
    <definedName name="title.subsiaries">'[39]Sample Layout'!$AF$119:$AN$119</definedName>
    <definedName name="titles" localSheetId="9">#REF!</definedName>
    <definedName name="titles" localSheetId="10">[1]bajaj_copeland!$A$6</definedName>
    <definedName name="titles">#REF!</definedName>
    <definedName name="tlbwgt">#REF!</definedName>
    <definedName name="tnd" localSheetId="9">#REF!</definedName>
    <definedName name="tnd">#REF!</definedName>
    <definedName name="tobacco_prices_at_auctions" localSheetId="9">#REF!</definedName>
    <definedName name="tobacco_prices_at_auctions">#REF!</definedName>
    <definedName name="Tochange">#REF!</definedName>
    <definedName name="today">#REF!</definedName>
    <definedName name="Toll_Growth">#REF!</definedName>
    <definedName name="Tot_Cost">#REF!</definedName>
    <definedName name="Tot_DNUP">#REF!</definedName>
    <definedName name="TOT_LOANS">#REF!</definedName>
    <definedName name="Total_amort_fore">#REF!</definedName>
    <definedName name="total_amortisation" localSheetId="10">[28]Template!$D$93:$T$93</definedName>
    <definedName name="total_amortisation">#REF!</definedName>
    <definedName name="total_amortisation_qtr">#REF!</definedName>
    <definedName name="Total_Amortization">#REF!</definedName>
    <definedName name="Total_Amortization_fore">#REF!</definedName>
    <definedName name="total_appropriation">#REF!</definedName>
    <definedName name="total_assets" localSheetId="10">[28]Template!$D$199:$T$199</definedName>
    <definedName name="total_assets">#REF!</definedName>
    <definedName name="Total_assets__avg">#REF!</definedName>
    <definedName name="total_assets_A">#REF!</definedName>
    <definedName name="total_assets_avg" localSheetId="10">[28]Template!$D$249:$T$249</definedName>
    <definedName name="total_assets_avg">#REF!</definedName>
    <definedName name="total_assets_avg.">#REF!</definedName>
    <definedName name="Total_assets_avg6">#REF!</definedName>
    <definedName name="total_assets_Q">#REF!</definedName>
    <definedName name="total_borrowings">#REF!</definedName>
    <definedName name="total_capex" localSheetId="10">[28]Template!$D$174:$T$174</definedName>
    <definedName name="total_capex">#REF!</definedName>
    <definedName name="total_cash_bank_balances">#REF!</definedName>
    <definedName name="Total_COS">#REF!</definedName>
    <definedName name="Total_COS_fore">#REF!</definedName>
    <definedName name="Total_COS_growth_fore">#REF!</definedName>
    <definedName name="Total_COS_net_DnA">#REF!</definedName>
    <definedName name="Total_COS_net_DnA_fore">#REF!</definedName>
    <definedName name="total_current_assets" localSheetId="10">[28]Template!$D$188:$T$188</definedName>
    <definedName name="total_current_assets">#REF!</definedName>
    <definedName name="total_current_assets_A">#REF!</definedName>
    <definedName name="total_current_liab" localSheetId="4">#REF!</definedName>
    <definedName name="total_current_liab">[107]Template!$D$206:$O$206</definedName>
    <definedName name="total_current_liabilities" localSheetId="10">[28]Template!$D$206:$T$206</definedName>
    <definedName name="total_current_liabilities">#REF!</definedName>
    <definedName name="total_current_liabilities_A">#REF!</definedName>
    <definedName name="total_debt" localSheetId="10">[28]Template!$D$154:$T$154</definedName>
    <definedName name="total_debt">#REF!</definedName>
    <definedName name="total_debt_avg">#REF!</definedName>
    <definedName name="Total_debt_DCF">#REF!</definedName>
    <definedName name="Total_debt_fore">#REF!</definedName>
    <definedName name="Total_debt_growth_fore">#REF!</definedName>
    <definedName name="Total_debt6">#REF!</definedName>
    <definedName name="total_deposits">#REF!</definedName>
    <definedName name="Total_deposits_4QMA">#REF!</definedName>
    <definedName name="total_depreciation" localSheetId="10">[28]Template!$D$90:$T$90</definedName>
    <definedName name="total_depreciation">#REF!</definedName>
    <definedName name="total_depreciation_qtr">#REF!</definedName>
    <definedName name="total_enterprise_value" localSheetId="10">[28]Template!$D$261:$T$261</definedName>
    <definedName name="total_enterprise_value">#REF!</definedName>
    <definedName name="Total_Equity">#REF!</definedName>
    <definedName name="Total_Equity_and_Liablities">#REF!</definedName>
    <definedName name="total_equity_liab" localSheetId="4">#REF!</definedName>
    <definedName name="total_equity_liab">[107]Template!$D$225:$O$225</definedName>
    <definedName name="total_equity_liab_Q">#REF!</definedName>
    <definedName name="total_equity_liabilities" localSheetId="10">[28]Template!$D$229:$T$229</definedName>
    <definedName name="total_equity_liabilities">#REF!</definedName>
    <definedName name="total_equity_liabilities_A">#REF!</definedName>
    <definedName name="Total_Equity_shareholders_funds">#REF!</definedName>
    <definedName name="Total_Expenditure_Q">#REF!</definedName>
    <definedName name="total_fixed_assets">#REF!</definedName>
    <definedName name="total_fixed_assets_avg">#REF!</definedName>
    <definedName name="total_income" localSheetId="10">[28]Template!$D$47:$T$47</definedName>
    <definedName name="total_income">#REF!</definedName>
    <definedName name="total_income_A">#REF!</definedName>
    <definedName name="Total_Income_Q">#REF!</definedName>
    <definedName name="Total_increase_in_EEs">#REF!</definedName>
    <definedName name="Total_Increase_in_EEs_fore">#REF!</definedName>
    <definedName name="Total_Installments">#REF!</definedName>
    <definedName name="total_int_expended">#REF!</definedName>
    <definedName name="total_intangible_fixed_assets" localSheetId="10">[28]Template!$D$244:$T$244</definedName>
    <definedName name="total_intangible_fixed_assets">#REF!</definedName>
    <definedName name="total_interest_earned">#REF!</definedName>
    <definedName name="total_investments">#REF!</definedName>
    <definedName name="total_liab" localSheetId="4">#REF!</definedName>
    <definedName name="total_liab">[107]Template!$D$214:$O$214</definedName>
    <definedName name="total_liab_Q">#REF!</definedName>
    <definedName name="total_liabilities" localSheetId="10">[28]Template!$D$218:$T$218</definedName>
    <definedName name="total_liabilities">#REF!</definedName>
    <definedName name="Total_liabilities_Q">#REF!</definedName>
    <definedName name="total_loans">#REF!</definedName>
    <definedName name="total_loans_accrued_interest">#REF!</definedName>
    <definedName name="total_Loans_and_advances_excl_retail">#REF!</definedName>
    <definedName name="total_loans_and_advances_incl_retail">#REF!</definedName>
    <definedName name="total_material_cost">#REF!</definedName>
    <definedName name="total_non_current_assets" localSheetId="10">[28]Template!$D$198:$T$198</definedName>
    <definedName name="total_non_current_assets">#REF!</definedName>
    <definedName name="total_non_current_assets_A">#REF!</definedName>
    <definedName name="total_non_current_liab">#REF!</definedName>
    <definedName name="total_non_current_liabilities" localSheetId="10">[28]Template!$D$217:$T$217</definedName>
    <definedName name="total_non_current_liabilities">#REF!</definedName>
    <definedName name="total_non_current_liabilities_A">#REF!</definedName>
    <definedName name="total_operating_cash_flow">#REF!</definedName>
    <definedName name="total_operating_expenses" localSheetId="10">[28]Template!$D$86:$T$86</definedName>
    <definedName name="total_operating_expenses">#REF!</definedName>
    <definedName name="Total_other_assets">#REF!</definedName>
    <definedName name="total_other_income">#REF!</definedName>
    <definedName name="total_others_liabilities">#REF!</definedName>
    <definedName name="total_provisions">#REF!</definedName>
    <definedName name="total_reserves">#REF!</definedName>
    <definedName name="total_shareholders_equity" localSheetId="10">[28]Template!$D$228:$T$228</definedName>
    <definedName name="total_shareholders_equity">#REF!</definedName>
    <definedName name="total_shareholders_equity_A">#REF!</definedName>
    <definedName name="total_shareholders_equity_avg" localSheetId="10">[28]Template!$D$250:$T$250</definedName>
    <definedName name="total_shareholders_equity_avg">#REF!</definedName>
    <definedName name="total_shareholders_equity_avg_A">#REF!</definedName>
    <definedName name="total_shareholders_funds">#REF!</definedName>
    <definedName name="total_shareholders_funds_avg">#REF!</definedName>
    <definedName name="Total_shareholders_funds_avg6">#REF!</definedName>
    <definedName name="total_tangible_fixed_assets" localSheetId="10">[28]Template!$D$240:$T$240</definedName>
    <definedName name="total_tangible_fixed_assets">#REF!</definedName>
    <definedName name="total_tax">#REF!</definedName>
    <definedName name="total_tax_paid" localSheetId="10">[28]Template!$D$127:$T$127</definedName>
    <definedName name="total_tax_paid">#REF!</definedName>
    <definedName name="Total_tax_Q">#REF!</definedName>
    <definedName name="TotalDebt">#REF!</definedName>
    <definedName name="totaldebt_equity">#REF!</definedName>
    <definedName name="TotalExpenses">#REF!</definedName>
    <definedName name="totasset" localSheetId="4">#REF!</definedName>
    <definedName name="totasset">[29]UploaderV4!$F$167:$AE$167</definedName>
    <definedName name="TotAst">#REF!</definedName>
    <definedName name="TotDebt">#REF!</definedName>
    <definedName name="TotEqShAd">#REF!</definedName>
    <definedName name="totexp" localSheetId="4">#REF!</definedName>
    <definedName name="totexp">[29]UploaderV4!$F$17:$AE$17</definedName>
    <definedName name="TotLia">#REF!</definedName>
    <definedName name="TPC_Copy">#REF!</definedName>
    <definedName name="TPC_Copy1">#REF!</definedName>
    <definedName name="TPC_Orig">#REF!</definedName>
    <definedName name="TPC_Orig1">#REF!</definedName>
    <definedName name="tr">#REF!</definedName>
    <definedName name="trade">#REF!</definedName>
    <definedName name="Trade_Advances">#REF!</definedName>
    <definedName name="TradeCreditors">#REF!</definedName>
    <definedName name="TradeCreditors_GrossSales">#REF!</definedName>
    <definedName name="TradeDebtors">#REF!</definedName>
    <definedName name="TradeDebtors_GrossSales">#REF!</definedName>
    <definedName name="trading_gains_losses">#REF!</definedName>
    <definedName name="trading_gains_losses_Q">#REF!</definedName>
    <definedName name="Trading_Profit">#REF!</definedName>
    <definedName name="Traffic">#REF!</definedName>
    <definedName name="Traffic_Growth">#REF!</definedName>
    <definedName name="trailing_EBITDA">#REF!</definedName>
    <definedName name="Trailing_Qtr">#REF!</definedName>
    <definedName name="trailing_revs">#REF!</definedName>
    <definedName name="Transfer_to_Bonds_Redemption_Reserve">#REF!</definedName>
    <definedName name="Translation_Actual_Exchange_Loss_or_Gain">#REF!</definedName>
    <definedName name="Translation_Loss_on_Foreign_Currency_Loans_Secured">#REF!</definedName>
    <definedName name="Translation_Loss_on_Foreign_Currency_Loans_Unsecured">#REF!</definedName>
    <definedName name="transloss" localSheetId="4">#REF!</definedName>
    <definedName name="transloss">[29]UploaderV4!$F$129:$AE$129</definedName>
    <definedName name="translossfa" localSheetId="4">#REF!</definedName>
    <definedName name="translossfa">[29]UploaderV4!$F$141:$AE$141</definedName>
    <definedName name="Travelling___Conveyance">#REF!</definedName>
    <definedName name="tre">#REF!</definedName>
    <definedName name="treas" localSheetId="4">#REF!</definedName>
    <definedName name="treas">[29]UploaderV4!$F$281:$AE$281</definedName>
    <definedName name="treasfv" localSheetId="4">#REF!</definedName>
    <definedName name="treasfv">[29]UploaderV4!$F$280:$AE$280</definedName>
    <definedName name="TREE_INVEST" localSheetId="10">[1]bajaj_copeland!$W$594</definedName>
    <definedName name="TREE_INVEST">#REF!</definedName>
    <definedName name="trgdfgr" hidden="1">#REF!</definedName>
    <definedName name="TRGSALES" localSheetId="4">#REF!</definedName>
    <definedName name="TRGSALES">[46]PLold!$A$109:$K$113</definedName>
    <definedName name="TRIAL">#REF!</definedName>
    <definedName name="TrialBAl">#REF!</definedName>
    <definedName name="trtgrtg" hidden="1">#REF!</definedName>
    <definedName name="TRY" localSheetId="10">[1]Charts!#REF!</definedName>
    <definedName name="TRY">#REF!</definedName>
    <definedName name="trytrhgr" hidden="1">#REF!</definedName>
    <definedName name="TS">#REF!</definedName>
    <definedName name="tt_subsidiaries">#REF!</definedName>
    <definedName name="TTM_EPS_Rs_Q">#REF!</definedName>
    <definedName name="ttr">#REF!</definedName>
    <definedName name="tuna">#REF!</definedName>
    <definedName name="TURNOVER" localSheetId="10">[1]bajaj_copeland!$AN$570</definedName>
    <definedName name="TURNOVER">#REF!</definedName>
    <definedName name="TW2a" localSheetId="4">{"ID","COMPANIES",TRUE}</definedName>
    <definedName name="TW2a">{"ID","COMPANIES",TRUE}</definedName>
    <definedName name="Tx_Power">#REF!</definedName>
    <definedName name="tyrt">#REF!</definedName>
    <definedName name="tytht" hidden="1">#REF!</definedName>
    <definedName name="tyui" localSheetId="9" hidden="1">{#N/A,#N/A,FALSE,"Status of Projects";#N/A,#N/A,FALSE,"CEA-TEC";#N/A,#N/A,FALSE,"U-Constr.";#N/A,#N/A,FALSE,"summary";#N/A,#N/A,FALSE,"PPP-3 yrs"}</definedName>
    <definedName name="tyui" localSheetId="10" hidden="1">{#N/A,#N/A,FALSE,"Status of Projects";#N/A,#N/A,FALSE,"CEA-TEC";#N/A,#N/A,FALSE,"U-Constr.";#N/A,#N/A,FALSE,"summary";#N/A,#N/A,FALSE,"PPP-3 yrs"}</definedName>
    <definedName name="tyui" localSheetId="4" hidden="1">{#N/A,#N/A,FALSE,"Status of Projects";#N/A,#N/A,FALSE,"CEA-TEC";#N/A,#N/A,FALSE,"U-Constr.";#N/A,#N/A,FALSE,"summary";#N/A,#N/A,FALSE,"PPP-3 yrs"}</definedName>
    <definedName name="tyui" hidden="1">{#N/A,#N/A,FALSE,"Status of Projects";#N/A,#N/A,FALSE,"CEA-TEC";#N/A,#N/A,FALSE,"U-Constr.";#N/A,#N/A,FALSE,"summary";#N/A,#N/A,FALSE,"PPP-3 yrs"}</definedName>
    <definedName name="tzs">#REF!</definedName>
    <definedName name="ubhkwgt">#REF!</definedName>
    <definedName name="uijhkg" hidden="1">#N/A</definedName>
    <definedName name="uk">#REF!</definedName>
    <definedName name="UKCash" localSheetId="4">#REF!</definedName>
    <definedName name="UKCash">[26]FinancialsNew!#REF!</definedName>
    <definedName name="ULEnd" localSheetId="9">#REF!</definedName>
    <definedName name="ULEnd">#REF!</definedName>
    <definedName name="unadj._shares" localSheetId="9">#REF!</definedName>
    <definedName name="unadj._shares">#REF!</definedName>
    <definedName name="unadj_shares" localSheetId="9">#REF!</definedName>
    <definedName name="unadj_shares">#REF!</definedName>
    <definedName name="unadj_ye_price">#REF!</definedName>
    <definedName name="Unadjusted_Cash_EPS">#REF!</definedName>
    <definedName name="Unadjusted_EPS_FRS3">#REF!</definedName>
    <definedName name="Unadjusted_EPS_Fully_Diluted">#REF!</definedName>
    <definedName name="Unadjusted_EPS_Pre_Exceptional">#REF!</definedName>
    <definedName name="Unadjusted_Net_DPS">#REF!</definedName>
    <definedName name="unbilled_as_per_revs">#REF!</definedName>
    <definedName name="unbilled_DSO">#REF!</definedName>
    <definedName name="Unclaimed_bonds">#REF!</definedName>
    <definedName name="Unclaimed_Debentures">#REF!</definedName>
    <definedName name="Unclaimed_Dividend">#REF!</definedName>
    <definedName name="Unclaimed_Fixed_Deposit_Interest">#REF!</definedName>
    <definedName name="unilever">#REF!</definedName>
    <definedName name="UniqueRange_0" localSheetId="10">[1]EVA1!#REF!</definedName>
    <definedName name="UniqueRange_0">#REF!</definedName>
    <definedName name="UniqueRange_1" localSheetId="10">[1]EVA1!#REF!</definedName>
    <definedName name="UniqueRange_1">#REF!</definedName>
    <definedName name="Unit">#REF!</definedName>
    <definedName name="Units" localSheetId="10">[54]Introduction!$E$15</definedName>
    <definedName name="Units">#REF!</definedName>
    <definedName name="Unsecured_Bonds_Unsecured">#REF!</definedName>
    <definedName name="Unsecured_borrowings_total">#REF!</definedName>
    <definedName name="unsecured_loans">#REF!</definedName>
    <definedName name="UnsecuredLoans">#REF!</definedName>
    <definedName name="uobwgt">#REF!</definedName>
    <definedName name="Update" localSheetId="10">[54]Introduction!$E$10</definedName>
    <definedName name="Update">#REF!</definedName>
    <definedName name="Upfront_Fee">#REF!</definedName>
    <definedName name="upper_left1">#REF!</definedName>
    <definedName name="upper_left2">#REF!</definedName>
    <definedName name="US" localSheetId="4">#REF!</definedName>
    <definedName name="US">'[16]foundry '!#REF!</definedName>
    <definedName name="USCash" localSheetId="4">#REF!</definedName>
    <definedName name="USCash">[26]FinancialsNew!#REF!</definedName>
    <definedName name="USCom_USFed_OM">#REF!</definedName>
    <definedName name="usd">#REF!</definedName>
    <definedName name="USD_Libor_Swap_rate">#REF!</definedName>
    <definedName name="usdinrend" localSheetId="4">#REF!</definedName>
    <definedName name="usdinrend">[29]UploaderV4!$F$298:$AE$298</definedName>
    <definedName name="UserList" localSheetId="4">#REF!</definedName>
    <definedName name="UserList">[19]systems!#REF!</definedName>
    <definedName name="userPWORD" localSheetId="4">#REF!</definedName>
    <definedName name="userPWORD">[19]systems!#REF!</definedName>
    <definedName name="USNetCFDepJ1">#REF!</definedName>
    <definedName name="USNetCFWODepJ1">#REF!</definedName>
    <definedName name="Util">#REF!</definedName>
    <definedName name="UtilCap" localSheetId="9" hidden="1">#REF!,#REF!,#REF!,#REF!,#REF!,#REF!,#REF!,#REF!</definedName>
    <definedName name="UtilCap" localSheetId="10" hidden="1">[36]Input!$K$153:$Y$153,[36]Input!$K$171:$Y$171,[36]Input!$K$189:$Y$189,[36]Input!$K$207:$Y$207,[36]Input!$K$225:$Y$225,[36]Input!$K$243:$Y$243,[36]Input!$K$261:$Y$261,[36]Input!$K$279:$Y$279</definedName>
    <definedName name="UtilCap" hidden="1">#REF!,#REF!,#REF!,#REF!,#REF!,#REF!,#REF!,#REF!</definedName>
    <definedName name="UtilProd" localSheetId="9" hidden="1">#REF!,#REF!,#REF!,#REF!,#REF!,#REF!,#REF!,#REF!</definedName>
    <definedName name="UtilProd" localSheetId="10" hidden="1">[36]Input!$K$152:$Y$152,[36]Input!$K$170:$Y$170,[36]Input!$K$188:$Y$188,[36]Input!$K$206:$Y$206,[36]Input!$K$224:$Y$224,[36]Input!$K$242:$Y$242,[36]Input!$K$260:$Y$260,[36]Input!$K$278:$Y$278</definedName>
    <definedName name="UtilProd" hidden="1">#REF!,#REF!,#REF!,#REF!,#REF!,#REF!,#REF!,#REF!</definedName>
    <definedName name="V" localSheetId="9">#REF!</definedName>
    <definedName name="V" localSheetId="10">[1]Financials!#REF!</definedName>
    <definedName name="v" localSheetId="4" hidden="1">{#N/A,#N/A,FALSE,"Status of Projects";#N/A,#N/A,FALSE,"CEA-TEC";#N/A,#N/A,FALSE,"U-Constr.";#N/A,#N/A,FALSE,"summary";#N/A,#N/A,FALSE,"PPP-3 yrs"}</definedName>
    <definedName name="V">#REF!</definedName>
    <definedName name="vae" localSheetId="9">#REF!</definedName>
    <definedName name="vae">#REF!</definedName>
    <definedName name="vai">#REF!</definedName>
    <definedName name="VAL" localSheetId="9">#REF!</definedName>
    <definedName name="VAL" localSheetId="10">[1]Financials!#REF!</definedName>
    <definedName name="VAL">#REF!</definedName>
    <definedName name="VAL_CellNote">#REF!</definedName>
    <definedName name="VAL_SUM" localSheetId="10">[1]bajaj_copeland!$A$414</definedName>
    <definedName name="VAL_SUM">#REF!</definedName>
    <definedName name="VALID_FORMATS">#REF!</definedName>
    <definedName name="validate_Econ_Data" localSheetId="0">[65]!validate_Econ_Data</definedName>
    <definedName name="validate_Econ_Data" localSheetId="4">#REF!</definedName>
    <definedName name="validate_Econ_Data">[65]!validate_Econ_Data</definedName>
    <definedName name="validate_Equity_Data" localSheetId="10">[65]!validate_Equity_Data</definedName>
    <definedName name="validate_Equity_Data">#REF!</definedName>
    <definedName name="valn_jb">#REF!</definedName>
    <definedName name="valu">#REF!</definedName>
    <definedName name="valuation" localSheetId="10">[1]bajaj_copeland!$A$414</definedName>
    <definedName name="valuation">#REF!</definedName>
    <definedName name="Valuation_date">#REF!</definedName>
    <definedName name="valuationprint">#REF!</definedName>
    <definedName name="VALUE" localSheetId="10">[1]bajaj_copeland!$A$414:$L$444</definedName>
    <definedName name="VALUE">#REF!</definedName>
    <definedName name="Value_of_Equity">#REF!</definedName>
    <definedName name="Value_of_Firm">#REF!</definedName>
    <definedName name="value_of_investment">#REF!</definedName>
    <definedName name="value_of_non_core_assets" localSheetId="10">[28]Template!$D$262:$T$262</definedName>
    <definedName name="value_of_non_core_assets">#REF!</definedName>
    <definedName name="Value_of_Unconsol._Subs">#REF!</definedName>
    <definedName name="Value_per_share">#REF!</definedName>
    <definedName name="VarExp">#REF!</definedName>
    <definedName name="VarNames">#REF!</definedName>
    <definedName name="vay">#REF!</definedName>
    <definedName name="vbv">#REF!</definedName>
    <definedName name="vcf">#REF!</definedName>
    <definedName name="vdp">#REF!</definedName>
    <definedName name="veb">#REF!</definedName>
    <definedName name="veg">#REF!</definedName>
    <definedName name="Vehicles_AD">#REF!</definedName>
    <definedName name="Vehicles_Dep">#REF!</definedName>
    <definedName name="Vehicles_GB">#REF!</definedName>
    <definedName name="Vehicles_NB">#REF!</definedName>
    <definedName name="vep">#REF!</definedName>
    <definedName name="VERSION" localSheetId="10">[1]bajaj_copeland!$A$2</definedName>
    <definedName name="VERSION">#REF!</definedName>
    <definedName name="Version.WIRE">1</definedName>
    <definedName name="Vessel_Cost">#REF!</definedName>
    <definedName name="vev">#REF!</definedName>
    <definedName name="VEVA" localSheetId="10">[1]bajaj_copeland!$E$447</definedName>
    <definedName name="VEVA">#REF!</definedName>
    <definedName name="vey">#REF!</definedName>
    <definedName name="vfa">#REF!</definedName>
    <definedName name="vgd">#REF!</definedName>
    <definedName name="vgp">#REF!</definedName>
    <definedName name="via">#REF!</definedName>
    <definedName name="viju" localSheetId="4">#REF!</definedName>
    <definedName name="viju">'[35]#REF'!#REF!</definedName>
    <definedName name="vikas">#REF!</definedName>
    <definedName name="vio">#REF!</definedName>
    <definedName name="vmv">#REF!</definedName>
    <definedName name="vnd">#REF!</definedName>
    <definedName name="vnl">#REF!</definedName>
    <definedName name="VNT">#REF!</definedName>
    <definedName name="vol">#REF!</definedName>
    <definedName name="Volatility" localSheetId="10">[63]ESOP_issuance!$B$6</definedName>
    <definedName name="Volatility">#REF!</definedName>
    <definedName name="Volume_Growth">#REF!</definedName>
    <definedName name="vpp">#REF!</definedName>
    <definedName name="vpr">#REF!</definedName>
    <definedName name="vpx">#REF!</definedName>
    <definedName name="vr"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n">#REF!</definedName>
    <definedName name="vrs_adj_Q">#REF!</definedName>
    <definedName name="vrs_expenses">#REF!</definedName>
    <definedName name="vsp">#REF!</definedName>
    <definedName name="vt" localSheetId="4">#REF!</definedName>
    <definedName name="vt">'[35]#REF'!#REF!</definedName>
    <definedName name="vug">#REF!</definedName>
    <definedName name="vva">#REF!</definedName>
    <definedName name="vvv"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vvvvvvvvvvvvvvvvvvvv" localSheetId="9" hidden="1">{#N/A,#N/A,FALSE,"Monthly";#N/A,#N/A,FALSE,"Hong Kong";#N/A,#N/A,FALSE,"New York";#N/A,#N/A,FALSE,"London";#N/A,#N/A,FALSE,"Singapore";#N/A,#N/A,FALSE,"Australia";#N/A,#N/A,FALSE,"Korea"}</definedName>
    <definedName name="vvvvvvvvvvvvvvvvvvvvvvv" localSheetId="10" hidden="1">{#N/A,#N/A,FALSE,"Monthly";#N/A,#N/A,FALSE,"Hong Kong";#N/A,#N/A,FALSE,"New York";#N/A,#N/A,FALSE,"London";#N/A,#N/A,FALSE,"Singapore";#N/A,#N/A,FALSE,"Australia";#N/A,#N/A,FALSE,"Korea"}</definedName>
    <definedName name="vvvvvvvvvvvvvvvvvvvvvvv" localSheetId="4" hidden="1">{#N/A,#N/A,FALSE,"Monthly";#N/A,#N/A,FALSE,"Hong Kong";#N/A,#N/A,FALSE,"New York";#N/A,#N/A,FALSE,"London";#N/A,#N/A,FALSE,"Singapore";#N/A,#N/A,FALSE,"Australia";#N/A,#N/A,FALSE,"Korea"}</definedName>
    <definedName name="vvvvvvvvvvvvvvvvvvvvvvv" hidden="1">{#N/A,#N/A,FALSE,"Monthly";#N/A,#N/A,FALSE,"Hong Kong";#N/A,#N/A,FALSE,"New York";#N/A,#N/A,FALSE,"London";#N/A,#N/A,FALSE,"Singapore";#N/A,#N/A,FALSE,"Australia";#N/A,#N/A,FALSE,"Korea"}</definedName>
    <definedName name="w" localSheetId="9" hidden="1">{"quarterly",#N/A,FALSE,"Income Statement";#N/A,#N/A,FALSE,"print segment";#N/A,#N/A,FALSE,"Balance Sheet";#N/A,#N/A,FALSE,"Annl Inc";#N/A,#N/A,FALSE,"Cash Flow"}</definedName>
    <definedName name="w" localSheetId="4" hidden="1">{"quarterly",#N/A,FALSE,"Income Statement";#N/A,#N/A,FALSE,"print segment";#N/A,#N/A,FALSE,"Balance Sheet";#N/A,#N/A,FALSE,"Annl Inc";#N/A,#N/A,FALSE,"Cash Flow"}</definedName>
    <definedName name="w" hidden="1">{"quarterly",#N/A,FALSE,"Income Statement";#N/A,#N/A,FALSE,"print segment";#N/A,#N/A,FALSE,"Balance Sheet";#N/A,#N/A,FALSE,"Annl Inc";#N/A,#N/A,FALSE,"Cash Flow"}</definedName>
    <definedName name="wacc" localSheetId="9">#REF!</definedName>
    <definedName name="wacc" localSheetId="10">[28]Template!$D$337:$T$337</definedName>
    <definedName name="wacc">#REF!</definedName>
    <definedName name="WACC_1" localSheetId="9">#REF!</definedName>
    <definedName name="WACC_1">#REF!</definedName>
    <definedName name="WACC_10" localSheetId="9">#REF!</definedName>
    <definedName name="WACC_10">#REF!</definedName>
    <definedName name="WACC_11">#REF!</definedName>
    <definedName name="WACC_12">#REF!</definedName>
    <definedName name="WACC_13">#REF!</definedName>
    <definedName name="WACC_14">#REF!</definedName>
    <definedName name="WACC_2">#REF!</definedName>
    <definedName name="WACC_3">#REF!</definedName>
    <definedName name="WACC_4">#REF!</definedName>
    <definedName name="WACC_5">#REF!</definedName>
    <definedName name="WACC_6">#REF!</definedName>
    <definedName name="WACC_7">#REF!</definedName>
    <definedName name="WACC_8">#REF!</definedName>
    <definedName name="WACC_9">#REF!</definedName>
    <definedName name="WACC_fore">#REF!</definedName>
    <definedName name="WACC_P">#REF!</definedName>
    <definedName name="WACC_P_1">#REF!</definedName>
    <definedName name="WACC_P_10">#REF!</definedName>
    <definedName name="WACC_P_11">#REF!</definedName>
    <definedName name="WACC_P_12">#REF!</definedName>
    <definedName name="WACC_P_13">#REF!</definedName>
    <definedName name="WACC_P_14">#REF!</definedName>
    <definedName name="WACC_P_2">#REF!</definedName>
    <definedName name="WACC_P_3">#REF!</definedName>
    <definedName name="WACC_P_4">#REF!</definedName>
    <definedName name="WACC_P_5">#REF!</definedName>
    <definedName name="WACC_P_6">#REF!</definedName>
    <definedName name="WACC_P_7">#REF!</definedName>
    <definedName name="WACC_P_8">#REF!</definedName>
    <definedName name="WACC_P_9">#REF!</definedName>
    <definedName name="WAEqSh">#REF!</definedName>
    <definedName name="wage_arrears_provision">#REF!</definedName>
    <definedName name="Wage_Costs">#REF!</definedName>
    <definedName name="Waiting">"Picture 1"</definedName>
    <definedName name="wbh01m.BLinks">INDIRECT("FDSWMMA.XLM!mfs20.BHandler")</definedName>
    <definedName name="wca" localSheetId="4">#REF!</definedName>
    <definedName name="wca">[29]UploaderV4!$F$153:$AE$153</definedName>
    <definedName name="wcchg" localSheetId="4">#REF!</definedName>
    <definedName name="wcchg">[29]UploaderV4!$F$199:$AE$199</definedName>
    <definedName name="WCDays">#REF!</definedName>
    <definedName name="wclp" localSheetId="4">#REF!</definedName>
    <definedName name="wclp">[29]UploaderV4!$F$160:$AE$160</definedName>
    <definedName name="wdfwd" hidden="1">#N/A</definedName>
    <definedName name="wdw" localSheetId="4" hidden="1">{#N/A,#N/A,FALSE,"Status of Projects";#N/A,#N/A,FALSE,"CEA-TEC";#N/A,#N/A,FALSE,"U-Constr.";#N/A,#N/A,FALSE,"summary";#N/A,#N/A,FALSE,"PPP-3 yrs"}</definedName>
    <definedName name="wdw" hidden="1">{#N/A,#N/A,FALSE,"Status of Projects";#N/A,#N/A,FALSE,"CEA-TEC";#N/A,#N/A,FALSE,"U-Constr.";#N/A,#N/A,FALSE,"summary";#N/A,#N/A,FALSE,"PPP-3 yrs"}</definedName>
    <definedName name="webhosting">#REF!</definedName>
    <definedName name="webhosting1">#REF!</definedName>
    <definedName name="website">#REF!</definedName>
    <definedName name="wef">#REF!</definedName>
    <definedName name="WeightedAverageNoShares">#REF!</definedName>
    <definedName name="what" localSheetId="9">#REF!</definedName>
    <definedName name="what">#REF!</definedName>
    <definedName name="whbwgt">#REF!</definedName>
    <definedName name="WIDTHCOL">#REF!</definedName>
    <definedName name="wireless">#REF!</definedName>
    <definedName name="wlbwgt">#REF!</definedName>
    <definedName name="WORKING" localSheetId="9">#REF!</definedName>
    <definedName name="WORKING" localSheetId="10">[1]bajaj_copeland!$AV$579</definedName>
    <definedName name="WORKING">#REF!</definedName>
    <definedName name="working_capital" localSheetId="9">#REF!</definedName>
    <definedName name="working_capital">#REF!</definedName>
    <definedName name="working_capital_avg">#REF!</definedName>
    <definedName name="Working_Capital_ex_Cash_Curr_Invst">#REF!</definedName>
    <definedName name="Working_Capital_Loans_to_State_Electricity_Secured">#REF!</definedName>
    <definedName name="Working_Capital_Loans_to_State_Electricity_Unsecured">#REF!</definedName>
    <definedName name="Working_Capital_Loans_to_State_Electricity_Unsecured_Doubtful">#REF!</definedName>
    <definedName name="Working_Capital_Movement">#REF!</definedName>
    <definedName name="workingcap_sales">#REF!</definedName>
    <definedName name="WorkingCapital_GrossSales">#REF!</definedName>
    <definedName name="Worst">#REF!</definedName>
    <definedName name="wrn" localSheetId="9" hidden="1">{#N/A,#N/A,FALSE,"INPUTS";#N/A,#N/A,FALSE,"PROFORMA BSHEET";#N/A,#N/A,FALSE,"COMBINED";#N/A,#N/A,FALSE,"ACQUIROR";#N/A,#N/A,FALSE,"TARGET 1";#N/A,#N/A,FALSE,"TARGET 2";#N/A,#N/A,FALSE,"HIGH YIELD";#N/A,#N/A,FALSE,"OVERFUND"}</definedName>
    <definedName name="wrn" localSheetId="10" hidden="1">{#N/A,#N/A,FALSE,"INPUTS";#N/A,#N/A,FALSE,"PROFORMA BSHEET";#N/A,#N/A,FALSE,"COMBINED";#N/A,#N/A,FALSE,"ACQUIROR";#N/A,#N/A,FALSE,"TARGET 1";#N/A,#N/A,FALSE,"TARGET 2";#N/A,#N/A,FALSE,"HIGH YIELD";#N/A,#N/A,FALSE,"OVERFUND"}</definedName>
    <definedName name="wrn" localSheetId="4" hidden="1">{#N/A,#N/A,FALSE,"Status of Projects";#N/A,#N/A,FALSE,"CEA-TEC";#N/A,#N/A,FALSE,"U-Constr.";#N/A,#N/A,FALSE,"summary";#N/A,#N/A,FALSE,"PPP-3 yrs"}</definedName>
    <definedName name="wrn" hidden="1">{#N/A,#N/A,FALSE,"Status of Projects";#N/A,#N/A,FALSE,"CEA-TEC";#N/A,#N/A,FALSE,"U-Constr.";#N/A,#N/A,FALSE,"summary";#N/A,#N/A,FALSE,"PPP-3 yrs"}</definedName>
    <definedName name="wrn.1." localSheetId="9" hidden="1">{#N/A,#N/A,FALSE,"Scenario Summary"}</definedName>
    <definedName name="wrn.1." localSheetId="4" hidden="1">{#N/A,#N/A,FALSE,"Scenario Summary"}</definedName>
    <definedName name="wrn.1." hidden="1">{#N/A,#N/A,FALSE,"Scenario Summary"}</definedName>
    <definedName name="wrn.Accounts." localSheetId="4">{"turnover",#N/A,FALSE;"profits",#N/A,FALSE;"cash",#N/A,FALSE}</definedName>
    <definedName name="wrn.Accounts.">{"turnover",#N/A,FALSE;"profits",#N/A,FALSE;"cash",#N/A,FALSE}</definedName>
    <definedName name="wrn.al."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Pages."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1"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sia." localSheetId="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Cochanges." localSheetId="4" hidden="1">{"valn",#N/A,FALSE,"COVER SHEET";"Interims",#N/A,FALSE,"News_Notes_Interims";"notesNews",#N/A,FALSE,"News_Notes_Interims"}</definedName>
    <definedName name="wrn.Cochanges." hidden="1">{"valn",#N/A,FALSE,"COVER SHEET";"Interims",#N/A,FALSE,"News_Notes_Interims";"notesNews",#N/A,FALSE,"News_Notes_Interims"}</definedName>
    <definedName name="wrn.COMBINED." localSheetId="9" hidden="1">{#N/A,#N/A,FALSE,"INPUTS";#N/A,#N/A,FALSE,"PROFORMA BSHEET";#N/A,#N/A,FALSE,"COMBINED";#N/A,#N/A,FALSE,"HIGH YIELD";#N/A,#N/A,FALSE,"COMB_GRAPHS"}</definedName>
    <definedName name="wrn.COMBINED." localSheetId="10" hidden="1">{#N/A,#N/A,FALSE,"INPUTS";#N/A,#N/A,FALSE,"PROFORMA BSHEET";#N/A,#N/A,FALSE,"COMBINED";#N/A,#N/A,FALSE,"HIGH YIELD";#N/A,#N/A,FALSE,"COMB_GRAPHS"}</definedName>
    <definedName name="wrn.COMBINED." localSheetId="4"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lete._.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OLIDATION." localSheetId="9" hidden="1">{"PAGE1",#N/A,FALSE,"Consolidation";"PAGE2",#N/A,FALSE,"Consolidation";"PAGE3",#N/A,FALSE,"Consolidation";"PAGE4",#N/A,FALSE,"Consolidation";"PAGE5",#N/A,FALSE,"Consolidation";"PAGE6",#N/A,FALSE,"Consolidation";"PAGE7",#N/A,FALSE,"Consolidation"}</definedName>
    <definedName name="wrn.CONSOLIDATION." localSheetId="10" hidden="1">{"PAGE1",#N/A,FALSE,"Consolidation";"PAGE2",#N/A,FALSE,"Consolidation";"PAGE3",#N/A,FALSE,"Consolidation";"PAGE4",#N/A,FALSE,"Consolidation";"PAGE5",#N/A,FALSE,"Consolidation";"PAGE6",#N/A,FALSE,"Consolidation";"PAGE7",#N/A,FALSE,"Consolidation"}</definedName>
    <definedName name="wrn.CONSOLIDATION." localSheetId="4"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tribution." localSheetId="9" hidden="1">{#N/A,#N/A,FALSE,"Contribution Analysis"}</definedName>
    <definedName name="wrn.contribution." localSheetId="10" hidden="1">{#N/A,#N/A,FALSE,"Contribution Analysis"}</definedName>
    <definedName name="wrn.contribution." localSheetId="4" hidden="1">{#N/A,#N/A,FALSE,"Contribution Analysis"}</definedName>
    <definedName name="wrn.contribution." hidden="1">{#N/A,#N/A,FALSE,"Contribution Analysis"}</definedName>
    <definedName name="wrn.Cost._.sheet." localSheetId="9" hidden="1">{#N/A,#N/A,FALSE,"Std cost dilutes";#N/A,#N/A,FALSE,"Std cost dilutes"}</definedName>
    <definedName name="wrn.Cost._.sheet." localSheetId="4" hidden="1">{#N/A,#N/A,FALSE,"Std cost dilutes";#N/A,#N/A,FALSE,"Std cost dilutes"}</definedName>
    <definedName name="wrn.Cost._.sheet." hidden="1">{#N/A,#N/A,FALSE,"Std cost dilutes";#N/A,#N/A,FALSE,"Std cost dilutes"}</definedName>
    <definedName name="wrn.Cover." localSheetId="9" hidden="1">{"coverall",#N/A,FALSE,"Definitions";"cover1",#N/A,FALSE,"Definitions";"cover2",#N/A,FALSE,"Definitions";"cover3",#N/A,FALSE,"Definitions";"cover4",#N/A,FALSE,"Definitions";"cover5",#N/A,FALSE,"Definitions";"blank",#N/A,FALSE,"Definitions"}</definedName>
    <definedName name="wrn.Cover." localSheetId="10" hidden="1">{"coverall",#N/A,FALSE,"Definitions";"cover1",#N/A,FALSE,"Definitions";"cover2",#N/A,FALSE,"Definitions";"cover3",#N/A,FALSE,"Definitions";"cover4",#N/A,FALSE,"Definitions";"cover5",#N/A,FALSE,"Definitions";"blank",#N/A,FALSE,"Definitions"}</definedName>
    <definedName name="wrn.Cover." localSheetId="4"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9" hidden="1">{"orixcsc",#N/A,FALSE,"ORIX CSC";"orixcsc2",#N/A,FALSE,"ORIX CSC"}</definedName>
    <definedName name="wrn.csc." localSheetId="10" hidden="1">{"orixcsc",#N/A,FALSE,"ORIX CSC";"orixcsc2",#N/A,FALSE,"ORIX CSC"}</definedName>
    <definedName name="wrn.csc." localSheetId="4" hidden="1">{"orixcsc",#N/A,FALSE,"ORIX CSC";"orixcsc2",#N/A,FALSE,"ORIX CSC"}</definedName>
    <definedName name="wrn.csc." hidden="1">{"orixcsc",#N/A,FALSE,"ORIX CSC";"orixcsc2",#N/A,FALSE,"ORIX CSC"}</definedName>
    <definedName name="wrn.csc2." localSheetId="9" hidden="1">{#N/A,#N/A,FALSE,"ORIX CSC"}</definedName>
    <definedName name="wrn.csc2." localSheetId="10" hidden="1">{#N/A,#N/A,FALSE,"ORIX CSC"}</definedName>
    <definedName name="wrn.csc2." localSheetId="4" hidden="1">{#N/A,#N/A,FALSE,"ORIX CSC"}</definedName>
    <definedName name="wrn.csc2." hidden="1">{#N/A,#N/A,FALSE,"ORIX CSC"}</definedName>
    <definedName name="wrn.cvintl." localSheetId="4" hidden="1">{"cover",#N/A,FALSE,"COVER SHEET";#N/A,#N/A,FALSE,"TARGET PRICE";#N/A,#N/A,FALSE,"DFCF"}</definedName>
    <definedName name="wrn.cvintl." hidden="1">{"cover",#N/A,FALSE,"COVER SHEET";#N/A,#N/A,FALSE,"TARGET PRICE";#N/A,#N/A,FALSE,"DFCF"}</definedName>
    <definedName name="wrn.datapak." localSheetId="9" hidden="1">{#N/A,#N/A,FALSE,"Status of Projects";#N/A,#N/A,FALSE,"CEA-TEC";#N/A,#N/A,FALSE,"U-Constr.";#N/A,#N/A,FALSE,"summary";#N/A,#N/A,FALSE,"PPP-3 yrs"}</definedName>
    <definedName name="wrn.datapak." localSheetId="10" hidden="1">{#N/A,#N/A,FALSE,"Status of Projects";#N/A,#N/A,FALSE,"CEA-TEC";#N/A,#N/A,FALSE,"U-Constr.";#N/A,#N/A,FALSE,"summary";#N/A,#N/A,FALSE,"PPP-3 yrs"}</definedName>
    <definedName name="wrn.datapak." localSheetId="4" hidden="1">{#N/A,#N/A,FALSE,"Status of Projects";#N/A,#N/A,FALSE,"CEA-TEC";#N/A,#N/A,FALSE,"U-Constr.";#N/A,#N/A,FALSE,"summary";#N/A,#N/A,FALSE,"PPP-3 yrs"}</definedName>
    <definedName name="wrn.datapak." hidden="1">{#N/A,#N/A,FALSE,"Status of Projects";#N/A,#N/A,FALSE,"CEA-TEC";#N/A,#N/A,FALSE,"U-Constr.";#N/A,#N/A,FALSE,"summary";#N/A,#N/A,FALSE,"PPP-3 yrs"}</definedName>
    <definedName name="wrn.datapak.1" localSheetId="9" hidden="1">{#N/A,#N/A,FALSE,"Status of Projects";#N/A,#N/A,FALSE,"CEA-TEC";#N/A,#N/A,FALSE,"U-Constr.";#N/A,#N/A,FALSE,"summary";#N/A,#N/A,FALSE,"PPP-3 yrs"}</definedName>
    <definedName name="wrn.datapak.1" localSheetId="10" hidden="1">{#N/A,#N/A,FALSE,"Status of Projects";#N/A,#N/A,FALSE,"CEA-TEC";#N/A,#N/A,FALSE,"U-Constr.";#N/A,#N/A,FALSE,"summary";#N/A,#N/A,FALSE,"PPP-3 yrs"}</definedName>
    <definedName name="wrn.datapak.1" localSheetId="4" hidden="1">{#N/A,#N/A,FALSE,"Status of Projects";#N/A,#N/A,FALSE,"CEA-TEC";#N/A,#N/A,FALSE,"U-Constr.";#N/A,#N/A,FALSE,"summary";#N/A,#N/A,FALSE,"PPP-3 yrs"}</definedName>
    <definedName name="wrn.datapak.1" hidden="1">{#N/A,#N/A,FALSE,"Status of Projects";#N/A,#N/A,FALSE,"CEA-TEC";#N/A,#N/A,FALSE,"U-Constr.";#N/A,#N/A,FALSE,"summary";#N/A,#N/A,FALSE,"PPP-3 yrs"}</definedName>
    <definedName name="wrn.Earnings._.Model."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ur" localSheetId="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_.A." localSheetId="4" hidden="1">{"Page 1",#N/A,TRUE,"Sheet1";"Page 2",#N/A,TRUE,"Sheet1"}</definedName>
    <definedName name="wrn.Ex.._.A." hidden="1">{"Page 1",#N/A,TRUE,"Sheet1";"Page 2",#N/A,TRUE,"Sheet1"}</definedName>
    <definedName name="wrn.Full._.Financials." localSheetId="9" hidden="1">{#N/A,#N/A,TRUE,"Financials";#N/A,#N/A,TRUE,"Operating Statistics";#N/A,#N/A,TRUE,"Capex &amp; Depreciation";#N/A,#N/A,TRUE,"Debt"}</definedName>
    <definedName name="wrn.Full._.Financials." localSheetId="10" hidden="1">{#N/A,#N/A,TRUE,"Financials";#N/A,#N/A,TRUE,"Operating Statistics";#N/A,#N/A,TRUE,"Capex &amp; Depreciation";#N/A,#N/A,TRUE,"Debt"}</definedName>
    <definedName name="wrn.Full._.Financials." localSheetId="4" hidden="1">{#N/A,#N/A,TRUE,"Financials";#N/A,#N/A,TRUE,"Operating Statistics";#N/A,#N/A,TRUE,"Capex &amp; Depreciation";#N/A,#N/A,TRUE,"Debt"}</definedName>
    <definedName name="wrn.Full._.Financials." hidden="1">{#N/A,#N/A,TRUE,"Financials";#N/A,#N/A,TRUE,"Operating Statistics";#N/A,#N/A,TRUE,"Capex &amp; Depreciation";#N/A,#N/A,TRUE,"Debt"}</definedName>
    <definedName name="wrn.GRAPHS." localSheetId="9" hidden="1">{#N/A,#N/A,FALSE,"ACQ_GRAPHS";#N/A,#N/A,FALSE,"T_1 GRAPHS";#N/A,#N/A,FALSE,"T_2 GRAPHS";#N/A,#N/A,FALSE,"COMB_GRAPHS"}</definedName>
    <definedName name="wrn.GRAPHS." localSheetId="10" hidden="1">{#N/A,#N/A,FALSE,"ACQ_GRAPHS";#N/A,#N/A,FALSE,"T_1 GRAPHS";#N/A,#N/A,FALSE,"T_2 GRAPHS";#N/A,#N/A,FALSE,"COMB_GRAPHS"}</definedName>
    <definedName name="wrn.GRAPHS." localSheetId="4" hidden="1">{#N/A,#N/A,FALSE,"ACQ_GRAPHS";#N/A,#N/A,FALSE,"T_1 GRAPHS";#N/A,#N/A,FALSE,"T_2 GRAPHS";#N/A,#N/A,FALSE,"COMB_GRAPHS"}</definedName>
    <definedName name="wrn.GRAPHS." hidden="1">{#N/A,#N/A,FALSE,"ACQ_GRAPHS";#N/A,#N/A,FALSE,"T_1 GRAPHS";#N/A,#N/A,FALSE,"T_2 GRAPHS";#N/A,#N/A,FALSE,"COMB_GRAPHS"}</definedName>
    <definedName name="wrn.handout." localSheetId="9" hidden="1">{"quarterly",#N/A,FALSE,"Income Statement New CPB";"annual",#N/A,FALSE,"Income Statement New CPB";"cash flow",#N/A,FALSE,"Cash Flow";"balance",#N/A,FALSE,"Balance Sheet";"seg",#N/A,FALSE,"New Segment Breakout"}</definedName>
    <definedName name="wrn.handout." localSheetId="4" hidden="1">{"quarterly",#N/A,FALSE,"Income Statement New CPB";"annual",#N/A,FALSE,"Income Statement New CPB";"cash flow",#N/A,FALSE,"Cash Flow";"balance",#N/A,FALSE,"Balance Sheet";"seg",#N/A,FALSE,"New Segment Breakout"}</definedName>
    <definedName name="wrn.handout." hidden="1">{"quarterly",#N/A,FALSE,"Income Statement New CPB";"annual",#N/A,FALSE,"Income Statement New CPB";"cash flow",#N/A,FALSE,"Cash Flow";"balance",#N/A,FALSE,"Balance Sheet";"seg",#N/A,FALSE,"New Segment Breakout"}</definedName>
    <definedName name="wrn.imprim." localSheetId="9"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Main._.Report._.All._.Sections."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rket._.share." localSheetId="9"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4"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onthly._.Report." localSheetId="9" hidden="1">{#N/A,#N/A,FALSE,"Monthly";#N/A,#N/A,FALSE,"Hong Kong";#N/A,#N/A,FALSE,"New York";#N/A,#N/A,FALSE,"London";#N/A,#N/A,FALSE,"Singapore";#N/A,#N/A,FALSE,"Australia";#N/A,#N/A,FALSE,"Korea"}</definedName>
    <definedName name="wrn.Monthly._.Report." localSheetId="10" hidden="1">{#N/A,#N/A,FALSE,"Monthly";#N/A,#N/A,FALSE,"Hong Kong";#N/A,#N/A,FALSE,"New York";#N/A,#N/A,FALSE,"London";#N/A,#N/A,FALSE,"Singapore";#N/A,#N/A,FALSE,"Australia";#N/A,#N/A,FALSE,"Korea"}</definedName>
    <definedName name="wrn.Monthly._.Report." localSheetId="4" hidden="1">{#N/A,#N/A,FALSE,"Monthly";#N/A,#N/A,FALSE,"Hong Kong";#N/A,#N/A,FALSE,"New York";#N/A,#N/A,FALSE,"London";#N/A,#N/A,FALSE,"Singapore";#N/A,#N/A,FALSE,"Australia";#N/A,#N/A,FALSE,"Korea"}</definedName>
    <definedName name="wrn.Monthly._.Report." hidden="1">{#N/A,#N/A,FALSE,"Monthly";#N/A,#N/A,FALSE,"Hong Kong";#N/A,#N/A,FALSE,"New York";#N/A,#N/A,FALSE,"London";#N/A,#N/A,FALSE,"Singapore";#N/A,#N/A,FALSE,"Australia";#N/A,#N/A,FALSE,"Korea"}</definedName>
    <definedName name="wrn.Monthly._.Report.2" localSheetId="9" hidden="1">{#N/A,#N/A,FALSE,"Monthly";#N/A,#N/A,FALSE,"Hong Kong";#N/A,#N/A,FALSE,"New York";#N/A,#N/A,FALSE,"London";#N/A,#N/A,FALSE,"Singapore";#N/A,#N/A,FALSE,"Australia";#N/A,#N/A,FALSE,"Korea"}</definedName>
    <definedName name="wrn.Monthly._.Report.2" localSheetId="10" hidden="1">{#N/A,#N/A,FALSE,"Monthly";#N/A,#N/A,FALSE,"Hong Kong";#N/A,#N/A,FALSE,"New York";#N/A,#N/A,FALSE,"London";#N/A,#N/A,FALSE,"Singapore";#N/A,#N/A,FALSE,"Australia";#N/A,#N/A,FALSE,"Korea"}</definedName>
    <definedName name="wrn.Monthly._.Report.2" localSheetId="4" hidden="1">{#N/A,#N/A,FALSE,"Monthly";#N/A,#N/A,FALSE,"Hong Kong";#N/A,#N/A,FALSE,"New York";#N/A,#N/A,FALSE,"London";#N/A,#N/A,FALSE,"Singapore";#N/A,#N/A,FALSE,"Australia";#N/A,#N/A,FALSE,"Korea"}</definedName>
    <definedName name="wrn.Monthly._.Report.2" hidden="1">{#N/A,#N/A,FALSE,"Monthly";#N/A,#N/A,FALSE,"Hong Kong";#N/A,#N/A,FALSE,"New York";#N/A,#N/A,FALSE,"London";#N/A,#N/A,FALSE,"Singapore";#N/A,#N/A,FALSE,"Australia";#N/A,#N/A,FALSE,"Korea"}</definedName>
    <definedName name="wrn.One._.Pager._.plus._.Technicals." localSheetId="9" hidden="1">{#N/A,#N/A,FALSE,"One Pager";#N/A,#N/A,FALSE,"Technical"}</definedName>
    <definedName name="wrn.One._.Pager._.plus._.Technicals." localSheetId="10" hidden="1">{#N/A,#N/A,FALSE,"One Pager";#N/A,#N/A,FALSE,"Technical"}</definedName>
    <definedName name="wrn.One._.Pager._.plus._.Technicals." localSheetId="4" hidden="1">{#N/A,#N/A,FALSE,"One Pager";#N/A,#N/A,FALSE,"Technical"}</definedName>
    <definedName name="wrn.One._.Pager._.plus._.Technicals." hidden="1">{#N/A,#N/A,FALSE,"One Pager";#N/A,#N/A,FALSE,"Technical"}</definedName>
    <definedName name="wrn.Output." localSheetId="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olymwe." localSheetId="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0"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9" hidden="1">{"vi1",#N/A,FALSE,"Financial Statements";"vi2",#N/A,FALSE,"Financial Statements";#N/A,#N/A,FALSE,"DCF"}</definedName>
    <definedName name="wrn.Print." localSheetId="10" hidden="1">{"vi1",#N/A,FALSE,"Financial Statements";"vi2",#N/A,FALSE,"Financial Statements";#N/A,#N/A,FALSE,"DCF"}</definedName>
    <definedName name="wrn.Print." localSheetId="4" hidden="1">{"vi1",#N/A,FALSE,"Financial Statements";"vi2",#N/A,FALSE,"Financial Statements";#N/A,#N/A,FALSE,"DCF"}</definedName>
    <definedName name="wrn.Print." hidden="1">{"vi1",#N/A,FALSE,"Financial Statements";"vi2",#N/A,FALSE,"Financial Statements";#N/A,#N/A,FALSE,"DCF"}</definedName>
    <definedName name="wrn.print._.graphs." localSheetId="4"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4" hidden="1">{"inputs raw data",#N/A,TRUE,"INPUT"}</definedName>
    <definedName name="wrn.print._.raw._.data._.entry." hidden="1">{"inputs raw data",#N/A,TRUE,"INPUT"}</definedName>
    <definedName name="wrn.print._.summary._.sheets." localSheetId="4" hidden="1">{"summary1",#N/A,TRUE,"Comps";"summary2",#N/A,TRUE,"Comps";"summary3",#N/A,TRUE,"Comps"}</definedName>
    <definedName name="wrn.print._.summary._.sheets." hidden="1">{"summary1",#N/A,TRUE,"Comps";"summary2",#N/A,TRUE,"Comps";"summary3",#N/A,TRUE,"Comps"}</definedName>
    <definedName name="wrn.rep." localSheetId="4">{"test",#N/A,FALSE,"Y";"test2",#N/A,FALSE,"Y"}</definedName>
    <definedName name="wrn.rep.">{"test",#N/A,FALSE,"Y";"test2",#N/A,FALSE,"Y"}</definedName>
    <definedName name="wrn.repo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Staff._.cost1998." localSheetId="9" hidden="1">{#N/A,#N/A,TRUE,"Staffnos &amp; cost"}</definedName>
    <definedName name="wrn.Staff._.cost1998." localSheetId="4" hidden="1">{#N/A,#N/A,TRUE,"Staffnos &amp; cost"}</definedName>
    <definedName name="wrn.Staff._.cost1998." hidden="1">{#N/A,#N/A,TRUE,"Staffnos &amp; cost"}</definedName>
    <definedName name="wrn.Staffcost." localSheetId="9" hidden="1">{#N/A,#N/A,FALSE,"Staffnos &amp; cost"}</definedName>
    <definedName name="wrn.Staffcost." localSheetId="4" hidden="1">{#N/A,#N/A,FALSE,"Staffnos &amp; cost"}</definedName>
    <definedName name="wrn.Staffcost." hidden="1">{#N/A,#N/A,FALSE,"Staffnos &amp; cost"}</definedName>
    <definedName name="wrn.Summary." localSheetId="9" hidden="1">{"Summary",#N/A,FALSE,"Model"}</definedName>
    <definedName name="wrn.Summary." localSheetId="10" hidden="1">{"Summary",#N/A,FALSE,"Model"}</definedName>
    <definedName name="wrn.Summary." localSheetId="4" hidden="1">{"Summary",#N/A,FALSE,"Model"}</definedName>
    <definedName name="wrn.Summary." hidden="1">{"Summary",#N/A,FALSE,"Model"}</definedName>
    <definedName name="wrn.test." localSheetId="9" hidden="1">{"test2",#N/A,TRUE,"Prices"}</definedName>
    <definedName name="wrn.test." localSheetId="10" hidden="1">{"test2",#N/A,TRUE,"Prices"}</definedName>
    <definedName name="wrn.test." localSheetId="4" hidden="1">{"test2",#N/A,TRUE,"Prices"}</definedName>
    <definedName name="wrn.test." hidden="1">{"test2",#N/A,TRUE,"Prices"}</definedName>
    <definedName name="wrn.VALUATION." localSheetId="9" hidden="1">{#N/A,#N/A,FALSE,"Valuation Assumptions";#N/A,#N/A,FALSE,"Summary";#N/A,#N/A,FALSE,"DCF";#N/A,#N/A,FALSE,"Valuation";#N/A,#N/A,FALSE,"WACC";#N/A,#N/A,FALSE,"UBVH";#N/A,#N/A,FALSE,"Free Cash Flow"}</definedName>
    <definedName name="wrn.VALUATION." localSheetId="10" hidden="1">{#N/A,#N/A,FALSE,"Valuation Assumptions";#N/A,#N/A,FALSE,"Summary";#N/A,#N/A,FALSE,"DCF";#N/A,#N/A,FALSE,"Valuation";#N/A,#N/A,FALSE,"WACC";#N/A,#N/A,FALSE,"UBVH";#N/A,#N/A,FALSE,"Free Cash Flow"}</definedName>
    <definedName name="wrn.VALUATION." localSheetId="4"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1.repo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td_avg_shares" localSheetId="9">#REF!</definedName>
    <definedName name="wtd_avg_shares" localSheetId="10">[28]Template!$D$69:$T$69</definedName>
    <definedName name="wtd_avg_shares">#REF!</definedName>
    <definedName name="Wtd_avg_shares_m" localSheetId="9">#REF!</definedName>
    <definedName name="Wtd_avg_shares_m">#REF!</definedName>
    <definedName name="wtd_avg_shares_qtr" localSheetId="9">#REF!</definedName>
    <definedName name="wtd_avg_shares_qtr">#REF!</definedName>
    <definedName name="wvu.cash." localSheetId="4">{TRUE,TRUE,-1.25,-15.5,456.75,279.75,FALSE,FALSE,TRUE,TRUE,0,1,18,1,199,6,3,4,TRUE,TRUE,3,TRUE,1,TRUE,100,"Swvu.cash.","ACwvu.cash.",1,FALSE,FALSE,0.511811023622047,0.511811023622047,0.511811023622047,0.511811023622047,1,"","",FALSE,FALSE,FALSE,FALSE,1,#N/A,1,1,#DIV/0!,FALSE,"Rwvu.cash.",#N/A,FALSE,FALSE}</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localSheetId="4">{TRUE,TRUE,-1.25,-15.5,456.75,279.75,FALSE,FALSE,TRUE,TRUE,0,1,21,1,127,6,3,4,TRUE,TRUE,3,TRUE,1,TRUE,100,"Swvu.profits.","ACwvu.profits.",1,FALSE,FALSE,0.511811023622047,0.511811023622047,0.511811023622047,0.511811023622047,1,"","",FALSE,FALSE,FALSE,FALSE,1,#N/A,1,1,#DIV/0!,FALSE,"Rwvu.profits.",#N/A,FALSE,FALS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4">{TRUE,TRUE,-1.25,-15.5,456.75,279.75,FALSE,FALSE,TRUE,TRUE,0,1,8,1,4,6,3,4,TRUE,TRUE,3,TRUE,1,TRUE,100,"Swvu.turnover.","ACwvu.turnover.",1,FALSE,FALSE,0.511811023622047,0.511811023622047,0.511811023622047,0.511811023622047,1,"","",FALSE,FALSE,FALSE,FALSE,1,#N/A,1,1,#DIV/0!,FALSE,"Rwvu.turnover.",#N/A,FALSE,FALS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wwww"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wwww">{#N/A,#N/A,TRUE,"Introduction";#N/A,#N/A,TRUE,"Operating Statistics";#N/A,#N/A,TRUE,"Capex &amp; Depreciation";#N/A,#N/A,TRUE,"Equity";#N/A,#N/A,TRUE,"Debt";#N/A,#N/A,TRUE,"Debt (2)";#N/A,#N/A,TRUE,"Financials";#N/A,#N/A,TRUE,"Market Info";#N/A,#N/A,TRUE,"Company Card";#N/A,#N/A,TRUE,"One Pager";#N/A,#N/A,TRUE,"First Page";#N/A,#N/A,TRUE,"Technical";#N/A,#N/A,TRUE,"Range Names"}</definedName>
    <definedName name="wwwww" localSheetId="4">{#N/A,#N/A,TRUE,"Financials";#N/A,#N/A,TRUE,"Operating Statistics";#N/A,#N/A,TRUE,"Capex &amp; Depreciation";#N/A,#N/A,TRUE,"Debt"}</definedName>
    <definedName name="wwwww">{#N/A,#N/A,TRUE,"Financials";#N/A,#N/A,TRUE,"Operating Statistics";#N/A,#N/A,TRUE,"Capex &amp; Depreciation";#N/A,#N/A,TRUE,"Debt"}</definedName>
    <definedName name="x" localSheetId="4" hidden="1">{"'Standalone List Price Trends'!$A$1:$X$56"}</definedName>
    <definedName name="x" hidden="1">{"'Standalone List Price Trends'!$A$1:$X$56"}</definedName>
    <definedName name="xd" localSheetId="4">#REF!</definedName>
    <definedName name="xd">'[35]#REF'!$AB$94:$AB$94</definedName>
    <definedName name="xData1.2">#REF!</definedName>
    <definedName name="xei">#REF!</definedName>
    <definedName name="xer">#REF!</definedName>
    <definedName name="xfx">#REF!</definedName>
    <definedName name="xitem">#REF!</definedName>
    <definedName name="xls" localSheetId="9" hidden="1">{"Print Summary",#N/A,FALSE,"Bal_Graphs";"Print Summary",#N/A,FALSE,"DCF";"Print Summary",#N/A,FALSE,"Graphs";"Print Summary",#N/A,FALSE,"Summary"}</definedName>
    <definedName name="xls" localSheetId="10" hidden="1">{"Print Summary",#N/A,FALSE,"Bal_Graphs";"Print Summary",#N/A,FALSE,"DCF";"Print Summary",#N/A,FALSE,"Graphs";"Print Summary",#N/A,FALSE,"Summary"}</definedName>
    <definedName name="xls" localSheetId="4" hidden="1">{"Print Summary",#N/A,FALSE,"Bal_Graphs";"Print Summary",#N/A,FALSE,"DCF";"Print Summary",#N/A,FALSE,"Graphs";"Print Summary",#N/A,FALSE,"Summary"}</definedName>
    <definedName name="xls" hidden="1">{"Print Summary",#N/A,FALSE,"Bal_Graphs";"Print Summary",#N/A,FALSE,"DCF";"Print Summary",#N/A,FALSE,"Graphs";"Print Summary",#N/A,FALSE,"Summary"}</definedName>
    <definedName name="xo" localSheetId="4">#REF!</definedName>
    <definedName name="xo">[29]UploaderV4!$F$51:$AE$51</definedName>
    <definedName name="xoasso" localSheetId="4">#REF!</definedName>
    <definedName name="xoasso">[29]UploaderV4!$F$79:$AE$79</definedName>
    <definedName name="xodda" localSheetId="4">#REF!</definedName>
    <definedName name="xodda">[29]UploaderV4!$F$75:$AE$75</definedName>
    <definedName name="xoe">#REF!</definedName>
    <definedName name="xoexp" localSheetId="4">#REF!</definedName>
    <definedName name="xoexp">[29]UploaderV4!$F$74:$AE$74</definedName>
    <definedName name="xoint" localSheetId="4">#REF!</definedName>
    <definedName name="xoint">[29]UploaderV4!$F$76:$AE$76</definedName>
    <definedName name="xomi" localSheetId="4">#REF!</definedName>
    <definedName name="xomi">[29]UploaderV4!$F$80:$AE$80</definedName>
    <definedName name="xoothinc" localSheetId="4">#REF!</definedName>
    <definedName name="xoothinc">[29]UploaderV4!$F$77:$AE$77</definedName>
    <definedName name="xorev" localSheetId="4">#REF!</definedName>
    <definedName name="xorev">[29]UploaderV4!$F$73:$AE$73</definedName>
    <definedName name="xotax" localSheetId="4">#REF!</definedName>
    <definedName name="xotax">[29]UploaderV4!$F$78:$AE$78</definedName>
    <definedName name="xpat" localSheetId="4">#REF!</definedName>
    <definedName name="xpat">[29]UploaderV4!$F$81:$AE$81</definedName>
    <definedName name="xpr">#REF!</definedName>
    <definedName name="xunits">#REF!</definedName>
    <definedName name="xvxv" hidden="1">#N/A</definedName>
    <definedName name="xx" localSheetId="9">#REF!</definedName>
    <definedName name="xx">#REF!</definedName>
    <definedName name="y" localSheetId="4" hidden="1">{#N/A,#N/A,FALSE,"earnings"}</definedName>
    <definedName name="y" hidden="1">{#N/A,#N/A,FALSE,"earnings"}</definedName>
    <definedName name="Y_Co" localSheetId="0">OFFSET(X_Range,0,1)</definedName>
    <definedName name="Y_Co" localSheetId="4">OFFSET(X_Range,0,1)</definedName>
    <definedName name="Y_Co">OFFSET(X_Range,0,1)</definedName>
    <definedName name="Y_Y_Growth" localSheetId="4">#REF!</definedName>
    <definedName name="Y_Y_Growth">'[108]Model (Not Merged)'!#REF!</definedName>
    <definedName name="YEAR" localSheetId="9">#REF!</definedName>
    <definedName name="YEAR" localSheetId="10">[1]bajaj_copeland!$B$4</definedName>
    <definedName name="YEAR">#REF!</definedName>
    <definedName name="year_end" localSheetId="9">#REF!</definedName>
    <definedName name="year_end">#REF!</definedName>
    <definedName name="Year_End_Core_Fixed_asset_turns">#REF!</definedName>
    <definedName name="Year_End_Core_Invested_Capital_turns">#REF!</definedName>
    <definedName name="Year_End_Core_NetWC_turns">#REF!</definedName>
    <definedName name="Year_End_Core_other_asset_turns">#REF!</definedName>
    <definedName name="year_in_future">#REF!</definedName>
    <definedName name="YEAR_TO__RS_M_">#REF!</definedName>
    <definedName name="YearEnd">#REF!</definedName>
    <definedName name="YearEndSharesInIssue">#REF!</definedName>
    <definedName name="yearone" localSheetId="4">#REF!</definedName>
    <definedName name="yearone">[109]Introduction!$E$16</definedName>
    <definedName name="Years">"A1:v1"</definedName>
    <definedName name="Years_in_full_stream">#REF!</definedName>
    <definedName name="Years_into_future">#REF!</definedName>
    <definedName name="yedate" localSheetId="4">#REF!</definedName>
    <definedName name="yedate">[29]UploaderV4!$F$3:$AE$3</definedName>
    <definedName name="YeEq">#REF!</definedName>
    <definedName name="yield" localSheetId="4">#REF!</definedName>
    <definedName name="yield">'[47]RMF Annual'!$E$165:$U$165</definedName>
    <definedName name="Yield_on_advances_Q">#REF!</definedName>
    <definedName name="Yield_on_fixed_deposits">#REF!</definedName>
    <definedName name="Yield_on_interest_earning_assets">#REF!</definedName>
    <definedName name="Yield_on_total_assets_Q">#REF!</definedName>
    <definedName name="yihjh" hidden="1">#N/A</definedName>
    <definedName name="YoA12">#REF!</definedName>
    <definedName name="YoA13">#REF!</definedName>
    <definedName name="YoI12">#REF!</definedName>
    <definedName name="YoI13">#REF!</definedName>
    <definedName name="YoY_Growth">#REF!</definedName>
    <definedName name="YR88_89">#REF!</definedName>
    <definedName name="YR91_92">#REF!</definedName>
    <definedName name="YrRange" localSheetId="10" hidden="1">[31]Profile!$K$10:$AA$10</definedName>
    <definedName name="YrRange" hidden="1">#REF!</definedName>
    <definedName name="yrty" hidden="1">#REF!</definedName>
    <definedName name="yyy">#REF!</definedName>
    <definedName name="yyyy">#REF!</definedName>
    <definedName name="Z" localSheetId="9">#REF!</definedName>
    <definedName name="z" localSheetId="4" hidden="1">{#N/A,#N/A,FALSE,"Status of Projects";#N/A,#N/A,FALSE,"CEA-TEC";#N/A,#N/A,FALSE,"U-Constr.";#N/A,#N/A,FALSE,"summary";#N/A,#N/A,FALSE,"PPP-3 yrs"}</definedName>
    <definedName name="z" hidden="1">{#N/A,#N/A,FALSE,"Status of Projects";#N/A,#N/A,FALSE,"CEA-TEC";#N/A,#N/A,FALSE,"U-Constr.";#N/A,#N/A,FALSE,"summary";#N/A,#N/A,FALSE,"PPP-3 yrs"}</definedName>
    <definedName name="Z_47AE1863_C7DD_11D6_BE51_0050BA324F5C_.wvu.PrintTitles" localSheetId="9" hidden="1">#REF!</definedName>
    <definedName name="Z_47AE1863_C7DD_11D6_BE51_0050BA324F5C_.wvu.PrintTitles" hidden="1">#REF!</definedName>
    <definedName name="zaq"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Z_COV_Cover" localSheetId="9">#REF!</definedName>
    <definedName name="ZZ_COV_Cover">#REF!</definedName>
    <definedName name="zzz" hidden="1">#N/A</definedName>
  </definedNames>
  <calcPr fullCalcOnLoad="1"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 i="5" l="1"/>
  <c r="J50" i="5" s="1"/>
  <c r="K50" i="5" s="1"/>
  <c r="L50" i="5" s="1"/>
  <c r="C46" i="12"/>
  <c r="C42" i="12"/>
  <c r="I56" i="5" s="1"/>
  <c r="J56" i="5" s="1"/>
  <c r="K56" i="5" s="1"/>
  <c r="L56" i="5" s="1"/>
  <c r="C41" i="12"/>
  <c r="I159" i="5" s="1"/>
  <c r="C39" i="12"/>
  <c r="C40" i="12"/>
  <c r="CG53" i="9"/>
  <c r="CG54" i="9"/>
  <c r="CG55" i="9"/>
  <c r="CG56" i="9"/>
  <c r="CG57" i="9"/>
  <c r="CG58" i="9"/>
  <c r="CG59" i="9"/>
  <c r="CG60" i="9"/>
  <c r="CG61" i="9"/>
  <c r="CG62" i="9"/>
  <c r="CG63" i="9"/>
  <c r="CG64" i="9"/>
  <c r="CG65" i="9"/>
  <c r="CG66" i="9"/>
  <c r="CG67" i="9"/>
  <c r="CG68" i="9"/>
  <c r="CG69" i="9"/>
  <c r="CG70" i="9"/>
  <c r="CG71" i="9"/>
  <c r="CG72" i="9"/>
  <c r="CG73" i="9"/>
  <c r="CG74" i="9"/>
  <c r="CG75" i="9"/>
  <c r="CG76" i="9"/>
  <c r="CG77" i="9"/>
  <c r="CG78" i="9"/>
  <c r="CG79" i="9"/>
  <c r="CG80" i="9"/>
  <c r="CG81" i="9"/>
  <c r="CG82" i="9"/>
  <c r="CG83" i="9"/>
  <c r="CG84" i="9"/>
  <c r="CG85" i="9"/>
  <c r="CG86" i="9"/>
  <c r="CG87" i="9"/>
  <c r="CF53" i="9"/>
  <c r="CF54" i="9"/>
  <c r="CF55" i="9"/>
  <c r="CF56" i="9"/>
  <c r="CF57" i="9"/>
  <c r="CF58" i="9"/>
  <c r="CF59" i="9"/>
  <c r="CF60" i="9"/>
  <c r="CF61" i="9"/>
  <c r="CF62" i="9"/>
  <c r="CF63" i="9"/>
  <c r="CF64" i="9"/>
  <c r="CF65" i="9"/>
  <c r="CF66" i="9"/>
  <c r="CF67" i="9"/>
  <c r="CF68" i="9"/>
  <c r="CF69" i="9"/>
  <c r="CF70" i="9"/>
  <c r="CF71" i="9"/>
  <c r="CF72" i="9"/>
  <c r="CF73" i="9"/>
  <c r="CF74" i="9"/>
  <c r="CF75" i="9"/>
  <c r="CF76" i="9"/>
  <c r="CF77" i="9"/>
  <c r="CF78" i="9"/>
  <c r="CF79" i="9"/>
  <c r="CF80" i="9"/>
  <c r="CF81" i="9"/>
  <c r="CF82" i="9"/>
  <c r="CF83" i="9"/>
  <c r="CF84" i="9"/>
  <c r="CF85" i="9"/>
  <c r="CF86" i="9"/>
  <c r="CF87" i="9"/>
  <c r="C43" i="12" l="1"/>
  <c r="C48" i="12"/>
  <c r="BM131" i="9" l="1"/>
  <c r="BM130" i="9"/>
  <c r="B130" i="9"/>
  <c r="C130" i="9"/>
  <c r="D130" i="9"/>
  <c r="E130" i="9"/>
  <c r="F130" i="9"/>
  <c r="H130" i="9"/>
  <c r="N130" i="9"/>
  <c r="B131" i="9"/>
  <c r="C131" i="9"/>
  <c r="D131" i="9"/>
  <c r="E131" i="9"/>
  <c r="F131" i="9"/>
  <c r="H131" i="9"/>
  <c r="P131" i="9" s="1"/>
  <c r="N131" i="9"/>
  <c r="F70" i="21"/>
  <c r="G70" i="21"/>
  <c r="I68" i="21"/>
  <c r="P68" i="21"/>
  <c r="I69" i="21"/>
  <c r="P69" i="21"/>
  <c r="CG52" i="9"/>
  <c r="CF52" i="9"/>
  <c r="CE52" i="9"/>
  <c r="CE53" i="9"/>
  <c r="CE54" i="9"/>
  <c r="CE55" i="9"/>
  <c r="CE56" i="9"/>
  <c r="CE57" i="9"/>
  <c r="CE58" i="9"/>
  <c r="CE59" i="9"/>
  <c r="CE60" i="9"/>
  <c r="CE61" i="9"/>
  <c r="CE62" i="9"/>
  <c r="CE63" i="9"/>
  <c r="CE64" i="9"/>
  <c r="CE65" i="9"/>
  <c r="CE66" i="9"/>
  <c r="CE67" i="9"/>
  <c r="CE68" i="9"/>
  <c r="CE69" i="9"/>
  <c r="CE70" i="9"/>
  <c r="CE71" i="9"/>
  <c r="CE72" i="9"/>
  <c r="CE73" i="9"/>
  <c r="CE74" i="9"/>
  <c r="CE75" i="9"/>
  <c r="CE76" i="9"/>
  <c r="CE77" i="9"/>
  <c r="CE78" i="9"/>
  <c r="CE79" i="9"/>
  <c r="CE80" i="9"/>
  <c r="CE81" i="9"/>
  <c r="CE82" i="9"/>
  <c r="CE83" i="9"/>
  <c r="CE84" i="9"/>
  <c r="CE86" i="9"/>
  <c r="CE87" i="9"/>
  <c r="S13" i="5"/>
  <c r="R13" i="5"/>
  <c r="Q13" i="5"/>
  <c r="S12" i="5"/>
  <c r="R12" i="5"/>
  <c r="Q12" i="5"/>
  <c r="S11" i="5"/>
  <c r="R11" i="5"/>
  <c r="Q11" i="5"/>
  <c r="S10" i="5"/>
  <c r="R10" i="5"/>
  <c r="Q10" i="5"/>
  <c r="S9" i="5"/>
  <c r="R9" i="5"/>
  <c r="Q9" i="5"/>
  <c r="S7" i="5"/>
  <c r="R7" i="5"/>
  <c r="Q7" i="5"/>
  <c r="S6" i="5"/>
  <c r="R6" i="5"/>
  <c r="Q6" i="5"/>
  <c r="G52" i="9"/>
  <c r="G86" i="9"/>
  <c r="G87" i="9"/>
  <c r="I207" i="5"/>
  <c r="J207" i="5" s="1"/>
  <c r="K207" i="5" s="1"/>
  <c r="L207" i="5" s="1"/>
  <c r="I206" i="5"/>
  <c r="J206" i="5" s="1"/>
  <c r="K206" i="5" s="1"/>
  <c r="L206" i="5" s="1"/>
  <c r="I205" i="5"/>
  <c r="J205" i="5" s="1"/>
  <c r="K205" i="5" s="1"/>
  <c r="L205" i="5" s="1"/>
  <c r="I204" i="5"/>
  <c r="J204" i="5" s="1"/>
  <c r="K204" i="5" s="1"/>
  <c r="L204" i="5" s="1"/>
  <c r="G38" i="9"/>
  <c r="H38" i="9" s="1"/>
  <c r="I38" i="9" s="1"/>
  <c r="J38" i="9" s="1"/>
  <c r="K38" i="9" s="1"/>
  <c r="G36" i="9"/>
  <c r="H36" i="9" s="1"/>
  <c r="I36" i="9" s="1"/>
  <c r="J36" i="9" s="1"/>
  <c r="K36" i="9" s="1"/>
  <c r="E34" i="9"/>
  <c r="F34" i="9"/>
  <c r="G34" i="9"/>
  <c r="H34" i="9"/>
  <c r="I34" i="9"/>
  <c r="J34" i="9"/>
  <c r="K34" i="9"/>
  <c r="D30" i="9"/>
  <c r="E30" i="9"/>
  <c r="F30" i="9"/>
  <c r="D29" i="9"/>
  <c r="E29" i="9"/>
  <c r="F29" i="9"/>
  <c r="FW130" i="9" l="1"/>
  <c r="FY131" i="9"/>
  <c r="G131" i="9"/>
  <c r="BW131" i="9" s="1"/>
  <c r="G130" i="9"/>
  <c r="BX130" i="9" s="1"/>
  <c r="FV131" i="9"/>
  <c r="Q130" i="9"/>
  <c r="EH130" i="9" s="1"/>
  <c r="FW131" i="9"/>
  <c r="I130" i="9"/>
  <c r="U130" i="9"/>
  <c r="BB130" i="9" s="1"/>
  <c r="R130" i="9"/>
  <c r="EI130" i="9" s="1"/>
  <c r="R131" i="9"/>
  <c r="AY131" i="9" s="1"/>
  <c r="S130" i="9"/>
  <c r="S131" i="9"/>
  <c r="AZ131" i="9" s="1"/>
  <c r="Q131" i="9"/>
  <c r="AH131" i="9" s="1"/>
  <c r="T130" i="9"/>
  <c r="BA130" i="9" s="1"/>
  <c r="CB130" i="9"/>
  <c r="FV130" i="9"/>
  <c r="T131" i="9"/>
  <c r="U131" i="9"/>
  <c r="EL131" i="9" s="1"/>
  <c r="FX130" i="9"/>
  <c r="K131" i="9"/>
  <c r="W130" i="9"/>
  <c r="EN130" i="9" s="1"/>
  <c r="FY130" i="9"/>
  <c r="W131" i="9"/>
  <c r="EN131" i="9" s="1"/>
  <c r="FX131" i="9"/>
  <c r="V130" i="9"/>
  <c r="V131" i="9"/>
  <c r="EM131" i="9" s="1"/>
  <c r="I131" i="9"/>
  <c r="K130" i="9"/>
  <c r="P130" i="9"/>
  <c r="F31" i="9"/>
  <c r="E31" i="9"/>
  <c r="D31" i="9"/>
  <c r="O86" i="9"/>
  <c r="FO86" i="9" s="1"/>
  <c r="O87" i="9"/>
  <c r="CI53" i="9"/>
  <c r="CI54" i="9"/>
  <c r="CI55" i="9"/>
  <c r="CI56" i="9"/>
  <c r="CI57" i="9"/>
  <c r="CI58" i="9"/>
  <c r="CI59" i="9"/>
  <c r="CI60" i="9"/>
  <c r="CI61" i="9"/>
  <c r="CI62" i="9"/>
  <c r="CI63" i="9"/>
  <c r="CI64" i="9"/>
  <c r="CI65" i="9"/>
  <c r="CI66" i="9"/>
  <c r="CI67" i="9"/>
  <c r="CI68" i="9"/>
  <c r="CI69" i="9"/>
  <c r="CI70" i="9"/>
  <c r="CI71" i="9"/>
  <c r="CI72" i="9"/>
  <c r="CI73" i="9"/>
  <c r="CI74" i="9"/>
  <c r="CI75" i="9"/>
  <c r="CI76" i="9"/>
  <c r="CI77" i="9"/>
  <c r="CI78" i="9"/>
  <c r="CI79" i="9"/>
  <c r="CI80" i="9"/>
  <c r="CI81" i="9"/>
  <c r="CI82" i="9"/>
  <c r="CI83" i="9"/>
  <c r="CI84" i="9"/>
  <c r="CI85" i="9"/>
  <c r="CI86" i="9"/>
  <c r="CR86" i="9" s="1"/>
  <c r="CI87" i="9"/>
  <c r="CR87" i="9" s="1"/>
  <c r="CH53" i="9"/>
  <c r="CH54" i="9"/>
  <c r="CH55" i="9"/>
  <c r="CH56" i="9"/>
  <c r="CH57" i="9"/>
  <c r="CH58" i="9"/>
  <c r="CH59" i="9"/>
  <c r="CH60" i="9"/>
  <c r="CH61" i="9"/>
  <c r="CH62" i="9"/>
  <c r="CH63" i="9"/>
  <c r="CH64" i="9"/>
  <c r="CH65" i="9"/>
  <c r="CH66" i="9"/>
  <c r="CH67" i="9"/>
  <c r="CH68" i="9"/>
  <c r="CH69" i="9"/>
  <c r="CH70" i="9"/>
  <c r="CH71" i="9"/>
  <c r="CH72" i="9"/>
  <c r="CH73" i="9"/>
  <c r="CH74" i="9"/>
  <c r="CH75" i="9"/>
  <c r="CH76" i="9"/>
  <c r="CH77" i="9"/>
  <c r="CH78" i="9"/>
  <c r="CH79" i="9"/>
  <c r="CH80" i="9"/>
  <c r="CH81" i="9"/>
  <c r="CH82" i="9"/>
  <c r="CH83" i="9"/>
  <c r="CH84" i="9"/>
  <c r="CH85" i="9"/>
  <c r="CH86" i="9"/>
  <c r="CQ86" i="9" s="1"/>
  <c r="CH87" i="9"/>
  <c r="CQ87" i="9" s="1"/>
  <c r="CP86" i="9"/>
  <c r="CP87" i="9"/>
  <c r="CO86" i="9"/>
  <c r="CO87" i="9"/>
  <c r="CN86" i="9"/>
  <c r="CN87" i="9"/>
  <c r="CM86" i="9"/>
  <c r="CM87" i="9"/>
  <c r="CL86" i="9"/>
  <c r="CL87" i="9"/>
  <c r="H80" i="5"/>
  <c r="H79" i="5"/>
  <c r="G80" i="5"/>
  <c r="G79" i="5"/>
  <c r="BN131" i="9" l="1"/>
  <c r="EH131" i="9"/>
  <c r="CB131" i="9"/>
  <c r="CA131" i="9"/>
  <c r="BY131" i="9"/>
  <c r="AH130" i="9"/>
  <c r="BZ131" i="9"/>
  <c r="AM130" i="9"/>
  <c r="EL130" i="9"/>
  <c r="BV130" i="9"/>
  <c r="AI131" i="9"/>
  <c r="BV131" i="9"/>
  <c r="BT131" i="9"/>
  <c r="BX131" i="9"/>
  <c r="CA130" i="9"/>
  <c r="BW130" i="9"/>
  <c r="BQ131" i="9"/>
  <c r="AK130" i="9"/>
  <c r="EI131" i="9"/>
  <c r="BS131" i="9"/>
  <c r="BZ130" i="9"/>
  <c r="BY130" i="9"/>
  <c r="BO131" i="9"/>
  <c r="BQ130" i="9"/>
  <c r="EM130" i="9"/>
  <c r="BJ130" i="9"/>
  <c r="BN130" i="9"/>
  <c r="AX131" i="9"/>
  <c r="BI130" i="9"/>
  <c r="BD131" i="9"/>
  <c r="BF130" i="9"/>
  <c r="BR131" i="9"/>
  <c r="BR130" i="9"/>
  <c r="BL131" i="9"/>
  <c r="AM131" i="9"/>
  <c r="AJ131" i="9"/>
  <c r="BG131" i="9"/>
  <c r="AX130" i="9"/>
  <c r="EF131" i="9"/>
  <c r="BS130" i="9"/>
  <c r="BP131" i="9"/>
  <c r="EF130" i="9"/>
  <c r="BD130" i="9"/>
  <c r="BP130" i="9"/>
  <c r="AL131" i="9"/>
  <c r="BA131" i="9"/>
  <c r="BH130" i="9"/>
  <c r="CL131" i="9"/>
  <c r="BK131" i="9"/>
  <c r="BJ131" i="9"/>
  <c r="CM131" i="9"/>
  <c r="BI131" i="9"/>
  <c r="AJ130" i="9"/>
  <c r="EJ131" i="9"/>
  <c r="AY130" i="9"/>
  <c r="EK130" i="9"/>
  <c r="AN130" i="9"/>
  <c r="BK130" i="9"/>
  <c r="BC130" i="9"/>
  <c r="BH131" i="9"/>
  <c r="BO130" i="9"/>
  <c r="AZ130" i="9"/>
  <c r="AI130" i="9"/>
  <c r="BF131" i="9"/>
  <c r="AL130" i="9"/>
  <c r="BG130" i="9"/>
  <c r="BC131" i="9"/>
  <c r="AK131" i="9"/>
  <c r="CL130" i="9"/>
  <c r="BT130" i="9"/>
  <c r="CM130" i="9"/>
  <c r="CU130" i="9" s="1"/>
  <c r="DC130" i="9" s="1"/>
  <c r="BL130" i="9"/>
  <c r="BB131" i="9"/>
  <c r="AN131" i="9"/>
  <c r="EJ130" i="9"/>
  <c r="EK131" i="9"/>
  <c r="CJ87" i="9"/>
  <c r="CJ86" i="9"/>
  <c r="FO87" i="9"/>
  <c r="H81" i="5"/>
  <c r="CT130" i="9" l="1"/>
  <c r="DB130" i="9" s="1"/>
  <c r="CU131" i="9"/>
  <c r="DC131" i="9" s="1"/>
  <c r="CT131" i="9"/>
  <c r="DB131" i="9" s="1"/>
  <c r="F162" i="9" l="1"/>
  <c r="G162" i="9"/>
  <c r="G163" i="9" s="1"/>
  <c r="H163" i="9"/>
  <c r="I163" i="9"/>
  <c r="I171" i="9"/>
  <c r="I173" i="9" s="1"/>
  <c r="H173" i="9"/>
  <c r="F163" i="9" l="1"/>
  <c r="F164" i="9" s="1"/>
  <c r="J173" i="9"/>
  <c r="J174" i="9" s="1"/>
  <c r="GB86" i="9" l="1"/>
  <c r="GB87" i="9"/>
  <c r="GA86" i="9"/>
  <c r="GA87" i="9"/>
  <c r="FZ86" i="9"/>
  <c r="FZ87" i="9"/>
  <c r="FY86" i="9"/>
  <c r="FY87" i="9"/>
  <c r="FX86" i="9"/>
  <c r="FX87" i="9"/>
  <c r="FW86" i="9"/>
  <c r="FW87" i="9"/>
  <c r="FV86" i="9"/>
  <c r="FV87" i="9"/>
  <c r="S20" i="9"/>
  <c r="BM108" i="9"/>
  <c r="BM109" i="9"/>
  <c r="BM110" i="9"/>
  <c r="BM111" i="9"/>
  <c r="BM112" i="9"/>
  <c r="BM113" i="9"/>
  <c r="BM114" i="9"/>
  <c r="BM115" i="9"/>
  <c r="BM116" i="9"/>
  <c r="BM117" i="9"/>
  <c r="BM118" i="9"/>
  <c r="BM119" i="9"/>
  <c r="BM120" i="9"/>
  <c r="BM121" i="9"/>
  <c r="BM122" i="9"/>
  <c r="BM123" i="9"/>
  <c r="BM124" i="9"/>
  <c r="BM125" i="9"/>
  <c r="BM126" i="9"/>
  <c r="BM127" i="9"/>
  <c r="BM128" i="9"/>
  <c r="BM129" i="9"/>
  <c r="BM132" i="9"/>
  <c r="BM133" i="9"/>
  <c r="B108" i="9"/>
  <c r="C108" i="9"/>
  <c r="D108" i="9"/>
  <c r="E108" i="9"/>
  <c r="F108" i="9"/>
  <c r="H108" i="9"/>
  <c r="G108" i="9" s="1"/>
  <c r="B109" i="9"/>
  <c r="C109" i="9"/>
  <c r="D109" i="9"/>
  <c r="E109" i="9"/>
  <c r="F109" i="9"/>
  <c r="H109" i="9"/>
  <c r="B110" i="9"/>
  <c r="C110" i="9"/>
  <c r="D110" i="9"/>
  <c r="E110" i="9"/>
  <c r="F110" i="9"/>
  <c r="H110" i="9"/>
  <c r="B111" i="9"/>
  <c r="C111" i="9"/>
  <c r="D111" i="9"/>
  <c r="E111" i="9"/>
  <c r="F111" i="9"/>
  <c r="H111" i="9"/>
  <c r="B112" i="9"/>
  <c r="C112" i="9"/>
  <c r="D112" i="9"/>
  <c r="E112" i="9"/>
  <c r="F112" i="9"/>
  <c r="H112" i="9"/>
  <c r="B113" i="9"/>
  <c r="C113" i="9"/>
  <c r="D113" i="9"/>
  <c r="E113" i="9"/>
  <c r="F113" i="9"/>
  <c r="H113" i="9"/>
  <c r="B114" i="9"/>
  <c r="C114" i="9"/>
  <c r="D114" i="9"/>
  <c r="E114" i="9"/>
  <c r="F114" i="9"/>
  <c r="H114" i="9"/>
  <c r="B115" i="9"/>
  <c r="C115" i="9"/>
  <c r="D115" i="9"/>
  <c r="E115" i="9"/>
  <c r="F115" i="9"/>
  <c r="H115" i="9"/>
  <c r="B116" i="9"/>
  <c r="C116" i="9"/>
  <c r="D116" i="9"/>
  <c r="E116" i="9"/>
  <c r="F116" i="9"/>
  <c r="H116" i="9"/>
  <c r="B117" i="9"/>
  <c r="C117" i="9"/>
  <c r="D117" i="9"/>
  <c r="E117" i="9"/>
  <c r="F117" i="9"/>
  <c r="H117" i="9"/>
  <c r="B118" i="9"/>
  <c r="C118" i="9"/>
  <c r="D118" i="9"/>
  <c r="E118" i="9"/>
  <c r="F118" i="9"/>
  <c r="H118" i="9"/>
  <c r="B119" i="9"/>
  <c r="C119" i="9"/>
  <c r="D119" i="9"/>
  <c r="E119" i="9"/>
  <c r="F119" i="9"/>
  <c r="H119" i="9"/>
  <c r="C93" i="21"/>
  <c r="D93" i="21"/>
  <c r="C94" i="21"/>
  <c r="D94" i="21"/>
  <c r="C95" i="21"/>
  <c r="D95" i="21"/>
  <c r="C96" i="21"/>
  <c r="D96" i="21"/>
  <c r="C97" i="21"/>
  <c r="D97" i="21"/>
  <c r="C85" i="21"/>
  <c r="D85" i="21"/>
  <c r="C86" i="21"/>
  <c r="D86" i="21"/>
  <c r="C87" i="21"/>
  <c r="D87" i="21"/>
  <c r="C88" i="21"/>
  <c r="D88" i="21"/>
  <c r="C89" i="21"/>
  <c r="D89" i="21"/>
  <c r="C77" i="21"/>
  <c r="D77" i="21"/>
  <c r="C78" i="21"/>
  <c r="D78" i="21"/>
  <c r="C79" i="21"/>
  <c r="D79" i="21"/>
  <c r="C80" i="21"/>
  <c r="D80" i="21"/>
  <c r="C81" i="21"/>
  <c r="D81" i="21"/>
  <c r="I56" i="21"/>
  <c r="P56" i="21"/>
  <c r="I57" i="21"/>
  <c r="P57" i="21"/>
  <c r="I58" i="21"/>
  <c r="P58" i="21"/>
  <c r="I59" i="21"/>
  <c r="P59" i="21"/>
  <c r="I60" i="21"/>
  <c r="P60" i="21"/>
  <c r="I61" i="21"/>
  <c r="P61" i="21"/>
  <c r="I62" i="21"/>
  <c r="P62" i="21"/>
  <c r="I63" i="21"/>
  <c r="P63" i="21"/>
  <c r="I64" i="21"/>
  <c r="P64" i="21"/>
  <c r="I65" i="21"/>
  <c r="P65" i="21"/>
  <c r="I66" i="21"/>
  <c r="P66" i="21"/>
  <c r="I67" i="21"/>
  <c r="P67" i="21"/>
  <c r="B88" i="9"/>
  <c r="B120" i="9" s="1"/>
  <c r="C88" i="9"/>
  <c r="C120" i="9" s="1"/>
  <c r="D88" i="9"/>
  <c r="E88" i="9"/>
  <c r="E120" i="9" s="1"/>
  <c r="F88" i="9"/>
  <c r="H88" i="9"/>
  <c r="N88" i="9"/>
  <c r="B89" i="9"/>
  <c r="B121" i="9" s="1"/>
  <c r="C89" i="9"/>
  <c r="C121" i="9" s="1"/>
  <c r="D89" i="9"/>
  <c r="E89" i="9"/>
  <c r="E121" i="9" s="1"/>
  <c r="F89" i="9"/>
  <c r="H89" i="9"/>
  <c r="N89" i="9"/>
  <c r="B90" i="9"/>
  <c r="C90" i="9"/>
  <c r="D90" i="9"/>
  <c r="E90" i="9"/>
  <c r="F90" i="9"/>
  <c r="H90" i="9"/>
  <c r="N90" i="9"/>
  <c r="B91" i="9"/>
  <c r="C91" i="9"/>
  <c r="D91" i="9"/>
  <c r="E91" i="9"/>
  <c r="F91" i="9"/>
  <c r="H91" i="9"/>
  <c r="N91" i="9"/>
  <c r="B92" i="9"/>
  <c r="C92" i="9"/>
  <c r="D92" i="9"/>
  <c r="E92" i="9"/>
  <c r="F92" i="9"/>
  <c r="H92" i="9"/>
  <c r="N92" i="9"/>
  <c r="B93" i="9"/>
  <c r="B122" i="9" s="1"/>
  <c r="C93" i="9"/>
  <c r="C122" i="9" s="1"/>
  <c r="D93" i="9"/>
  <c r="E93" i="9"/>
  <c r="E122" i="9" s="1"/>
  <c r="F93" i="9"/>
  <c r="K93" i="9" s="1"/>
  <c r="H93" i="9"/>
  <c r="N93" i="9"/>
  <c r="B94" i="9"/>
  <c r="B123" i="9" s="1"/>
  <c r="C94" i="9"/>
  <c r="C123" i="9" s="1"/>
  <c r="D94" i="9"/>
  <c r="E94" i="9"/>
  <c r="E123" i="9" s="1"/>
  <c r="F94" i="9"/>
  <c r="H94" i="9"/>
  <c r="N94" i="9"/>
  <c r="B95" i="9"/>
  <c r="C95" i="9"/>
  <c r="D95" i="9"/>
  <c r="E95" i="9"/>
  <c r="F95" i="9"/>
  <c r="H95" i="9"/>
  <c r="N95" i="9"/>
  <c r="B96" i="9"/>
  <c r="C96" i="9"/>
  <c r="D96" i="9"/>
  <c r="E96" i="9"/>
  <c r="F96" i="9"/>
  <c r="H96" i="9"/>
  <c r="N96" i="9"/>
  <c r="B97" i="9"/>
  <c r="B124" i="9" s="1"/>
  <c r="C97" i="9"/>
  <c r="C124" i="9" s="1"/>
  <c r="D97" i="9"/>
  <c r="E97" i="9"/>
  <c r="E124" i="9" s="1"/>
  <c r="F97" i="9"/>
  <c r="H97" i="9"/>
  <c r="N97" i="9"/>
  <c r="B98" i="9"/>
  <c r="B125" i="9" s="1"/>
  <c r="C98" i="9"/>
  <c r="C125" i="9" s="1"/>
  <c r="D98" i="9"/>
  <c r="E98" i="9"/>
  <c r="E125" i="9" s="1"/>
  <c r="F98" i="9"/>
  <c r="H98" i="9"/>
  <c r="N98" i="9"/>
  <c r="B99" i="9"/>
  <c r="B126" i="9" s="1"/>
  <c r="C99" i="9"/>
  <c r="C126" i="9" s="1"/>
  <c r="D99" i="9"/>
  <c r="E99" i="9"/>
  <c r="E126" i="9" s="1"/>
  <c r="F99" i="9"/>
  <c r="H99" i="9"/>
  <c r="N99" i="9"/>
  <c r="B100" i="9"/>
  <c r="B127" i="9" s="1"/>
  <c r="C100" i="9"/>
  <c r="C127" i="9" s="1"/>
  <c r="D100" i="9"/>
  <c r="E100" i="9"/>
  <c r="E127" i="9" s="1"/>
  <c r="F100" i="9"/>
  <c r="H100" i="9"/>
  <c r="N100" i="9"/>
  <c r="B101" i="9"/>
  <c r="C101" i="9"/>
  <c r="D101" i="9"/>
  <c r="E101" i="9"/>
  <c r="F101" i="9"/>
  <c r="K101" i="9" s="1"/>
  <c r="H101" i="9"/>
  <c r="B102" i="9"/>
  <c r="C102" i="9"/>
  <c r="D102" i="9"/>
  <c r="E102" i="9"/>
  <c r="F102" i="9"/>
  <c r="H102" i="9"/>
  <c r="B103" i="9"/>
  <c r="B128" i="9" s="1"/>
  <c r="C103" i="9"/>
  <c r="C128" i="9" s="1"/>
  <c r="D103" i="9"/>
  <c r="E103" i="9"/>
  <c r="E128" i="9" s="1"/>
  <c r="F103" i="9"/>
  <c r="K103" i="9" s="1"/>
  <c r="H103" i="9"/>
  <c r="N103" i="9"/>
  <c r="B104" i="9"/>
  <c r="C104" i="9"/>
  <c r="D104" i="9"/>
  <c r="E104" i="9"/>
  <c r="F104" i="9"/>
  <c r="K104" i="9" s="1"/>
  <c r="H104" i="9"/>
  <c r="N104" i="9"/>
  <c r="B105" i="9"/>
  <c r="B129" i="9" s="1"/>
  <c r="C105" i="9"/>
  <c r="C129" i="9" s="1"/>
  <c r="D105" i="9"/>
  <c r="E105" i="9"/>
  <c r="E129" i="9" s="1"/>
  <c r="F105" i="9"/>
  <c r="K105" i="9" s="1"/>
  <c r="H105" i="9"/>
  <c r="N105" i="9"/>
  <c r="B106" i="9"/>
  <c r="B132" i="9" s="1"/>
  <c r="C106" i="9"/>
  <c r="C132" i="9" s="1"/>
  <c r="D106" i="9"/>
  <c r="E106" i="9"/>
  <c r="E132" i="9" s="1"/>
  <c r="F106" i="9"/>
  <c r="K106" i="9" s="1"/>
  <c r="H106" i="9"/>
  <c r="N106" i="9"/>
  <c r="B107" i="9"/>
  <c r="B133" i="9" s="1"/>
  <c r="C107" i="9"/>
  <c r="C133" i="9" s="1"/>
  <c r="D107" i="9"/>
  <c r="E107" i="9"/>
  <c r="E133" i="9" s="1"/>
  <c r="F107" i="9"/>
  <c r="K107" i="9" s="1"/>
  <c r="H107" i="9"/>
  <c r="N107" i="9"/>
  <c r="B53" i="9"/>
  <c r="C53" i="9"/>
  <c r="D53" i="9"/>
  <c r="E53" i="9"/>
  <c r="F53" i="9"/>
  <c r="K53" i="9" s="1"/>
  <c r="H53" i="9"/>
  <c r="G53" i="9" s="1"/>
  <c r="N53" i="9"/>
  <c r="B54" i="9"/>
  <c r="C54" i="9"/>
  <c r="D54" i="9"/>
  <c r="E54" i="9"/>
  <c r="F54" i="9"/>
  <c r="H54" i="9"/>
  <c r="G54" i="9" s="1"/>
  <c r="N54" i="9"/>
  <c r="B55" i="9"/>
  <c r="C55" i="9"/>
  <c r="D55" i="9"/>
  <c r="E55" i="9"/>
  <c r="F55" i="9"/>
  <c r="K55" i="9" s="1"/>
  <c r="H55" i="9"/>
  <c r="G55" i="9" s="1"/>
  <c r="N55" i="9"/>
  <c r="B56" i="9"/>
  <c r="C56" i="9"/>
  <c r="D56" i="9"/>
  <c r="E56" i="9"/>
  <c r="F56" i="9"/>
  <c r="K56" i="9" s="1"/>
  <c r="H56" i="9"/>
  <c r="G56" i="9" s="1"/>
  <c r="N56" i="9"/>
  <c r="B57" i="9"/>
  <c r="C57" i="9"/>
  <c r="D57" i="9"/>
  <c r="E57" i="9"/>
  <c r="F57" i="9"/>
  <c r="K57" i="9" s="1"/>
  <c r="H57" i="9"/>
  <c r="G57" i="9" s="1"/>
  <c r="N57" i="9"/>
  <c r="B58" i="9"/>
  <c r="C58" i="9"/>
  <c r="D58" i="9"/>
  <c r="E58" i="9"/>
  <c r="F58" i="9"/>
  <c r="K58" i="9" s="1"/>
  <c r="H58" i="9"/>
  <c r="G58" i="9" s="1"/>
  <c r="N58" i="9"/>
  <c r="B59" i="9"/>
  <c r="C59" i="9"/>
  <c r="D59" i="9"/>
  <c r="E59" i="9"/>
  <c r="F59" i="9"/>
  <c r="H59" i="9"/>
  <c r="G59" i="9" s="1"/>
  <c r="N59" i="9"/>
  <c r="B60" i="9"/>
  <c r="C60" i="9"/>
  <c r="D60" i="9"/>
  <c r="E60" i="9"/>
  <c r="F60" i="9"/>
  <c r="H60" i="9"/>
  <c r="G60" i="9" s="1"/>
  <c r="N60" i="9"/>
  <c r="B61" i="9"/>
  <c r="C61" i="9"/>
  <c r="D61" i="9"/>
  <c r="E61" i="9"/>
  <c r="F61" i="9"/>
  <c r="H61" i="9"/>
  <c r="G61" i="9" s="1"/>
  <c r="N61" i="9"/>
  <c r="B62" i="9"/>
  <c r="C62" i="9"/>
  <c r="D62" i="9"/>
  <c r="E62" i="9"/>
  <c r="F62" i="9"/>
  <c r="H62" i="9"/>
  <c r="G62" i="9" s="1"/>
  <c r="N62" i="9"/>
  <c r="B63" i="9"/>
  <c r="C63" i="9"/>
  <c r="D63" i="9"/>
  <c r="E63" i="9"/>
  <c r="F63" i="9"/>
  <c r="H63" i="9"/>
  <c r="G63" i="9" s="1"/>
  <c r="N63" i="9"/>
  <c r="B64" i="9"/>
  <c r="C64" i="9"/>
  <c r="D64" i="9"/>
  <c r="E64" i="9"/>
  <c r="F64" i="9"/>
  <c r="K64" i="9" s="1"/>
  <c r="H64" i="9"/>
  <c r="G64" i="9" s="1"/>
  <c r="N64" i="9"/>
  <c r="B65" i="9"/>
  <c r="C65" i="9"/>
  <c r="D65" i="9"/>
  <c r="E65" i="9"/>
  <c r="F65" i="9"/>
  <c r="K65" i="9" s="1"/>
  <c r="H65" i="9"/>
  <c r="G65" i="9" s="1"/>
  <c r="N65" i="9"/>
  <c r="B66" i="9"/>
  <c r="C66" i="9"/>
  <c r="D66" i="9"/>
  <c r="E66" i="9"/>
  <c r="F66" i="9"/>
  <c r="K66" i="9" s="1"/>
  <c r="H66" i="9"/>
  <c r="G66" i="9" s="1"/>
  <c r="N66" i="9"/>
  <c r="B67" i="9"/>
  <c r="C67" i="9"/>
  <c r="D67" i="9"/>
  <c r="E67" i="9"/>
  <c r="F67" i="9"/>
  <c r="K67" i="9" s="1"/>
  <c r="H67" i="9"/>
  <c r="G67" i="9" s="1"/>
  <c r="N67" i="9"/>
  <c r="B68" i="9"/>
  <c r="C68" i="9"/>
  <c r="D68" i="9"/>
  <c r="E68" i="9"/>
  <c r="F68" i="9"/>
  <c r="H68" i="9"/>
  <c r="G68" i="9" s="1"/>
  <c r="N68" i="9"/>
  <c r="B69" i="9"/>
  <c r="C69" i="9"/>
  <c r="D69" i="9"/>
  <c r="E69" i="9"/>
  <c r="F69" i="9"/>
  <c r="H69" i="9"/>
  <c r="G69" i="9" s="1"/>
  <c r="N69" i="9"/>
  <c r="B70" i="9"/>
  <c r="C70" i="9"/>
  <c r="D70" i="9"/>
  <c r="E70" i="9"/>
  <c r="F70" i="9"/>
  <c r="H70" i="9"/>
  <c r="G70" i="9" s="1"/>
  <c r="N70" i="9"/>
  <c r="B71" i="9"/>
  <c r="C71" i="9"/>
  <c r="D71" i="9"/>
  <c r="E71" i="9"/>
  <c r="F71" i="9"/>
  <c r="H71" i="9"/>
  <c r="G71" i="9" s="1"/>
  <c r="N71" i="9"/>
  <c r="B72" i="9"/>
  <c r="C72" i="9"/>
  <c r="D72" i="9"/>
  <c r="E72" i="9"/>
  <c r="F72" i="9"/>
  <c r="H72" i="9"/>
  <c r="G72" i="9" s="1"/>
  <c r="N72" i="9"/>
  <c r="B73" i="9"/>
  <c r="C73" i="9"/>
  <c r="D73" i="9"/>
  <c r="E73" i="9"/>
  <c r="F73" i="9"/>
  <c r="K73" i="9" s="1"/>
  <c r="H73" i="9"/>
  <c r="G73" i="9" s="1"/>
  <c r="N73" i="9"/>
  <c r="B74" i="9"/>
  <c r="C74" i="9"/>
  <c r="D74" i="9"/>
  <c r="E74" i="9"/>
  <c r="F74" i="9"/>
  <c r="K74" i="9" s="1"/>
  <c r="H74" i="9"/>
  <c r="G74" i="9" s="1"/>
  <c r="N74" i="9"/>
  <c r="B75" i="9"/>
  <c r="C75" i="9"/>
  <c r="D75" i="9"/>
  <c r="E75" i="9"/>
  <c r="F75" i="9"/>
  <c r="K75" i="9" s="1"/>
  <c r="H75" i="9"/>
  <c r="G75" i="9" s="1"/>
  <c r="N75" i="9"/>
  <c r="B76" i="9"/>
  <c r="C76" i="9"/>
  <c r="D76" i="9"/>
  <c r="E76" i="9"/>
  <c r="F76" i="9"/>
  <c r="K76" i="9" s="1"/>
  <c r="H76" i="9"/>
  <c r="G76" i="9" s="1"/>
  <c r="N76" i="9"/>
  <c r="B77" i="9"/>
  <c r="C77" i="9"/>
  <c r="D77" i="9"/>
  <c r="E77" i="9"/>
  <c r="F77" i="9"/>
  <c r="H77" i="9"/>
  <c r="G77" i="9" s="1"/>
  <c r="N77" i="9"/>
  <c r="B78" i="9"/>
  <c r="C78" i="9"/>
  <c r="D78" i="9"/>
  <c r="E78" i="9"/>
  <c r="F78" i="9"/>
  <c r="H78" i="9"/>
  <c r="G78" i="9" s="1"/>
  <c r="N78" i="9"/>
  <c r="B79" i="9"/>
  <c r="C79" i="9"/>
  <c r="D79" i="9"/>
  <c r="E79" i="9"/>
  <c r="F79" i="9"/>
  <c r="H79" i="9"/>
  <c r="G79" i="9" s="1"/>
  <c r="N79" i="9"/>
  <c r="B80" i="9"/>
  <c r="C80" i="9"/>
  <c r="D80" i="9"/>
  <c r="E80" i="9"/>
  <c r="F80" i="9"/>
  <c r="H80" i="9"/>
  <c r="G80" i="9" s="1"/>
  <c r="N80" i="9"/>
  <c r="B81" i="9"/>
  <c r="C81" i="9"/>
  <c r="D81" i="9"/>
  <c r="E81" i="9"/>
  <c r="F81" i="9"/>
  <c r="K81" i="9" s="1"/>
  <c r="H81" i="9"/>
  <c r="G81" i="9" s="1"/>
  <c r="N81" i="9"/>
  <c r="B82" i="9"/>
  <c r="C82" i="9"/>
  <c r="D82" i="9"/>
  <c r="E82" i="9"/>
  <c r="F82" i="9"/>
  <c r="K82" i="9" s="1"/>
  <c r="H82" i="9"/>
  <c r="G82" i="9" s="1"/>
  <c r="N82" i="9"/>
  <c r="B83" i="9"/>
  <c r="C83" i="9"/>
  <c r="D83" i="9"/>
  <c r="E83" i="9"/>
  <c r="F83" i="9"/>
  <c r="K83" i="9" s="1"/>
  <c r="H83" i="9"/>
  <c r="G83" i="9" s="1"/>
  <c r="N83" i="9"/>
  <c r="B84" i="9"/>
  <c r="C84" i="9"/>
  <c r="D84" i="9"/>
  <c r="E84" i="9"/>
  <c r="F84" i="9"/>
  <c r="K84" i="9" s="1"/>
  <c r="H84" i="9"/>
  <c r="G84" i="9" s="1"/>
  <c r="N84" i="9"/>
  <c r="B85" i="9"/>
  <c r="C85" i="9"/>
  <c r="D85" i="9"/>
  <c r="E85" i="9"/>
  <c r="F85" i="9"/>
  <c r="K85" i="9" s="1"/>
  <c r="H85" i="9"/>
  <c r="N85" i="9"/>
  <c r="G119" i="9" l="1"/>
  <c r="O119" i="9" s="1"/>
  <c r="G115" i="9"/>
  <c r="G111" i="9"/>
  <c r="G116" i="9"/>
  <c r="O116" i="9" s="1"/>
  <c r="G112" i="9"/>
  <c r="G107" i="9"/>
  <c r="G101" i="9"/>
  <c r="O101" i="9" s="1"/>
  <c r="G93" i="9"/>
  <c r="O93" i="9" s="1"/>
  <c r="O131" i="9"/>
  <c r="O130" i="9"/>
  <c r="G103" i="9"/>
  <c r="O103" i="9" s="1"/>
  <c r="G97" i="9"/>
  <c r="O97" i="9" s="1"/>
  <c r="G118" i="9"/>
  <c r="O118" i="9" s="1"/>
  <c r="G102" i="9"/>
  <c r="O102" i="9" s="1"/>
  <c r="G89" i="9"/>
  <c r="O89" i="9" s="1"/>
  <c r="G85" i="9"/>
  <c r="O85" i="9" s="1"/>
  <c r="CE85" i="9" s="1"/>
  <c r="CN85" i="9" s="1"/>
  <c r="G94" i="9"/>
  <c r="O94" i="9" s="1"/>
  <c r="G95" i="9"/>
  <c r="O95" i="9" s="1"/>
  <c r="G96" i="9"/>
  <c r="O96" i="9" s="1"/>
  <c r="G88" i="9"/>
  <c r="O88" i="9" s="1"/>
  <c r="G104" i="9"/>
  <c r="O104" i="9" s="1"/>
  <c r="G98" i="9"/>
  <c r="O98" i="9" s="1"/>
  <c r="G90" i="9"/>
  <c r="O90" i="9" s="1"/>
  <c r="G117" i="9"/>
  <c r="O117" i="9" s="1"/>
  <c r="G113" i="9"/>
  <c r="O113" i="9" s="1"/>
  <c r="G109" i="9"/>
  <c r="O109" i="9" s="1"/>
  <c r="G105" i="9"/>
  <c r="O105" i="9" s="1"/>
  <c r="G99" i="9"/>
  <c r="O99" i="9" s="1"/>
  <c r="G91" i="9"/>
  <c r="O91" i="9" s="1"/>
  <c r="G106" i="9"/>
  <c r="O106" i="9" s="1"/>
  <c r="G100" i="9"/>
  <c r="O100" i="9" s="1"/>
  <c r="G92" i="9"/>
  <c r="O92" i="9" s="1"/>
  <c r="G114" i="9"/>
  <c r="O114" i="9" s="1"/>
  <c r="G110" i="9"/>
  <c r="O110" i="9" s="1"/>
  <c r="O76" i="9"/>
  <c r="CJ76" i="9" s="1"/>
  <c r="O68" i="9"/>
  <c r="CJ68" i="9" s="1"/>
  <c r="O77" i="9"/>
  <c r="CJ77" i="9" s="1"/>
  <c r="O69" i="9"/>
  <c r="CJ69" i="9" s="1"/>
  <c r="O61" i="9"/>
  <c r="CJ61" i="9" s="1"/>
  <c r="O53" i="9"/>
  <c r="CJ53" i="9" s="1"/>
  <c r="I94" i="9"/>
  <c r="O78" i="9"/>
  <c r="CJ78" i="9" s="1"/>
  <c r="O70" i="9"/>
  <c r="CJ70" i="9" s="1"/>
  <c r="O62" i="9"/>
  <c r="CJ62" i="9" s="1"/>
  <c r="O54" i="9"/>
  <c r="CJ54" i="9" s="1"/>
  <c r="I95" i="9"/>
  <c r="I93" i="9"/>
  <c r="O79" i="9"/>
  <c r="CJ79" i="9" s="1"/>
  <c r="O71" i="9"/>
  <c r="CJ71" i="9" s="1"/>
  <c r="O63" i="9"/>
  <c r="CJ63" i="9" s="1"/>
  <c r="O55" i="9"/>
  <c r="CJ55" i="9" s="1"/>
  <c r="I96" i="9"/>
  <c r="I88" i="9"/>
  <c r="O80" i="9"/>
  <c r="CJ80" i="9" s="1"/>
  <c r="O72" i="9"/>
  <c r="CJ72" i="9" s="1"/>
  <c r="O64" i="9"/>
  <c r="CJ64" i="9" s="1"/>
  <c r="O56" i="9"/>
  <c r="CJ56" i="9" s="1"/>
  <c r="U103" i="9"/>
  <c r="I97" i="9"/>
  <c r="I89" i="9"/>
  <c r="O84" i="9"/>
  <c r="CJ84" i="9" s="1"/>
  <c r="O81" i="9"/>
  <c r="CJ81" i="9" s="1"/>
  <c r="O73" i="9"/>
  <c r="CJ73" i="9" s="1"/>
  <c r="O65" i="9"/>
  <c r="CJ65" i="9" s="1"/>
  <c r="O57" i="9"/>
  <c r="CJ57" i="9" s="1"/>
  <c r="U104" i="9"/>
  <c r="I98" i="9"/>
  <c r="I90" i="9"/>
  <c r="O60" i="9"/>
  <c r="CJ60" i="9" s="1"/>
  <c r="I107" i="9"/>
  <c r="CB107" i="9"/>
  <c r="O82" i="9"/>
  <c r="CJ82" i="9" s="1"/>
  <c r="O74" i="9"/>
  <c r="CJ74" i="9" s="1"/>
  <c r="O66" i="9"/>
  <c r="CJ66" i="9" s="1"/>
  <c r="O58" i="9"/>
  <c r="CJ58" i="9" s="1"/>
  <c r="H129" i="9"/>
  <c r="G129" i="9" s="1"/>
  <c r="I99" i="9"/>
  <c r="I91" i="9"/>
  <c r="O83" i="9"/>
  <c r="CJ83" i="9" s="1"/>
  <c r="O75" i="9"/>
  <c r="CJ75" i="9" s="1"/>
  <c r="O67" i="9"/>
  <c r="CJ67" i="9" s="1"/>
  <c r="O59" i="9"/>
  <c r="CJ59" i="9" s="1"/>
  <c r="W106" i="9"/>
  <c r="EF106" i="9" s="1"/>
  <c r="I100" i="9"/>
  <c r="I92" i="9"/>
  <c r="CL85" i="9"/>
  <c r="CM85" i="9"/>
  <c r="CO85" i="9"/>
  <c r="CP85" i="9"/>
  <c r="CQ85" i="9"/>
  <c r="CR85" i="9"/>
  <c r="CL53" i="9"/>
  <c r="CM53" i="9"/>
  <c r="CO53" i="9"/>
  <c r="CP53" i="9"/>
  <c r="CQ53" i="9"/>
  <c r="CR53" i="9"/>
  <c r="CZ53" i="9" s="1"/>
  <c r="DH53" i="9" s="1"/>
  <c r="CN53" i="9"/>
  <c r="CM107" i="9"/>
  <c r="CL107" i="9"/>
  <c r="CM106" i="9"/>
  <c r="CL106" i="9"/>
  <c r="CL105" i="9"/>
  <c r="CM105" i="9"/>
  <c r="CL104" i="9"/>
  <c r="CM104" i="9"/>
  <c r="CM103" i="9"/>
  <c r="CL103" i="9"/>
  <c r="CP64" i="9"/>
  <c r="CQ64" i="9"/>
  <c r="CR64" i="9"/>
  <c r="CZ64" i="9" s="1"/>
  <c r="DH64" i="9" s="1"/>
  <c r="CL64" i="9"/>
  <c r="CM64" i="9"/>
  <c r="CN64" i="9"/>
  <c r="CO64" i="9"/>
  <c r="CP56" i="9"/>
  <c r="CQ56" i="9"/>
  <c r="CR56" i="9"/>
  <c r="CZ56" i="9" s="1"/>
  <c r="DH56" i="9" s="1"/>
  <c r="CL56" i="9"/>
  <c r="CM56" i="9"/>
  <c r="CO56" i="9"/>
  <c r="CN56" i="9"/>
  <c r="CQ55" i="9"/>
  <c r="CR55" i="9"/>
  <c r="CZ55" i="9" s="1"/>
  <c r="DH55" i="9" s="1"/>
  <c r="CM55" i="9"/>
  <c r="CN55" i="9"/>
  <c r="CL55" i="9"/>
  <c r="CP55" i="9"/>
  <c r="CO55" i="9"/>
  <c r="CO81" i="9"/>
  <c r="CP81" i="9"/>
  <c r="CR81" i="9"/>
  <c r="CZ81" i="9" s="1"/>
  <c r="DH81" i="9" s="1"/>
  <c r="CQ81" i="9"/>
  <c r="CL81" i="9"/>
  <c r="CM81" i="9"/>
  <c r="CN81" i="9"/>
  <c r="CO73" i="9"/>
  <c r="CP73" i="9"/>
  <c r="CR73" i="9"/>
  <c r="CZ73" i="9" s="1"/>
  <c r="DH73" i="9" s="1"/>
  <c r="CQ73" i="9"/>
  <c r="CL73" i="9"/>
  <c r="CM73" i="9"/>
  <c r="CN73" i="9"/>
  <c r="CO65" i="9"/>
  <c r="CP65" i="9"/>
  <c r="CQ65" i="9"/>
  <c r="CR65" i="9"/>
  <c r="CZ65" i="9" s="1"/>
  <c r="DH65" i="9" s="1"/>
  <c r="CL65" i="9"/>
  <c r="CN65" i="9"/>
  <c r="CM65" i="9"/>
  <c r="CO57" i="9"/>
  <c r="CP57" i="9"/>
  <c r="CR57" i="9"/>
  <c r="CZ57" i="9" s="1"/>
  <c r="DH57" i="9" s="1"/>
  <c r="CQ57" i="9"/>
  <c r="CL57" i="9"/>
  <c r="CN57" i="9"/>
  <c r="CM57" i="9"/>
  <c r="CL101" i="9"/>
  <c r="CM101" i="9"/>
  <c r="CL93" i="9"/>
  <c r="CM93" i="9"/>
  <c r="CN82" i="9"/>
  <c r="CO82" i="9"/>
  <c r="CP82" i="9"/>
  <c r="CQ82" i="9"/>
  <c r="CR82" i="9"/>
  <c r="CZ82" i="9" s="1"/>
  <c r="DH82" i="9" s="1"/>
  <c r="CL82" i="9"/>
  <c r="CM82" i="9"/>
  <c r="CN74" i="9"/>
  <c r="CO74" i="9"/>
  <c r="CQ74" i="9"/>
  <c r="CP74" i="9"/>
  <c r="CR74" i="9"/>
  <c r="CZ74" i="9" s="1"/>
  <c r="DH74" i="9" s="1"/>
  <c r="CL74" i="9"/>
  <c r="CM74" i="9"/>
  <c r="CN66" i="9"/>
  <c r="CO66" i="9"/>
  <c r="CQ66" i="9"/>
  <c r="CP66" i="9"/>
  <c r="CR66" i="9"/>
  <c r="CZ66" i="9" s="1"/>
  <c r="DH66" i="9" s="1"/>
  <c r="CL66" i="9"/>
  <c r="CM66" i="9"/>
  <c r="CN58" i="9"/>
  <c r="CO58" i="9"/>
  <c r="CP58" i="9"/>
  <c r="CQ58" i="9"/>
  <c r="CR58" i="9"/>
  <c r="CZ58" i="9" s="1"/>
  <c r="DH58" i="9" s="1"/>
  <c r="CL58" i="9"/>
  <c r="CM58" i="9"/>
  <c r="CM83" i="9"/>
  <c r="CN83" i="9"/>
  <c r="CO83" i="9"/>
  <c r="CQ83" i="9"/>
  <c r="CR83" i="9"/>
  <c r="CZ83" i="9" s="1"/>
  <c r="DH83" i="9" s="1"/>
  <c r="CP83" i="9"/>
  <c r="CL83" i="9"/>
  <c r="CM75" i="9"/>
  <c r="CN75" i="9"/>
  <c r="CO75" i="9"/>
  <c r="CQ75" i="9"/>
  <c r="CR75" i="9"/>
  <c r="CZ75" i="9" s="1"/>
  <c r="DH75" i="9" s="1"/>
  <c r="CP75" i="9"/>
  <c r="CL75" i="9"/>
  <c r="CM67" i="9"/>
  <c r="CN67" i="9"/>
  <c r="CO67" i="9"/>
  <c r="CQ67" i="9"/>
  <c r="CR67" i="9"/>
  <c r="CZ67" i="9" s="1"/>
  <c r="DH67" i="9" s="1"/>
  <c r="CP67" i="9"/>
  <c r="CL67" i="9"/>
  <c r="CL84" i="9"/>
  <c r="CM84" i="9"/>
  <c r="CN84" i="9"/>
  <c r="CP84" i="9"/>
  <c r="CQ84" i="9"/>
  <c r="CR84" i="9"/>
  <c r="CZ84" i="9" s="1"/>
  <c r="DH84" i="9" s="1"/>
  <c r="CO84" i="9"/>
  <c r="CL76" i="9"/>
  <c r="CM76" i="9"/>
  <c r="CN76" i="9"/>
  <c r="CP76" i="9"/>
  <c r="CQ76" i="9"/>
  <c r="CR76" i="9"/>
  <c r="CZ76" i="9" s="1"/>
  <c r="DH76" i="9" s="1"/>
  <c r="CO76" i="9"/>
  <c r="I70" i="9"/>
  <c r="I79" i="9"/>
  <c r="I71" i="9"/>
  <c r="I63" i="9"/>
  <c r="I55" i="9"/>
  <c r="I80" i="9"/>
  <c r="I72" i="9"/>
  <c r="I64" i="9"/>
  <c r="I56" i="9"/>
  <c r="I66" i="9"/>
  <c r="I58" i="9"/>
  <c r="I78" i="9"/>
  <c r="U73" i="9"/>
  <c r="I83" i="9"/>
  <c r="I75" i="9"/>
  <c r="I67" i="9"/>
  <c r="I59" i="9"/>
  <c r="I65" i="9"/>
  <c r="I57" i="9"/>
  <c r="V82" i="9"/>
  <c r="I74" i="9"/>
  <c r="I84" i="9"/>
  <c r="I76" i="9"/>
  <c r="I68" i="9"/>
  <c r="U60" i="9"/>
  <c r="W62" i="9"/>
  <c r="EF62" i="9" s="1"/>
  <c r="I54" i="9"/>
  <c r="V81" i="9"/>
  <c r="I85" i="9"/>
  <c r="W77" i="9"/>
  <c r="EF77" i="9" s="1"/>
  <c r="V69" i="9"/>
  <c r="V61" i="9"/>
  <c r="V53" i="9"/>
  <c r="CB102" i="9"/>
  <c r="O115" i="9"/>
  <c r="BY111" i="9"/>
  <c r="O111" i="9"/>
  <c r="U116" i="9"/>
  <c r="BB116" i="9" s="1"/>
  <c r="S112" i="9"/>
  <c r="EJ112" i="9" s="1"/>
  <c r="O112" i="9"/>
  <c r="CB108" i="9"/>
  <c r="O108" i="9"/>
  <c r="BZ117" i="9"/>
  <c r="I113" i="9"/>
  <c r="V109" i="9"/>
  <c r="BY118" i="9"/>
  <c r="I101" i="9"/>
  <c r="U117" i="9"/>
  <c r="EL117" i="9" s="1"/>
  <c r="F124" i="9"/>
  <c r="K124" i="9" s="1"/>
  <c r="F123" i="9"/>
  <c r="K123" i="9" s="1"/>
  <c r="U98" i="9"/>
  <c r="I111" i="9"/>
  <c r="V100" i="9"/>
  <c r="FY67" i="9"/>
  <c r="FX63" i="9"/>
  <c r="FX59" i="9"/>
  <c r="GA99" i="9"/>
  <c r="FW98" i="9"/>
  <c r="GB96" i="9"/>
  <c r="FZ95" i="9"/>
  <c r="FX91" i="9"/>
  <c r="GB88" i="9"/>
  <c r="C90" i="21"/>
  <c r="C98" i="21"/>
  <c r="BY119" i="9"/>
  <c r="U100" i="9"/>
  <c r="U74" i="9"/>
  <c r="U58" i="9"/>
  <c r="V106" i="9"/>
  <c r="V90" i="9"/>
  <c r="V75" i="9"/>
  <c r="I110" i="9"/>
  <c r="S110" i="9"/>
  <c r="AZ110" i="9" s="1"/>
  <c r="U99" i="9"/>
  <c r="U85" i="9"/>
  <c r="U69" i="9"/>
  <c r="U53" i="9"/>
  <c r="V105" i="9"/>
  <c r="V89" i="9"/>
  <c r="V74" i="9"/>
  <c r="U84" i="9"/>
  <c r="V68" i="9"/>
  <c r="D82" i="21"/>
  <c r="H128" i="9"/>
  <c r="G128" i="9" s="1"/>
  <c r="U114" i="9"/>
  <c r="U93" i="9"/>
  <c r="U83" i="9"/>
  <c r="U67" i="9"/>
  <c r="V116" i="9"/>
  <c r="BC116" i="9" s="1"/>
  <c r="V99" i="9"/>
  <c r="V67" i="9"/>
  <c r="U68" i="9"/>
  <c r="GB73" i="9"/>
  <c r="C82" i="21"/>
  <c r="CB111" i="9"/>
  <c r="U108" i="9"/>
  <c r="U92" i="9"/>
  <c r="U82" i="9"/>
  <c r="U66" i="9"/>
  <c r="V114" i="9"/>
  <c r="EM114" i="9" s="1"/>
  <c r="V98" i="9"/>
  <c r="V84" i="9"/>
  <c r="V66" i="9"/>
  <c r="FW62" i="9"/>
  <c r="GA54" i="9"/>
  <c r="D90" i="21"/>
  <c r="FZ70" i="9"/>
  <c r="U107" i="9"/>
  <c r="U91" i="9"/>
  <c r="U77" i="9"/>
  <c r="U61" i="9"/>
  <c r="V113" i="9"/>
  <c r="EM113" i="9" s="1"/>
  <c r="V97" i="9"/>
  <c r="V83" i="9"/>
  <c r="V60" i="9"/>
  <c r="U106" i="9"/>
  <c r="U90" i="9"/>
  <c r="U76" i="9"/>
  <c r="V108" i="9"/>
  <c r="EM108" i="9" s="1"/>
  <c r="V92" i="9"/>
  <c r="V59" i="9"/>
  <c r="FY57" i="9"/>
  <c r="D98" i="21"/>
  <c r="I114" i="9"/>
  <c r="H121" i="9"/>
  <c r="G121" i="9" s="1"/>
  <c r="U101" i="9"/>
  <c r="U75" i="9"/>
  <c r="U59" i="9"/>
  <c r="V107" i="9"/>
  <c r="V91" i="9"/>
  <c r="V76" i="9"/>
  <c r="V58" i="9"/>
  <c r="F129" i="9"/>
  <c r="K129" i="9" s="1"/>
  <c r="FV67" i="9"/>
  <c r="T110" i="9"/>
  <c r="EK110" i="9" s="1"/>
  <c r="V73" i="9"/>
  <c r="P115" i="9"/>
  <c r="H126" i="9"/>
  <c r="G126" i="9" s="1"/>
  <c r="FV93" i="9"/>
  <c r="FW74" i="9"/>
  <c r="U113" i="9"/>
  <c r="EL113" i="9" s="1"/>
  <c r="U105" i="9"/>
  <c r="U97" i="9"/>
  <c r="U89" i="9"/>
  <c r="U81" i="9"/>
  <c r="U65" i="9"/>
  <c r="U57" i="9"/>
  <c r="V112" i="9"/>
  <c r="BC112" i="9" s="1"/>
  <c r="V104" i="9"/>
  <c r="V96" i="9"/>
  <c r="V88" i="9"/>
  <c r="V80" i="9"/>
  <c r="V72" i="9"/>
  <c r="V64" i="9"/>
  <c r="V56" i="9"/>
  <c r="V115" i="9"/>
  <c r="EM115" i="9" s="1"/>
  <c r="V65" i="9"/>
  <c r="R111" i="9"/>
  <c r="AY111" i="9" s="1"/>
  <c r="W115" i="9"/>
  <c r="BD115" i="9" s="1"/>
  <c r="H125" i="9"/>
  <c r="G125" i="9" s="1"/>
  <c r="FV90" i="9"/>
  <c r="FY75" i="9"/>
  <c r="GA75" i="9"/>
  <c r="U112" i="9"/>
  <c r="BB112" i="9" s="1"/>
  <c r="U96" i="9"/>
  <c r="U88" i="9"/>
  <c r="U80" i="9"/>
  <c r="U72" i="9"/>
  <c r="U64" i="9"/>
  <c r="U56" i="9"/>
  <c r="V119" i="9"/>
  <c r="EM119" i="9" s="1"/>
  <c r="V111" i="9"/>
  <c r="V103" i="9"/>
  <c r="V95" i="9"/>
  <c r="V79" i="9"/>
  <c r="V71" i="9"/>
  <c r="V63" i="9"/>
  <c r="V55" i="9"/>
  <c r="U109" i="9"/>
  <c r="FW88" i="9"/>
  <c r="FY98" i="9"/>
  <c r="V57" i="9"/>
  <c r="S111" i="9"/>
  <c r="EJ111" i="9" s="1"/>
  <c r="BV115" i="9"/>
  <c r="P118" i="9"/>
  <c r="FX95" i="9"/>
  <c r="U119" i="9"/>
  <c r="EL119" i="9" s="1"/>
  <c r="U111" i="9"/>
  <c r="EL111" i="9" s="1"/>
  <c r="U95" i="9"/>
  <c r="U79" i="9"/>
  <c r="U71" i="9"/>
  <c r="U63" i="9"/>
  <c r="U55" i="9"/>
  <c r="V118" i="9"/>
  <c r="EM118" i="9" s="1"/>
  <c r="V110" i="9"/>
  <c r="V102" i="9"/>
  <c r="V94" i="9"/>
  <c r="V78" i="9"/>
  <c r="V70" i="9"/>
  <c r="V62" i="9"/>
  <c r="V54" i="9"/>
  <c r="F122" i="9"/>
  <c r="K122" i="9" s="1"/>
  <c r="U115" i="9"/>
  <c r="GB66" i="9"/>
  <c r="I115" i="9"/>
  <c r="CA111" i="9"/>
  <c r="FZ89" i="9"/>
  <c r="U118" i="9"/>
  <c r="U110" i="9"/>
  <c r="EL110" i="9" s="1"/>
  <c r="U102" i="9"/>
  <c r="U94" i="9"/>
  <c r="U78" i="9"/>
  <c r="U70" i="9"/>
  <c r="U62" i="9"/>
  <c r="U54" i="9"/>
  <c r="V117" i="9"/>
  <c r="EM117" i="9" s="1"/>
  <c r="V101" i="9"/>
  <c r="V93" i="9"/>
  <c r="V85" i="9"/>
  <c r="V77" i="9"/>
  <c r="S21" i="9"/>
  <c r="Q109" i="9"/>
  <c r="EH109" i="9" s="1"/>
  <c r="I109" i="9"/>
  <c r="FW68" i="9"/>
  <c r="FZ68" i="9"/>
  <c r="GB68" i="9"/>
  <c r="FX68" i="9"/>
  <c r="FV68" i="9"/>
  <c r="GA68" i="9"/>
  <c r="FY68" i="9"/>
  <c r="FW60" i="9"/>
  <c r="FZ60" i="9"/>
  <c r="FY60" i="9"/>
  <c r="GB60" i="9"/>
  <c r="FX60" i="9"/>
  <c r="FV60" i="9"/>
  <c r="GB85" i="9"/>
  <c r="FY85" i="9"/>
  <c r="FW85" i="9"/>
  <c r="FX85" i="9"/>
  <c r="FZ85" i="9"/>
  <c r="FV85" i="9"/>
  <c r="GA85" i="9"/>
  <c r="GB77" i="9"/>
  <c r="FY77" i="9"/>
  <c r="FW77" i="9"/>
  <c r="GA77" i="9"/>
  <c r="FZ77" i="9"/>
  <c r="FV77" i="9"/>
  <c r="FX77" i="9"/>
  <c r="GB61" i="9"/>
  <c r="FY61" i="9"/>
  <c r="FW61" i="9"/>
  <c r="FZ61" i="9"/>
  <c r="FV61" i="9"/>
  <c r="FX61" i="9"/>
  <c r="GA61" i="9"/>
  <c r="GA107" i="9"/>
  <c r="FX107" i="9"/>
  <c r="GB107" i="9"/>
  <c r="FW107" i="9"/>
  <c r="FV107" i="9"/>
  <c r="FZ107" i="9"/>
  <c r="FY107" i="9"/>
  <c r="GA106" i="9"/>
  <c r="FX106" i="9"/>
  <c r="FV106" i="9"/>
  <c r="GB106" i="9"/>
  <c r="FW106" i="9"/>
  <c r="FZ106" i="9"/>
  <c r="F132" i="9"/>
  <c r="FV105" i="9"/>
  <c r="GB105" i="9"/>
  <c r="FY105" i="9"/>
  <c r="FX105" i="9"/>
  <c r="FW105" i="9"/>
  <c r="GA105" i="9"/>
  <c r="FZ105" i="9"/>
  <c r="FV104" i="9"/>
  <c r="GB104" i="9"/>
  <c r="FY104" i="9"/>
  <c r="GA104" i="9"/>
  <c r="FZ104" i="9"/>
  <c r="FW104" i="9"/>
  <c r="FX104" i="9"/>
  <c r="GB103" i="9"/>
  <c r="FY103" i="9"/>
  <c r="FW103" i="9"/>
  <c r="GA103" i="9"/>
  <c r="FZ103" i="9"/>
  <c r="FV103" i="9"/>
  <c r="FX103" i="9"/>
  <c r="R119" i="9"/>
  <c r="EI119" i="9" s="1"/>
  <c r="FV73" i="9"/>
  <c r="FW84" i="9"/>
  <c r="FZ84" i="9"/>
  <c r="FY84" i="9"/>
  <c r="GA84" i="9"/>
  <c r="FV84" i="9"/>
  <c r="GB84" i="9"/>
  <c r="GB69" i="9"/>
  <c r="FY69" i="9"/>
  <c r="FW69" i="9"/>
  <c r="FX69" i="9"/>
  <c r="GA69" i="9"/>
  <c r="FZ69" i="9"/>
  <c r="FV69" i="9"/>
  <c r="GB53" i="9"/>
  <c r="FY53" i="9"/>
  <c r="FW53" i="9"/>
  <c r="FX53" i="9"/>
  <c r="F134" i="9"/>
  <c r="GA53" i="9"/>
  <c r="FV53" i="9"/>
  <c r="FZ53" i="9"/>
  <c r="GA60" i="9"/>
  <c r="FW76" i="9"/>
  <c r="FZ76" i="9"/>
  <c r="GA76" i="9"/>
  <c r="FV76" i="9"/>
  <c r="FY76" i="9"/>
  <c r="GB76" i="9"/>
  <c r="FX76" i="9"/>
  <c r="GA72" i="9"/>
  <c r="FX72" i="9"/>
  <c r="FV72" i="9"/>
  <c r="FZ72" i="9"/>
  <c r="FY72" i="9"/>
  <c r="GB72" i="9"/>
  <c r="FW72" i="9"/>
  <c r="CA116" i="9"/>
  <c r="T116" i="9"/>
  <c r="I116" i="9"/>
  <c r="Q116" i="9"/>
  <c r="AX116" i="9" s="1"/>
  <c r="FX84" i="9"/>
  <c r="GA80" i="9"/>
  <c r="FX80" i="9"/>
  <c r="FV80" i="9"/>
  <c r="FW80" i="9"/>
  <c r="FZ80" i="9"/>
  <c r="FY80" i="9"/>
  <c r="GB80" i="9"/>
  <c r="GA56" i="9"/>
  <c r="FX56" i="9"/>
  <c r="FV56" i="9"/>
  <c r="GB56" i="9"/>
  <c r="FY56" i="9"/>
  <c r="FZ56" i="9"/>
  <c r="FW56" i="9"/>
  <c r="FW81" i="9"/>
  <c r="GB65" i="9"/>
  <c r="R113" i="9"/>
  <c r="EI113" i="9" s="1"/>
  <c r="F128" i="9"/>
  <c r="K128" i="9" s="1"/>
  <c r="FY106" i="9"/>
  <c r="GA64" i="9"/>
  <c r="FX64" i="9"/>
  <c r="FV64" i="9"/>
  <c r="FW64" i="9"/>
  <c r="GB64" i="9"/>
  <c r="FY64" i="9"/>
  <c r="FZ64" i="9"/>
  <c r="W119" i="9"/>
  <c r="EF119" i="9" s="1"/>
  <c r="I119" i="9"/>
  <c r="S119" i="9"/>
  <c r="EJ119" i="9" s="1"/>
  <c r="CB119" i="9"/>
  <c r="F133" i="9"/>
  <c r="K133" i="9" s="1"/>
  <c r="FV78" i="9"/>
  <c r="GB78" i="9"/>
  <c r="FY78" i="9"/>
  <c r="FX78" i="9"/>
  <c r="FW78" i="9"/>
  <c r="GA78" i="9"/>
  <c r="FV70" i="9"/>
  <c r="GB70" i="9"/>
  <c r="FY70" i="9"/>
  <c r="GA70" i="9"/>
  <c r="FV62" i="9"/>
  <c r="GB62" i="9"/>
  <c r="FY62" i="9"/>
  <c r="GA62" i="9"/>
  <c r="FZ62" i="9"/>
  <c r="FV54" i="9"/>
  <c r="GB54" i="9"/>
  <c r="FY54" i="9"/>
  <c r="FX54" i="9"/>
  <c r="FW54" i="9"/>
  <c r="FZ54" i="9"/>
  <c r="T114" i="9"/>
  <c r="EK114" i="9" s="1"/>
  <c r="S115" i="9"/>
  <c r="EJ115" i="9" s="1"/>
  <c r="F125" i="9"/>
  <c r="K125" i="9" s="1"/>
  <c r="F121" i="9"/>
  <c r="K121" i="9" s="1"/>
  <c r="FY91" i="9"/>
  <c r="FZ57" i="9"/>
  <c r="GB100" i="9"/>
  <c r="FV79" i="9"/>
  <c r="GB79" i="9"/>
  <c r="FY79" i="9"/>
  <c r="FX79" i="9"/>
  <c r="FW79" i="9"/>
  <c r="FZ79" i="9"/>
  <c r="FV71" i="9"/>
  <c r="GB71" i="9"/>
  <c r="FY71" i="9"/>
  <c r="FX71" i="9"/>
  <c r="FW71" i="9"/>
  <c r="FV63" i="9"/>
  <c r="GB63" i="9"/>
  <c r="FY63" i="9"/>
  <c r="GA63" i="9"/>
  <c r="FZ63" i="9"/>
  <c r="FV55" i="9"/>
  <c r="GB55" i="9"/>
  <c r="FY55" i="9"/>
  <c r="FX55" i="9"/>
  <c r="FW55" i="9"/>
  <c r="GA55" i="9"/>
  <c r="FZ55" i="9"/>
  <c r="T115" i="9"/>
  <c r="EK115" i="9" s="1"/>
  <c r="H122" i="9"/>
  <c r="G122" i="9" s="1"/>
  <c r="FV59" i="9"/>
  <c r="FX70" i="9"/>
  <c r="FY90" i="9"/>
  <c r="GA79" i="9"/>
  <c r="GB99" i="9"/>
  <c r="GA81" i="9"/>
  <c r="FX81" i="9"/>
  <c r="GB81" i="9"/>
  <c r="GA73" i="9"/>
  <c r="FX73" i="9"/>
  <c r="FZ73" i="9"/>
  <c r="FY73" i="9"/>
  <c r="H132" i="9"/>
  <c r="G132" i="9" s="1"/>
  <c r="F126" i="9"/>
  <c r="H123" i="9"/>
  <c r="G123" i="9" s="1"/>
  <c r="FW73" i="9"/>
  <c r="FX62" i="9"/>
  <c r="FZ81" i="9"/>
  <c r="GA100" i="9"/>
  <c r="GA71" i="9"/>
  <c r="GB89" i="9"/>
  <c r="FZ82" i="9"/>
  <c r="GA82" i="9"/>
  <c r="FX82" i="9"/>
  <c r="GB82" i="9"/>
  <c r="FW82" i="9"/>
  <c r="FV82" i="9"/>
  <c r="FZ74" i="9"/>
  <c r="GA74" i="9"/>
  <c r="FX74" i="9"/>
  <c r="FY74" i="9"/>
  <c r="GB74" i="9"/>
  <c r="FZ66" i="9"/>
  <c r="GA66" i="9"/>
  <c r="FX66" i="9"/>
  <c r="FW66" i="9"/>
  <c r="FV66" i="9"/>
  <c r="FY66" i="9"/>
  <c r="FZ58" i="9"/>
  <c r="GA58" i="9"/>
  <c r="FX58" i="9"/>
  <c r="FY58" i="9"/>
  <c r="GB58" i="9"/>
  <c r="FW58" i="9"/>
  <c r="FV58" i="9"/>
  <c r="I118" i="9"/>
  <c r="W112" i="9"/>
  <c r="EF112" i="9" s="1"/>
  <c r="CA115" i="9"/>
  <c r="Q118" i="9"/>
  <c r="H127" i="9"/>
  <c r="G127" i="9" s="1"/>
  <c r="H120" i="9"/>
  <c r="G120" i="9" s="1"/>
  <c r="FV81" i="9"/>
  <c r="FW70" i="9"/>
  <c r="FY82" i="9"/>
  <c r="FZ78" i="9"/>
  <c r="GA65" i="9"/>
  <c r="FX65" i="9"/>
  <c r="FW65" i="9"/>
  <c r="FV65" i="9"/>
  <c r="FZ65" i="9"/>
  <c r="FY65" i="9"/>
  <c r="GA57" i="9"/>
  <c r="FX57" i="9"/>
  <c r="GB57" i="9"/>
  <c r="FW57" i="9"/>
  <c r="FV57" i="9"/>
  <c r="FW83" i="9"/>
  <c r="FZ83" i="9"/>
  <c r="FY83" i="9"/>
  <c r="GB83" i="9"/>
  <c r="FX83" i="9"/>
  <c r="GA83" i="9"/>
  <c r="FV83" i="9"/>
  <c r="FW75" i="9"/>
  <c r="FZ75" i="9"/>
  <c r="FV75" i="9"/>
  <c r="GB75" i="9"/>
  <c r="FX75" i="9"/>
  <c r="FW67" i="9"/>
  <c r="FZ67" i="9"/>
  <c r="GB67" i="9"/>
  <c r="FX67" i="9"/>
  <c r="GA67" i="9"/>
  <c r="FW59" i="9"/>
  <c r="FZ59" i="9"/>
  <c r="FY59" i="9"/>
  <c r="GA59" i="9"/>
  <c r="FW100" i="9"/>
  <c r="FZ100" i="9"/>
  <c r="FV100" i="9"/>
  <c r="FY100" i="9"/>
  <c r="FX100" i="9"/>
  <c r="FW99" i="9"/>
  <c r="FZ99" i="9"/>
  <c r="FV99" i="9"/>
  <c r="FY99" i="9"/>
  <c r="FX99" i="9"/>
  <c r="FZ98" i="9"/>
  <c r="GA98" i="9"/>
  <c r="FX98" i="9"/>
  <c r="FV98" i="9"/>
  <c r="GB98" i="9"/>
  <c r="GA97" i="9"/>
  <c r="FX97" i="9"/>
  <c r="FZ97" i="9"/>
  <c r="FY97" i="9"/>
  <c r="GB97" i="9"/>
  <c r="FW97" i="9"/>
  <c r="GA96" i="9"/>
  <c r="FX96" i="9"/>
  <c r="FV96" i="9"/>
  <c r="FY96" i="9"/>
  <c r="FW96" i="9"/>
  <c r="FV95" i="9"/>
  <c r="GB95" i="9"/>
  <c r="FY95" i="9"/>
  <c r="GA95" i="9"/>
  <c r="FV94" i="9"/>
  <c r="GB94" i="9"/>
  <c r="FY94" i="9"/>
  <c r="FX94" i="9"/>
  <c r="FW94" i="9"/>
  <c r="GA94" i="9"/>
  <c r="FZ94" i="9"/>
  <c r="GB93" i="9"/>
  <c r="FY93" i="9"/>
  <c r="FW93" i="9"/>
  <c r="FX93" i="9"/>
  <c r="FZ93" i="9"/>
  <c r="FW92" i="9"/>
  <c r="FZ92" i="9"/>
  <c r="FY92" i="9"/>
  <c r="FX92" i="9"/>
  <c r="GB92" i="9"/>
  <c r="GA92" i="9"/>
  <c r="FV92" i="9"/>
  <c r="FW91" i="9"/>
  <c r="FZ91" i="9"/>
  <c r="GB91" i="9"/>
  <c r="GA91" i="9"/>
  <c r="FV91" i="9"/>
  <c r="FZ90" i="9"/>
  <c r="GA90" i="9"/>
  <c r="FX90" i="9"/>
  <c r="GB90" i="9"/>
  <c r="FW90" i="9"/>
  <c r="GA89" i="9"/>
  <c r="FX89" i="9"/>
  <c r="FW89" i="9"/>
  <c r="FV89" i="9"/>
  <c r="FY89" i="9"/>
  <c r="GA88" i="9"/>
  <c r="FX88" i="9"/>
  <c r="FV88" i="9"/>
  <c r="FZ88" i="9"/>
  <c r="FY88" i="9"/>
  <c r="T118" i="9"/>
  <c r="EK118" i="9" s="1"/>
  <c r="H133" i="9"/>
  <c r="G133" i="9" s="1"/>
  <c r="F127" i="9"/>
  <c r="K127" i="9" s="1"/>
  <c r="H124" i="9"/>
  <c r="G124" i="9" s="1"/>
  <c r="F120" i="9"/>
  <c r="K120" i="9" s="1"/>
  <c r="FV97" i="9"/>
  <c r="FV74" i="9"/>
  <c r="FW95" i="9"/>
  <c r="FW63" i="9"/>
  <c r="FY81" i="9"/>
  <c r="FZ96" i="9"/>
  <c r="FZ71" i="9"/>
  <c r="GA93" i="9"/>
  <c r="GB59" i="9"/>
  <c r="I117" i="9"/>
  <c r="S117" i="9"/>
  <c r="EJ117" i="9" s="1"/>
  <c r="R117" i="9"/>
  <c r="W117" i="9"/>
  <c r="K108" i="9"/>
  <c r="BY109" i="9"/>
  <c r="R109" i="9"/>
  <c r="EI109" i="9" s="1"/>
  <c r="K109" i="9"/>
  <c r="BX108" i="9"/>
  <c r="I112" i="9"/>
  <c r="P111" i="9"/>
  <c r="W111" i="9"/>
  <c r="BZ111" i="9"/>
  <c r="T111" i="9"/>
  <c r="K110" i="9"/>
  <c r="W108" i="9"/>
  <c r="EF108" i="9" s="1"/>
  <c r="BY108" i="9"/>
  <c r="W110" i="9"/>
  <c r="EF110" i="9" s="1"/>
  <c r="S108" i="9"/>
  <c r="BZ110" i="9"/>
  <c r="R110" i="9"/>
  <c r="EI110" i="9" s="1"/>
  <c r="T109" i="9"/>
  <c r="CA108" i="9"/>
  <c r="K119" i="9"/>
  <c r="K116" i="9"/>
  <c r="K115" i="9"/>
  <c r="BZ113" i="9"/>
  <c r="T113" i="9"/>
  <c r="BY113" i="9"/>
  <c r="S113" i="9"/>
  <c r="P113" i="9"/>
  <c r="W113" i="9"/>
  <c r="EF113" i="9" s="1"/>
  <c r="BY110" i="9"/>
  <c r="P112" i="9"/>
  <c r="CB112" i="9"/>
  <c r="CA113" i="9"/>
  <c r="P108" i="9"/>
  <c r="BZ108" i="9"/>
  <c r="K111" i="9"/>
  <c r="K118" i="9"/>
  <c r="K117" i="9"/>
  <c r="K112" i="9"/>
  <c r="BZ109" i="9"/>
  <c r="BZ114" i="9"/>
  <c r="W114" i="9"/>
  <c r="EN114" i="9" s="1"/>
  <c r="BY114" i="9"/>
  <c r="S114" i="9"/>
  <c r="R114" i="9"/>
  <c r="K113" i="9"/>
  <c r="Q108" i="9"/>
  <c r="CA109" i="9"/>
  <c r="P110" i="9"/>
  <c r="CA110" i="9"/>
  <c r="CB113" i="9"/>
  <c r="P114" i="9"/>
  <c r="CA114" i="9"/>
  <c r="T108" i="9"/>
  <c r="EK108" i="9" s="1"/>
  <c r="S109" i="9"/>
  <c r="R112" i="9"/>
  <c r="Q112" i="9"/>
  <c r="CA112" i="9"/>
  <c r="BZ112" i="9"/>
  <c r="W109" i="9"/>
  <c r="EN109" i="9" s="1"/>
  <c r="BY112" i="9"/>
  <c r="CA119" i="9"/>
  <c r="Q119" i="9"/>
  <c r="BZ119" i="9"/>
  <c r="P119" i="9"/>
  <c r="T119" i="9"/>
  <c r="CB118" i="9"/>
  <c r="W118" i="9"/>
  <c r="EF118" i="9" s="1"/>
  <c r="CA118" i="9"/>
  <c r="S118" i="9"/>
  <c r="R118" i="9"/>
  <c r="BY117" i="9"/>
  <c r="Q117" i="9"/>
  <c r="P117" i="9"/>
  <c r="CB117" i="9"/>
  <c r="T117" i="9"/>
  <c r="S116" i="9"/>
  <c r="CB116" i="9"/>
  <c r="R116" i="9"/>
  <c r="BY116" i="9"/>
  <c r="W116" i="9"/>
  <c r="BY115" i="9"/>
  <c r="R115" i="9"/>
  <c r="CB115" i="9"/>
  <c r="Q115" i="9"/>
  <c r="K114" i="9"/>
  <c r="I108" i="9"/>
  <c r="R108" i="9"/>
  <c r="P109" i="9"/>
  <c r="CB109" i="9"/>
  <c r="Q110" i="9"/>
  <c r="CB110" i="9"/>
  <c r="Q111" i="9"/>
  <c r="T112" i="9"/>
  <c r="Q113" i="9"/>
  <c r="Q114" i="9"/>
  <c r="CB114" i="9"/>
  <c r="BZ115" i="9"/>
  <c r="P116" i="9"/>
  <c r="BZ116" i="9"/>
  <c r="CA117" i="9"/>
  <c r="BZ118" i="9"/>
  <c r="I62" i="9"/>
  <c r="CB93" i="9"/>
  <c r="W78" i="9"/>
  <c r="EF78" i="9" s="1"/>
  <c r="W80" i="9"/>
  <c r="EF80" i="9" s="1"/>
  <c r="CB94" i="9"/>
  <c r="W89" i="9"/>
  <c r="I77" i="9"/>
  <c r="CB95" i="9"/>
  <c r="W90" i="9"/>
  <c r="EF90" i="9" s="1"/>
  <c r="CB101" i="9"/>
  <c r="W91" i="9"/>
  <c r="EF91" i="9" s="1"/>
  <c r="W97" i="9"/>
  <c r="EF97" i="9" s="1"/>
  <c r="W56" i="9"/>
  <c r="EF56" i="9" s="1"/>
  <c r="W98" i="9"/>
  <c r="EF98" i="9" s="1"/>
  <c r="W99" i="9"/>
  <c r="EF99" i="9" s="1"/>
  <c r="W55" i="9"/>
  <c r="BL55" i="9" s="1"/>
  <c r="K79" i="9"/>
  <c r="K70" i="9"/>
  <c r="K61" i="9"/>
  <c r="I53" i="9"/>
  <c r="W53" i="9"/>
  <c r="EF53" i="9" s="1"/>
  <c r="I106" i="9"/>
  <c r="CB106" i="9"/>
  <c r="I105" i="9"/>
  <c r="CB105" i="9"/>
  <c r="I104" i="9"/>
  <c r="W104" i="9"/>
  <c r="EF104" i="9" s="1"/>
  <c r="CB104" i="9"/>
  <c r="I103" i="9"/>
  <c r="W103" i="9"/>
  <c r="BD103" i="9" s="1"/>
  <c r="K100" i="9"/>
  <c r="K99" i="9"/>
  <c r="K98" i="9"/>
  <c r="K97" i="9"/>
  <c r="K96" i="9"/>
  <c r="K95" i="9"/>
  <c r="K94" i="9"/>
  <c r="K92" i="9"/>
  <c r="K90" i="9"/>
  <c r="K89" i="9"/>
  <c r="K88" i="9"/>
  <c r="W79" i="9"/>
  <c r="EF79" i="9" s="1"/>
  <c r="W105" i="9"/>
  <c r="K77" i="9"/>
  <c r="K80" i="9"/>
  <c r="I82" i="9"/>
  <c r="W82" i="9"/>
  <c r="BT82" i="9" s="1"/>
  <c r="W63" i="9"/>
  <c r="EF63" i="9" s="1"/>
  <c r="W107" i="9"/>
  <c r="K60" i="9"/>
  <c r="K62" i="9"/>
  <c r="I73" i="9"/>
  <c r="W73" i="9"/>
  <c r="BL73" i="9" s="1"/>
  <c r="W64" i="9"/>
  <c r="K71" i="9"/>
  <c r="K63" i="9"/>
  <c r="K54" i="9"/>
  <c r="K102" i="9"/>
  <c r="W70" i="9"/>
  <c r="EF70" i="9" s="1"/>
  <c r="W71" i="9"/>
  <c r="EF71" i="9" s="1"/>
  <c r="K78" i="9"/>
  <c r="K69" i="9"/>
  <c r="I61" i="9"/>
  <c r="W61" i="9"/>
  <c r="EF61" i="9" s="1"/>
  <c r="I102" i="9"/>
  <c r="W102" i="9"/>
  <c r="EF102" i="9" s="1"/>
  <c r="I81" i="9"/>
  <c r="W81" i="9"/>
  <c r="EF81" i="9" s="1"/>
  <c r="K72" i="9"/>
  <c r="W69" i="9"/>
  <c r="EF69" i="9" s="1"/>
  <c r="I69" i="9"/>
  <c r="K68" i="9"/>
  <c r="I60" i="9"/>
  <c r="W60" i="9"/>
  <c r="EF60" i="9" s="1"/>
  <c r="K59" i="9"/>
  <c r="CB103" i="9"/>
  <c r="W54" i="9"/>
  <c r="EF54" i="9" s="1"/>
  <c r="W72" i="9"/>
  <c r="EF72" i="9" s="1"/>
  <c r="CB88" i="9"/>
  <c r="CB96" i="9"/>
  <c r="W57" i="9"/>
  <c r="BL57" i="9" s="1"/>
  <c r="W65" i="9"/>
  <c r="BL65" i="9" s="1"/>
  <c r="W92" i="9"/>
  <c r="EF92" i="9" s="1"/>
  <c r="W100" i="9"/>
  <c r="EF100" i="9" s="1"/>
  <c r="CB89" i="9"/>
  <c r="CB97" i="9"/>
  <c r="W58" i="9"/>
  <c r="BT58" i="9" s="1"/>
  <c r="W66" i="9"/>
  <c r="BT66" i="9" s="1"/>
  <c r="W74" i="9"/>
  <c r="BT74" i="9" s="1"/>
  <c r="W93" i="9"/>
  <c r="EF93" i="9" s="1"/>
  <c r="W101" i="9"/>
  <c r="BT101" i="9" s="1"/>
  <c r="CB90" i="9"/>
  <c r="CB98" i="9"/>
  <c r="W59" i="9"/>
  <c r="EF59" i="9" s="1"/>
  <c r="W67" i="9"/>
  <c r="W75" i="9"/>
  <c r="W83" i="9"/>
  <c r="BT83" i="9" s="1"/>
  <c r="W94" i="9"/>
  <c r="CB91" i="9"/>
  <c r="CB99" i="9"/>
  <c r="W68" i="9"/>
  <c r="EF68" i="9" s="1"/>
  <c r="W76" i="9"/>
  <c r="W84" i="9"/>
  <c r="BT84" i="9" s="1"/>
  <c r="W95" i="9"/>
  <c r="EF95" i="9" s="1"/>
  <c r="CB92" i="9"/>
  <c r="CB100" i="9"/>
  <c r="W88" i="9"/>
  <c r="EF88" i="9" s="1"/>
  <c r="W96" i="9"/>
  <c r="EF96" i="9" s="1"/>
  <c r="K91" i="9"/>
  <c r="CG130" i="9" l="1"/>
  <c r="CP130" i="9" s="1"/>
  <c r="CX130" i="9" s="1"/>
  <c r="DF130" i="9" s="1"/>
  <c r="CF130" i="9"/>
  <c r="CO130" i="9" s="1"/>
  <c r="CW130" i="9" s="1"/>
  <c r="DE130" i="9" s="1"/>
  <c r="CG131" i="9"/>
  <c r="CP131" i="9" s="1"/>
  <c r="CF131" i="9"/>
  <c r="CO131" i="9" s="1"/>
  <c r="CF108" i="9"/>
  <c r="CG108" i="9"/>
  <c r="V121" i="9"/>
  <c r="BS121" i="9" s="1"/>
  <c r="P129" i="9"/>
  <c r="CB129" i="9"/>
  <c r="CI130" i="9"/>
  <c r="CR130" i="9" s="1"/>
  <c r="CZ130" i="9" s="1"/>
  <c r="DH130" i="9" s="1"/>
  <c r="CH130" i="9"/>
  <c r="CQ130" i="9" s="1"/>
  <c r="CE130" i="9"/>
  <c r="CN130" i="9" s="1"/>
  <c r="T129" i="9"/>
  <c r="EK129" i="9" s="1"/>
  <c r="CI131" i="9"/>
  <c r="CR131" i="9" s="1"/>
  <c r="CE131" i="9"/>
  <c r="CN131" i="9" s="1"/>
  <c r="CV131" i="9" s="1"/>
  <c r="DD131" i="9" s="1"/>
  <c r="CH131" i="9"/>
  <c r="CQ131" i="9" s="1"/>
  <c r="Y130" i="9"/>
  <c r="Z130" i="9" s="1"/>
  <c r="Y131" i="9"/>
  <c r="Z131" i="9" s="1"/>
  <c r="BV110" i="9"/>
  <c r="U129" i="9"/>
  <c r="BB129" i="9" s="1"/>
  <c r="CE108" i="9"/>
  <c r="K24" i="9"/>
  <c r="O129" i="9"/>
  <c r="BD62" i="9"/>
  <c r="BL106" i="9"/>
  <c r="BW117" i="9"/>
  <c r="Q129" i="9"/>
  <c r="BF129" i="9" s="1"/>
  <c r="V129" i="9"/>
  <c r="BK129" i="9" s="1"/>
  <c r="BD106" i="9"/>
  <c r="R129" i="9"/>
  <c r="AY129" i="9" s="1"/>
  <c r="I129" i="9"/>
  <c r="BT106" i="9"/>
  <c r="W129" i="9"/>
  <c r="EF129" i="9" s="1"/>
  <c r="S129" i="9"/>
  <c r="BH129" i="9" s="1"/>
  <c r="O107" i="9"/>
  <c r="BV109" i="9"/>
  <c r="EN106" i="9"/>
  <c r="CJ85" i="9"/>
  <c r="FO85" i="9"/>
  <c r="O125" i="9"/>
  <c r="O127" i="9"/>
  <c r="BX124" i="9"/>
  <c r="O123" i="9"/>
  <c r="O122" i="9"/>
  <c r="R121" i="9"/>
  <c r="BG121" i="9" s="1"/>
  <c r="BX133" i="9"/>
  <c r="I128" i="9"/>
  <c r="O128" i="9"/>
  <c r="O120" i="9"/>
  <c r="O132" i="9"/>
  <c r="CA126" i="9"/>
  <c r="BX109" i="9"/>
  <c r="BW109" i="9"/>
  <c r="BX115" i="9"/>
  <c r="BV117" i="9"/>
  <c r="T121" i="9"/>
  <c r="BA121" i="9" s="1"/>
  <c r="AL116" i="9"/>
  <c r="EL116" i="9"/>
  <c r="EL112" i="9"/>
  <c r="BX117" i="9"/>
  <c r="AM112" i="9"/>
  <c r="CH108" i="9"/>
  <c r="CI108" i="9"/>
  <c r="P121" i="9"/>
  <c r="AZ112" i="9"/>
  <c r="BC113" i="9"/>
  <c r="CM119" i="9"/>
  <c r="CL119" i="9"/>
  <c r="CQ63" i="9"/>
  <c r="CR63" i="9"/>
  <c r="CZ63" i="9" s="1"/>
  <c r="DH63" i="9" s="1"/>
  <c r="CM63" i="9"/>
  <c r="CN63" i="9"/>
  <c r="CP63" i="9"/>
  <c r="CO63" i="9"/>
  <c r="CL63" i="9"/>
  <c r="CQ71" i="9"/>
  <c r="CR71" i="9"/>
  <c r="CZ71" i="9" s="1"/>
  <c r="DH71" i="9" s="1"/>
  <c r="CM71" i="9"/>
  <c r="CN71" i="9"/>
  <c r="CP71" i="9"/>
  <c r="CL71" i="9"/>
  <c r="CO71" i="9"/>
  <c r="CL88" i="9"/>
  <c r="CM88" i="9"/>
  <c r="CL98" i="9"/>
  <c r="CM98" i="9"/>
  <c r="CR70" i="9"/>
  <c r="CZ70" i="9" s="1"/>
  <c r="DH70" i="9" s="1"/>
  <c r="CL70" i="9"/>
  <c r="CN70" i="9"/>
  <c r="CO70" i="9"/>
  <c r="CM70" i="9"/>
  <c r="CP70" i="9"/>
  <c r="CQ70" i="9"/>
  <c r="CL113" i="9"/>
  <c r="CM113" i="9"/>
  <c r="CL117" i="9"/>
  <c r="CM117" i="9"/>
  <c r="CU117" i="9" s="1"/>
  <c r="DC117" i="9" s="1"/>
  <c r="CM115" i="9"/>
  <c r="CL115" i="9"/>
  <c r="CT115" i="9" s="1"/>
  <c r="DB115" i="9" s="1"/>
  <c r="CL108" i="9"/>
  <c r="CT108" i="9" s="1"/>
  <c r="CM108" i="9"/>
  <c r="CM123" i="9"/>
  <c r="CL123" i="9"/>
  <c r="CM127" i="9"/>
  <c r="CL127" i="9"/>
  <c r="CR78" i="9"/>
  <c r="CZ78" i="9" s="1"/>
  <c r="DH78" i="9" s="1"/>
  <c r="CL78" i="9"/>
  <c r="CN78" i="9"/>
  <c r="CO78" i="9"/>
  <c r="CQ78" i="9"/>
  <c r="CP78" i="9"/>
  <c r="CM78" i="9"/>
  <c r="CL100" i="9"/>
  <c r="CM100" i="9"/>
  <c r="CM91" i="9"/>
  <c r="CL91" i="9"/>
  <c r="CL69" i="9"/>
  <c r="CM69" i="9"/>
  <c r="CO69" i="9"/>
  <c r="CP69" i="9"/>
  <c r="CQ69" i="9"/>
  <c r="CR69" i="9"/>
  <c r="CZ69" i="9" s="1"/>
  <c r="DH69" i="9" s="1"/>
  <c r="CN69" i="9"/>
  <c r="CL89" i="9"/>
  <c r="CM89" i="9"/>
  <c r="CM99" i="9"/>
  <c r="CL99" i="9"/>
  <c r="CQ79" i="9"/>
  <c r="CR79" i="9"/>
  <c r="CZ79" i="9" s="1"/>
  <c r="DH79" i="9" s="1"/>
  <c r="CM79" i="9"/>
  <c r="CN79" i="9"/>
  <c r="CO79" i="9"/>
  <c r="CL79" i="9"/>
  <c r="CP79" i="9"/>
  <c r="CL118" i="9"/>
  <c r="CT118" i="9" s="1"/>
  <c r="CM118" i="9"/>
  <c r="CL116" i="9"/>
  <c r="CT116" i="9" s="1"/>
  <c r="DB116" i="9" s="1"/>
  <c r="CM116" i="9"/>
  <c r="CL124" i="9"/>
  <c r="CM124" i="9"/>
  <c r="CP72" i="9"/>
  <c r="CQ72" i="9"/>
  <c r="CR72" i="9"/>
  <c r="CZ72" i="9" s="1"/>
  <c r="DH72" i="9" s="1"/>
  <c r="CL72" i="9"/>
  <c r="CM72" i="9"/>
  <c r="CO72" i="9"/>
  <c r="CN72" i="9"/>
  <c r="CL92" i="9"/>
  <c r="CM92" i="9"/>
  <c r="CM111" i="9"/>
  <c r="CL111" i="9"/>
  <c r="CL109" i="9"/>
  <c r="CT109" i="9" s="1"/>
  <c r="DB109" i="9" s="1"/>
  <c r="CM109" i="9"/>
  <c r="CL128" i="9"/>
  <c r="CM128" i="9"/>
  <c r="CL129" i="9"/>
  <c r="CM129" i="9"/>
  <c r="CM59" i="9"/>
  <c r="CN59" i="9"/>
  <c r="CP59" i="9"/>
  <c r="CO59" i="9"/>
  <c r="CQ59" i="9"/>
  <c r="CR59" i="9"/>
  <c r="CZ59" i="9" s="1"/>
  <c r="DH59" i="9" s="1"/>
  <c r="CL59" i="9"/>
  <c r="CP80" i="9"/>
  <c r="CQ80" i="9"/>
  <c r="CR80" i="9"/>
  <c r="CZ80" i="9" s="1"/>
  <c r="DH80" i="9" s="1"/>
  <c r="CL80" i="9"/>
  <c r="CM80" i="9"/>
  <c r="CO80" i="9"/>
  <c r="CN80" i="9"/>
  <c r="CL94" i="9"/>
  <c r="CM94" i="9"/>
  <c r="CL102" i="9"/>
  <c r="CM102" i="9"/>
  <c r="CR62" i="9"/>
  <c r="CZ62" i="9" s="1"/>
  <c r="DH62" i="9" s="1"/>
  <c r="CL62" i="9"/>
  <c r="CN62" i="9"/>
  <c r="CO62" i="9"/>
  <c r="CP62" i="9"/>
  <c r="CM62" i="9"/>
  <c r="CQ62" i="9"/>
  <c r="CL77" i="9"/>
  <c r="CM77" i="9"/>
  <c r="CO77" i="9"/>
  <c r="CP77" i="9"/>
  <c r="CQ77" i="9"/>
  <c r="CR77" i="9"/>
  <c r="CZ77" i="9" s="1"/>
  <c r="DH77" i="9" s="1"/>
  <c r="CN77" i="9"/>
  <c r="CM95" i="9"/>
  <c r="CL95" i="9"/>
  <c r="CL114" i="9"/>
  <c r="CM114" i="9"/>
  <c r="CL110" i="9"/>
  <c r="CT110" i="9" s="1"/>
  <c r="DB110" i="9" s="1"/>
  <c r="CM110" i="9"/>
  <c r="CL121" i="9"/>
  <c r="CM121" i="9"/>
  <c r="CR54" i="9"/>
  <c r="CZ54" i="9" s="1"/>
  <c r="DH54" i="9" s="1"/>
  <c r="CL54" i="9"/>
  <c r="CN54" i="9"/>
  <c r="CO54" i="9"/>
  <c r="CP54" i="9"/>
  <c r="CM54" i="9"/>
  <c r="CQ54" i="9"/>
  <c r="CL60" i="9"/>
  <c r="CM60" i="9"/>
  <c r="CN60" i="9"/>
  <c r="CP60" i="9"/>
  <c r="CQ60" i="9"/>
  <c r="CR60" i="9"/>
  <c r="CZ60" i="9" s="1"/>
  <c r="DH60" i="9" s="1"/>
  <c r="CO60" i="9"/>
  <c r="CL96" i="9"/>
  <c r="CM96" i="9"/>
  <c r="AJ112" i="9"/>
  <c r="CL120" i="9"/>
  <c r="CM120" i="9"/>
  <c r="CL125" i="9"/>
  <c r="CM125" i="9"/>
  <c r="BX113" i="9"/>
  <c r="CL122" i="9"/>
  <c r="CM122" i="9"/>
  <c r="CM90" i="9"/>
  <c r="CL90" i="9"/>
  <c r="CL68" i="9"/>
  <c r="CM68" i="9"/>
  <c r="CN68" i="9"/>
  <c r="CP68" i="9"/>
  <c r="CQ68" i="9"/>
  <c r="CR68" i="9"/>
  <c r="CZ68" i="9" s="1"/>
  <c r="DH68" i="9" s="1"/>
  <c r="CO68" i="9"/>
  <c r="CL97" i="9"/>
  <c r="CM97" i="9"/>
  <c r="CL61" i="9"/>
  <c r="CM61" i="9"/>
  <c r="CO61" i="9"/>
  <c r="CP61" i="9"/>
  <c r="CQ61" i="9"/>
  <c r="CR61" i="9"/>
  <c r="CZ61" i="9" s="1"/>
  <c r="DH61" i="9" s="1"/>
  <c r="CN61" i="9"/>
  <c r="CL112" i="9"/>
  <c r="CM112" i="9"/>
  <c r="CM133" i="9"/>
  <c r="CL133" i="9"/>
  <c r="BW113" i="9"/>
  <c r="K21" i="9"/>
  <c r="CB126" i="9"/>
  <c r="EH116" i="9"/>
  <c r="BD77" i="9"/>
  <c r="EN115" i="9"/>
  <c r="Q125" i="9"/>
  <c r="AX125" i="9" s="1"/>
  <c r="BW108" i="9"/>
  <c r="P126" i="9"/>
  <c r="BW115" i="9"/>
  <c r="Y115" i="9"/>
  <c r="Z115" i="9" s="1"/>
  <c r="FV115" i="9" s="1"/>
  <c r="Y108" i="9"/>
  <c r="Z108" i="9" s="1"/>
  <c r="BX112" i="9"/>
  <c r="BX119" i="9"/>
  <c r="Y110" i="9"/>
  <c r="Z110" i="9" s="1"/>
  <c r="FV110" i="9" s="1"/>
  <c r="BV108" i="9"/>
  <c r="BV113" i="9"/>
  <c r="BW116" i="9"/>
  <c r="Y114" i="9"/>
  <c r="Z114" i="9" s="1"/>
  <c r="DJ114" i="9" s="1"/>
  <c r="BX118" i="9"/>
  <c r="Y118" i="9"/>
  <c r="Z118" i="9" s="1"/>
  <c r="FV118" i="9" s="1"/>
  <c r="BW110" i="9"/>
  <c r="BZ129" i="9"/>
  <c r="Y119" i="9"/>
  <c r="Z119" i="9" s="1"/>
  <c r="DJ119" i="9" s="1"/>
  <c r="BW114" i="9"/>
  <c r="BX111" i="9"/>
  <c r="BV129" i="9"/>
  <c r="BX110" i="9"/>
  <c r="S128" i="9"/>
  <c r="BW129" i="9"/>
  <c r="BY129" i="9"/>
  <c r="BV118" i="9"/>
  <c r="EI111" i="9"/>
  <c r="BW118" i="9"/>
  <c r="AZ115" i="9"/>
  <c r="AK115" i="9"/>
  <c r="AM116" i="9"/>
  <c r="AX109" i="9"/>
  <c r="CA129" i="9"/>
  <c r="I126" i="9"/>
  <c r="BX129" i="9"/>
  <c r="S126" i="9"/>
  <c r="EJ110" i="9"/>
  <c r="CA121" i="9"/>
  <c r="W121" i="9"/>
  <c r="EF121" i="9" s="1"/>
  <c r="BB111" i="9"/>
  <c r="Q121" i="9"/>
  <c r="EH121" i="9" s="1"/>
  <c r="BZ121" i="9"/>
  <c r="AL112" i="9"/>
  <c r="EF115" i="9"/>
  <c r="R128" i="9"/>
  <c r="BO128" i="9" s="1"/>
  <c r="BV111" i="9"/>
  <c r="P125" i="9"/>
  <c r="CB125" i="9"/>
  <c r="BW111" i="9"/>
  <c r="BV114" i="9"/>
  <c r="I125" i="9"/>
  <c r="BX114" i="9"/>
  <c r="S125" i="9"/>
  <c r="EJ125" i="9" s="1"/>
  <c r="R125" i="9"/>
  <c r="BG125" i="9" s="1"/>
  <c r="T125" i="9"/>
  <c r="CA125" i="9"/>
  <c r="AM111" i="9"/>
  <c r="AH109" i="9"/>
  <c r="Q128" i="9"/>
  <c r="BN128" i="9" s="1"/>
  <c r="AL111" i="9"/>
  <c r="BX116" i="9"/>
  <c r="T128" i="9"/>
  <c r="EK128" i="9" s="1"/>
  <c r="CB128" i="9"/>
  <c r="U128" i="9"/>
  <c r="BR128" i="9" s="1"/>
  <c r="BV116" i="9"/>
  <c r="AB115" i="9"/>
  <c r="FH115" i="9" s="1"/>
  <c r="AL113" i="9"/>
  <c r="BV112" i="9"/>
  <c r="BW112" i="9"/>
  <c r="AB111" i="9"/>
  <c r="FX111" i="9" s="1"/>
  <c r="BV119" i="9"/>
  <c r="BW119" i="9"/>
  <c r="BC109" i="9"/>
  <c r="BB118" i="9"/>
  <c r="BK115" i="9"/>
  <c r="K20" i="9"/>
  <c r="BK109" i="9"/>
  <c r="EL118" i="9"/>
  <c r="AY119" i="9"/>
  <c r="BB113" i="9"/>
  <c r="AB109" i="9"/>
  <c r="FP109" i="9" s="1"/>
  <c r="P128" i="9"/>
  <c r="AM113" i="9"/>
  <c r="BA111" i="9"/>
  <c r="AJ111" i="9"/>
  <c r="W126" i="9"/>
  <c r="EF126" i="9" s="1"/>
  <c r="O126" i="9"/>
  <c r="U121" i="9"/>
  <c r="AZ111" i="9"/>
  <c r="C100" i="21"/>
  <c r="EK111" i="9"/>
  <c r="AL115" i="9"/>
  <c r="BA115" i="9"/>
  <c r="R126" i="9"/>
  <c r="AY126" i="9" s="1"/>
  <c r="Q126" i="9"/>
  <c r="S121" i="9"/>
  <c r="BH119" i="9"/>
  <c r="T126" i="9"/>
  <c r="BA114" i="9"/>
  <c r="AJ119" i="9"/>
  <c r="D25" i="9"/>
  <c r="BD89" i="9"/>
  <c r="AK117" i="9"/>
  <c r="V128" i="9"/>
  <c r="BA110" i="9"/>
  <c r="AZ117" i="9"/>
  <c r="AK110" i="9"/>
  <c r="BH117" i="9"/>
  <c r="BD110" i="9"/>
  <c r="BB109" i="9"/>
  <c r="BP117" i="9"/>
  <c r="AX111" i="9"/>
  <c r="AX115" i="9"/>
  <c r="AH118" i="9"/>
  <c r="AJ117" i="9"/>
  <c r="BL110" i="9"/>
  <c r="BC119" i="9"/>
  <c r="D100" i="21"/>
  <c r="AM119" i="9"/>
  <c r="CB121" i="9"/>
  <c r="I121" i="9"/>
  <c r="AL118" i="9"/>
  <c r="W128" i="9"/>
  <c r="BD128" i="9" s="1"/>
  <c r="J24" i="9"/>
  <c r="BH118" i="9"/>
  <c r="G16" i="9"/>
  <c r="G25" i="9"/>
  <c r="EN108" i="9"/>
  <c r="W125" i="9"/>
  <c r="EF125" i="9" s="1"/>
  <c r="V125" i="9"/>
  <c r="BC125" i="9" s="1"/>
  <c r="U125" i="9"/>
  <c r="BR125" i="9" s="1"/>
  <c r="U127" i="9"/>
  <c r="V127" i="9"/>
  <c r="U120" i="9"/>
  <c r="V120" i="9"/>
  <c r="I16" i="9"/>
  <c r="V132" i="9"/>
  <c r="EM132" i="9" s="1"/>
  <c r="U132" i="9"/>
  <c r="EL132" i="9" s="1"/>
  <c r="E25" i="9"/>
  <c r="EN90" i="9"/>
  <c r="EN99" i="9"/>
  <c r="U124" i="9"/>
  <c r="V124" i="9"/>
  <c r="BS124" i="9" s="1"/>
  <c r="K16" i="9"/>
  <c r="AX113" i="9"/>
  <c r="AZ109" i="9"/>
  <c r="EF114" i="9"/>
  <c r="BJ118" i="9"/>
  <c r="EN110" i="9"/>
  <c r="V123" i="9"/>
  <c r="U123" i="9"/>
  <c r="BB123" i="9" s="1"/>
  <c r="K25" i="9"/>
  <c r="BA118" i="9"/>
  <c r="U122" i="9"/>
  <c r="BR122" i="9" s="1"/>
  <c r="V122" i="9"/>
  <c r="BS122" i="9" s="1"/>
  <c r="J15" i="9"/>
  <c r="AB110" i="9"/>
  <c r="FP110" i="9" s="1"/>
  <c r="BR118" i="9"/>
  <c r="AK112" i="9"/>
  <c r="BG118" i="9"/>
  <c r="AB113" i="9"/>
  <c r="FH113" i="9" s="1"/>
  <c r="AZ108" i="9"/>
  <c r="U133" i="9"/>
  <c r="V133" i="9"/>
  <c r="BS133" i="9" s="1"/>
  <c r="F25" i="9"/>
  <c r="U126" i="9"/>
  <c r="BB126" i="9" s="1"/>
  <c r="V126" i="9"/>
  <c r="EM126" i="9" s="1"/>
  <c r="AI118" i="9"/>
  <c r="AI110" i="9"/>
  <c r="AK108" i="9"/>
  <c r="BA116" i="9"/>
  <c r="EN119" i="9"/>
  <c r="AY110" i="9"/>
  <c r="BA108" i="9"/>
  <c r="EH118" i="9"/>
  <c r="AJ110" i="9"/>
  <c r="EF109" i="9"/>
  <c r="EK116" i="9"/>
  <c r="AI109" i="9"/>
  <c r="AB108" i="9"/>
  <c r="FX108" i="9" s="1"/>
  <c r="AY109" i="9"/>
  <c r="K132" i="9"/>
  <c r="BI111" i="9"/>
  <c r="AJ113" i="9"/>
  <c r="AY113" i="9"/>
  <c r="BL111" i="9"/>
  <c r="EF111" i="9"/>
  <c r="EF89" i="9"/>
  <c r="EN89" i="9"/>
  <c r="AX117" i="9"/>
  <c r="EH117" i="9"/>
  <c r="BN117" i="9"/>
  <c r="BN112" i="9"/>
  <c r="EH112" i="9"/>
  <c r="AX112" i="9"/>
  <c r="I120" i="9"/>
  <c r="BZ120" i="9"/>
  <c r="T120" i="9"/>
  <c r="BA120" i="9" s="1"/>
  <c r="S120" i="9"/>
  <c r="R120" i="9"/>
  <c r="P120" i="9"/>
  <c r="CB120" i="9"/>
  <c r="W120" i="9"/>
  <c r="BD120" i="9" s="1"/>
  <c r="CA120" i="9"/>
  <c r="Q120" i="9"/>
  <c r="H20" i="9"/>
  <c r="EH119" i="9"/>
  <c r="BN119" i="9"/>
  <c r="BP113" i="9"/>
  <c r="BQ113" i="9"/>
  <c r="BS113" i="9"/>
  <c r="BB114" i="9"/>
  <c r="EL114" i="9"/>
  <c r="D20" i="9"/>
  <c r="I20" i="9"/>
  <c r="H11" i="9"/>
  <c r="K11" i="9"/>
  <c r="E20" i="9"/>
  <c r="G20" i="9"/>
  <c r="J11" i="9"/>
  <c r="F21" i="9"/>
  <c r="J21" i="9"/>
  <c r="G12" i="9"/>
  <c r="D21" i="9"/>
  <c r="H12" i="9"/>
  <c r="I12" i="9"/>
  <c r="I21" i="9"/>
  <c r="H21" i="9"/>
  <c r="K12" i="9"/>
  <c r="E21" i="9"/>
  <c r="G21" i="9"/>
  <c r="J12" i="9"/>
  <c r="AK116" i="9"/>
  <c r="EJ116" i="9"/>
  <c r="AZ116" i="9"/>
  <c r="Y116" i="9"/>
  <c r="Z116" i="9" s="1"/>
  <c r="FV116" i="9" s="1"/>
  <c r="AH116" i="9"/>
  <c r="BS114" i="9"/>
  <c r="BF114" i="9"/>
  <c r="BK114" i="9"/>
  <c r="BQ114" i="9"/>
  <c r="R127" i="9"/>
  <c r="Q127" i="9"/>
  <c r="P127" i="9"/>
  <c r="CB127" i="9"/>
  <c r="T127" i="9"/>
  <c r="BA127" i="9" s="1"/>
  <c r="I127" i="9"/>
  <c r="W127" i="9"/>
  <c r="CA127" i="9"/>
  <c r="S127" i="9"/>
  <c r="I11" i="9"/>
  <c r="BT110" i="9"/>
  <c r="AX110" i="9"/>
  <c r="BI113" i="9"/>
  <c r="BA109" i="9"/>
  <c r="BD119" i="9"/>
  <c r="F135" i="9"/>
  <c r="AN119" i="9"/>
  <c r="EN112" i="9"/>
  <c r="F20" i="9"/>
  <c r="H24" i="9"/>
  <c r="BD105" i="9"/>
  <c r="AZ119" i="9"/>
  <c r="EK117" i="9"/>
  <c r="AK119" i="9"/>
  <c r="BP114" i="9"/>
  <c r="AN117" i="9"/>
  <c r="CB123" i="9"/>
  <c r="CA123" i="9"/>
  <c r="T123" i="9"/>
  <c r="R123" i="9"/>
  <c r="P123" i="9"/>
  <c r="Q123" i="9"/>
  <c r="BV123" i="9"/>
  <c r="S123" i="9"/>
  <c r="W123" i="9"/>
  <c r="I123" i="9"/>
  <c r="I24" i="9"/>
  <c r="I25" i="9"/>
  <c r="H25" i="9"/>
  <c r="G24" i="9"/>
  <c r="E24" i="9"/>
  <c r="K15" i="9"/>
  <c r="K126" i="9"/>
  <c r="EK113" i="9"/>
  <c r="AN112" i="9"/>
  <c r="AB119" i="9"/>
  <c r="BG117" i="9"/>
  <c r="CB132" i="9"/>
  <c r="W132" i="9"/>
  <c r="EF132" i="9" s="1"/>
  <c r="T132" i="9"/>
  <c r="S132" i="9"/>
  <c r="EJ132" i="9" s="1"/>
  <c r="Q132" i="9"/>
  <c r="EH132" i="9" s="1"/>
  <c r="BY132" i="9"/>
  <c r="P132" i="9"/>
  <c r="R132" i="9"/>
  <c r="EI132" i="9" s="1"/>
  <c r="I132" i="9"/>
  <c r="J16" i="9"/>
  <c r="G11" i="9"/>
  <c r="J25" i="9"/>
  <c r="BF113" i="9"/>
  <c r="EH113" i="9"/>
  <c r="BA112" i="9"/>
  <c r="AX118" i="9"/>
  <c r="BC117" i="9"/>
  <c r="S133" i="9"/>
  <c r="AZ133" i="9" s="1"/>
  <c r="R133" i="9"/>
  <c r="BO133" i="9" s="1"/>
  <c r="Q133" i="9"/>
  <c r="BN133" i="9" s="1"/>
  <c r="W133" i="9"/>
  <c r="BL133" i="9" s="1"/>
  <c r="T133" i="9"/>
  <c r="BA133" i="9" s="1"/>
  <c r="P133" i="9"/>
  <c r="I133" i="9"/>
  <c r="BW122" i="9"/>
  <c r="Q122" i="9"/>
  <c r="BF122" i="9" s="1"/>
  <c r="BV122" i="9"/>
  <c r="P122" i="9"/>
  <c r="W122" i="9"/>
  <c r="BL122" i="9" s="1"/>
  <c r="CA122" i="9"/>
  <c r="S122" i="9"/>
  <c r="BP122" i="9" s="1"/>
  <c r="BZ122" i="9"/>
  <c r="T122" i="9"/>
  <c r="BQ122" i="9" s="1"/>
  <c r="I122" i="9"/>
  <c r="BY122" i="9"/>
  <c r="R122" i="9"/>
  <c r="BO122" i="9" s="1"/>
  <c r="BX122" i="9"/>
  <c r="CB122" i="9"/>
  <c r="J20" i="9"/>
  <c r="I15" i="9"/>
  <c r="H15" i="9"/>
  <c r="D24" i="9"/>
  <c r="S124" i="9"/>
  <c r="BH124" i="9" s="1"/>
  <c r="R124" i="9"/>
  <c r="AY124" i="9" s="1"/>
  <c r="I124" i="9"/>
  <c r="Q124" i="9"/>
  <c r="AX124" i="9" s="1"/>
  <c r="W124" i="9"/>
  <c r="BT124" i="9" s="1"/>
  <c r="CA124" i="9"/>
  <c r="CB124" i="9"/>
  <c r="T124" i="9"/>
  <c r="P124" i="9"/>
  <c r="BN109" i="9"/>
  <c r="AJ116" i="9"/>
  <c r="AH119" i="9"/>
  <c r="BD112" i="9"/>
  <c r="AL114" i="9"/>
  <c r="F24" i="9"/>
  <c r="H16" i="9"/>
  <c r="G15" i="9"/>
  <c r="EN98" i="9"/>
  <c r="AZ114" i="9"/>
  <c r="AK118" i="9"/>
  <c r="EH115" i="9"/>
  <c r="AJ108" i="9"/>
  <c r="AN109" i="9"/>
  <c r="EN113" i="9"/>
  <c r="AH115" i="9"/>
  <c r="BN115" i="9"/>
  <c r="EN111" i="9"/>
  <c r="EK119" i="9"/>
  <c r="EJ118" i="9"/>
  <c r="BC108" i="9"/>
  <c r="AN111" i="9"/>
  <c r="BQ112" i="9"/>
  <c r="AZ118" i="9"/>
  <c r="AM114" i="9"/>
  <c r="EN118" i="9"/>
  <c r="BT73" i="9"/>
  <c r="BI119" i="9"/>
  <c r="BD99" i="9"/>
  <c r="BD56" i="9"/>
  <c r="AI119" i="9"/>
  <c r="AI116" i="9"/>
  <c r="AM118" i="9"/>
  <c r="BB115" i="9"/>
  <c r="AL110" i="9"/>
  <c r="BT109" i="9"/>
  <c r="AN108" i="9"/>
  <c r="BB117" i="9"/>
  <c r="BP118" i="9"/>
  <c r="AM110" i="9"/>
  <c r="BC118" i="9"/>
  <c r="BT103" i="9"/>
  <c r="BT114" i="9"/>
  <c r="AX119" i="9"/>
  <c r="BR108" i="9"/>
  <c r="BD78" i="9"/>
  <c r="AN118" i="9"/>
  <c r="BL114" i="9"/>
  <c r="EM109" i="9"/>
  <c r="AB118" i="9"/>
  <c r="FX118" i="9" s="1"/>
  <c r="AY108" i="9"/>
  <c r="BL117" i="9"/>
  <c r="AM117" i="9"/>
  <c r="AY117" i="9"/>
  <c r="EI117" i="9"/>
  <c r="EN117" i="9"/>
  <c r="BT117" i="9"/>
  <c r="EF117" i="9"/>
  <c r="BQ117" i="9"/>
  <c r="BD117" i="9"/>
  <c r="BI117" i="9"/>
  <c r="EH114" i="9"/>
  <c r="AI114" i="9"/>
  <c r="BD64" i="9"/>
  <c r="BO115" i="9"/>
  <c r="BJ109" i="9"/>
  <c r="AM109" i="9"/>
  <c r="EL109" i="9"/>
  <c r="EL115" i="9"/>
  <c r="AM115" i="9"/>
  <c r="AX114" i="9"/>
  <c r="BP115" i="9"/>
  <c r="BI115" i="9"/>
  <c r="BT115" i="9"/>
  <c r="BS115" i="9"/>
  <c r="BF115" i="9"/>
  <c r="BR115" i="9"/>
  <c r="BQ115" i="9"/>
  <c r="BH115" i="9"/>
  <c r="BJ115" i="9"/>
  <c r="BG115" i="9"/>
  <c r="BL115" i="9"/>
  <c r="BD116" i="9"/>
  <c r="EF116" i="9"/>
  <c r="EN116" i="9"/>
  <c r="AJ115" i="9"/>
  <c r="AY115" i="9"/>
  <c r="EI115" i="9"/>
  <c r="Y117" i="9"/>
  <c r="Z117" i="9" s="1"/>
  <c r="AH117" i="9"/>
  <c r="AN110" i="9"/>
  <c r="EM110" i="9"/>
  <c r="BC110" i="9"/>
  <c r="AM108" i="9"/>
  <c r="BB108" i="9"/>
  <c r="AL108" i="9"/>
  <c r="BQ108" i="9"/>
  <c r="BN108" i="9"/>
  <c r="BP108" i="9"/>
  <c r="BO108" i="9"/>
  <c r="BG108" i="9"/>
  <c r="BH108" i="9"/>
  <c r="BF108" i="9"/>
  <c r="BJ108" i="9"/>
  <c r="BS108" i="9"/>
  <c r="BL108" i="9"/>
  <c r="BK108" i="9"/>
  <c r="EL108" i="9"/>
  <c r="BR116" i="9"/>
  <c r="BQ116" i="9"/>
  <c r="BJ116" i="9"/>
  <c r="BI116" i="9"/>
  <c r="BP116" i="9"/>
  <c r="BG116" i="9"/>
  <c r="BL116" i="9"/>
  <c r="BH116" i="9"/>
  <c r="BN116" i="9"/>
  <c r="BO116" i="9"/>
  <c r="BS116" i="9"/>
  <c r="BK116" i="9"/>
  <c r="AB112" i="9"/>
  <c r="FX112" i="9" s="1"/>
  <c r="EI112" i="9"/>
  <c r="AY112" i="9"/>
  <c r="AI108" i="9"/>
  <c r="AX108" i="9"/>
  <c r="EH108" i="9"/>
  <c r="AH108" i="9"/>
  <c r="BO114" i="9"/>
  <c r="AB114" i="9"/>
  <c r="FX114" i="9" s="1"/>
  <c r="AJ114" i="9"/>
  <c r="EI114" i="9"/>
  <c r="BL112" i="9"/>
  <c r="BJ112" i="9"/>
  <c r="BG112" i="9"/>
  <c r="BR112" i="9"/>
  <c r="BI112" i="9"/>
  <c r="BT112" i="9"/>
  <c r="BO112" i="9"/>
  <c r="BH112" i="9"/>
  <c r="BK112" i="9"/>
  <c r="BP112" i="9"/>
  <c r="BF112" i="9"/>
  <c r="BT108" i="9"/>
  <c r="AN116" i="9"/>
  <c r="BT116" i="9"/>
  <c r="BF116" i="9"/>
  <c r="AN113" i="9"/>
  <c r="BS111" i="9"/>
  <c r="BK111" i="9"/>
  <c r="BN111" i="9"/>
  <c r="BO111" i="9"/>
  <c r="BF111" i="9"/>
  <c r="BH111" i="9"/>
  <c r="BT111" i="9"/>
  <c r="BQ111" i="9"/>
  <c r="BR111" i="9"/>
  <c r="BG111" i="9"/>
  <c r="BP111" i="9"/>
  <c r="BJ111" i="9"/>
  <c r="BB119" i="9"/>
  <c r="BG110" i="9"/>
  <c r="BR110" i="9"/>
  <c r="BO110" i="9"/>
  <c r="BI110" i="9"/>
  <c r="BJ110" i="9"/>
  <c r="BH110" i="9"/>
  <c r="BP110" i="9"/>
  <c r="BQ110" i="9"/>
  <c r="BK110" i="9"/>
  <c r="BF110" i="9"/>
  <c r="BS110" i="9"/>
  <c r="BN110" i="9"/>
  <c r="BD109" i="9"/>
  <c r="BH109" i="9"/>
  <c r="BI109" i="9"/>
  <c r="BP109" i="9"/>
  <c r="BG109" i="9"/>
  <c r="BO109" i="9"/>
  <c r="BF109" i="9"/>
  <c r="BQ109" i="9"/>
  <c r="AB116" i="9"/>
  <c r="DL116" i="9" s="1"/>
  <c r="BN113" i="9"/>
  <c r="AL117" i="9"/>
  <c r="AL109" i="9"/>
  <c r="BR109" i="9"/>
  <c r="EI118" i="9"/>
  <c r="BC115" i="9"/>
  <c r="AN115" i="9"/>
  <c r="BF117" i="9"/>
  <c r="AI117" i="9"/>
  <c r="BC111" i="9"/>
  <c r="BD108" i="9"/>
  <c r="EJ109" i="9"/>
  <c r="BD118" i="9"/>
  <c r="BC114" i="9"/>
  <c r="EJ108" i="9"/>
  <c r="EJ114" i="9"/>
  <c r="AH113" i="9"/>
  <c r="BP119" i="9"/>
  <c r="BL119" i="9"/>
  <c r="BF119" i="9"/>
  <c r="BT119" i="9"/>
  <c r="BJ119" i="9"/>
  <c r="BS119" i="9"/>
  <c r="BK119" i="9"/>
  <c r="AL119" i="9"/>
  <c r="AJ118" i="9"/>
  <c r="AI113" i="9"/>
  <c r="EM116" i="9"/>
  <c r="Y109" i="9"/>
  <c r="Z109" i="9" s="1"/>
  <c r="AA109" i="9" s="1"/>
  <c r="BS109" i="9"/>
  <c r="BI114" i="9"/>
  <c r="BH114" i="9"/>
  <c r="BR114" i="9"/>
  <c r="BG114" i="9"/>
  <c r="BN114" i="9"/>
  <c r="BJ114" i="9"/>
  <c r="BS112" i="9"/>
  <c r="EM112" i="9"/>
  <c r="BA119" i="9"/>
  <c r="AN114" i="9"/>
  <c r="EK112" i="9"/>
  <c r="EI108" i="9"/>
  <c r="Y112" i="9"/>
  <c r="Z112" i="9" s="1"/>
  <c r="AH112" i="9"/>
  <c r="BH113" i="9"/>
  <c r="EJ113" i="9"/>
  <c r="BD111" i="9"/>
  <c r="BD114" i="9"/>
  <c r="AH110" i="9"/>
  <c r="BS117" i="9"/>
  <c r="BR117" i="9"/>
  <c r="BJ117" i="9"/>
  <c r="BK117" i="9"/>
  <c r="BA117" i="9"/>
  <c r="Y111" i="9"/>
  <c r="Z111" i="9" s="1"/>
  <c r="FV111" i="9" s="1"/>
  <c r="AH111" i="9"/>
  <c r="AY114" i="9"/>
  <c r="BO117" i="9"/>
  <c r="BO119" i="9"/>
  <c r="Y113" i="9"/>
  <c r="Z113" i="9" s="1"/>
  <c r="FV113" i="9" s="1"/>
  <c r="AK109" i="9"/>
  <c r="EH110" i="9"/>
  <c r="AI115" i="9"/>
  <c r="AI112" i="9"/>
  <c r="BI108" i="9"/>
  <c r="AH114" i="9"/>
  <c r="BS118" i="9"/>
  <c r="BO118" i="9"/>
  <c r="BK118" i="9"/>
  <c r="BF118" i="9"/>
  <c r="BT118" i="9"/>
  <c r="BN118" i="9"/>
  <c r="BL118" i="9"/>
  <c r="EK109" i="9"/>
  <c r="BI118" i="9"/>
  <c r="BD113" i="9"/>
  <c r="BD98" i="9"/>
  <c r="BQ119" i="9"/>
  <c r="EI116" i="9"/>
  <c r="BQ118" i="9"/>
  <c r="BR119" i="9"/>
  <c r="AK114" i="9"/>
  <c r="BG119" i="9"/>
  <c r="AK113" i="9"/>
  <c r="AK111" i="9"/>
  <c r="BL109" i="9"/>
  <c r="EH111" i="9"/>
  <c r="AI111" i="9"/>
  <c r="BK113" i="9"/>
  <c r="BJ113" i="9"/>
  <c r="BT113" i="9"/>
  <c r="BL113" i="9"/>
  <c r="BG113" i="9"/>
  <c r="BR113" i="9"/>
  <c r="AY116" i="9"/>
  <c r="AJ109" i="9"/>
  <c r="AZ113" i="9"/>
  <c r="BB110" i="9"/>
  <c r="BO113" i="9"/>
  <c r="EM111" i="9"/>
  <c r="AY118" i="9"/>
  <c r="BA113" i="9"/>
  <c r="BD96" i="9"/>
  <c r="BL81" i="9"/>
  <c r="BD104" i="9"/>
  <c r="EN97" i="9"/>
  <c r="BL56" i="9"/>
  <c r="BD81" i="9"/>
  <c r="BD97" i="9"/>
  <c r="BD90" i="9"/>
  <c r="BD63" i="9"/>
  <c r="EN104" i="9"/>
  <c r="BT104" i="9"/>
  <c r="BD79" i="9"/>
  <c r="BD59" i="9"/>
  <c r="BD80" i="9"/>
  <c r="BD53" i="9"/>
  <c r="BL104" i="9"/>
  <c r="EN105" i="9"/>
  <c r="BL105" i="9"/>
  <c r="BL53" i="9"/>
  <c r="EN91" i="9"/>
  <c r="BD55" i="9"/>
  <c r="BD72" i="9"/>
  <c r="BT53" i="9"/>
  <c r="BD91" i="9"/>
  <c r="BD61" i="9"/>
  <c r="BT81" i="9"/>
  <c r="BT56" i="9"/>
  <c r="BD68" i="9"/>
  <c r="BD95" i="9"/>
  <c r="EF75" i="9"/>
  <c r="BL75" i="9"/>
  <c r="BD75" i="9"/>
  <c r="BL78" i="9"/>
  <c r="BT78" i="9"/>
  <c r="BL54" i="9"/>
  <c r="BT54" i="9"/>
  <c r="BT94" i="9"/>
  <c r="BL94" i="9"/>
  <c r="BL97" i="9"/>
  <c r="BT97" i="9"/>
  <c r="BL100" i="9"/>
  <c r="BT100" i="9"/>
  <c r="BL91" i="9"/>
  <c r="BT91" i="9"/>
  <c r="EF67" i="9"/>
  <c r="BD67" i="9"/>
  <c r="BL67" i="9"/>
  <c r="EN88" i="9"/>
  <c r="BL90" i="9"/>
  <c r="BT90" i="9"/>
  <c r="BT61" i="9"/>
  <c r="BL61" i="9"/>
  <c r="EF101" i="9"/>
  <c r="EN101" i="9"/>
  <c r="EF65" i="9"/>
  <c r="BD65" i="9"/>
  <c r="BL63" i="9"/>
  <c r="BT63" i="9"/>
  <c r="BL62" i="9"/>
  <c r="BT62" i="9"/>
  <c r="BD88" i="9"/>
  <c r="BT95" i="9"/>
  <c r="BL95" i="9"/>
  <c r="BD70" i="9"/>
  <c r="BT68" i="9"/>
  <c r="BL68" i="9"/>
  <c r="BL72" i="9"/>
  <c r="BT72" i="9"/>
  <c r="BD100" i="9"/>
  <c r="BL80" i="9"/>
  <c r="BT80" i="9"/>
  <c r="EF84" i="9"/>
  <c r="BL84" i="9"/>
  <c r="EF57" i="9"/>
  <c r="BD57" i="9"/>
  <c r="EN95" i="9"/>
  <c r="BD71" i="9"/>
  <c r="BT77" i="9"/>
  <c r="BL77" i="9"/>
  <c r="BT88" i="9"/>
  <c r="BL88" i="9"/>
  <c r="EN96" i="9"/>
  <c r="BL98" i="9"/>
  <c r="BT98" i="9"/>
  <c r="EF103" i="9"/>
  <c r="BL103" i="9"/>
  <c r="EN103" i="9"/>
  <c r="BL70" i="9"/>
  <c r="BT70" i="9"/>
  <c r="EF107" i="9"/>
  <c r="BT107" i="9"/>
  <c r="BD107" i="9"/>
  <c r="BL71" i="9"/>
  <c r="BT71" i="9"/>
  <c r="EF66" i="9"/>
  <c r="BD66" i="9"/>
  <c r="BL66" i="9"/>
  <c r="BT59" i="9"/>
  <c r="BL59" i="9"/>
  <c r="BD69" i="9"/>
  <c r="BD93" i="9"/>
  <c r="BD102" i="9"/>
  <c r="BD92" i="9"/>
  <c r="BL107" i="9"/>
  <c r="EF105" i="9"/>
  <c r="BT105" i="9"/>
  <c r="BL92" i="9"/>
  <c r="BT92" i="9"/>
  <c r="BT96" i="9"/>
  <c r="BL96" i="9"/>
  <c r="BL79" i="9"/>
  <c r="BT79" i="9"/>
  <c r="EF76" i="9"/>
  <c r="BL76" i="9"/>
  <c r="EN107" i="9"/>
  <c r="BT76" i="9"/>
  <c r="EN92" i="9"/>
  <c r="EF94" i="9"/>
  <c r="EN94" i="9"/>
  <c r="EF58" i="9"/>
  <c r="BL58" i="9"/>
  <c r="BD58" i="9"/>
  <c r="BD84" i="9"/>
  <c r="BT65" i="9"/>
  <c r="BD101" i="9"/>
  <c r="BT67" i="9"/>
  <c r="BT69" i="9"/>
  <c r="BL69" i="9"/>
  <c r="BT102" i="9"/>
  <c r="BL102" i="9"/>
  <c r="BT64" i="9"/>
  <c r="EF64" i="9"/>
  <c r="BL64" i="9"/>
  <c r="BD60" i="9"/>
  <c r="EF82" i="9"/>
  <c r="BD82" i="9"/>
  <c r="BL82" i="9"/>
  <c r="BL89" i="9"/>
  <c r="BT89" i="9"/>
  <c r="BT93" i="9"/>
  <c r="BL99" i="9"/>
  <c r="BT99" i="9"/>
  <c r="EF55" i="9"/>
  <c r="BT55" i="9"/>
  <c r="EF74" i="9"/>
  <c r="BD74" i="9"/>
  <c r="BL74" i="9"/>
  <c r="EF83" i="9"/>
  <c r="BL83" i="9"/>
  <c r="BD83" i="9"/>
  <c r="BD76" i="9"/>
  <c r="BT57" i="9"/>
  <c r="BT75" i="9"/>
  <c r="EN93" i="9"/>
  <c r="BD54" i="9"/>
  <c r="BL101" i="9"/>
  <c r="EF73" i="9"/>
  <c r="BD73" i="9"/>
  <c r="BT60" i="9"/>
  <c r="BL60" i="9"/>
  <c r="BL93" i="9"/>
  <c r="BD94" i="9"/>
  <c r="EN100" i="9"/>
  <c r="EN102" i="9"/>
  <c r="J70" i="21"/>
  <c r="I36" i="21"/>
  <c r="P36" i="21"/>
  <c r="I37" i="21"/>
  <c r="P37" i="21"/>
  <c r="I38" i="21"/>
  <c r="P38" i="21"/>
  <c r="I39" i="21"/>
  <c r="P39" i="21"/>
  <c r="I40" i="21"/>
  <c r="P40" i="21"/>
  <c r="I41" i="21"/>
  <c r="P41" i="21"/>
  <c r="I42" i="21"/>
  <c r="P42" i="21"/>
  <c r="I43" i="21"/>
  <c r="P43" i="21"/>
  <c r="I44" i="21"/>
  <c r="P44" i="21"/>
  <c r="I45" i="21"/>
  <c r="P45" i="21"/>
  <c r="I46" i="21"/>
  <c r="P46" i="21"/>
  <c r="I47" i="21"/>
  <c r="P47" i="21"/>
  <c r="I48" i="21"/>
  <c r="P48" i="21"/>
  <c r="I49" i="21"/>
  <c r="P49" i="21"/>
  <c r="I50" i="21"/>
  <c r="P50" i="21"/>
  <c r="I51" i="21"/>
  <c r="P51" i="21"/>
  <c r="I52" i="21"/>
  <c r="P52" i="21"/>
  <c r="I53" i="21"/>
  <c r="P53" i="21"/>
  <c r="I54" i="21"/>
  <c r="P54" i="21"/>
  <c r="I55" i="21"/>
  <c r="P55" i="21"/>
  <c r="I3" i="21"/>
  <c r="P3" i="21"/>
  <c r="I4" i="21"/>
  <c r="P4" i="21"/>
  <c r="I5" i="21"/>
  <c r="P5" i="21"/>
  <c r="I6" i="21"/>
  <c r="P6" i="21"/>
  <c r="I7" i="21"/>
  <c r="P7" i="21"/>
  <c r="I8" i="21"/>
  <c r="P8" i="21"/>
  <c r="I9" i="21"/>
  <c r="P9" i="21"/>
  <c r="I10" i="21"/>
  <c r="P10" i="21"/>
  <c r="I11" i="21"/>
  <c r="P11" i="21"/>
  <c r="I12" i="21"/>
  <c r="P12" i="21"/>
  <c r="I13" i="21"/>
  <c r="P13" i="21"/>
  <c r="I14" i="21"/>
  <c r="P14" i="21"/>
  <c r="I15" i="21"/>
  <c r="P15" i="21"/>
  <c r="I16" i="21"/>
  <c r="P16" i="21"/>
  <c r="I17" i="21"/>
  <c r="P17" i="21"/>
  <c r="I18" i="21"/>
  <c r="P18" i="21"/>
  <c r="I19" i="21"/>
  <c r="P19" i="21"/>
  <c r="I20" i="21"/>
  <c r="P20" i="21"/>
  <c r="I21" i="21"/>
  <c r="P21" i="21"/>
  <c r="I22" i="21"/>
  <c r="P22" i="21"/>
  <c r="I23" i="21"/>
  <c r="P23" i="21"/>
  <c r="I24" i="21"/>
  <c r="P24" i="21"/>
  <c r="I25" i="21"/>
  <c r="P25" i="21"/>
  <c r="I26" i="21"/>
  <c r="P26" i="21"/>
  <c r="I27" i="21"/>
  <c r="P27" i="21"/>
  <c r="I28" i="21"/>
  <c r="P28" i="21"/>
  <c r="I29" i="21"/>
  <c r="P29" i="21"/>
  <c r="I30" i="21"/>
  <c r="P30" i="21"/>
  <c r="I31" i="21"/>
  <c r="P31" i="21"/>
  <c r="I32" i="21"/>
  <c r="P32" i="21"/>
  <c r="I33" i="21"/>
  <c r="P33" i="21"/>
  <c r="I34" i="21"/>
  <c r="P34" i="21"/>
  <c r="I35" i="21"/>
  <c r="P35" i="21"/>
  <c r="P6" i="15"/>
  <c r="P10" i="15"/>
  <c r="P65" i="15"/>
  <c r="P64" i="15"/>
  <c r="P61" i="15"/>
  <c r="P33" i="15"/>
  <c r="H134" i="5"/>
  <c r="H187" i="5" s="1"/>
  <c r="H129" i="5"/>
  <c r="H130" i="5" s="1"/>
  <c r="H100" i="5"/>
  <c r="H98" i="5"/>
  <c r="H92" i="5"/>
  <c r="G81" i="5"/>
  <c r="H105" i="5"/>
  <c r="H104" i="5"/>
  <c r="H71" i="5"/>
  <c r="H5" i="5"/>
  <c r="H6" i="5" s="1"/>
  <c r="H2" i="5"/>
  <c r="H54" i="5" s="1"/>
  <c r="H11" i="5"/>
  <c r="H36" i="5"/>
  <c r="H53" i="5"/>
  <c r="H65" i="5"/>
  <c r="H68" i="5" s="1"/>
  <c r="H69" i="5" s="1"/>
  <c r="H157" i="5"/>
  <c r="H171" i="5"/>
  <c r="H181" i="5"/>
  <c r="H182" i="5"/>
  <c r="H183" i="5"/>
  <c r="H188" i="5"/>
  <c r="H189" i="5"/>
  <c r="H190" i="5"/>
  <c r="H191" i="5"/>
  <c r="H192" i="5"/>
  <c r="H193" i="5"/>
  <c r="H194" i="5"/>
  <c r="H215" i="5"/>
  <c r="H237" i="5"/>
  <c r="BI129" i="9" l="1"/>
  <c r="CG109" i="9"/>
  <c r="CP109" i="9" s="1"/>
  <c r="CX109" i="9" s="1"/>
  <c r="DF109" i="9" s="1"/>
  <c r="CF109" i="9"/>
  <c r="CO109" i="9" s="1"/>
  <c r="CW109" i="9" s="1"/>
  <c r="DE109" i="9" s="1"/>
  <c r="AM121" i="9"/>
  <c r="BA129" i="9"/>
  <c r="CG119" i="9"/>
  <c r="CP119" i="9" s="1"/>
  <c r="CX119" i="9" s="1"/>
  <c r="DF119" i="9" s="1"/>
  <c r="CF119" i="9"/>
  <c r="CO119" i="9" s="1"/>
  <c r="CW119" i="9" s="1"/>
  <c r="DE119" i="9" s="1"/>
  <c r="CF122" i="9"/>
  <c r="CO122" i="9" s="1"/>
  <c r="CW122" i="9" s="1"/>
  <c r="DE122" i="9" s="1"/>
  <c r="CG122" i="9"/>
  <c r="CP122" i="9" s="1"/>
  <c r="CG117" i="9"/>
  <c r="CP117" i="9" s="1"/>
  <c r="CX117" i="9" s="1"/>
  <c r="DF117" i="9" s="1"/>
  <c r="CF117" i="9"/>
  <c r="CO117" i="9" s="1"/>
  <c r="CW117" i="9" s="1"/>
  <c r="DE117" i="9" s="1"/>
  <c r="BC121" i="9"/>
  <c r="CF112" i="9"/>
  <c r="CG112" i="9"/>
  <c r="CP112" i="9" s="1"/>
  <c r="CX112" i="9" s="1"/>
  <c r="DF112" i="9" s="1"/>
  <c r="BQ129" i="9"/>
  <c r="CF116" i="9"/>
  <c r="CG116" i="9"/>
  <c r="CG110" i="9"/>
  <c r="CF110" i="9"/>
  <c r="CO110" i="9" s="1"/>
  <c r="CW110" i="9" s="1"/>
  <c r="DE110" i="9" s="1"/>
  <c r="CG118" i="9"/>
  <c r="CP118" i="9" s="1"/>
  <c r="CX118" i="9" s="1"/>
  <c r="DF118" i="9" s="1"/>
  <c r="CF118" i="9"/>
  <c r="CO118" i="9" s="1"/>
  <c r="CW118" i="9" s="1"/>
  <c r="DE118" i="9" s="1"/>
  <c r="Y129" i="9"/>
  <c r="Z129" i="9" s="1"/>
  <c r="CG129" i="9"/>
  <c r="CF129" i="9"/>
  <c r="CG113" i="9"/>
  <c r="CF113" i="9"/>
  <c r="EM121" i="9"/>
  <c r="BK121" i="9"/>
  <c r="CF114" i="9"/>
  <c r="CO114" i="9" s="1"/>
  <c r="CG114" i="9"/>
  <c r="CG115" i="9"/>
  <c r="CP115" i="9" s="1"/>
  <c r="CX115" i="9" s="1"/>
  <c r="DF115" i="9" s="1"/>
  <c r="CF115" i="9"/>
  <c r="CG111" i="9"/>
  <c r="CP111" i="9" s="1"/>
  <c r="CF111" i="9"/>
  <c r="CJ130" i="9"/>
  <c r="CJ131" i="9"/>
  <c r="FF131" i="9"/>
  <c r="AA131" i="9"/>
  <c r="DJ131" i="9"/>
  <c r="DR131" i="9"/>
  <c r="AH125" i="9"/>
  <c r="CY130" i="9"/>
  <c r="DG130" i="9" s="1"/>
  <c r="EJ129" i="9"/>
  <c r="CY131" i="9"/>
  <c r="DG131" i="9" s="1"/>
  <c r="CX131" i="9"/>
  <c r="DF131" i="9" s="1"/>
  <c r="CZ131" i="9"/>
  <c r="DH131" i="9" s="1"/>
  <c r="CV130" i="9"/>
  <c r="DD130" i="9" s="1"/>
  <c r="AL129" i="9"/>
  <c r="CW131" i="9"/>
  <c r="DE131" i="9" s="1"/>
  <c r="AA130" i="9"/>
  <c r="DJ130" i="9"/>
  <c r="DR130" i="9"/>
  <c r="FF130" i="9"/>
  <c r="AK129" i="9"/>
  <c r="BP129" i="9"/>
  <c r="AZ129" i="9"/>
  <c r="BJ129" i="9"/>
  <c r="BR129" i="9"/>
  <c r="EL129" i="9"/>
  <c r="BL129" i="9"/>
  <c r="CE114" i="9"/>
  <c r="CN114" i="9" s="1"/>
  <c r="CV114" i="9" s="1"/>
  <c r="DD114" i="9" s="1"/>
  <c r="CE112" i="9"/>
  <c r="CN112" i="9" s="1"/>
  <c r="CE110" i="9"/>
  <c r="CN110" i="9" s="1"/>
  <c r="CV110" i="9" s="1"/>
  <c r="DD110" i="9" s="1"/>
  <c r="CP110" i="9"/>
  <c r="CX110" i="9" s="1"/>
  <c r="DF110" i="9" s="1"/>
  <c r="CE118" i="9"/>
  <c r="CN118" i="9" s="1"/>
  <c r="CV118" i="9" s="1"/>
  <c r="DD118" i="9" s="1"/>
  <c r="CE122" i="9"/>
  <c r="CN122" i="9" s="1"/>
  <c r="CE111" i="9"/>
  <c r="CN111" i="9" s="1"/>
  <c r="CE115" i="9"/>
  <c r="CN115" i="9" s="1"/>
  <c r="CE129" i="9"/>
  <c r="CE117" i="9"/>
  <c r="CN117" i="9" s="1"/>
  <c r="CV117" i="9" s="1"/>
  <c r="DD117" i="9" s="1"/>
  <c r="CE116" i="9"/>
  <c r="CN116" i="9" s="1"/>
  <c r="CE113" i="9"/>
  <c r="CN113" i="9" s="1"/>
  <c r="CV113" i="9" s="1"/>
  <c r="DD113" i="9" s="1"/>
  <c r="CE109" i="9"/>
  <c r="CN109" i="9" s="1"/>
  <c r="CV109" i="9" s="1"/>
  <c r="DD109" i="9" s="1"/>
  <c r="CE119" i="9"/>
  <c r="CN119" i="9" s="1"/>
  <c r="CV119" i="9" s="1"/>
  <c r="DD119" i="9" s="1"/>
  <c r="CI109" i="9"/>
  <c r="CR109" i="9" s="1"/>
  <c r="CZ109" i="9" s="1"/>
  <c r="DH109" i="9" s="1"/>
  <c r="AX129" i="9"/>
  <c r="EN129" i="9"/>
  <c r="BC129" i="9"/>
  <c r="BT129" i="9"/>
  <c r="BD129" i="9"/>
  <c r="BS129" i="9"/>
  <c r="AN129" i="9"/>
  <c r="EM129" i="9"/>
  <c r="BN129" i="9"/>
  <c r="EH129" i="9"/>
  <c r="AM129" i="9"/>
  <c r="AH129" i="9"/>
  <c r="EI121" i="9"/>
  <c r="BD121" i="9"/>
  <c r="FX115" i="9"/>
  <c r="EI128" i="9"/>
  <c r="AN121" i="9"/>
  <c r="BL121" i="9"/>
  <c r="BG128" i="9"/>
  <c r="AY128" i="9"/>
  <c r="BT121" i="9"/>
  <c r="EN121" i="9"/>
  <c r="AI128" i="9"/>
  <c r="BO121" i="9"/>
  <c r="AY121" i="9"/>
  <c r="BZ133" i="9"/>
  <c r="BP125" i="9"/>
  <c r="BZ125" i="9"/>
  <c r="AI129" i="9"/>
  <c r="EI129" i="9"/>
  <c r="BO129" i="9"/>
  <c r="BV125" i="9"/>
  <c r="AJ129" i="9"/>
  <c r="BG129" i="9"/>
  <c r="BX125" i="9"/>
  <c r="BV120" i="9"/>
  <c r="BQ121" i="9"/>
  <c r="CH109" i="9"/>
  <c r="CQ109" i="9" s="1"/>
  <c r="CY109" i="9" s="1"/>
  <c r="DG109" i="9" s="1"/>
  <c r="BW124" i="9"/>
  <c r="BX120" i="9"/>
  <c r="BW123" i="9"/>
  <c r="BW132" i="9"/>
  <c r="BX127" i="9"/>
  <c r="BV127" i="9"/>
  <c r="BW120" i="9"/>
  <c r="AX128" i="9"/>
  <c r="BW125" i="9"/>
  <c r="FP115" i="9"/>
  <c r="BV132" i="9"/>
  <c r="BX132" i="9"/>
  <c r="BX123" i="9"/>
  <c r="BY127" i="9"/>
  <c r="BY120" i="9"/>
  <c r="BF125" i="9"/>
  <c r="AC115" i="9"/>
  <c r="FY115" i="9" s="1"/>
  <c r="DL115" i="9"/>
  <c r="BZ132" i="9"/>
  <c r="BY123" i="9"/>
  <c r="BZ127" i="9"/>
  <c r="BW127" i="9"/>
  <c r="BY125" i="9"/>
  <c r="CI115" i="9"/>
  <c r="CR115" i="9" s="1"/>
  <c r="CA132" i="9"/>
  <c r="BZ123" i="9"/>
  <c r="BY124" i="9"/>
  <c r="BY133" i="9"/>
  <c r="O133" i="9"/>
  <c r="Y133" i="9" s="1"/>
  <c r="Z133" i="9" s="1"/>
  <c r="O124" i="9"/>
  <c r="Y124" i="9" s="1"/>
  <c r="Z124" i="9" s="1"/>
  <c r="CB133" i="9"/>
  <c r="BV133" i="9"/>
  <c r="BW133" i="9"/>
  <c r="BZ124" i="9"/>
  <c r="CA133" i="9"/>
  <c r="BV124" i="9"/>
  <c r="CT113" i="9"/>
  <c r="DB113" i="9" s="1"/>
  <c r="DR113" i="9" s="1"/>
  <c r="BI121" i="9"/>
  <c r="EK121" i="9"/>
  <c r="AH121" i="9"/>
  <c r="AC121" i="9"/>
  <c r="FY121" i="9" s="1"/>
  <c r="CH115" i="9"/>
  <c r="CQ115" i="9" s="1"/>
  <c r="CY115" i="9" s="1"/>
  <c r="DG115" i="9" s="1"/>
  <c r="CH114" i="9"/>
  <c r="CQ114" i="9" s="1"/>
  <c r="CY114" i="9" s="1"/>
  <c r="DG114" i="9" s="1"/>
  <c r="CI114" i="9"/>
  <c r="CR114" i="9" s="1"/>
  <c r="CI119" i="9"/>
  <c r="CH119" i="9"/>
  <c r="CQ119" i="9" s="1"/>
  <c r="BN125" i="9"/>
  <c r="CH112" i="9"/>
  <c r="CQ112" i="9" s="1"/>
  <c r="CI112" i="9"/>
  <c r="CH116" i="9"/>
  <c r="CQ116" i="9" s="1"/>
  <c r="CI116" i="9"/>
  <c r="CH110" i="9"/>
  <c r="CQ110" i="9" s="1"/>
  <c r="CI110" i="9"/>
  <c r="CH118" i="9"/>
  <c r="CQ118" i="9" s="1"/>
  <c r="CI118" i="9"/>
  <c r="CH122" i="9"/>
  <c r="CI122" i="9"/>
  <c r="EH125" i="9"/>
  <c r="CH129" i="9"/>
  <c r="CI129" i="9"/>
  <c r="CH111" i="9"/>
  <c r="CI111" i="9"/>
  <c r="CR111" i="9" s="1"/>
  <c r="CP113" i="9"/>
  <c r="CX113" i="9" s="1"/>
  <c r="DF113" i="9" s="1"/>
  <c r="CH113" i="9"/>
  <c r="CQ113" i="9" s="1"/>
  <c r="CY113" i="9" s="1"/>
  <c r="DG113" i="9" s="1"/>
  <c r="CI113" i="9"/>
  <c r="CR113" i="9" s="1"/>
  <c r="CI117" i="9"/>
  <c r="CR117" i="9" s="1"/>
  <c r="CZ117" i="9" s="1"/>
  <c r="DH117" i="9" s="1"/>
  <c r="CH117" i="9"/>
  <c r="CQ117" i="9" s="1"/>
  <c r="CY117" i="9" s="1"/>
  <c r="DG117" i="9" s="1"/>
  <c r="CM132" i="9"/>
  <c r="CL132" i="9"/>
  <c r="CT132" i="9" s="1"/>
  <c r="DB132" i="9" s="1"/>
  <c r="BO125" i="9"/>
  <c r="CL126" i="9"/>
  <c r="CM126" i="9"/>
  <c r="AH126" i="9"/>
  <c r="FP111" i="9"/>
  <c r="EN126" i="9"/>
  <c r="DL111" i="9"/>
  <c r="FW109" i="9"/>
  <c r="FO109" i="9"/>
  <c r="FX109" i="9"/>
  <c r="AC109" i="9"/>
  <c r="FY109" i="9" s="1"/>
  <c r="EI126" i="9"/>
  <c r="FH109" i="9"/>
  <c r="CN108" i="9"/>
  <c r="CP108" i="9"/>
  <c r="BY121" i="9"/>
  <c r="O121" i="9"/>
  <c r="AJ126" i="9"/>
  <c r="AZ126" i="9"/>
  <c r="AK126" i="9"/>
  <c r="AJ128" i="9"/>
  <c r="EL128" i="9"/>
  <c r="BH125" i="9"/>
  <c r="BB128" i="9"/>
  <c r="BJ128" i="9"/>
  <c r="AZ125" i="9"/>
  <c r="EJ126" i="9"/>
  <c r="AI121" i="9"/>
  <c r="EJ128" i="9"/>
  <c r="BA128" i="9"/>
  <c r="BP128" i="9"/>
  <c r="BW126" i="9"/>
  <c r="Y126" i="9"/>
  <c r="Z126" i="9" s="1"/>
  <c r="FV126" i="9" s="1"/>
  <c r="AZ128" i="9"/>
  <c r="BH128" i="9"/>
  <c r="BI128" i="9"/>
  <c r="CT124" i="9"/>
  <c r="DB124" i="9" s="1"/>
  <c r="CU120" i="9"/>
  <c r="DC120" i="9" s="1"/>
  <c r="CT122" i="9"/>
  <c r="DB122" i="9" s="1"/>
  <c r="BC126" i="9"/>
  <c r="CU122" i="9"/>
  <c r="DC122" i="9" s="1"/>
  <c r="BK125" i="9"/>
  <c r="CT133" i="9"/>
  <c r="DB133" i="9" s="1"/>
  <c r="CU133" i="9"/>
  <c r="DC133" i="9" s="1"/>
  <c r="BN121" i="9"/>
  <c r="EI125" i="9"/>
  <c r="AY125" i="9"/>
  <c r="AI125" i="9"/>
  <c r="AX121" i="9"/>
  <c r="BF121" i="9"/>
  <c r="AL125" i="9"/>
  <c r="J14" i="9"/>
  <c r="J17" i="9" s="1"/>
  <c r="BQ125" i="9"/>
  <c r="EK125" i="9"/>
  <c r="EL121" i="9"/>
  <c r="BA125" i="9"/>
  <c r="AK125" i="9"/>
  <c r="BI125" i="9"/>
  <c r="AD125" i="9"/>
  <c r="FZ125" i="9" s="1"/>
  <c r="BJ122" i="9"/>
  <c r="BZ126" i="9"/>
  <c r="BA126" i="9"/>
  <c r="BJ125" i="9"/>
  <c r="FP108" i="9"/>
  <c r="FH111" i="9"/>
  <c r="BR121" i="9"/>
  <c r="AJ125" i="9"/>
  <c r="BB121" i="9"/>
  <c r="BJ121" i="9"/>
  <c r="EH128" i="9"/>
  <c r="BF128" i="9"/>
  <c r="Y125" i="9"/>
  <c r="Z125" i="9" s="1"/>
  <c r="AC111" i="9"/>
  <c r="FY111" i="9" s="1"/>
  <c r="BV126" i="9"/>
  <c r="AL121" i="9"/>
  <c r="BD126" i="9"/>
  <c r="BQ128" i="9"/>
  <c r="AK128" i="9"/>
  <c r="BC133" i="9"/>
  <c r="BJ123" i="9"/>
  <c r="BK133" i="9"/>
  <c r="AL128" i="9"/>
  <c r="E23" i="9"/>
  <c r="E26" i="9" s="1"/>
  <c r="D23" i="9"/>
  <c r="D26" i="9" s="1"/>
  <c r="FF110" i="9"/>
  <c r="BR123" i="9"/>
  <c r="BK124" i="9"/>
  <c r="BH121" i="9"/>
  <c r="EJ121" i="9"/>
  <c r="AA110" i="9"/>
  <c r="AI126" i="9"/>
  <c r="BH132" i="9"/>
  <c r="BG124" i="9"/>
  <c r="BY128" i="9"/>
  <c r="BW128" i="9"/>
  <c r="BX128" i="9"/>
  <c r="BV128" i="9"/>
  <c r="CA128" i="9"/>
  <c r="BZ128" i="9"/>
  <c r="FX113" i="9"/>
  <c r="AK121" i="9"/>
  <c r="BB125" i="9"/>
  <c r="AJ121" i="9"/>
  <c r="Y128" i="9"/>
  <c r="Z128" i="9" s="1"/>
  <c r="AA128" i="9" s="1"/>
  <c r="AH128" i="9"/>
  <c r="DL109" i="9"/>
  <c r="AZ121" i="9"/>
  <c r="BX121" i="9"/>
  <c r="BW121" i="9"/>
  <c r="BV121" i="9"/>
  <c r="FP113" i="9"/>
  <c r="BP121" i="9"/>
  <c r="BY126" i="9"/>
  <c r="BX126" i="9"/>
  <c r="DL113" i="9"/>
  <c r="BC132" i="9"/>
  <c r="BL128" i="9"/>
  <c r="DB118" i="9"/>
  <c r="DR118" i="9" s="1"/>
  <c r="EH126" i="9"/>
  <c r="DR110" i="9"/>
  <c r="AX126" i="9"/>
  <c r="H14" i="9"/>
  <c r="H17" i="9" s="1"/>
  <c r="EK126" i="9"/>
  <c r="DL110" i="9"/>
  <c r="FH110" i="9"/>
  <c r="AN128" i="9"/>
  <c r="BC128" i="9"/>
  <c r="BS125" i="9"/>
  <c r="BK132" i="9"/>
  <c r="FV119" i="9"/>
  <c r="FX110" i="9"/>
  <c r="EL126" i="9"/>
  <c r="AM125" i="9"/>
  <c r="H107" i="5"/>
  <c r="BH122" i="9"/>
  <c r="BO124" i="9"/>
  <c r="BJ132" i="9"/>
  <c r="AA119" i="9"/>
  <c r="AC110" i="9"/>
  <c r="DM110" i="9" s="1"/>
  <c r="EM125" i="9"/>
  <c r="H23" i="9"/>
  <c r="H26" i="9" s="1"/>
  <c r="BB122" i="9"/>
  <c r="BK128" i="9"/>
  <c r="BT128" i="9"/>
  <c r="BS128" i="9"/>
  <c r="AL132" i="9"/>
  <c r="AM128" i="9"/>
  <c r="EM128" i="9"/>
  <c r="AC113" i="9"/>
  <c r="FF119" i="9"/>
  <c r="BP124" i="9"/>
  <c r="BR132" i="9"/>
  <c r="BT122" i="9"/>
  <c r="I13" i="9"/>
  <c r="AM132" i="9"/>
  <c r="DR109" i="9"/>
  <c r="D14" i="9"/>
  <c r="D17" i="9" s="1"/>
  <c r="DJ110" i="9"/>
  <c r="DJ118" i="9"/>
  <c r="BG132" i="9"/>
  <c r="K14" i="9"/>
  <c r="K17" i="9" s="1"/>
  <c r="EF128" i="9"/>
  <c r="EN128" i="9"/>
  <c r="FP118" i="9"/>
  <c r="AC108" i="9"/>
  <c r="FY108" i="9" s="1"/>
  <c r="BQ132" i="9"/>
  <c r="H22" i="9"/>
  <c r="FH108" i="9"/>
  <c r="DL108" i="9"/>
  <c r="AA118" i="9"/>
  <c r="BQ133" i="9"/>
  <c r="AC118" i="9"/>
  <c r="FY118" i="9" s="1"/>
  <c r="R8" i="5"/>
  <c r="Q8" i="5"/>
  <c r="DL118" i="9"/>
  <c r="DJ116" i="9"/>
  <c r="FF118" i="9"/>
  <c r="P66" i="15"/>
  <c r="FH118" i="9"/>
  <c r="FF116" i="9"/>
  <c r="BG133" i="9"/>
  <c r="BI133" i="9"/>
  <c r="EN125" i="9"/>
  <c r="DR115" i="9"/>
  <c r="DJ115" i="9"/>
  <c r="K136" i="9"/>
  <c r="AN126" i="9"/>
  <c r="FF115" i="9"/>
  <c r="BO132" i="9"/>
  <c r="AL126" i="9"/>
  <c r="AM126" i="9"/>
  <c r="BD125" i="9"/>
  <c r="S8" i="5"/>
  <c r="CT125" i="9"/>
  <c r="DB125" i="9" s="1"/>
  <c r="BL125" i="9"/>
  <c r="BT125" i="9"/>
  <c r="I22" i="9"/>
  <c r="D22" i="9"/>
  <c r="EL125" i="9"/>
  <c r="AN125" i="9"/>
  <c r="BN132" i="9"/>
  <c r="BF132" i="9"/>
  <c r="F14" i="9"/>
  <c r="F17" i="9" s="1"/>
  <c r="BF133" i="9"/>
  <c r="BP133" i="9"/>
  <c r="BT132" i="9"/>
  <c r="BH133" i="9"/>
  <c r="AZ132" i="9"/>
  <c r="BP132" i="9"/>
  <c r="BL132" i="9"/>
  <c r="EN132" i="9"/>
  <c r="FV112" i="9"/>
  <c r="EF124" i="9"/>
  <c r="EN124" i="9"/>
  <c r="BB133" i="9"/>
  <c r="EL133" i="9"/>
  <c r="AM133" i="9"/>
  <c r="AH127" i="9"/>
  <c r="Y127" i="9"/>
  <c r="Z127" i="9" s="1"/>
  <c r="AA127" i="9" s="1"/>
  <c r="G22" i="9"/>
  <c r="AL124" i="9"/>
  <c r="AD124" i="9"/>
  <c r="AE124" i="9" s="1"/>
  <c r="GA124" i="9" s="1"/>
  <c r="BA124" i="9"/>
  <c r="EK124" i="9"/>
  <c r="AI127" i="9"/>
  <c r="AX127" i="9"/>
  <c r="BF127" i="9"/>
  <c r="BN127" i="9"/>
  <c r="EH127" i="9"/>
  <c r="CT120" i="9"/>
  <c r="DB120" i="9" s="1"/>
  <c r="FP116" i="9"/>
  <c r="DR116" i="9"/>
  <c r="K13" i="9"/>
  <c r="BI122" i="9"/>
  <c r="BJ133" i="9"/>
  <c r="Y122" i="9"/>
  <c r="Z122" i="9" s="1"/>
  <c r="AA122" i="9" s="1"/>
  <c r="FO122" i="9" s="1"/>
  <c r="AH122" i="9"/>
  <c r="AI133" i="9"/>
  <c r="EH133" i="9"/>
  <c r="AI132" i="9"/>
  <c r="AJ132" i="9"/>
  <c r="AI123" i="9"/>
  <c r="BF123" i="9"/>
  <c r="EH123" i="9"/>
  <c r="BN123" i="9"/>
  <c r="AX123" i="9"/>
  <c r="AM123" i="9"/>
  <c r="EL123" i="9"/>
  <c r="CT127" i="9"/>
  <c r="DB127" i="9" s="1"/>
  <c r="AJ120" i="9"/>
  <c r="BO120" i="9"/>
  <c r="EI120" i="9"/>
  <c r="AY120" i="9"/>
  <c r="BG120" i="9"/>
  <c r="BB132" i="9"/>
  <c r="EK132" i="9"/>
  <c r="FX119" i="9"/>
  <c r="FP119" i="9"/>
  <c r="AK123" i="9"/>
  <c r="BP123" i="9"/>
  <c r="BH123" i="9"/>
  <c r="EJ123" i="9"/>
  <c r="AH120" i="9"/>
  <c r="Y120" i="9"/>
  <c r="Z120" i="9" s="1"/>
  <c r="AA120" i="9" s="1"/>
  <c r="BG122" i="9"/>
  <c r="BR133" i="9"/>
  <c r="EH124" i="9"/>
  <c r="AI124" i="9"/>
  <c r="EM122" i="9"/>
  <c r="AN122" i="9"/>
  <c r="EF122" i="9"/>
  <c r="EN122" i="9"/>
  <c r="EF133" i="9"/>
  <c r="BD133" i="9"/>
  <c r="AI120" i="9"/>
  <c r="BN120" i="9"/>
  <c r="AX120" i="9"/>
  <c r="EH120" i="9"/>
  <c r="BF120" i="9"/>
  <c r="FH119" i="9"/>
  <c r="F22" i="9"/>
  <c r="K22" i="9"/>
  <c r="BQ124" i="9"/>
  <c r="BI124" i="9"/>
  <c r="BT133" i="9"/>
  <c r="CT123" i="9"/>
  <c r="DB123" i="9" s="1"/>
  <c r="AH132" i="9"/>
  <c r="Y132" i="9"/>
  <c r="Z132" i="9" s="1"/>
  <c r="AX132" i="9"/>
  <c r="BR120" i="9"/>
  <c r="AM120" i="9"/>
  <c r="BJ120" i="9"/>
  <c r="EL120" i="9"/>
  <c r="BB120" i="9"/>
  <c r="BC122" i="9"/>
  <c r="BA132" i="9"/>
  <c r="BS132" i="9"/>
  <c r="H13" i="9"/>
  <c r="BB124" i="9"/>
  <c r="AM124" i="9"/>
  <c r="EL124" i="9"/>
  <c r="AJ127" i="9"/>
  <c r="AY127" i="9"/>
  <c r="BO127" i="9"/>
  <c r="EI127" i="9"/>
  <c r="BG127" i="9"/>
  <c r="E22" i="9"/>
  <c r="J13" i="9"/>
  <c r="BR124" i="9"/>
  <c r="AN124" i="9"/>
  <c r="EM124" i="9"/>
  <c r="EI124" i="9"/>
  <c r="AJ124" i="9"/>
  <c r="EH122" i="9"/>
  <c r="AI122" i="9"/>
  <c r="AX122" i="9"/>
  <c r="AH133" i="9"/>
  <c r="BN122" i="9"/>
  <c r="AN132" i="9"/>
  <c r="EJ127" i="9"/>
  <c r="BH127" i="9"/>
  <c r="BP127" i="9"/>
  <c r="AK127" i="9"/>
  <c r="AX133" i="9"/>
  <c r="EM120" i="9"/>
  <c r="BK120" i="9"/>
  <c r="AN120" i="9"/>
  <c r="BS120" i="9"/>
  <c r="BD124" i="9"/>
  <c r="AH124" i="9"/>
  <c r="AJ122" i="9"/>
  <c r="EI122" i="9"/>
  <c r="AY122" i="9"/>
  <c r="BQ123" i="9"/>
  <c r="AL123" i="9"/>
  <c r="EK123" i="9"/>
  <c r="BS123" i="9"/>
  <c r="AN123" i="9"/>
  <c r="EM123" i="9"/>
  <c r="BI127" i="9"/>
  <c r="AL127" i="9"/>
  <c r="BQ127" i="9"/>
  <c r="EK127" i="9"/>
  <c r="AA115" i="9"/>
  <c r="AA116" i="9"/>
  <c r="J22" i="9"/>
  <c r="BK123" i="9"/>
  <c r="BJ124" i="9"/>
  <c r="BI132" i="9"/>
  <c r="AC119" i="9"/>
  <c r="EJ122" i="9"/>
  <c r="AK122" i="9"/>
  <c r="AZ122" i="9"/>
  <c r="AL133" i="9"/>
  <c r="EK133" i="9"/>
  <c r="AK133" i="9"/>
  <c r="EJ133" i="9"/>
  <c r="BC123" i="9"/>
  <c r="EN133" i="9"/>
  <c r="EF123" i="9"/>
  <c r="BD123" i="9"/>
  <c r="EN123" i="9"/>
  <c r="BT123" i="9"/>
  <c r="BL123" i="9"/>
  <c r="AY123" i="9"/>
  <c r="EI123" i="9"/>
  <c r="BO123" i="9"/>
  <c r="BG123" i="9"/>
  <c r="AJ123" i="9"/>
  <c r="EL127" i="9"/>
  <c r="BJ127" i="9"/>
  <c r="BR127" i="9"/>
  <c r="BB127" i="9"/>
  <c r="AM127" i="9"/>
  <c r="BD122" i="9"/>
  <c r="EF120" i="9"/>
  <c r="EN120" i="9"/>
  <c r="BT120" i="9"/>
  <c r="BL120" i="9"/>
  <c r="AZ127" i="9"/>
  <c r="AZ123" i="9"/>
  <c r="DL119" i="9"/>
  <c r="BI123" i="9"/>
  <c r="BL124" i="9"/>
  <c r="AL122" i="9"/>
  <c r="EK122" i="9"/>
  <c r="BA122" i="9"/>
  <c r="AJ133" i="9"/>
  <c r="AY133" i="9"/>
  <c r="EI133" i="9"/>
  <c r="BN126" i="9"/>
  <c r="BL126" i="9"/>
  <c r="BI126" i="9"/>
  <c r="BJ126" i="9"/>
  <c r="BT126" i="9"/>
  <c r="BK126" i="9"/>
  <c r="BQ126" i="9"/>
  <c r="BO126" i="9"/>
  <c r="BH126" i="9"/>
  <c r="BS126" i="9"/>
  <c r="BF126" i="9"/>
  <c r="BG126" i="9"/>
  <c r="BP126" i="9"/>
  <c r="BR126" i="9"/>
  <c r="AH123" i="9"/>
  <c r="Y123" i="9"/>
  <c r="Z123" i="9" s="1"/>
  <c r="EJ120" i="9"/>
  <c r="BP120" i="9"/>
  <c r="AZ120" i="9"/>
  <c r="BH120" i="9"/>
  <c r="AC120" i="9"/>
  <c r="AD120" i="9" s="1"/>
  <c r="FZ120" i="9" s="1"/>
  <c r="AK120" i="9"/>
  <c r="G13" i="9"/>
  <c r="BF124" i="9"/>
  <c r="BK122" i="9"/>
  <c r="BN124" i="9"/>
  <c r="BC124" i="9"/>
  <c r="AK124" i="9"/>
  <c r="AZ124" i="9"/>
  <c r="EJ124" i="9"/>
  <c r="AM122" i="9"/>
  <c r="EL122" i="9"/>
  <c r="EM133" i="9"/>
  <c r="AN133" i="9"/>
  <c r="AK132" i="9"/>
  <c r="BT127" i="9"/>
  <c r="EN127" i="9"/>
  <c r="EF127" i="9"/>
  <c r="BL127" i="9"/>
  <c r="BD127" i="9"/>
  <c r="BK127" i="9"/>
  <c r="EM127" i="9"/>
  <c r="BS127" i="9"/>
  <c r="AN127" i="9"/>
  <c r="BC127" i="9"/>
  <c r="BQ120" i="9"/>
  <c r="BI120" i="9"/>
  <c r="AL120" i="9"/>
  <c r="EK120" i="9"/>
  <c r="AY132" i="9"/>
  <c r="BC120" i="9"/>
  <c r="BD132" i="9"/>
  <c r="BA123" i="9"/>
  <c r="AA117" i="9"/>
  <c r="FV117" i="9"/>
  <c r="AA114" i="9"/>
  <c r="FV114" i="9"/>
  <c r="DJ108" i="9"/>
  <c r="FV108" i="9"/>
  <c r="AC116" i="9"/>
  <c r="DM116" i="9" s="1"/>
  <c r="FX116" i="9"/>
  <c r="AA108" i="9"/>
  <c r="FF108" i="9"/>
  <c r="DJ109" i="9"/>
  <c r="FV109" i="9"/>
  <c r="DJ111" i="9"/>
  <c r="AA111" i="9"/>
  <c r="FO111" i="9" s="1"/>
  <c r="FF111" i="9"/>
  <c r="DJ113" i="9"/>
  <c r="FF113" i="9"/>
  <c r="AA113" i="9"/>
  <c r="FO113" i="9" s="1"/>
  <c r="AA112" i="9"/>
  <c r="FF112" i="9"/>
  <c r="CT114" i="9"/>
  <c r="DB114" i="9" s="1"/>
  <c r="DR114" i="9" s="1"/>
  <c r="CT112" i="9"/>
  <c r="DB112" i="9" s="1"/>
  <c r="DR112" i="9" s="1"/>
  <c r="FF114" i="9"/>
  <c r="DJ112" i="9"/>
  <c r="DB108" i="9"/>
  <c r="DR108" i="9" s="1"/>
  <c r="FF109" i="9"/>
  <c r="CU109" i="9"/>
  <c r="DC109" i="9" s="1"/>
  <c r="DS109" i="9" s="1"/>
  <c r="FH116" i="9"/>
  <c r="CT111" i="9"/>
  <c r="DB111" i="9" s="1"/>
  <c r="DR111" i="9" s="1"/>
  <c r="FP112" i="9"/>
  <c r="DL112" i="9"/>
  <c r="FH112" i="9"/>
  <c r="AC112" i="9"/>
  <c r="FY112" i="9" s="1"/>
  <c r="DJ117" i="9"/>
  <c r="CU113" i="9"/>
  <c r="DC113" i="9" s="1"/>
  <c r="FH114" i="9"/>
  <c r="FP114" i="9"/>
  <c r="DL114" i="9"/>
  <c r="FF117" i="9"/>
  <c r="AC114" i="9"/>
  <c r="FY114" i="9" s="1"/>
  <c r="CT117" i="9"/>
  <c r="DB117" i="9" s="1"/>
  <c r="DR117" i="9" s="1"/>
  <c r="FG109" i="9"/>
  <c r="DK109" i="9"/>
  <c r="G14" i="9"/>
  <c r="G17" i="9" s="1"/>
  <c r="I14" i="9"/>
  <c r="I17" i="9" s="1"/>
  <c r="G23" i="9"/>
  <c r="G26" i="9" s="1"/>
  <c r="J23" i="9"/>
  <c r="J26" i="9" s="1"/>
  <c r="E14" i="9"/>
  <c r="E17" i="9" s="1"/>
  <c r="F23" i="9"/>
  <c r="F26" i="9" s="1"/>
  <c r="K23" i="9"/>
  <c r="K26" i="9" s="1"/>
  <c r="I23" i="9"/>
  <c r="I26" i="9" s="1"/>
  <c r="P7" i="15"/>
  <c r="P12" i="15"/>
  <c r="H139" i="5"/>
  <c r="H141" i="5" s="1"/>
  <c r="H173" i="5" s="1"/>
  <c r="H15" i="5"/>
  <c r="H16" i="5" s="1"/>
  <c r="H114" i="5"/>
  <c r="H178" i="5" s="1"/>
  <c r="H13" i="5"/>
  <c r="H195" i="5"/>
  <c r="H75" i="5"/>
  <c r="H101" i="5"/>
  <c r="H180" i="5"/>
  <c r="H184" i="5" s="1"/>
  <c r="CF124" i="9" l="1"/>
  <c r="CG133" i="9"/>
  <c r="CG124" i="9"/>
  <c r="CE133" i="9"/>
  <c r="CN133" i="9" s="1"/>
  <c r="CV133" i="9" s="1"/>
  <c r="DD133" i="9" s="1"/>
  <c r="FV129" i="9"/>
  <c r="DJ129" i="9"/>
  <c r="FF129" i="9"/>
  <c r="CF123" i="9"/>
  <c r="CO123" i="9" s="1"/>
  <c r="CW123" i="9" s="1"/>
  <c r="DE123" i="9" s="1"/>
  <c r="CG123" i="9"/>
  <c r="CP123" i="9" s="1"/>
  <c r="CX123" i="9" s="1"/>
  <c r="DF123" i="9" s="1"/>
  <c r="CF121" i="9"/>
  <c r="CO121" i="9" s="1"/>
  <c r="CG121" i="9"/>
  <c r="CF120" i="9"/>
  <c r="CO120" i="9" s="1"/>
  <c r="CW120" i="9" s="1"/>
  <c r="DE120" i="9" s="1"/>
  <c r="CG120" i="9"/>
  <c r="CP120" i="9" s="1"/>
  <c r="CX120" i="9" s="1"/>
  <c r="DF120" i="9" s="1"/>
  <c r="CF132" i="9"/>
  <c r="CO132" i="9" s="1"/>
  <c r="CW132" i="9" s="1"/>
  <c r="DE132" i="9" s="1"/>
  <c r="CG132" i="9"/>
  <c r="CP132" i="9" s="1"/>
  <c r="CX132" i="9" s="1"/>
  <c r="DF132" i="9" s="1"/>
  <c r="CF133" i="9"/>
  <c r="CO133" i="9" s="1"/>
  <c r="CW133" i="9" s="1"/>
  <c r="CG125" i="9"/>
  <c r="CP125" i="9" s="1"/>
  <c r="CX125" i="9" s="1"/>
  <c r="DF125" i="9" s="1"/>
  <c r="CF125" i="9"/>
  <c r="CO125" i="9" s="1"/>
  <c r="CW125" i="9" s="1"/>
  <c r="DE125" i="9" s="1"/>
  <c r="CG128" i="9"/>
  <c r="CF128" i="9"/>
  <c r="CO128" i="9" s="1"/>
  <c r="CG127" i="9"/>
  <c r="CP127" i="9" s="1"/>
  <c r="CX127" i="9" s="1"/>
  <c r="DF127" i="9" s="1"/>
  <c r="CF127" i="9"/>
  <c r="CO127" i="9" s="1"/>
  <c r="CW127" i="9" s="1"/>
  <c r="DE127" i="9" s="1"/>
  <c r="CG126" i="9"/>
  <c r="CP126" i="9" s="1"/>
  <c r="CF126" i="9"/>
  <c r="CO126" i="9" s="1"/>
  <c r="DK130" i="9"/>
  <c r="FG130" i="9"/>
  <c r="FO130" i="9"/>
  <c r="DS130" i="9"/>
  <c r="AB130" i="9"/>
  <c r="AB131" i="9"/>
  <c r="FO131" i="9"/>
  <c r="DK131" i="9"/>
  <c r="DS131" i="9"/>
  <c r="FG131" i="9"/>
  <c r="CE124" i="9"/>
  <c r="CN124" i="9" s="1"/>
  <c r="CV124" i="9" s="1"/>
  <c r="DD124" i="9" s="1"/>
  <c r="CE121" i="9"/>
  <c r="CN121" i="9" s="1"/>
  <c r="CV121" i="9" s="1"/>
  <c r="DD121" i="9" s="1"/>
  <c r="CP124" i="9"/>
  <c r="CX124" i="9" s="1"/>
  <c r="DF124" i="9" s="1"/>
  <c r="CE126" i="9"/>
  <c r="CN126" i="9" s="1"/>
  <c r="CV126" i="9" s="1"/>
  <c r="DD126" i="9" s="1"/>
  <c r="CE123" i="9"/>
  <c r="CN123" i="9" s="1"/>
  <c r="CV123" i="9" s="1"/>
  <c r="DD123" i="9" s="1"/>
  <c r="CE127" i="9"/>
  <c r="CN127" i="9" s="1"/>
  <c r="CV127" i="9" s="1"/>
  <c r="DD127" i="9" s="1"/>
  <c r="CE132" i="9"/>
  <c r="CN132" i="9" s="1"/>
  <c r="CV132" i="9" s="1"/>
  <c r="DD132" i="9" s="1"/>
  <c r="CE125" i="9"/>
  <c r="CN125" i="9" s="1"/>
  <c r="CV125" i="9" s="1"/>
  <c r="DD125" i="9" s="1"/>
  <c r="CE128" i="9"/>
  <c r="CE120" i="9"/>
  <c r="CN120" i="9" s="1"/>
  <c r="CV120" i="9" s="1"/>
  <c r="DD120" i="9" s="1"/>
  <c r="CO124" i="9"/>
  <c r="CW124" i="9" s="1"/>
  <c r="DE124" i="9" s="1"/>
  <c r="AA129" i="9"/>
  <c r="AB129" i="9" s="1"/>
  <c r="FX129" i="9" s="1"/>
  <c r="E35" i="9"/>
  <c r="E37" i="9"/>
  <c r="I35" i="9"/>
  <c r="I37" i="9"/>
  <c r="G37" i="9"/>
  <c r="G35" i="9"/>
  <c r="F35" i="9"/>
  <c r="F37" i="9"/>
  <c r="K35" i="9"/>
  <c r="K37" i="9"/>
  <c r="H35" i="9"/>
  <c r="H37" i="9"/>
  <c r="J35" i="9"/>
  <c r="J37" i="9"/>
  <c r="FQ109" i="9"/>
  <c r="AD109" i="9"/>
  <c r="FZ109" i="9" s="1"/>
  <c r="DM109" i="9"/>
  <c r="DU109" i="9" s="1"/>
  <c r="CJ109" i="9"/>
  <c r="FI109" i="9"/>
  <c r="CI132" i="9"/>
  <c r="CR132" i="9" s="1"/>
  <c r="CI127" i="9"/>
  <c r="CR127" i="9" s="1"/>
  <c r="CI125" i="9"/>
  <c r="CR125" i="9" s="1"/>
  <c r="FI115" i="9"/>
  <c r="DM115" i="9"/>
  <c r="AD115" i="9"/>
  <c r="FZ115" i="9" s="1"/>
  <c r="CH127" i="9"/>
  <c r="CQ127" i="9" s="1"/>
  <c r="CY127" i="9" s="1"/>
  <c r="DG127" i="9" s="1"/>
  <c r="FQ115" i="9"/>
  <c r="DM111" i="9"/>
  <c r="CH124" i="9"/>
  <c r="CQ124" i="9" s="1"/>
  <c r="CY124" i="9" s="1"/>
  <c r="DG124" i="9" s="1"/>
  <c r="CP133" i="9"/>
  <c r="CX133" i="9" s="1"/>
  <c r="DF133" i="9" s="1"/>
  <c r="CH123" i="9"/>
  <c r="CQ123" i="9" s="1"/>
  <c r="CY123" i="9" s="1"/>
  <c r="DG123" i="9" s="1"/>
  <c r="CH125" i="9"/>
  <c r="CQ125" i="9" s="1"/>
  <c r="CY125" i="9" s="1"/>
  <c r="DG125" i="9" s="1"/>
  <c r="CI123" i="9"/>
  <c r="CR123" i="9" s="1"/>
  <c r="CH133" i="9"/>
  <c r="CQ133" i="9" s="1"/>
  <c r="CY133" i="9" s="1"/>
  <c r="DG133" i="9" s="1"/>
  <c r="CI120" i="9"/>
  <c r="CR120" i="9" s="1"/>
  <c r="CH132" i="9"/>
  <c r="CQ132" i="9" s="1"/>
  <c r="CY132" i="9" s="1"/>
  <c r="DG132" i="9" s="1"/>
  <c r="CH120" i="9"/>
  <c r="CQ120" i="9" s="1"/>
  <c r="CY120" i="9" s="1"/>
  <c r="DG120" i="9" s="1"/>
  <c r="CI124" i="9"/>
  <c r="CR124" i="9" s="1"/>
  <c r="CI133" i="9"/>
  <c r="CR133" i="9" s="1"/>
  <c r="FI111" i="9"/>
  <c r="FQ111" i="9"/>
  <c r="DM121" i="9"/>
  <c r="FI121" i="9"/>
  <c r="FQ121" i="9"/>
  <c r="AD121" i="9"/>
  <c r="FJ121" i="9" s="1"/>
  <c r="CJ117" i="9"/>
  <c r="CJ113" i="9"/>
  <c r="CZ113" i="9" s="1"/>
  <c r="DH113" i="9" s="1"/>
  <c r="CO113" i="9"/>
  <c r="CW113" i="9" s="1"/>
  <c r="DE113" i="9" s="1"/>
  <c r="CH128" i="9"/>
  <c r="CQ128" i="9" s="1"/>
  <c r="CI128" i="9"/>
  <c r="CR128" i="9" s="1"/>
  <c r="CH121" i="9"/>
  <c r="CI121" i="9"/>
  <c r="CH126" i="9"/>
  <c r="CI126" i="9"/>
  <c r="CY110" i="9"/>
  <c r="DG110" i="9" s="1"/>
  <c r="CR110" i="9"/>
  <c r="CU123" i="9"/>
  <c r="DC123" i="9" s="1"/>
  <c r="CP129" i="9"/>
  <c r="CX129" i="9" s="1"/>
  <c r="DF129" i="9" s="1"/>
  <c r="CX111" i="9"/>
  <c r="DF111" i="9" s="1"/>
  <c r="CQ111" i="9"/>
  <c r="CY111" i="9" s="1"/>
  <c r="DG111" i="9" s="1"/>
  <c r="CW114" i="9"/>
  <c r="DE114" i="9" s="1"/>
  <c r="CP114" i="9"/>
  <c r="CX114" i="9" s="1"/>
  <c r="DF114" i="9" s="1"/>
  <c r="CR122" i="9"/>
  <c r="CV116" i="9"/>
  <c r="DD116" i="9" s="1"/>
  <c r="CO116" i="9"/>
  <c r="CW116" i="9" s="1"/>
  <c r="DE116" i="9" s="1"/>
  <c r="CU124" i="9"/>
  <c r="DC124" i="9" s="1"/>
  <c r="CR129" i="9"/>
  <c r="CP116" i="9"/>
  <c r="CX116" i="9" s="1"/>
  <c r="DF116" i="9" s="1"/>
  <c r="CY118" i="9"/>
  <c r="DG118" i="9" s="1"/>
  <c r="CR118" i="9"/>
  <c r="CX108" i="9"/>
  <c r="DF108" i="9" s="1"/>
  <c r="CQ108" i="9"/>
  <c r="CY108" i="9" s="1"/>
  <c r="DG108" i="9" s="1"/>
  <c r="CO129" i="9"/>
  <c r="CW129" i="9" s="1"/>
  <c r="DE129" i="9" s="1"/>
  <c r="CQ129" i="9"/>
  <c r="CY129" i="9" s="1"/>
  <c r="DG129" i="9" s="1"/>
  <c r="CV111" i="9"/>
  <c r="DD111" i="9" s="1"/>
  <c r="CO111" i="9"/>
  <c r="CW111" i="9" s="1"/>
  <c r="DE111" i="9" s="1"/>
  <c r="CX122" i="9"/>
  <c r="DF122" i="9" s="1"/>
  <c r="CQ122" i="9"/>
  <c r="CY122" i="9" s="1"/>
  <c r="DG122" i="9" s="1"/>
  <c r="CV112" i="9"/>
  <c r="DD112" i="9" s="1"/>
  <c r="CO112" i="9"/>
  <c r="CW112" i="9" s="1"/>
  <c r="DE112" i="9" s="1"/>
  <c r="FK124" i="9"/>
  <c r="CV108" i="9"/>
  <c r="DD108" i="9" s="1"/>
  <c r="CO108" i="9"/>
  <c r="CW108" i="9" s="1"/>
  <c r="DE108" i="9" s="1"/>
  <c r="CR108" i="9"/>
  <c r="CY119" i="9"/>
  <c r="DG119" i="9" s="1"/>
  <c r="CR119" i="9"/>
  <c r="CY112" i="9"/>
  <c r="DG112" i="9" s="1"/>
  <c r="CR112" i="9"/>
  <c r="CV115" i="9"/>
  <c r="DD115" i="9" s="1"/>
  <c r="CO115" i="9"/>
  <c r="CW115" i="9" s="1"/>
  <c r="DE115" i="9" s="1"/>
  <c r="CU129" i="9"/>
  <c r="DC129" i="9" s="1"/>
  <c r="CN129" i="9"/>
  <c r="CV129" i="9" s="1"/>
  <c r="DD129" i="9" s="1"/>
  <c r="CU127" i="9"/>
  <c r="DC127" i="9" s="1"/>
  <c r="DS127" i="9" s="1"/>
  <c r="CY116" i="9"/>
  <c r="DG116" i="9" s="1"/>
  <c r="CR116" i="9"/>
  <c r="AE125" i="9"/>
  <c r="GA125" i="9" s="1"/>
  <c r="FJ125" i="9"/>
  <c r="FR125" i="9"/>
  <c r="FW115" i="9"/>
  <c r="FO115" i="9"/>
  <c r="FW119" i="9"/>
  <c r="FO119" i="9"/>
  <c r="FW127" i="9"/>
  <c r="FO127" i="9"/>
  <c r="FW108" i="9"/>
  <c r="FO108" i="9"/>
  <c r="FW114" i="9"/>
  <c r="FO114" i="9"/>
  <c r="FW120" i="9"/>
  <c r="FO120" i="9"/>
  <c r="FW118" i="9"/>
  <c r="FO118" i="9"/>
  <c r="FW112" i="9"/>
  <c r="FO112" i="9"/>
  <c r="FG128" i="9"/>
  <c r="FO128" i="9"/>
  <c r="FW110" i="9"/>
  <c r="FO110" i="9"/>
  <c r="DS117" i="9"/>
  <c r="FO117" i="9"/>
  <c r="FW116" i="9"/>
  <c r="FO116" i="9"/>
  <c r="CJ119" i="9"/>
  <c r="S24" i="9"/>
  <c r="CJ122" i="9"/>
  <c r="CU119" i="9"/>
  <c r="DC119" i="9" s="1"/>
  <c r="DS119" i="9" s="1"/>
  <c r="CJ108" i="9"/>
  <c r="CU108" i="9"/>
  <c r="DC108" i="9" s="1"/>
  <c r="DS108" i="9" s="1"/>
  <c r="CJ111" i="9"/>
  <c r="CZ111" i="9" s="1"/>
  <c r="DH111" i="9" s="1"/>
  <c r="CJ118" i="9"/>
  <c r="CU118" i="9"/>
  <c r="DC118" i="9" s="1"/>
  <c r="DS118" i="9" s="1"/>
  <c r="CU125" i="9"/>
  <c r="DC125" i="9" s="1"/>
  <c r="CJ129" i="9"/>
  <c r="CU116" i="9"/>
  <c r="DC116" i="9" s="1"/>
  <c r="DS116" i="9" s="1"/>
  <c r="CJ116" i="9"/>
  <c r="Y121" i="9"/>
  <c r="Z121" i="9" s="1"/>
  <c r="FV121" i="9" s="1"/>
  <c r="CJ112" i="9"/>
  <c r="CU112" i="9"/>
  <c r="DC112" i="9" s="1"/>
  <c r="DS112" i="9" s="1"/>
  <c r="CJ115" i="9"/>
  <c r="CZ115" i="9" s="1"/>
  <c r="DH115" i="9" s="1"/>
  <c r="CU115" i="9"/>
  <c r="DC115" i="9" s="1"/>
  <c r="DS115" i="9" s="1"/>
  <c r="CU114" i="9"/>
  <c r="DC114" i="9" s="1"/>
  <c r="DS114" i="9" s="1"/>
  <c r="CJ114" i="9"/>
  <c r="CZ114" i="9" s="1"/>
  <c r="DH114" i="9" s="1"/>
  <c r="CU110" i="9"/>
  <c r="DC110" i="9" s="1"/>
  <c r="DS110" i="9" s="1"/>
  <c r="CJ110" i="9"/>
  <c r="AD108" i="9"/>
  <c r="FZ108" i="9" s="1"/>
  <c r="DM108" i="9"/>
  <c r="CT129" i="9"/>
  <c r="DB129" i="9" s="1"/>
  <c r="DR129" i="9" s="1"/>
  <c r="CV122" i="9"/>
  <c r="DD122" i="9" s="1"/>
  <c r="DO124" i="9"/>
  <c r="FS124" i="9"/>
  <c r="CU132" i="9"/>
  <c r="DC132" i="9" s="1"/>
  <c r="CT119" i="9"/>
  <c r="DB119" i="9" s="1"/>
  <c r="DR119" i="9" s="1"/>
  <c r="DR124" i="9"/>
  <c r="DR133" i="9"/>
  <c r="AD111" i="9"/>
  <c r="FZ111" i="9" s="1"/>
  <c r="DK110" i="9"/>
  <c r="DT110" i="9" s="1"/>
  <c r="AF124" i="9"/>
  <c r="GB124" i="9" s="1"/>
  <c r="DN125" i="9"/>
  <c r="FG118" i="9"/>
  <c r="FI108" i="9"/>
  <c r="DJ126" i="9"/>
  <c r="FG110" i="9"/>
  <c r="FV125" i="9"/>
  <c r="AA125" i="9"/>
  <c r="FO125" i="9" s="1"/>
  <c r="FF125" i="9"/>
  <c r="DJ125" i="9"/>
  <c r="DR125" i="9"/>
  <c r="FQ110" i="9"/>
  <c r="FG119" i="9"/>
  <c r="AA126" i="9"/>
  <c r="FQ108" i="9"/>
  <c r="FV128" i="9"/>
  <c r="FF126" i="9"/>
  <c r="DK119" i="9"/>
  <c r="DT119" i="9" s="1"/>
  <c r="FF128" i="9"/>
  <c r="DJ128" i="9"/>
  <c r="H109" i="5"/>
  <c r="H111" i="5" s="1"/>
  <c r="H112" i="5" s="1"/>
  <c r="FI110" i="9"/>
  <c r="AD118" i="9"/>
  <c r="FZ118" i="9" s="1"/>
  <c r="FY110" i="9"/>
  <c r="AD110" i="9"/>
  <c r="FY113" i="9"/>
  <c r="AD113" i="9"/>
  <c r="FI113" i="9"/>
  <c r="DM118" i="9"/>
  <c r="DM113" i="9"/>
  <c r="FI118" i="9"/>
  <c r="FQ118" i="9"/>
  <c r="FQ113" i="9"/>
  <c r="FG115" i="9"/>
  <c r="DK127" i="9"/>
  <c r="FW128" i="9"/>
  <c r="AB128" i="9"/>
  <c r="FG127" i="9"/>
  <c r="DK128" i="9"/>
  <c r="AE120" i="9"/>
  <c r="GA120" i="9" s="1"/>
  <c r="H22" i="5"/>
  <c r="H27" i="5" s="1"/>
  <c r="H30" i="5" s="1"/>
  <c r="FQ116" i="9"/>
  <c r="DN120" i="9"/>
  <c r="FG114" i="9"/>
  <c r="DR122" i="9"/>
  <c r="FR120" i="9"/>
  <c r="DK118" i="9"/>
  <c r="DT118" i="9" s="1"/>
  <c r="DK115" i="9"/>
  <c r="FI116" i="9"/>
  <c r="FW122" i="9"/>
  <c r="DS122" i="9"/>
  <c r="FG122" i="9"/>
  <c r="DK122" i="9"/>
  <c r="AB122" i="9"/>
  <c r="FX122" i="9" s="1"/>
  <c r="FY119" i="9"/>
  <c r="AD119" i="9"/>
  <c r="FG108" i="9"/>
  <c r="DS113" i="9"/>
  <c r="FJ120" i="9"/>
  <c r="FG116" i="9"/>
  <c r="FG113" i="9"/>
  <c r="AB120" i="9"/>
  <c r="FX120" i="9" s="1"/>
  <c r="DT109" i="9"/>
  <c r="AB127" i="9"/>
  <c r="FX127" i="9" s="1"/>
  <c r="FV132" i="9"/>
  <c r="DJ132" i="9"/>
  <c r="FF132" i="9"/>
  <c r="AA132" i="9"/>
  <c r="FO132" i="9" s="1"/>
  <c r="DK108" i="9"/>
  <c r="DT108" i="9" s="1"/>
  <c r="FG120" i="9"/>
  <c r="FI119" i="9"/>
  <c r="DM119" i="9"/>
  <c r="DS120" i="9"/>
  <c r="DK117" i="9"/>
  <c r="FV127" i="9"/>
  <c r="DJ127" i="9"/>
  <c r="FF127" i="9"/>
  <c r="DR132" i="9"/>
  <c r="CT126" i="9"/>
  <c r="DB126" i="9" s="1"/>
  <c r="DR126" i="9" s="1"/>
  <c r="FZ124" i="9"/>
  <c r="DN124" i="9"/>
  <c r="FJ124" i="9"/>
  <c r="FR124" i="9"/>
  <c r="FY120" i="9"/>
  <c r="FI120" i="9"/>
  <c r="FQ120" i="9"/>
  <c r="DM120" i="9"/>
  <c r="DK120" i="9"/>
  <c r="FV124" i="9"/>
  <c r="FF124" i="9"/>
  <c r="DJ124" i="9"/>
  <c r="AA124" i="9"/>
  <c r="FO124" i="9" s="1"/>
  <c r="FV133" i="9"/>
  <c r="FF133" i="9"/>
  <c r="DJ133" i="9"/>
  <c r="AA133" i="9"/>
  <c r="FO133" i="9" s="1"/>
  <c r="DK114" i="9"/>
  <c r="DT114" i="9" s="1"/>
  <c r="AB117" i="9"/>
  <c r="AC117" i="9" s="1"/>
  <c r="FQ119" i="9"/>
  <c r="FV123" i="9"/>
  <c r="FF123" i="9"/>
  <c r="DJ123" i="9"/>
  <c r="AA123" i="9"/>
  <c r="FO123" i="9" s="1"/>
  <c r="FV122" i="9"/>
  <c r="FF122" i="9"/>
  <c r="DJ122" i="9"/>
  <c r="DK116" i="9"/>
  <c r="DR123" i="9"/>
  <c r="FV120" i="9"/>
  <c r="FF120" i="9"/>
  <c r="DJ120" i="9"/>
  <c r="DR120" i="9"/>
  <c r="DR127" i="9"/>
  <c r="FW111" i="9"/>
  <c r="AD116" i="9"/>
  <c r="FY116" i="9"/>
  <c r="DK113" i="9"/>
  <c r="DT113" i="9" s="1"/>
  <c r="FW113" i="9"/>
  <c r="FG117" i="9"/>
  <c r="FW117" i="9"/>
  <c r="AD112" i="9"/>
  <c r="FZ112" i="9" s="1"/>
  <c r="FI112" i="9"/>
  <c r="DM112" i="9"/>
  <c r="FQ112" i="9"/>
  <c r="FG112" i="9"/>
  <c r="DK112" i="9"/>
  <c r="DK111" i="9"/>
  <c r="FG111" i="9"/>
  <c r="AD114" i="9"/>
  <c r="FZ114" i="9" s="1"/>
  <c r="FI114" i="9"/>
  <c r="FQ114" i="9"/>
  <c r="DM114" i="9"/>
  <c r="P19" i="15"/>
  <c r="P24" i="15" s="1"/>
  <c r="P27" i="15" s="1"/>
  <c r="P13" i="15"/>
  <c r="H197" i="5"/>
  <c r="H198" i="5" s="1"/>
  <c r="FQ117" i="9" l="1"/>
  <c r="AD117" i="9"/>
  <c r="FI117" i="9"/>
  <c r="FY117" i="9"/>
  <c r="DM117" i="9"/>
  <c r="DK129" i="9"/>
  <c r="FO129" i="9"/>
  <c r="FP129" i="9" s="1"/>
  <c r="DN109" i="9"/>
  <c r="DV109" i="9" s="1"/>
  <c r="FR109" i="9"/>
  <c r="FJ109" i="9"/>
  <c r="FG129" i="9"/>
  <c r="DL131" i="9"/>
  <c r="DT131" i="9"/>
  <c r="FH131" i="9"/>
  <c r="FP131" i="9"/>
  <c r="AC131" i="9"/>
  <c r="FP130" i="9"/>
  <c r="DL130" i="9"/>
  <c r="DT130" i="9"/>
  <c r="AC130" i="9"/>
  <c r="FH130" i="9"/>
  <c r="DS129" i="9"/>
  <c r="FW129" i="9"/>
  <c r="AE109" i="9"/>
  <c r="GA109" i="9" s="1"/>
  <c r="FJ115" i="9"/>
  <c r="DN115" i="9"/>
  <c r="DU115" i="9"/>
  <c r="CJ127" i="9"/>
  <c r="CZ127" i="9" s="1"/>
  <c r="DH127" i="9" s="1"/>
  <c r="AE108" i="9"/>
  <c r="GA108" i="9" s="1"/>
  <c r="FR115" i="9"/>
  <c r="CJ132" i="9"/>
  <c r="CZ132" i="9" s="1"/>
  <c r="DH132" i="9" s="1"/>
  <c r="AE115" i="9"/>
  <c r="GA115" i="9" s="1"/>
  <c r="DU111" i="9"/>
  <c r="CJ123" i="9"/>
  <c r="CJ125" i="9"/>
  <c r="FJ108" i="9"/>
  <c r="AE121" i="9"/>
  <c r="GA121" i="9" s="1"/>
  <c r="CJ124" i="9"/>
  <c r="CZ124" i="9" s="1"/>
  <c r="DH124" i="9" s="1"/>
  <c r="FR121" i="9"/>
  <c r="CJ133" i="9"/>
  <c r="CZ133" i="9" s="1"/>
  <c r="DH133" i="9" s="1"/>
  <c r="DE133" i="9"/>
  <c r="FZ121" i="9"/>
  <c r="CJ120" i="9"/>
  <c r="DL129" i="9"/>
  <c r="CZ110" i="9"/>
  <c r="DH110" i="9" s="1"/>
  <c r="CZ120" i="9"/>
  <c r="DH120" i="9" s="1"/>
  <c r="CZ122" i="9"/>
  <c r="DH122" i="9" s="1"/>
  <c r="DN121" i="9"/>
  <c r="FJ111" i="9"/>
  <c r="DU110" i="9"/>
  <c r="CZ108" i="9"/>
  <c r="DH108" i="9" s="1"/>
  <c r="AF125" i="9"/>
  <c r="DP125" i="9" s="1"/>
  <c r="FK125" i="9"/>
  <c r="DO125" i="9"/>
  <c r="FS125" i="9"/>
  <c r="DN108" i="9"/>
  <c r="DV108" i="9" s="1"/>
  <c r="DP124" i="9"/>
  <c r="FR108" i="9"/>
  <c r="FT124" i="9"/>
  <c r="FL124" i="9"/>
  <c r="CZ129" i="9"/>
  <c r="DH129" i="9" s="1"/>
  <c r="CZ112" i="9"/>
  <c r="DH112" i="9" s="1"/>
  <c r="CZ119" i="9"/>
  <c r="DH119" i="9" s="1"/>
  <c r="CZ123" i="9"/>
  <c r="DH123" i="9" s="1"/>
  <c r="CZ118" i="9"/>
  <c r="DH118" i="9" s="1"/>
  <c r="CZ125" i="9"/>
  <c r="DH125" i="9" s="1"/>
  <c r="CZ116" i="9"/>
  <c r="DH116" i="9" s="1"/>
  <c r="CU128" i="9"/>
  <c r="DC128" i="9" s="1"/>
  <c r="DS128" i="9" s="1"/>
  <c r="CN128" i="9"/>
  <c r="FP128" i="9" s="1"/>
  <c r="CW121" i="9"/>
  <c r="DE121" i="9" s="1"/>
  <c r="CP121" i="9"/>
  <c r="CX121" i="9" s="1"/>
  <c r="DF121" i="9" s="1"/>
  <c r="CX126" i="9"/>
  <c r="DF126" i="9" s="1"/>
  <c r="CQ126" i="9"/>
  <c r="CY126" i="9" s="1"/>
  <c r="DG126" i="9" s="1"/>
  <c r="CR121" i="9"/>
  <c r="CR126" i="9"/>
  <c r="CW128" i="9"/>
  <c r="DE128" i="9" s="1"/>
  <c r="CP128" i="9"/>
  <c r="CX128" i="9" s="1"/>
  <c r="DF128" i="9" s="1"/>
  <c r="CQ121" i="9"/>
  <c r="CY121" i="9" s="1"/>
  <c r="DG121" i="9" s="1"/>
  <c r="FR111" i="9"/>
  <c r="DN111" i="9"/>
  <c r="DV111" i="9" s="1"/>
  <c r="AE111" i="9"/>
  <c r="GA111" i="9" s="1"/>
  <c r="CJ121" i="9"/>
  <c r="FW126" i="9"/>
  <c r="FO126" i="9"/>
  <c r="DS125" i="9"/>
  <c r="FF121" i="9"/>
  <c r="CJ126" i="9"/>
  <c r="CU126" i="9"/>
  <c r="DC126" i="9" s="1"/>
  <c r="DS126" i="9" s="1"/>
  <c r="DJ121" i="9"/>
  <c r="AA121" i="9"/>
  <c r="FO121" i="9" s="1"/>
  <c r="CJ128" i="9"/>
  <c r="CZ128" i="9" s="1"/>
  <c r="DH128" i="9" s="1"/>
  <c r="CU121" i="9"/>
  <c r="DC121" i="9" s="1"/>
  <c r="DS132" i="9"/>
  <c r="CW126" i="9"/>
  <c r="DE126" i="9" s="1"/>
  <c r="CY128" i="9"/>
  <c r="DG128" i="9" s="1"/>
  <c r="CT121" i="9"/>
  <c r="DB121" i="9" s="1"/>
  <c r="DR121" i="9" s="1"/>
  <c r="CU111" i="9"/>
  <c r="DC111" i="9" s="1"/>
  <c r="DS111" i="9" s="1"/>
  <c r="FH129" i="9"/>
  <c r="DU119" i="9"/>
  <c r="FG126" i="9"/>
  <c r="FW125" i="9"/>
  <c r="FG125" i="9"/>
  <c r="AB125" i="9"/>
  <c r="DK125" i="9"/>
  <c r="FP122" i="9"/>
  <c r="FH127" i="9"/>
  <c r="AC129" i="9"/>
  <c r="FY129" i="9" s="1"/>
  <c r="AC122" i="9"/>
  <c r="DK126" i="9"/>
  <c r="DT129" i="9"/>
  <c r="AF120" i="9"/>
  <c r="DP120" i="9" s="1"/>
  <c r="AB126" i="9"/>
  <c r="DL120" i="9"/>
  <c r="DU120" i="9" s="1"/>
  <c r="CT128" i="9"/>
  <c r="DB128" i="9" s="1"/>
  <c r="DR128" i="9" s="1"/>
  <c r="FP127" i="9"/>
  <c r="DT127" i="9"/>
  <c r="AC127" i="9"/>
  <c r="FY127" i="9" s="1"/>
  <c r="DL127" i="9"/>
  <c r="FH120" i="9"/>
  <c r="FS120" i="9"/>
  <c r="DT122" i="9"/>
  <c r="DO120" i="9"/>
  <c r="DT120" i="9"/>
  <c r="FK120" i="9"/>
  <c r="FH122" i="9"/>
  <c r="FR118" i="9"/>
  <c r="FZ110" i="9"/>
  <c r="FJ110" i="9"/>
  <c r="DN110" i="9"/>
  <c r="DV110" i="9" s="1"/>
  <c r="AE110" i="9"/>
  <c r="FR110" i="9"/>
  <c r="AE118" i="9"/>
  <c r="GA118" i="9" s="1"/>
  <c r="FZ113" i="9"/>
  <c r="AE113" i="9"/>
  <c r="DN113" i="9"/>
  <c r="DV113" i="9" s="1"/>
  <c r="FR113" i="9"/>
  <c r="FJ113" i="9"/>
  <c r="DN118" i="9"/>
  <c r="DV118" i="9" s="1"/>
  <c r="FJ118" i="9"/>
  <c r="DU118" i="9"/>
  <c r="DU113" i="9"/>
  <c r="FP120" i="9"/>
  <c r="DL122" i="9"/>
  <c r="FX128" i="9"/>
  <c r="FH128" i="9"/>
  <c r="DL128" i="9"/>
  <c r="AC128" i="9"/>
  <c r="DT115" i="9"/>
  <c r="DV115" i="9"/>
  <c r="DU108" i="9"/>
  <c r="FZ119" i="9"/>
  <c r="AE119" i="9"/>
  <c r="DN119" i="9"/>
  <c r="DV119" i="9" s="1"/>
  <c r="FJ119" i="9"/>
  <c r="FR119" i="9"/>
  <c r="FP117" i="9"/>
  <c r="FW124" i="9"/>
  <c r="DS124" i="9"/>
  <c r="DK124" i="9"/>
  <c r="FG124" i="9"/>
  <c r="AB124" i="9"/>
  <c r="DU112" i="9"/>
  <c r="FW133" i="9"/>
  <c r="AB133" i="9"/>
  <c r="DS133" i="9"/>
  <c r="FG133" i="9"/>
  <c r="DK133" i="9"/>
  <c r="FW123" i="9"/>
  <c r="FG123" i="9"/>
  <c r="DS123" i="9"/>
  <c r="DK123" i="9"/>
  <c r="AB123" i="9"/>
  <c r="DU116" i="9"/>
  <c r="FW132" i="9"/>
  <c r="AB132" i="9"/>
  <c r="DK132" i="9"/>
  <c r="FG132" i="9"/>
  <c r="DT116" i="9"/>
  <c r="DU114" i="9"/>
  <c r="DT112" i="9"/>
  <c r="FX117" i="9"/>
  <c r="FH117" i="9"/>
  <c r="DL117" i="9"/>
  <c r="DT117" i="9" s="1"/>
  <c r="AE116" i="9"/>
  <c r="AF116" i="9" s="1"/>
  <c r="FZ116" i="9"/>
  <c r="FJ116" i="9"/>
  <c r="DN116" i="9"/>
  <c r="DV116" i="9" s="1"/>
  <c r="FR116" i="9"/>
  <c r="DT111" i="9"/>
  <c r="AE114" i="9"/>
  <c r="GA114" i="9" s="1"/>
  <c r="DN114" i="9"/>
  <c r="DV114" i="9" s="1"/>
  <c r="FR114" i="9"/>
  <c r="FJ114" i="9"/>
  <c r="DN112" i="9"/>
  <c r="DV112" i="9" s="1"/>
  <c r="FR112" i="9"/>
  <c r="AE112" i="9"/>
  <c r="GA112" i="9" s="1"/>
  <c r="FJ112" i="9"/>
  <c r="P34" i="15"/>
  <c r="P36" i="15"/>
  <c r="P40" i="15" s="1"/>
  <c r="P45" i="15" s="1"/>
  <c r="H39" i="5"/>
  <c r="H43" i="5" s="1"/>
  <c r="H37" i="5"/>
  <c r="I37" i="5" s="1"/>
  <c r="J37" i="5" s="1"/>
  <c r="K37" i="5" s="1"/>
  <c r="L37" i="5" s="1"/>
  <c r="FZ117" i="9" l="1"/>
  <c r="FR117" i="9"/>
  <c r="FJ117" i="9"/>
  <c r="DN117" i="9"/>
  <c r="DV117" i="9" s="1"/>
  <c r="AE117" i="9"/>
  <c r="FY122" i="9"/>
  <c r="AD122" i="9"/>
  <c r="FS109" i="9"/>
  <c r="FK115" i="9"/>
  <c r="FK108" i="9"/>
  <c r="AF108" i="9"/>
  <c r="GB108" i="9" s="1"/>
  <c r="DO108" i="9"/>
  <c r="DW108" i="9" s="1"/>
  <c r="AF109" i="9"/>
  <c r="GB109" i="9" s="1"/>
  <c r="FK109" i="9"/>
  <c r="FQ131" i="9"/>
  <c r="FI131" i="9"/>
  <c r="DU131" i="9"/>
  <c r="DM131" i="9"/>
  <c r="AD131" i="9"/>
  <c r="FS108" i="9"/>
  <c r="DO109" i="9"/>
  <c r="DW109" i="9" s="1"/>
  <c r="AD130" i="9"/>
  <c r="DU130" i="9"/>
  <c r="FQ130" i="9"/>
  <c r="DM130" i="9"/>
  <c r="FI130" i="9"/>
  <c r="DO115" i="9"/>
  <c r="DW115" i="9" s="1"/>
  <c r="AF115" i="9"/>
  <c r="GB115" i="9" s="1"/>
  <c r="FS115" i="9"/>
  <c r="AF121" i="9"/>
  <c r="GB121" i="9" s="1"/>
  <c r="FK121" i="9"/>
  <c r="FS121" i="9"/>
  <c r="FS111" i="9"/>
  <c r="DO121" i="9"/>
  <c r="FT125" i="9"/>
  <c r="FL125" i="9"/>
  <c r="GB125" i="9"/>
  <c r="FK111" i="9"/>
  <c r="CV128" i="9"/>
  <c r="DD128" i="9" s="1"/>
  <c r="DT128" i="9" s="1"/>
  <c r="CZ121" i="9"/>
  <c r="DH121" i="9" s="1"/>
  <c r="CZ126" i="9"/>
  <c r="DH126" i="9" s="1"/>
  <c r="AF111" i="9"/>
  <c r="FL111" i="9" s="1"/>
  <c r="DO111" i="9"/>
  <c r="DW111" i="9" s="1"/>
  <c r="FW121" i="9"/>
  <c r="AB121" i="9"/>
  <c r="FP121" i="9" s="1"/>
  <c r="FG121" i="9"/>
  <c r="DK121" i="9"/>
  <c r="DS121" i="9"/>
  <c r="GB120" i="9"/>
  <c r="DU129" i="9"/>
  <c r="DM129" i="9"/>
  <c r="FI129" i="9"/>
  <c r="FQ129" i="9"/>
  <c r="DM122" i="9"/>
  <c r="DU122" i="9" s="1"/>
  <c r="AD129" i="9"/>
  <c r="FI122" i="9"/>
  <c r="FT120" i="9"/>
  <c r="DO118" i="9"/>
  <c r="DW118" i="9" s="1"/>
  <c r="FL120" i="9"/>
  <c r="DV120" i="9"/>
  <c r="FQ122" i="9"/>
  <c r="FX125" i="9"/>
  <c r="DL125" i="9"/>
  <c r="FH125" i="9"/>
  <c r="DT125" i="9"/>
  <c r="AC125" i="9"/>
  <c r="FP125" i="9"/>
  <c r="DM127" i="9"/>
  <c r="FX126" i="9"/>
  <c r="DL126" i="9"/>
  <c r="FH126" i="9"/>
  <c r="AC126" i="9"/>
  <c r="DX120" i="9"/>
  <c r="FP126" i="9"/>
  <c r="DW120" i="9"/>
  <c r="DT126" i="9"/>
  <c r="AD127" i="9"/>
  <c r="FI127" i="9"/>
  <c r="DU127" i="9"/>
  <c r="FQ127" i="9"/>
  <c r="GA110" i="9"/>
  <c r="AF110" i="9"/>
  <c r="FS110" i="9"/>
  <c r="DO110" i="9"/>
  <c r="DW110" i="9" s="1"/>
  <c r="FK110" i="9"/>
  <c r="AF118" i="9"/>
  <c r="GA113" i="9"/>
  <c r="FS113" i="9"/>
  <c r="FK113" i="9"/>
  <c r="DO113" i="9"/>
  <c r="DW113" i="9" s="1"/>
  <c r="AF113" i="9"/>
  <c r="FK118" i="9"/>
  <c r="FS118" i="9"/>
  <c r="FY128" i="9"/>
  <c r="DU128" i="9"/>
  <c r="DM128" i="9"/>
  <c r="AD128" i="9"/>
  <c r="AE128" i="9" s="1"/>
  <c r="FQ128" i="9"/>
  <c r="FI128" i="9"/>
  <c r="DU117" i="9"/>
  <c r="GA119" i="9"/>
  <c r="FS119" i="9"/>
  <c r="FK119" i="9"/>
  <c r="DO119" i="9"/>
  <c r="DW119" i="9" s="1"/>
  <c r="AF119" i="9"/>
  <c r="GB116" i="9"/>
  <c r="FL116" i="9"/>
  <c r="FT116" i="9"/>
  <c r="DP116" i="9"/>
  <c r="FX123" i="9"/>
  <c r="DT123" i="9"/>
  <c r="FH123" i="9"/>
  <c r="DL123" i="9"/>
  <c r="AC123" i="9"/>
  <c r="AD123" i="9" s="1"/>
  <c r="FP123" i="9"/>
  <c r="FX133" i="9"/>
  <c r="DL133" i="9"/>
  <c r="FP133" i="9"/>
  <c r="AC133" i="9"/>
  <c r="AD133" i="9" s="1"/>
  <c r="FZ133" i="9" s="1"/>
  <c r="DT133" i="9"/>
  <c r="FH133" i="9"/>
  <c r="FX124" i="9"/>
  <c r="FP124" i="9"/>
  <c r="DT124" i="9"/>
  <c r="AC124" i="9"/>
  <c r="FH124" i="9"/>
  <c r="DL124" i="9"/>
  <c r="FX132" i="9"/>
  <c r="DL132" i="9"/>
  <c r="DT132" i="9"/>
  <c r="AC132" i="9"/>
  <c r="AD132" i="9" s="1"/>
  <c r="FZ132" i="9" s="1"/>
  <c r="FH132" i="9"/>
  <c r="FP132" i="9"/>
  <c r="FS116" i="9"/>
  <c r="GA116" i="9"/>
  <c r="FK116" i="9"/>
  <c r="DO116" i="9"/>
  <c r="FS112" i="9"/>
  <c r="AF112" i="9"/>
  <c r="FK112" i="9"/>
  <c r="DO112" i="9"/>
  <c r="DW112" i="9" s="1"/>
  <c r="DO114" i="9"/>
  <c r="DW114" i="9" s="1"/>
  <c r="AF114" i="9"/>
  <c r="FK114" i="9"/>
  <c r="FS114" i="9"/>
  <c r="DP108" i="9"/>
  <c r="FL108" i="9"/>
  <c r="P46" i="15"/>
  <c r="H51" i="5"/>
  <c r="H44" i="5"/>
  <c r="H46" i="5"/>
  <c r="H47" i="5" s="1"/>
  <c r="DX108" i="9" l="1"/>
  <c r="FL109" i="9"/>
  <c r="GA117" i="9"/>
  <c r="FK117" i="9"/>
  <c r="AF117" i="9"/>
  <c r="DO117" i="9"/>
  <c r="DW117" i="9" s="1"/>
  <c r="FS117" i="9"/>
  <c r="FZ127" i="9"/>
  <c r="AE127" i="9"/>
  <c r="AE123" i="9"/>
  <c r="FR123" i="9"/>
  <c r="DN123" i="9"/>
  <c r="FZ123" i="9"/>
  <c r="FJ123" i="9"/>
  <c r="AE122" i="9"/>
  <c r="FZ122" i="9"/>
  <c r="DN122" i="9"/>
  <c r="DV122" i="9" s="1"/>
  <c r="FR122" i="9"/>
  <c r="FJ122" i="9"/>
  <c r="FT108" i="9"/>
  <c r="DP109" i="9"/>
  <c r="DX109" i="9" s="1"/>
  <c r="FT109" i="9"/>
  <c r="FL121" i="9"/>
  <c r="FJ131" i="9"/>
  <c r="DV131" i="9"/>
  <c r="FR131" i="9"/>
  <c r="DN131" i="9"/>
  <c r="AE131" i="9"/>
  <c r="AE130" i="9"/>
  <c r="AF130" i="9" s="1"/>
  <c r="FR130" i="9"/>
  <c r="DN130" i="9"/>
  <c r="DV130" i="9"/>
  <c r="FJ130" i="9"/>
  <c r="FZ129" i="9"/>
  <c r="AE129" i="9"/>
  <c r="GA128" i="9"/>
  <c r="FK128" i="9"/>
  <c r="DO128" i="9"/>
  <c r="FS128" i="9"/>
  <c r="AF128" i="9"/>
  <c r="FT121" i="9"/>
  <c r="FL115" i="9"/>
  <c r="DP121" i="9"/>
  <c r="FT115" i="9"/>
  <c r="DP115" i="9"/>
  <c r="DX115" i="9" s="1"/>
  <c r="DP111" i="9"/>
  <c r="DX111" i="9" s="1"/>
  <c r="FT111" i="9"/>
  <c r="GB111" i="9"/>
  <c r="DN129" i="9"/>
  <c r="DV129" i="9" s="1"/>
  <c r="FX121" i="9"/>
  <c r="FH121" i="9"/>
  <c r="DL121" i="9"/>
  <c r="DT121" i="9"/>
  <c r="FJ129" i="9"/>
  <c r="FR129" i="9"/>
  <c r="FR127" i="9"/>
  <c r="FJ127" i="9"/>
  <c r="DN127" i="9"/>
  <c r="FY125" i="9"/>
  <c r="FQ125" i="9"/>
  <c r="DM125" i="9"/>
  <c r="DU125" i="9"/>
  <c r="FI125" i="9"/>
  <c r="DX116" i="9"/>
  <c r="FY126" i="9"/>
  <c r="FI126" i="9"/>
  <c r="AD126" i="9"/>
  <c r="AE126" i="9" s="1"/>
  <c r="DU126" i="9"/>
  <c r="DM126" i="9"/>
  <c r="FQ126" i="9"/>
  <c r="GB118" i="9"/>
  <c r="GB112" i="9"/>
  <c r="GB114" i="9"/>
  <c r="GB113" i="9"/>
  <c r="FL113" i="9"/>
  <c r="DP113" i="9"/>
  <c r="DX113" i="9" s="1"/>
  <c r="FT113" i="9"/>
  <c r="FT118" i="9"/>
  <c r="GB110" i="9"/>
  <c r="DP110" i="9"/>
  <c r="DX110" i="9" s="1"/>
  <c r="FL110" i="9"/>
  <c r="FT110" i="9"/>
  <c r="DP118" i="9"/>
  <c r="DX118" i="9" s="1"/>
  <c r="FL118" i="9"/>
  <c r="FZ128" i="9"/>
  <c r="FR128" i="9"/>
  <c r="FJ128" i="9"/>
  <c r="DN128" i="9"/>
  <c r="DV128" i="9" s="1"/>
  <c r="DN132" i="9"/>
  <c r="FJ132" i="9"/>
  <c r="AE132" i="9"/>
  <c r="DN133" i="9"/>
  <c r="FJ133" i="9"/>
  <c r="GB119" i="9"/>
  <c r="FT119" i="9"/>
  <c r="DP119" i="9"/>
  <c r="DX119" i="9" s="1"/>
  <c r="FL119" i="9"/>
  <c r="AE133" i="9"/>
  <c r="DW116" i="9"/>
  <c r="FY124" i="9"/>
  <c r="DU124" i="9"/>
  <c r="FI124" i="9"/>
  <c r="FQ124" i="9"/>
  <c r="DM124" i="9"/>
  <c r="FY123" i="9"/>
  <c r="FQ123" i="9"/>
  <c r="FI123" i="9"/>
  <c r="DM123" i="9"/>
  <c r="DU123" i="9" s="1"/>
  <c r="FY132" i="9"/>
  <c r="DM132" i="9"/>
  <c r="FQ132" i="9"/>
  <c r="FR132" i="9" s="1"/>
  <c r="DU132" i="9"/>
  <c r="FI132" i="9"/>
  <c r="FY133" i="9"/>
  <c r="FI133" i="9"/>
  <c r="DU133" i="9"/>
  <c r="DM133" i="9"/>
  <c r="FQ133" i="9"/>
  <c r="FR133" i="9" s="1"/>
  <c r="DP112" i="9"/>
  <c r="DX112" i="9" s="1"/>
  <c r="FL112" i="9"/>
  <c r="FT112" i="9"/>
  <c r="FT114" i="9"/>
  <c r="DP114" i="9"/>
  <c r="DX114" i="9" s="1"/>
  <c r="FL114" i="9"/>
  <c r="D47" i="16"/>
  <c r="D44" i="16"/>
  <c r="D40" i="16"/>
  <c r="D37" i="16"/>
  <c r="D36" i="16"/>
  <c r="D33" i="16"/>
  <c r="D32" i="16"/>
  <c r="I23" i="16"/>
  <c r="I20" i="16"/>
  <c r="I19" i="16"/>
  <c r="I15" i="16"/>
  <c r="I12" i="16"/>
  <c r="I11" i="16"/>
  <c r="I8" i="16"/>
  <c r="I7" i="16"/>
  <c r="I3" i="16"/>
  <c r="H23" i="16"/>
  <c r="H20" i="16"/>
  <c r="H19" i="16"/>
  <c r="H15" i="16"/>
  <c r="H12" i="16"/>
  <c r="H11" i="16"/>
  <c r="H8" i="16"/>
  <c r="H7" i="16"/>
  <c r="E23" i="16"/>
  <c r="E20" i="16"/>
  <c r="E19" i="16"/>
  <c r="E15" i="16"/>
  <c r="E12" i="16"/>
  <c r="E11" i="16"/>
  <c r="E8" i="16"/>
  <c r="E7" i="16"/>
  <c r="E3" i="16"/>
  <c r="E2" i="16"/>
  <c r="D23" i="16"/>
  <c r="D20" i="16"/>
  <c r="D19" i="16"/>
  <c r="D15" i="16"/>
  <c r="D12" i="16"/>
  <c r="D11" i="16"/>
  <c r="D8" i="16"/>
  <c r="D7" i="16"/>
  <c r="D2" i="16"/>
  <c r="C23" i="16"/>
  <c r="C20" i="16"/>
  <c r="C19" i="16"/>
  <c r="C15" i="16"/>
  <c r="C12" i="16"/>
  <c r="C11" i="16"/>
  <c r="C8" i="16"/>
  <c r="C7" i="16"/>
  <c r="C2" i="16"/>
  <c r="O6" i="15"/>
  <c r="O12" i="15" s="1"/>
  <c r="O64" i="15"/>
  <c r="O61" i="15"/>
  <c r="O33" i="15"/>
  <c r="C18" i="16" s="1"/>
  <c r="C3" i="12" a="1"/>
  <c r="N33" i="15"/>
  <c r="D18" i="16" s="1"/>
  <c r="DV132" i="9" l="1"/>
  <c r="DP130" i="9"/>
  <c r="FL130" i="9"/>
  <c r="FT130" i="9"/>
  <c r="FT117" i="9"/>
  <c r="DP117" i="9"/>
  <c r="DX117" i="9" s="1"/>
  <c r="FL117" i="9"/>
  <c r="GB117" i="9"/>
  <c r="AF127" i="9"/>
  <c r="GA127" i="9"/>
  <c r="DO127" i="9"/>
  <c r="DW127" i="9" s="1"/>
  <c r="FK127" i="9"/>
  <c r="FS127" i="9"/>
  <c r="DV127" i="9"/>
  <c r="AF126" i="9"/>
  <c r="FK126" i="9"/>
  <c r="FS126" i="9"/>
  <c r="GA126" i="9"/>
  <c r="DO126" i="9"/>
  <c r="AF123" i="9"/>
  <c r="GA123" i="9"/>
  <c r="DO123" i="9"/>
  <c r="DW123" i="9" s="1"/>
  <c r="FS123" i="9"/>
  <c r="FK123" i="9"/>
  <c r="GA122" i="9"/>
  <c r="AF122" i="9"/>
  <c r="FS122" i="9"/>
  <c r="DO122" i="9"/>
  <c r="DW122" i="9" s="1"/>
  <c r="FK122" i="9"/>
  <c r="FS130" i="9"/>
  <c r="DO130" i="9"/>
  <c r="DX130" i="9" s="1"/>
  <c r="FK130" i="9"/>
  <c r="FK131" i="9"/>
  <c r="FS131" i="9"/>
  <c r="DO131" i="9"/>
  <c r="DW131" i="9"/>
  <c r="AF131" i="9"/>
  <c r="DV133" i="9"/>
  <c r="GA133" i="9"/>
  <c r="AF133" i="9"/>
  <c r="GA132" i="9"/>
  <c r="AF132" i="9"/>
  <c r="GA129" i="9"/>
  <c r="FS129" i="9"/>
  <c r="FK129" i="9"/>
  <c r="DO129" i="9"/>
  <c r="DW129" i="9" s="1"/>
  <c r="AF129" i="9"/>
  <c r="FL128" i="9"/>
  <c r="FT128" i="9"/>
  <c r="GB128" i="9"/>
  <c r="DP128" i="9"/>
  <c r="DX128" i="9" s="1"/>
  <c r="DX121" i="9"/>
  <c r="DV121" i="9"/>
  <c r="DW121" i="9"/>
  <c r="DU121" i="9"/>
  <c r="FK133" i="9"/>
  <c r="FS132" i="9"/>
  <c r="DV125" i="9"/>
  <c r="DW125" i="9"/>
  <c r="DX125" i="9"/>
  <c r="DO132" i="9"/>
  <c r="DW132" i="9" s="1"/>
  <c r="FZ126" i="9"/>
  <c r="FR126" i="9"/>
  <c r="DN126" i="9"/>
  <c r="DV126" i="9" s="1"/>
  <c r="FJ126" i="9"/>
  <c r="DW124" i="9"/>
  <c r="DX124" i="9"/>
  <c r="DW128" i="9"/>
  <c r="FK132" i="9"/>
  <c r="FS133" i="9"/>
  <c r="DO133" i="9"/>
  <c r="DW133" i="9" s="1"/>
  <c r="C3" i="16"/>
  <c r="DV124" i="9"/>
  <c r="D34" i="16"/>
  <c r="DV123" i="9"/>
  <c r="O13" i="15"/>
  <c r="O19" i="15"/>
  <c r="O24" i="15" s="1"/>
  <c r="O27" i="15" s="1"/>
  <c r="O36" i="15" s="1"/>
  <c r="O40" i="15" s="1"/>
  <c r="O45" i="15" s="1"/>
  <c r="O7" i="15"/>
  <c r="I5" i="16"/>
  <c r="N6" i="15"/>
  <c r="N64" i="15"/>
  <c r="N60" i="15"/>
  <c r="O65" i="15" s="1"/>
  <c r="O66" i="15" s="1"/>
  <c r="G53" i="5"/>
  <c r="F53" i="5"/>
  <c r="E53" i="5"/>
  <c r="D53" i="5"/>
  <c r="DW130" i="9" l="1"/>
  <c r="FT127" i="9"/>
  <c r="DP127" i="9"/>
  <c r="DX127" i="9" s="1"/>
  <c r="FL127" i="9"/>
  <c r="GB127" i="9"/>
  <c r="FT126" i="9"/>
  <c r="FL126" i="9"/>
  <c r="GB126" i="9"/>
  <c r="DP126" i="9"/>
  <c r="DP123" i="9"/>
  <c r="DX123" i="9" s="1"/>
  <c r="GB123" i="9"/>
  <c r="FT123" i="9"/>
  <c r="FL123" i="9"/>
  <c r="FT122" i="9"/>
  <c r="FL122" i="9"/>
  <c r="GB122" i="9"/>
  <c r="DP122" i="9"/>
  <c r="DX122" i="9" s="1"/>
  <c r="FL131" i="9"/>
  <c r="FT131" i="9"/>
  <c r="DP131" i="9"/>
  <c r="DX131" i="9" s="1"/>
  <c r="FT133" i="9"/>
  <c r="FL133" i="9"/>
  <c r="DP133" i="9"/>
  <c r="DX133" i="9" s="1"/>
  <c r="GB133" i="9"/>
  <c r="GB132" i="9"/>
  <c r="DP132" i="9"/>
  <c r="DX132" i="9" s="1"/>
  <c r="FT132" i="9"/>
  <c r="FL132" i="9"/>
  <c r="GB129" i="9"/>
  <c r="FL129" i="9"/>
  <c r="DP129" i="9"/>
  <c r="DX129" i="9" s="1"/>
  <c r="FT129" i="9"/>
  <c r="DX126" i="9"/>
  <c r="DW126" i="9"/>
  <c r="N12" i="15"/>
  <c r="N13" i="15" s="1"/>
  <c r="D3" i="16"/>
  <c r="I9" i="16"/>
  <c r="I16" i="16" s="1"/>
  <c r="I17" i="16" s="1"/>
  <c r="I6" i="16"/>
  <c r="O46" i="15"/>
  <c r="O34" i="15"/>
  <c r="N7" i="15"/>
  <c r="N61" i="15"/>
  <c r="N19" i="15" l="1"/>
  <c r="N24" i="15" s="1"/>
  <c r="N27" i="15" s="1"/>
  <c r="N36" i="15" s="1"/>
  <c r="N40" i="15" s="1"/>
  <c r="N45" i="15" s="1"/>
  <c r="N46" i="15" s="1"/>
  <c r="I13" i="16"/>
  <c r="I14" i="16" s="1"/>
  <c r="I10" i="16"/>
  <c r="D47" i="19"/>
  <c r="D38" i="19"/>
  <c r="C20" i="19"/>
  <c r="H8" i="19"/>
  <c r="G8" i="19"/>
  <c r="F8" i="19"/>
  <c r="E8" i="19"/>
  <c r="D8" i="19"/>
  <c r="C8" i="19"/>
  <c r="C2" i="19"/>
  <c r="C11" i="19" s="1"/>
  <c r="C19" i="19" s="1"/>
  <c r="D2" i="19"/>
  <c r="D11" i="19" s="1"/>
  <c r="D19" i="19" s="1"/>
  <c r="E2" i="19"/>
  <c r="E11" i="19" s="1"/>
  <c r="E19" i="19" s="1"/>
  <c r="F2" i="19"/>
  <c r="F11" i="19" s="1"/>
  <c r="F19" i="19" s="1"/>
  <c r="G2" i="19"/>
  <c r="G11" i="19" s="1"/>
  <c r="G19" i="19" s="1"/>
  <c r="H2" i="19"/>
  <c r="H11" i="19" s="1"/>
  <c r="H19" i="19" s="1"/>
  <c r="O79" i="5"/>
  <c r="O78" i="5"/>
  <c r="F237" i="5"/>
  <c r="G237" i="5"/>
  <c r="N34" i="15" l="1"/>
  <c r="F9" i="19"/>
  <c r="O80" i="5"/>
  <c r="I8" i="19"/>
  <c r="EA51" i="9"/>
  <c r="EB51" i="9"/>
  <c r="EC51" i="9"/>
  <c r="ED51" i="9"/>
  <c r="EE51" i="9"/>
  <c r="FF136" i="9"/>
  <c r="FG136" i="9"/>
  <c r="FH136" i="9"/>
  <c r="FI136" i="9"/>
  <c r="FJ136" i="9"/>
  <c r="FK136" i="9"/>
  <c r="FF137" i="9"/>
  <c r="FG137" i="9"/>
  <c r="FH137" i="9"/>
  <c r="FI137" i="9"/>
  <c r="FJ137" i="9"/>
  <c r="FK137" i="9"/>
  <c r="FF138" i="9"/>
  <c r="FG138" i="9"/>
  <c r="FH138" i="9"/>
  <c r="FI138" i="9"/>
  <c r="FJ138" i="9"/>
  <c r="FK138" i="9"/>
  <c r="FF139" i="9"/>
  <c r="FG139" i="9"/>
  <c r="FH139" i="9"/>
  <c r="FI139" i="9"/>
  <c r="FJ139" i="9"/>
  <c r="FK139" i="9"/>
  <c r="EC131" i="9" l="1"/>
  <c r="EC130" i="9"/>
  <c r="EB130" i="9"/>
  <c r="EB131" i="9"/>
  <c r="EA130" i="9"/>
  <c r="EA131" i="9"/>
  <c r="ED130" i="9"/>
  <c r="ED131" i="9"/>
  <c r="EE130" i="9"/>
  <c r="EE131" i="9"/>
  <c r="EE121" i="9"/>
  <c r="EE125" i="9"/>
  <c r="EE120" i="9"/>
  <c r="EE128" i="9"/>
  <c r="EE127" i="9"/>
  <c r="EE129" i="9"/>
  <c r="EE122" i="9"/>
  <c r="EE124" i="9"/>
  <c r="EE132" i="9"/>
  <c r="EE123" i="9"/>
  <c r="EE126" i="9"/>
  <c r="EE133" i="9"/>
  <c r="EB128" i="9"/>
  <c r="EB126" i="9"/>
  <c r="EB121" i="9"/>
  <c r="EB127" i="9"/>
  <c r="EB125" i="9"/>
  <c r="EB129" i="9"/>
  <c r="EB122" i="9"/>
  <c r="EB120" i="9"/>
  <c r="EB123" i="9"/>
  <c r="EB132" i="9"/>
  <c r="EB124" i="9"/>
  <c r="EB133" i="9"/>
  <c r="EA121" i="9"/>
  <c r="EA128" i="9"/>
  <c r="EA125" i="9"/>
  <c r="EA127" i="9"/>
  <c r="EA129" i="9"/>
  <c r="EA126" i="9"/>
  <c r="EA122" i="9"/>
  <c r="EA132" i="9"/>
  <c r="EA120" i="9"/>
  <c r="EA123" i="9"/>
  <c r="EA124" i="9"/>
  <c r="EA133" i="9"/>
  <c r="ED121" i="9"/>
  <c r="ED125" i="9"/>
  <c r="ED128" i="9"/>
  <c r="ED120" i="9"/>
  <c r="ED123" i="9"/>
  <c r="ED132" i="9"/>
  <c r="ED127" i="9"/>
  <c r="ED129" i="9"/>
  <c r="ED124" i="9"/>
  <c r="ED133" i="9"/>
  <c r="ED126" i="9"/>
  <c r="ED122" i="9"/>
  <c r="EC121" i="9"/>
  <c r="EC128" i="9"/>
  <c r="EC125" i="9"/>
  <c r="EC120" i="9"/>
  <c r="EC127" i="9"/>
  <c r="EC122" i="9"/>
  <c r="EC126" i="9"/>
  <c r="EC129" i="9"/>
  <c r="EC132" i="9"/>
  <c r="EC123" i="9"/>
  <c r="EC124" i="9"/>
  <c r="EC133" i="9"/>
  <c r="EE119" i="9"/>
  <c r="EE116" i="9"/>
  <c r="EE109" i="9"/>
  <c r="EE113" i="9"/>
  <c r="EE115" i="9"/>
  <c r="EE117" i="9"/>
  <c r="EE110" i="9"/>
  <c r="EE108" i="9"/>
  <c r="EE111" i="9"/>
  <c r="EE118" i="9"/>
  <c r="EE114" i="9"/>
  <c r="EE112" i="9"/>
  <c r="ED109" i="9"/>
  <c r="ED110" i="9"/>
  <c r="ED119" i="9"/>
  <c r="ED111" i="9"/>
  <c r="ED118" i="9"/>
  <c r="ED116" i="9"/>
  <c r="ED117" i="9"/>
  <c r="ED113" i="9"/>
  <c r="ED108" i="9"/>
  <c r="ED115" i="9"/>
  <c r="ED112" i="9"/>
  <c r="ED114" i="9"/>
  <c r="EC108" i="9"/>
  <c r="EC117" i="9"/>
  <c r="EC119" i="9"/>
  <c r="EC115" i="9"/>
  <c r="EC116" i="9"/>
  <c r="EC110" i="9"/>
  <c r="EC112" i="9"/>
  <c r="EC111" i="9"/>
  <c r="EC113" i="9"/>
  <c r="EC114" i="9"/>
  <c r="EC118" i="9"/>
  <c r="EC109" i="9"/>
  <c r="EB109" i="9"/>
  <c r="EB114" i="9"/>
  <c r="EB118" i="9"/>
  <c r="EB117" i="9"/>
  <c r="EB119" i="9"/>
  <c r="EB108" i="9"/>
  <c r="EB110" i="9"/>
  <c r="EB116" i="9"/>
  <c r="EB111" i="9"/>
  <c r="EB115" i="9"/>
  <c r="EB113" i="9"/>
  <c r="EB112" i="9"/>
  <c r="EA119" i="9"/>
  <c r="EA116" i="9"/>
  <c r="EA114" i="9"/>
  <c r="EA115" i="9"/>
  <c r="EA111" i="9"/>
  <c r="EA108" i="9"/>
  <c r="EA118" i="9"/>
  <c r="EA117" i="9"/>
  <c r="EA109" i="9"/>
  <c r="EA110" i="9"/>
  <c r="EA113" i="9"/>
  <c r="EA112" i="9"/>
  <c r="EH136" i="9"/>
  <c r="EI136" i="9"/>
  <c r="EJ136" i="9"/>
  <c r="EK136" i="9"/>
  <c r="EL136" i="9"/>
  <c r="EM136" i="9"/>
  <c r="FN136" i="9"/>
  <c r="FO136" i="9" s="1"/>
  <c r="FP136" i="9" s="1"/>
  <c r="FQ136" i="9" s="1"/>
  <c r="FR136" i="9" s="1"/>
  <c r="FS136" i="9" s="1"/>
  <c r="EH137" i="9"/>
  <c r="EI137" i="9"/>
  <c r="EJ137" i="9"/>
  <c r="EK137" i="9"/>
  <c r="EL137" i="9"/>
  <c r="EM137" i="9"/>
  <c r="FN137" i="9"/>
  <c r="FO137" i="9" s="1"/>
  <c r="FP137" i="9" s="1"/>
  <c r="FQ137" i="9" s="1"/>
  <c r="FR137" i="9" s="1"/>
  <c r="FS137" i="9" s="1"/>
  <c r="EH138" i="9"/>
  <c r="EI138" i="9"/>
  <c r="EJ138" i="9"/>
  <c r="EK138" i="9"/>
  <c r="EL138" i="9"/>
  <c r="EM138" i="9"/>
  <c r="FN138" i="9"/>
  <c r="FO138" i="9" s="1"/>
  <c r="FP138" i="9" s="1"/>
  <c r="FQ138" i="9" s="1"/>
  <c r="FR138" i="9" s="1"/>
  <c r="FS138" i="9" s="1"/>
  <c r="I220" i="5" l="1"/>
  <c r="J220" i="5" s="1"/>
  <c r="K220" i="5" s="1"/>
  <c r="L220" i="5" s="1"/>
  <c r="I51" i="17" l="1"/>
  <c r="I46" i="17"/>
  <c r="I45" i="17"/>
  <c r="I52" i="17"/>
  <c r="I53" i="17"/>
  <c r="I54" i="17"/>
  <c r="I43" i="17"/>
  <c r="Q54" i="9"/>
  <c r="T57" i="9"/>
  <c r="P61" i="9"/>
  <c r="Q62" i="9"/>
  <c r="R63" i="9"/>
  <c r="S64" i="9"/>
  <c r="T65" i="9"/>
  <c r="P69" i="9"/>
  <c r="Q70" i="9"/>
  <c r="R71" i="9"/>
  <c r="S72" i="9"/>
  <c r="T73" i="9"/>
  <c r="P77" i="9"/>
  <c r="Q78" i="9"/>
  <c r="R79" i="9"/>
  <c r="S80" i="9"/>
  <c r="T81" i="9"/>
  <c r="I41" i="17"/>
  <c r="I47" i="17"/>
  <c r="I48" i="17"/>
  <c r="AN76" i="9" l="1"/>
  <c r="AN60" i="9"/>
  <c r="AN59" i="9"/>
  <c r="AN68" i="9"/>
  <c r="AN84" i="9"/>
  <c r="AN83" i="9"/>
  <c r="AN75" i="9"/>
  <c r="AN67" i="9"/>
  <c r="BQ81" i="9"/>
  <c r="BP80" i="9"/>
  <c r="BP64" i="9"/>
  <c r="BS75" i="9"/>
  <c r="BS59" i="9"/>
  <c r="BN78" i="9"/>
  <c r="BN62" i="9"/>
  <c r="BN54" i="9"/>
  <c r="BQ65" i="9"/>
  <c r="BQ57" i="9"/>
  <c r="BS76" i="9"/>
  <c r="BS60" i="9"/>
  <c r="BQ73" i="9"/>
  <c r="BR82" i="9"/>
  <c r="BR74" i="9"/>
  <c r="BR58" i="9"/>
  <c r="BO79" i="9"/>
  <c r="BO63" i="9"/>
  <c r="BS84" i="9"/>
  <c r="BS83" i="9"/>
  <c r="BW90" i="9"/>
  <c r="BX90" i="9"/>
  <c r="BY90" i="9"/>
  <c r="P90" i="9"/>
  <c r="BZ90" i="9"/>
  <c r="Q90" i="9"/>
  <c r="CA90" i="9"/>
  <c r="R90" i="9"/>
  <c r="S90" i="9"/>
  <c r="T90" i="9"/>
  <c r="BV90" i="9"/>
  <c r="CX61" i="9"/>
  <c r="DF61" i="9" s="1"/>
  <c r="BW88" i="9"/>
  <c r="Q88" i="9"/>
  <c r="BX88" i="9"/>
  <c r="R88" i="9"/>
  <c r="BY88" i="9"/>
  <c r="S88" i="9"/>
  <c r="BZ88" i="9"/>
  <c r="T88" i="9"/>
  <c r="CA88" i="9"/>
  <c r="BV88" i="9"/>
  <c r="P88" i="9"/>
  <c r="R91" i="9"/>
  <c r="S91" i="9"/>
  <c r="T91" i="9"/>
  <c r="BV91" i="9"/>
  <c r="BW91" i="9"/>
  <c r="BX91" i="9"/>
  <c r="BY91" i="9"/>
  <c r="BZ91" i="9"/>
  <c r="CA91" i="9"/>
  <c r="P91" i="9"/>
  <c r="Q91" i="9"/>
  <c r="CY75" i="9"/>
  <c r="DG75" i="9" s="1"/>
  <c r="BW96" i="9"/>
  <c r="BX96" i="9"/>
  <c r="P96" i="9"/>
  <c r="BY96" i="9"/>
  <c r="Q96" i="9"/>
  <c r="BZ96" i="9"/>
  <c r="R96" i="9"/>
  <c r="CA96" i="9"/>
  <c r="S96" i="9"/>
  <c r="T96" i="9"/>
  <c r="BV96" i="9"/>
  <c r="BW102" i="9"/>
  <c r="BX102" i="9"/>
  <c r="BY102" i="9"/>
  <c r="BZ102" i="9"/>
  <c r="CA102" i="9"/>
  <c r="P102" i="9"/>
  <c r="Q102" i="9"/>
  <c r="R102" i="9"/>
  <c r="S102" i="9"/>
  <c r="T102" i="9"/>
  <c r="BV102" i="9"/>
  <c r="CT79" i="9"/>
  <c r="DB79" i="9" s="1"/>
  <c r="CY55" i="9"/>
  <c r="DG55" i="9" s="1"/>
  <c r="BW98" i="9"/>
  <c r="BX98" i="9"/>
  <c r="BY98" i="9"/>
  <c r="BZ98" i="9"/>
  <c r="CA98" i="9"/>
  <c r="P98" i="9"/>
  <c r="Q98" i="9"/>
  <c r="R98" i="9"/>
  <c r="S98" i="9"/>
  <c r="T98" i="9"/>
  <c r="BV98" i="9"/>
  <c r="CU84" i="9"/>
  <c r="CY62" i="9"/>
  <c r="DG62" i="9" s="1"/>
  <c r="BV103" i="9"/>
  <c r="BW103" i="9"/>
  <c r="P103" i="9"/>
  <c r="BX103" i="9"/>
  <c r="Q103" i="9"/>
  <c r="BY103" i="9"/>
  <c r="R103" i="9"/>
  <c r="BZ103" i="9"/>
  <c r="S103" i="9"/>
  <c r="CA103" i="9"/>
  <c r="T103" i="9"/>
  <c r="CW60" i="9"/>
  <c r="DE60" i="9" s="1"/>
  <c r="BV97" i="9"/>
  <c r="BW97" i="9"/>
  <c r="BX97" i="9"/>
  <c r="P97" i="9"/>
  <c r="BY97" i="9"/>
  <c r="Q97" i="9"/>
  <c r="BZ97" i="9"/>
  <c r="R97" i="9"/>
  <c r="CA97" i="9"/>
  <c r="S97" i="9"/>
  <c r="T97" i="9"/>
  <c r="CT81" i="9"/>
  <c r="DB81" i="9" s="1"/>
  <c r="CW57" i="9"/>
  <c r="DE57" i="9" s="1"/>
  <c r="BV89" i="9"/>
  <c r="BW89" i="9"/>
  <c r="P89" i="9"/>
  <c r="BX89" i="9"/>
  <c r="Q89" i="9"/>
  <c r="BY89" i="9"/>
  <c r="R89" i="9"/>
  <c r="BZ89" i="9"/>
  <c r="S89" i="9"/>
  <c r="CA89" i="9"/>
  <c r="T89" i="9"/>
  <c r="CW65" i="9"/>
  <c r="DE65" i="9" s="1"/>
  <c r="BW94" i="9"/>
  <c r="BX94" i="9"/>
  <c r="BY94" i="9"/>
  <c r="BZ94" i="9"/>
  <c r="CA94" i="9"/>
  <c r="P94" i="9"/>
  <c r="Q94" i="9"/>
  <c r="R94" i="9"/>
  <c r="S94" i="9"/>
  <c r="T94" i="9"/>
  <c r="BV94" i="9"/>
  <c r="CV76" i="9"/>
  <c r="CT64" i="9"/>
  <c r="DB64" i="9" s="1"/>
  <c r="BW104" i="9"/>
  <c r="BX104" i="9"/>
  <c r="BY104" i="9"/>
  <c r="BZ104" i="9"/>
  <c r="CA104" i="9"/>
  <c r="P104" i="9"/>
  <c r="Q104" i="9"/>
  <c r="R104" i="9"/>
  <c r="S104" i="9"/>
  <c r="T104" i="9"/>
  <c r="BV104" i="9"/>
  <c r="CW83" i="9"/>
  <c r="DE83" i="9" s="1"/>
  <c r="P105" i="9"/>
  <c r="Q105" i="9"/>
  <c r="BN105" i="9" s="1"/>
  <c r="R105" i="9"/>
  <c r="BO105" i="9" s="1"/>
  <c r="S105" i="9"/>
  <c r="BP105" i="9" s="1"/>
  <c r="BV105" i="9"/>
  <c r="T105" i="9"/>
  <c r="BQ105" i="9" s="1"/>
  <c r="BW105" i="9"/>
  <c r="BR105" i="9"/>
  <c r="BX105" i="9"/>
  <c r="BY105" i="9"/>
  <c r="BZ105" i="9"/>
  <c r="CA105" i="9"/>
  <c r="CV82" i="9"/>
  <c r="DD82" i="9" s="1"/>
  <c r="S95" i="9"/>
  <c r="T95" i="9"/>
  <c r="BV95" i="9"/>
  <c r="BW95" i="9"/>
  <c r="BX95" i="9"/>
  <c r="BY95" i="9"/>
  <c r="BZ95" i="9"/>
  <c r="P95" i="9"/>
  <c r="CA95" i="9"/>
  <c r="Q95" i="9"/>
  <c r="R95" i="9"/>
  <c r="CW54" i="9"/>
  <c r="DE54" i="9" s="1"/>
  <c r="BV107" i="9"/>
  <c r="BW107" i="9"/>
  <c r="BX107" i="9"/>
  <c r="P107" i="9"/>
  <c r="Q107" i="9"/>
  <c r="BY107" i="9"/>
  <c r="BZ107" i="9"/>
  <c r="R107" i="9"/>
  <c r="CA107" i="9"/>
  <c r="S107" i="9"/>
  <c r="T107" i="9"/>
  <c r="BW106" i="9"/>
  <c r="T106" i="9"/>
  <c r="BX106" i="9"/>
  <c r="BY106" i="9"/>
  <c r="BZ106" i="9"/>
  <c r="CA106" i="9"/>
  <c r="P106" i="9"/>
  <c r="Q106" i="9"/>
  <c r="R106" i="9"/>
  <c r="BV106" i="9"/>
  <c r="S106" i="9"/>
  <c r="R93" i="9"/>
  <c r="S93" i="9"/>
  <c r="T93" i="9"/>
  <c r="BV93" i="9"/>
  <c r="BW93" i="9"/>
  <c r="BX93" i="9"/>
  <c r="BY93" i="9"/>
  <c r="BZ93" i="9"/>
  <c r="CA93" i="9"/>
  <c r="P93" i="9"/>
  <c r="Q93" i="9"/>
  <c r="CU73" i="9"/>
  <c r="DC73" i="9" s="1"/>
  <c r="BW92" i="9"/>
  <c r="BX92" i="9"/>
  <c r="BY92" i="9"/>
  <c r="BZ92" i="9"/>
  <c r="P92" i="9"/>
  <c r="CA92" i="9"/>
  <c r="Q92" i="9"/>
  <c r="R92" i="9"/>
  <c r="S92" i="9"/>
  <c r="T92" i="9"/>
  <c r="BV92" i="9"/>
  <c r="CY80" i="9"/>
  <c r="DG80" i="9" s="1"/>
  <c r="CT56" i="9"/>
  <c r="DB56" i="9" s="1"/>
  <c r="S101" i="9"/>
  <c r="T101" i="9"/>
  <c r="BV101" i="9"/>
  <c r="BW101" i="9"/>
  <c r="BX101" i="9"/>
  <c r="BY101" i="9"/>
  <c r="BZ101" i="9"/>
  <c r="P101" i="9"/>
  <c r="CA101" i="9"/>
  <c r="Q101" i="9"/>
  <c r="R101" i="9"/>
  <c r="BB66" i="9"/>
  <c r="BB58" i="9"/>
  <c r="AZ80" i="9"/>
  <c r="AZ72" i="9"/>
  <c r="AZ64" i="9"/>
  <c r="BC83" i="9"/>
  <c r="BC75" i="9"/>
  <c r="BC67" i="9"/>
  <c r="BC59" i="9"/>
  <c r="AX78" i="9"/>
  <c r="AX70" i="9"/>
  <c r="AX62" i="9"/>
  <c r="AX54" i="9"/>
  <c r="BA81" i="9"/>
  <c r="BA73" i="9"/>
  <c r="BA65" i="9"/>
  <c r="BB74" i="9"/>
  <c r="BC76" i="9"/>
  <c r="BC60" i="9"/>
  <c r="BC84" i="9"/>
  <c r="AY79" i="9"/>
  <c r="AY71" i="9"/>
  <c r="AY63" i="9"/>
  <c r="R69" i="9"/>
  <c r="AY69" i="9" s="1"/>
  <c r="S55" i="9"/>
  <c r="BP55" i="9" s="1"/>
  <c r="S62" i="9"/>
  <c r="BP62" i="9" s="1"/>
  <c r="P75" i="9"/>
  <c r="T79" i="9"/>
  <c r="BQ79" i="9" s="1"/>
  <c r="BB57" i="9"/>
  <c r="R62" i="9"/>
  <c r="BO62" i="9" s="1"/>
  <c r="Q69" i="9"/>
  <c r="AX69" i="9" s="1"/>
  <c r="S79" i="9"/>
  <c r="BH79" i="9" s="1"/>
  <c r="R54" i="9"/>
  <c r="BO54" i="9" s="1"/>
  <c r="T64" i="9"/>
  <c r="BA64" i="9" s="1"/>
  <c r="R70" i="9"/>
  <c r="AI70" i="9" s="1"/>
  <c r="P76" i="9"/>
  <c r="BJ81" i="9"/>
  <c r="S54" i="9"/>
  <c r="BP54" i="9" s="1"/>
  <c r="P59" i="9"/>
  <c r="BR65" i="9"/>
  <c r="S70" i="9"/>
  <c r="AZ70" i="9" s="1"/>
  <c r="Q76" i="9"/>
  <c r="BN76" i="9" s="1"/>
  <c r="P60" i="9"/>
  <c r="S71" i="9"/>
  <c r="Q77" i="9"/>
  <c r="BN77" i="9" s="1"/>
  <c r="P83" i="9"/>
  <c r="Y83" i="9" s="1"/>
  <c r="T55" i="9"/>
  <c r="BQ55" i="9" s="1"/>
  <c r="Q60" i="9"/>
  <c r="BF60" i="9" s="1"/>
  <c r="T71" i="9"/>
  <c r="R77" i="9"/>
  <c r="BO77" i="9" s="1"/>
  <c r="P84" i="9"/>
  <c r="Y84" i="9" s="1"/>
  <c r="T56" i="9"/>
  <c r="BQ56" i="9" s="1"/>
  <c r="Q61" i="9"/>
  <c r="AX61" i="9" s="1"/>
  <c r="P67" i="9"/>
  <c r="T72" i="9"/>
  <c r="AK72" i="9" s="1"/>
  <c r="R78" i="9"/>
  <c r="BO78" i="9" s="1"/>
  <c r="Q84" i="9"/>
  <c r="BN84" i="9" s="1"/>
  <c r="BJ56" i="9"/>
  <c r="R61" i="9"/>
  <c r="BO61" i="9" s="1"/>
  <c r="P68" i="9"/>
  <c r="S78" i="9"/>
  <c r="BP78" i="9" s="1"/>
  <c r="T80" i="9"/>
  <c r="AK80" i="9" s="1"/>
  <c r="T63" i="9"/>
  <c r="BQ63" i="9" s="1"/>
  <c r="T54" i="9"/>
  <c r="BQ54" i="9" s="1"/>
  <c r="BR55" i="9"/>
  <c r="P58" i="9"/>
  <c r="Q59" i="9"/>
  <c r="BN59" i="9" s="1"/>
  <c r="R60" i="9"/>
  <c r="BO60" i="9" s="1"/>
  <c r="S61" i="9"/>
  <c r="BH61" i="9" s="1"/>
  <c r="T62" i="9"/>
  <c r="BQ62" i="9" s="1"/>
  <c r="BJ63" i="9"/>
  <c r="P66" i="9"/>
  <c r="Q67" i="9"/>
  <c r="AX67" i="9" s="1"/>
  <c r="R68" i="9"/>
  <c r="AY68" i="9" s="1"/>
  <c r="S69" i="9"/>
  <c r="T70" i="9"/>
  <c r="BB71" i="9"/>
  <c r="P74" i="9"/>
  <c r="Q75" i="9"/>
  <c r="BN75" i="9" s="1"/>
  <c r="R76" i="9"/>
  <c r="BO76" i="9" s="1"/>
  <c r="S77" i="9"/>
  <c r="BP77" i="9" s="1"/>
  <c r="T78" i="9"/>
  <c r="BA78" i="9" s="1"/>
  <c r="BJ79" i="9"/>
  <c r="P82" i="9"/>
  <c r="Y82" i="9" s="1"/>
  <c r="Q83" i="9"/>
  <c r="BN83" i="9" s="1"/>
  <c r="R84" i="9"/>
  <c r="BG84" i="9" s="1"/>
  <c r="BR54" i="9"/>
  <c r="P57" i="9"/>
  <c r="Q58" i="9"/>
  <c r="BN58" i="9" s="1"/>
  <c r="R59" i="9"/>
  <c r="BG59" i="9" s="1"/>
  <c r="S60" i="9"/>
  <c r="BP60" i="9" s="1"/>
  <c r="T61" i="9"/>
  <c r="BI61" i="9" s="1"/>
  <c r="BJ62" i="9"/>
  <c r="P65" i="9"/>
  <c r="Q66" i="9"/>
  <c r="R67" i="9"/>
  <c r="S68" i="9"/>
  <c r="T69" i="9"/>
  <c r="P73" i="9"/>
  <c r="Q74" i="9"/>
  <c r="BN74" i="9" s="1"/>
  <c r="R75" i="9"/>
  <c r="BG75" i="9" s="1"/>
  <c r="S76" i="9"/>
  <c r="BP76" i="9" s="1"/>
  <c r="T77" i="9"/>
  <c r="BA77" i="9" s="1"/>
  <c r="BR78" i="9"/>
  <c r="P81" i="9"/>
  <c r="Y81" i="9" s="1"/>
  <c r="Q82" i="9"/>
  <c r="BN82" i="9" s="1"/>
  <c r="R83" i="9"/>
  <c r="BO83" i="9" s="1"/>
  <c r="S84" i="9"/>
  <c r="BP84" i="9" s="1"/>
  <c r="Q68" i="9"/>
  <c r="P56" i="9"/>
  <c r="Q57" i="9"/>
  <c r="BF57" i="9" s="1"/>
  <c r="R58" i="9"/>
  <c r="BO58" i="9" s="1"/>
  <c r="S59" i="9"/>
  <c r="BP59" i="9" s="1"/>
  <c r="T60" i="9"/>
  <c r="BI60" i="9" s="1"/>
  <c r="BR61" i="9"/>
  <c r="P64" i="9"/>
  <c r="Q65" i="9"/>
  <c r="BN65" i="9" s="1"/>
  <c r="R66" i="9"/>
  <c r="S67" i="9"/>
  <c r="T68" i="9"/>
  <c r="P72" i="9"/>
  <c r="Q73" i="9"/>
  <c r="BN73" i="9" s="1"/>
  <c r="R74" i="9"/>
  <c r="BO74" i="9" s="1"/>
  <c r="S75" i="9"/>
  <c r="BP75" i="9" s="1"/>
  <c r="T76" i="9"/>
  <c r="BI76" i="9" s="1"/>
  <c r="BR77" i="9"/>
  <c r="P80" i="9"/>
  <c r="Q81" i="9"/>
  <c r="BN81" i="9" s="1"/>
  <c r="R82" i="9"/>
  <c r="BG82" i="9" s="1"/>
  <c r="S83" i="9"/>
  <c r="BP83" i="9" s="1"/>
  <c r="T84" i="9"/>
  <c r="BI84" i="9" s="1"/>
  <c r="S63" i="9"/>
  <c r="AJ63" i="9" s="1"/>
  <c r="P55" i="9"/>
  <c r="Q56" i="9"/>
  <c r="BN56" i="9" s="1"/>
  <c r="R57" i="9"/>
  <c r="BO57" i="9" s="1"/>
  <c r="S58" i="9"/>
  <c r="BP58" i="9" s="1"/>
  <c r="T59" i="9"/>
  <c r="BQ59" i="9" s="1"/>
  <c r="BR60" i="9"/>
  <c r="P63" i="9"/>
  <c r="Q64" i="9"/>
  <c r="BF64" i="9" s="1"/>
  <c r="R65" i="9"/>
  <c r="BG65" i="9" s="1"/>
  <c r="S66" i="9"/>
  <c r="AZ66" i="9" s="1"/>
  <c r="T67" i="9"/>
  <c r="P71" i="9"/>
  <c r="Q72" i="9"/>
  <c r="R73" i="9"/>
  <c r="BO73" i="9" s="1"/>
  <c r="S74" i="9"/>
  <c r="BP74" i="9" s="1"/>
  <c r="T75" i="9"/>
  <c r="BQ75" i="9" s="1"/>
  <c r="BR76" i="9"/>
  <c r="P79" i="9"/>
  <c r="Q80" i="9"/>
  <c r="AX80" i="9" s="1"/>
  <c r="R81" i="9"/>
  <c r="BO81" i="9" s="1"/>
  <c r="S82" i="9"/>
  <c r="AZ82" i="9" s="1"/>
  <c r="T83" i="9"/>
  <c r="BQ83" i="9" s="1"/>
  <c r="BR84" i="9"/>
  <c r="P54" i="9"/>
  <c r="Z54" i="9" s="1"/>
  <c r="DJ54" i="9" s="1"/>
  <c r="Q55" i="9"/>
  <c r="BN55" i="9" s="1"/>
  <c r="R56" i="9"/>
  <c r="BO56" i="9" s="1"/>
  <c r="S57" i="9"/>
  <c r="BH57" i="9" s="1"/>
  <c r="T58" i="9"/>
  <c r="BQ58" i="9" s="1"/>
  <c r="BB59" i="9"/>
  <c r="P62" i="9"/>
  <c r="AH62" i="9" s="1"/>
  <c r="Q63" i="9"/>
  <c r="BN63" i="9" s="1"/>
  <c r="R64" i="9"/>
  <c r="BO64" i="9" s="1"/>
  <c r="S65" i="9"/>
  <c r="AZ65" i="9" s="1"/>
  <c r="T66" i="9"/>
  <c r="AM67" i="9"/>
  <c r="P70" i="9"/>
  <c r="AH70" i="9" s="1"/>
  <c r="Q71" i="9"/>
  <c r="R72" i="9"/>
  <c r="AJ72" i="9" s="1"/>
  <c r="S73" i="9"/>
  <c r="AK73" i="9" s="1"/>
  <c r="T74" i="9"/>
  <c r="BQ74" i="9" s="1"/>
  <c r="BJ75" i="9"/>
  <c r="P78" i="9"/>
  <c r="AH78" i="9" s="1"/>
  <c r="Q79" i="9"/>
  <c r="AI79" i="9" s="1"/>
  <c r="R80" i="9"/>
  <c r="BO80" i="9" s="1"/>
  <c r="S81" i="9"/>
  <c r="BH81" i="9" s="1"/>
  <c r="T82" i="9"/>
  <c r="BQ82" i="9" s="1"/>
  <c r="BR83" i="9"/>
  <c r="AL73" i="9"/>
  <c r="BJ64" i="9"/>
  <c r="BJ80" i="9"/>
  <c r="R55" i="9"/>
  <c r="BO55" i="9" s="1"/>
  <c r="S56" i="9"/>
  <c r="BP56" i="9" s="1"/>
  <c r="CT62" i="9"/>
  <c r="CW64" i="9"/>
  <c r="DE64" i="9" s="1"/>
  <c r="CU55" i="9"/>
  <c r="DC55" i="9" s="1"/>
  <c r="CX64" i="9"/>
  <c r="DF64" i="9" s="1"/>
  <c r="CV56" i="9"/>
  <c r="CU59" i="9"/>
  <c r="DC59" i="9" s="1"/>
  <c r="CT63" i="9"/>
  <c r="DB63" i="9" s="1"/>
  <c r="CV59" i="9"/>
  <c r="CU63" i="9"/>
  <c r="DC63" i="9" s="1"/>
  <c r="CW59" i="9"/>
  <c r="CV63" i="9"/>
  <c r="DD63" i="9" s="1"/>
  <c r="CY65" i="9"/>
  <c r="CX83" i="9"/>
  <c r="DF83" i="9" s="1"/>
  <c r="CT84" i="9"/>
  <c r="DB84" i="9" s="1"/>
  <c r="CY57" i="9"/>
  <c r="CU58" i="9"/>
  <c r="DC58" i="9" s="1"/>
  <c r="CY54" i="9"/>
  <c r="DG54" i="9" s="1"/>
  <c r="CY73" i="9"/>
  <c r="DG73" i="9" s="1"/>
  <c r="CT55" i="9"/>
  <c r="CW58" i="9"/>
  <c r="DE58" i="9" s="1"/>
  <c r="CV64" i="9"/>
  <c r="DD64" i="9" s="1"/>
  <c r="CU76" i="9"/>
  <c r="CU60" i="9"/>
  <c r="DC60" i="9" s="1"/>
  <c r="BK60" i="9"/>
  <c r="CT60" i="9"/>
  <c r="DB60" i="9" s="1"/>
  <c r="CX60" i="9"/>
  <c r="DF60" i="9" s="1"/>
  <c r="CW77" i="9"/>
  <c r="CU77" i="9"/>
  <c r="CX54" i="9"/>
  <c r="DF54" i="9" s="1"/>
  <c r="CX57" i="9"/>
  <c r="CT58" i="9"/>
  <c r="BK59" i="9"/>
  <c r="CY61" i="9"/>
  <c r="CX65" i="9"/>
  <c r="CY78" i="9"/>
  <c r="DG78" i="9" s="1"/>
  <c r="CV78" i="9"/>
  <c r="CU78" i="9"/>
  <c r="DC78" i="9" s="1"/>
  <c r="CW80" i="9"/>
  <c r="DE80" i="9" s="1"/>
  <c r="CU80" i="9"/>
  <c r="CT80" i="9"/>
  <c r="DB80" i="9" s="1"/>
  <c r="CV73" i="9"/>
  <c r="CT54" i="9"/>
  <c r="CV55" i="9"/>
  <c r="DD55" i="9" s="1"/>
  <c r="CT57" i="9"/>
  <c r="DB57" i="9" s="1"/>
  <c r="CX58" i="9"/>
  <c r="CX59" i="9"/>
  <c r="CU61" i="9"/>
  <c r="CV62" i="9"/>
  <c r="DD62" i="9" s="1"/>
  <c r="CW63" i="9"/>
  <c r="CY64" i="9"/>
  <c r="CU79" i="9"/>
  <c r="DC79" i="9" s="1"/>
  <c r="CU82" i="9"/>
  <c r="DC82" i="9" s="1"/>
  <c r="CY81" i="9"/>
  <c r="DG81" i="9" s="1"/>
  <c r="CX81" i="9"/>
  <c r="CV81" i="9"/>
  <c r="DD81" i="9" s="1"/>
  <c r="CU81" i="9"/>
  <c r="CY74" i="9"/>
  <c r="DG74" i="9" s="1"/>
  <c r="CX74" i="9"/>
  <c r="CY59" i="9"/>
  <c r="DG59" i="9" s="1"/>
  <c r="CV61" i="9"/>
  <c r="CW62" i="9"/>
  <c r="DE62" i="9" s="1"/>
  <c r="BG63" i="9"/>
  <c r="CX63" i="9"/>
  <c r="DF63" i="9" s="1"/>
  <c r="CU65" i="9"/>
  <c r="CT74" i="9"/>
  <c r="BI81" i="9"/>
  <c r="CY84" i="9"/>
  <c r="CX84" i="9"/>
  <c r="DF84" i="9" s="1"/>
  <c r="CV84" i="9"/>
  <c r="CW56" i="9"/>
  <c r="CX82" i="9"/>
  <c r="DF82" i="9" s="1"/>
  <c r="CW82" i="9"/>
  <c r="CW75" i="9"/>
  <c r="CT75" i="9"/>
  <c r="DB75" i="9" s="1"/>
  <c r="CV54" i="9"/>
  <c r="DD54" i="9" s="1"/>
  <c r="CX55" i="9"/>
  <c r="CW61" i="9"/>
  <c r="DE61" i="9" s="1"/>
  <c r="CX62" i="9"/>
  <c r="CY63" i="9"/>
  <c r="DG63" i="9" s="1"/>
  <c r="CU74" i="9"/>
  <c r="DC74" i="9" s="1"/>
  <c r="CX77" i="9"/>
  <c r="CY79" i="9"/>
  <c r="DG79" i="9" s="1"/>
  <c r="CX79" i="9"/>
  <c r="DF79" i="9" s="1"/>
  <c r="CW79" i="9"/>
  <c r="CV79" i="9"/>
  <c r="CT61" i="9"/>
  <c r="CT83" i="9"/>
  <c r="CY83" i="9"/>
  <c r="DG83" i="9" s="1"/>
  <c r="CY76" i="9"/>
  <c r="CX76" i="9"/>
  <c r="DF76" i="9" s="1"/>
  <c r="CW76" i="9"/>
  <c r="DE76" i="9" s="1"/>
  <c r="CT73" i="9"/>
  <c r="CY77" i="9"/>
  <c r="CX80" i="9"/>
  <c r="DF80" i="9" s="1"/>
  <c r="BH80" i="9"/>
  <c r="BA57" i="9"/>
  <c r="BI57" i="9"/>
  <c r="BF54" i="9"/>
  <c r="BI65" i="9"/>
  <c r="BH64" i="9"/>
  <c r="BJ58" i="9"/>
  <c r="BF62" i="9"/>
  <c r="BC68" i="9"/>
  <c r="BI73" i="9"/>
  <c r="BJ74" i="9"/>
  <c r="BF78" i="9"/>
  <c r="BJ82" i="9"/>
  <c r="BK75" i="9"/>
  <c r="BG79" i="9"/>
  <c r="BB82" i="9"/>
  <c r="BK83" i="9"/>
  <c r="BK76" i="9"/>
  <c r="BK84" i="9"/>
  <c r="I50" i="17"/>
  <c r="BZ100" i="9" s="1"/>
  <c r="I49" i="17"/>
  <c r="BX99" i="9" s="1"/>
  <c r="F7" i="18"/>
  <c r="C9" i="18" s="1"/>
  <c r="C10" i="18" s="1"/>
  <c r="CF104" i="9" l="1"/>
  <c r="CG104" i="9"/>
  <c r="CG101" i="9"/>
  <c r="CP101" i="9" s="1"/>
  <c r="CF101" i="9"/>
  <c r="CO101" i="9" s="1"/>
  <c r="CG95" i="9"/>
  <c r="CP95" i="9" s="1"/>
  <c r="CF95" i="9"/>
  <c r="CO95" i="9" s="1"/>
  <c r="CG102" i="9"/>
  <c r="CP102" i="9" s="1"/>
  <c r="CF102" i="9"/>
  <c r="CO102" i="9" s="1"/>
  <c r="CG90" i="9"/>
  <c r="CF90" i="9"/>
  <c r="CO90" i="9" s="1"/>
  <c r="CG105" i="9"/>
  <c r="CP105" i="9" s="1"/>
  <c r="CX105" i="9" s="1"/>
  <c r="DF105" i="9" s="1"/>
  <c r="CF105" i="9"/>
  <c r="CO105" i="9" s="1"/>
  <c r="CW105" i="9" s="1"/>
  <c r="DE105" i="9" s="1"/>
  <c r="CG94" i="9"/>
  <c r="CP94" i="9" s="1"/>
  <c r="CF94" i="9"/>
  <c r="CO94" i="9" s="1"/>
  <c r="CF97" i="9"/>
  <c r="CO97" i="9" s="1"/>
  <c r="CG97" i="9"/>
  <c r="CP97" i="9" s="1"/>
  <c r="CF88" i="9"/>
  <c r="CG88" i="9"/>
  <c r="CP88" i="9" s="1"/>
  <c r="CG103" i="9"/>
  <c r="CF103" i="9"/>
  <c r="CO103" i="9" s="1"/>
  <c r="CF92" i="9"/>
  <c r="CO92" i="9" s="1"/>
  <c r="CG92" i="9"/>
  <c r="CP92" i="9" s="1"/>
  <c r="CG93" i="9"/>
  <c r="CP93" i="9" s="1"/>
  <c r="CF93" i="9"/>
  <c r="CO93" i="9" s="1"/>
  <c r="CG107" i="9"/>
  <c r="CP107" i="9" s="1"/>
  <c r="CX107" i="9" s="1"/>
  <c r="DF107" i="9" s="1"/>
  <c r="CF107" i="9"/>
  <c r="CO107" i="9" s="1"/>
  <c r="CG106" i="9"/>
  <c r="CP106" i="9" s="1"/>
  <c r="CF106" i="9"/>
  <c r="CO106" i="9" s="1"/>
  <c r="CF89" i="9"/>
  <c r="CO89" i="9" s="1"/>
  <c r="CG89" i="9"/>
  <c r="CP89" i="9" s="1"/>
  <c r="CG98" i="9"/>
  <c r="CP98" i="9" s="1"/>
  <c r="CF98" i="9"/>
  <c r="CO98" i="9" s="1"/>
  <c r="CF96" i="9"/>
  <c r="CO96" i="9" s="1"/>
  <c r="CG96" i="9"/>
  <c r="CP96" i="9" s="1"/>
  <c r="CF91" i="9"/>
  <c r="CO91" i="9" s="1"/>
  <c r="CG91" i="9"/>
  <c r="CP91" i="9" s="1"/>
  <c r="CE104" i="9"/>
  <c r="CN104" i="9" s="1"/>
  <c r="CP104" i="9"/>
  <c r="CE103" i="9"/>
  <c r="CN103" i="9" s="1"/>
  <c r="CP103" i="9"/>
  <c r="CE101" i="9"/>
  <c r="CN101" i="9" s="1"/>
  <c r="CE92" i="9"/>
  <c r="CN92" i="9" s="1"/>
  <c r="CE93" i="9"/>
  <c r="CN93" i="9" s="1"/>
  <c r="CE107" i="9"/>
  <c r="CN107" i="9" s="1"/>
  <c r="CE90" i="9"/>
  <c r="CP90" i="9"/>
  <c r="CE95" i="9"/>
  <c r="CN95" i="9" s="1"/>
  <c r="CE102" i="9"/>
  <c r="CN102" i="9" s="1"/>
  <c r="CE105" i="9"/>
  <c r="CN105" i="9" s="1"/>
  <c r="CV105" i="9" s="1"/>
  <c r="DD105" i="9" s="1"/>
  <c r="CE94" i="9"/>
  <c r="CN94" i="9" s="1"/>
  <c r="CE97" i="9"/>
  <c r="CN97" i="9" s="1"/>
  <c r="CE88" i="9"/>
  <c r="CN88" i="9" s="1"/>
  <c r="CO88" i="9"/>
  <c r="CE106" i="9"/>
  <c r="CN106" i="9" s="1"/>
  <c r="CE89" i="9"/>
  <c r="CN89" i="9" s="1"/>
  <c r="CE98" i="9"/>
  <c r="CN98" i="9" s="1"/>
  <c r="CE96" i="9"/>
  <c r="CN96" i="9" s="1"/>
  <c r="CE91" i="9"/>
  <c r="CN91" i="9" s="1"/>
  <c r="CI101" i="9"/>
  <c r="CR101" i="9" s="1"/>
  <c r="CH101" i="9"/>
  <c r="CQ101" i="9" s="1"/>
  <c r="CI92" i="9"/>
  <c r="CR92" i="9" s="1"/>
  <c r="CH92" i="9"/>
  <c r="CQ92" i="9" s="1"/>
  <c r="CI93" i="9"/>
  <c r="CR93" i="9" s="1"/>
  <c r="CH93" i="9"/>
  <c r="CQ93" i="9" s="1"/>
  <c r="CH103" i="9"/>
  <c r="CQ103" i="9" s="1"/>
  <c r="CI103" i="9"/>
  <c r="CR103" i="9" s="1"/>
  <c r="CH107" i="9"/>
  <c r="CQ107" i="9" s="1"/>
  <c r="CI107" i="9"/>
  <c r="CR107" i="9" s="1"/>
  <c r="CH90" i="9"/>
  <c r="CQ90" i="9" s="1"/>
  <c r="CI90" i="9"/>
  <c r="CR90" i="9" s="1"/>
  <c r="CH95" i="9"/>
  <c r="CQ95" i="9" s="1"/>
  <c r="CI95" i="9"/>
  <c r="CR95" i="9" s="1"/>
  <c r="CH102" i="9"/>
  <c r="CQ102" i="9" s="1"/>
  <c r="CI102" i="9"/>
  <c r="CR102" i="9" s="1"/>
  <c r="CH105" i="9"/>
  <c r="CQ105" i="9" s="1"/>
  <c r="CY105" i="9" s="1"/>
  <c r="DG105" i="9" s="1"/>
  <c r="CI105" i="9"/>
  <c r="CR105" i="9" s="1"/>
  <c r="CH94" i="9"/>
  <c r="CQ94" i="9" s="1"/>
  <c r="CI94" i="9"/>
  <c r="CR94" i="9" s="1"/>
  <c r="CH97" i="9"/>
  <c r="CQ97" i="9" s="1"/>
  <c r="CI97" i="9"/>
  <c r="CR97" i="9" s="1"/>
  <c r="CH88" i="9"/>
  <c r="CQ88" i="9" s="1"/>
  <c r="CI88" i="9"/>
  <c r="CR88" i="9" s="1"/>
  <c r="CO104" i="9"/>
  <c r="CH104" i="9"/>
  <c r="CQ104" i="9" s="1"/>
  <c r="CI104" i="9"/>
  <c r="CR104" i="9" s="1"/>
  <c r="CH106" i="9"/>
  <c r="CQ106" i="9" s="1"/>
  <c r="CI106" i="9"/>
  <c r="CH89" i="9"/>
  <c r="CQ89" i="9" s="1"/>
  <c r="CI89" i="9"/>
  <c r="CR89" i="9" s="1"/>
  <c r="CH98" i="9"/>
  <c r="CQ98" i="9" s="1"/>
  <c r="CI98" i="9"/>
  <c r="CR98" i="9" s="1"/>
  <c r="CH96" i="9"/>
  <c r="CQ96" i="9" s="1"/>
  <c r="CI96" i="9"/>
  <c r="CR96" i="9" s="1"/>
  <c r="CH91" i="9"/>
  <c r="CQ91" i="9" s="1"/>
  <c r="CI91" i="9"/>
  <c r="CR91" i="9" s="1"/>
  <c r="CT105" i="9"/>
  <c r="DB105" i="9" s="1"/>
  <c r="CU105" i="9"/>
  <c r="DC105" i="9" s="1"/>
  <c r="DD76" i="9"/>
  <c r="BF56" i="9"/>
  <c r="BG57" i="9"/>
  <c r="BH74" i="9"/>
  <c r="BS54" i="9"/>
  <c r="AN54" i="9"/>
  <c r="AN97" i="9"/>
  <c r="AN70" i="9"/>
  <c r="AM58" i="9"/>
  <c r="AN58" i="9"/>
  <c r="AN89" i="9"/>
  <c r="BS78" i="9"/>
  <c r="AN78" i="9"/>
  <c r="BS55" i="9"/>
  <c r="AN55" i="9"/>
  <c r="AN93" i="9"/>
  <c r="AN88" i="9"/>
  <c r="BS81" i="9"/>
  <c r="AN81" i="9"/>
  <c r="AM82" i="9"/>
  <c r="AN82" i="9"/>
  <c r="AN63" i="9"/>
  <c r="BS57" i="9"/>
  <c r="AN57" i="9"/>
  <c r="AN95" i="9"/>
  <c r="BS105" i="9"/>
  <c r="AN105" i="9"/>
  <c r="AN104" i="9"/>
  <c r="AN102" i="9"/>
  <c r="AN91" i="9"/>
  <c r="BC77" i="9"/>
  <c r="AN77" i="9"/>
  <c r="AN107" i="9"/>
  <c r="BS73" i="9"/>
  <c r="AN73" i="9"/>
  <c r="BK62" i="9"/>
  <c r="AN62" i="9"/>
  <c r="AN71" i="9"/>
  <c r="BS56" i="9"/>
  <c r="AN56" i="9"/>
  <c r="BK74" i="9"/>
  <c r="AN74" i="9"/>
  <c r="AN98" i="9"/>
  <c r="BS80" i="9"/>
  <c r="AN80" i="9"/>
  <c r="AM66" i="9"/>
  <c r="AN66" i="9"/>
  <c r="AN90" i="9"/>
  <c r="AN94" i="9"/>
  <c r="BS61" i="9"/>
  <c r="AN61" i="9"/>
  <c r="BS79" i="9"/>
  <c r="AN79" i="9"/>
  <c r="BS64" i="9"/>
  <c r="AN64" i="9"/>
  <c r="BS65" i="9"/>
  <c r="AN65" i="9"/>
  <c r="AN92" i="9"/>
  <c r="AN69" i="9"/>
  <c r="AN72" i="9"/>
  <c r="AN101" i="9"/>
  <c r="AN106" i="9"/>
  <c r="AN103" i="9"/>
  <c r="AN96" i="9"/>
  <c r="AI54" i="9"/>
  <c r="BI62" i="9"/>
  <c r="DC84" i="9"/>
  <c r="BF58" i="9"/>
  <c r="AK57" i="9"/>
  <c r="BA72" i="9"/>
  <c r="BJ84" i="9"/>
  <c r="BI75" i="9"/>
  <c r="BK57" i="9"/>
  <c r="AM84" i="9"/>
  <c r="AJ57" i="9"/>
  <c r="AX56" i="9"/>
  <c r="AX75" i="9"/>
  <c r="DD73" i="9"/>
  <c r="AM63" i="9"/>
  <c r="BG105" i="9"/>
  <c r="BN80" i="9"/>
  <c r="BN106" i="9"/>
  <c r="BS106" i="9"/>
  <c r="BO106" i="9"/>
  <c r="BR106" i="9"/>
  <c r="BP106" i="9"/>
  <c r="BQ106" i="9"/>
  <c r="BO65" i="9"/>
  <c r="BQ64" i="9"/>
  <c r="BJ54" i="9"/>
  <c r="BO107" i="9"/>
  <c r="BP107" i="9"/>
  <c r="BQ107" i="9"/>
  <c r="BN107" i="9"/>
  <c r="BR107" i="9"/>
  <c r="BS107" i="9"/>
  <c r="R99" i="9"/>
  <c r="BR71" i="9"/>
  <c r="BN71" i="9"/>
  <c r="BS71" i="9"/>
  <c r="BO71" i="9"/>
  <c r="BP71" i="9"/>
  <c r="BQ71" i="9"/>
  <c r="R100" i="9"/>
  <c r="BK82" i="9"/>
  <c r="BJ55" i="9"/>
  <c r="BG62" i="9"/>
  <c r="Z82" i="9"/>
  <c r="DJ82" i="9" s="1"/>
  <c r="BV100" i="9"/>
  <c r="BY100" i="9"/>
  <c r="CA99" i="9"/>
  <c r="BW99" i="9"/>
  <c r="BN61" i="9"/>
  <c r="BP63" i="9"/>
  <c r="BN79" i="9"/>
  <c r="BO82" i="9"/>
  <c r="BQ76" i="9"/>
  <c r="BP57" i="9"/>
  <c r="BS62" i="9"/>
  <c r="BQ78" i="9"/>
  <c r="BR59" i="9"/>
  <c r="BR56" i="9"/>
  <c r="BN72" i="9"/>
  <c r="BO72" i="9"/>
  <c r="BP72" i="9"/>
  <c r="BQ72" i="9"/>
  <c r="BS72" i="9"/>
  <c r="BR72" i="9"/>
  <c r="BC82" i="9"/>
  <c r="Q100" i="9"/>
  <c r="Q99" i="9"/>
  <c r="AI96" i="9"/>
  <c r="BS77" i="9"/>
  <c r="BS82" i="9"/>
  <c r="BR62" i="9"/>
  <c r="BN64" i="9"/>
  <c r="BP66" i="9"/>
  <c r="BQ66" i="9"/>
  <c r="BR66" i="9"/>
  <c r="BO66" i="9"/>
  <c r="BS66" i="9"/>
  <c r="BN66" i="9"/>
  <c r="BX100" i="9"/>
  <c r="BZ99" i="9"/>
  <c r="BV99" i="9"/>
  <c r="BQ77" i="9"/>
  <c r="BS63" i="9"/>
  <c r="BR79" i="9"/>
  <c r="BS74" i="9"/>
  <c r="BQ60" i="9"/>
  <c r="BN57" i="9"/>
  <c r="BO75" i="9"/>
  <c r="BR67" i="9"/>
  <c r="BN67" i="9"/>
  <c r="BS67" i="9"/>
  <c r="BQ67" i="9"/>
  <c r="BO67" i="9"/>
  <c r="BP67" i="9"/>
  <c r="BP70" i="9"/>
  <c r="BO70" i="9"/>
  <c r="BQ70" i="9"/>
  <c r="BR70" i="9"/>
  <c r="BS70" i="9"/>
  <c r="BN70" i="9"/>
  <c r="BK65" i="9"/>
  <c r="AX79" i="9"/>
  <c r="T100" i="9"/>
  <c r="P100" i="9"/>
  <c r="Y100" i="9" s="1"/>
  <c r="T99" i="9"/>
  <c r="P99" i="9"/>
  <c r="Y99" i="9" s="1"/>
  <c r="BR80" i="9"/>
  <c r="BP81" i="9"/>
  <c r="BN68" i="9"/>
  <c r="BO68" i="9"/>
  <c r="BP68" i="9"/>
  <c r="BS68" i="9"/>
  <c r="BQ68" i="9"/>
  <c r="BR68" i="9"/>
  <c r="AA82" i="9"/>
  <c r="CA100" i="9"/>
  <c r="BW100" i="9"/>
  <c r="BY99" i="9"/>
  <c r="BR63" i="9"/>
  <c r="BP82" i="9"/>
  <c r="BQ80" i="9"/>
  <c r="BR81" i="9"/>
  <c r="BN69" i="9"/>
  <c r="BO69" i="9"/>
  <c r="BP69" i="9"/>
  <c r="BR69" i="9"/>
  <c r="BQ69" i="9"/>
  <c r="BS69" i="9"/>
  <c r="S100" i="9"/>
  <c r="S99" i="9"/>
  <c r="BQ84" i="9"/>
  <c r="BQ61" i="9"/>
  <c r="BS58" i="9"/>
  <c r="BP73" i="9"/>
  <c r="BN60" i="9"/>
  <c r="BO59" i="9"/>
  <c r="BR64" i="9"/>
  <c r="BB64" i="9"/>
  <c r="BO84" i="9"/>
  <c r="BP61" i="9"/>
  <c r="BP79" i="9"/>
  <c r="BR73" i="9"/>
  <c r="BR57" i="9"/>
  <c r="BP65" i="9"/>
  <c r="BR75" i="9"/>
  <c r="AL84" i="9"/>
  <c r="EH105" i="9"/>
  <c r="AI105" i="9"/>
  <c r="AX105" i="9"/>
  <c r="AK103" i="9"/>
  <c r="Y98" i="9"/>
  <c r="Z98" i="9" s="1"/>
  <c r="AH98" i="9"/>
  <c r="AK66" i="9"/>
  <c r="AZ62" i="9"/>
  <c r="AA83" i="9"/>
  <c r="Y92" i="9"/>
  <c r="Z92" i="9" s="1"/>
  <c r="AH92" i="9"/>
  <c r="AI93" i="9"/>
  <c r="AJ93" i="9"/>
  <c r="EK106" i="9"/>
  <c r="AL106" i="9"/>
  <c r="BA106" i="9"/>
  <c r="Y105" i="9"/>
  <c r="Z105" i="9" s="1"/>
  <c r="AH105" i="9"/>
  <c r="AH89" i="9"/>
  <c r="Y89" i="9"/>
  <c r="Z89" i="9" s="1"/>
  <c r="AD97" i="9"/>
  <c r="AE97" i="9" s="1"/>
  <c r="AF97" i="9" s="1"/>
  <c r="AJ101" i="9"/>
  <c r="AH93" i="9"/>
  <c r="Y93" i="9"/>
  <c r="Z93" i="9" s="1"/>
  <c r="AA93" i="9" s="1"/>
  <c r="FO93" i="9" s="1"/>
  <c r="EJ106" i="9"/>
  <c r="AZ106" i="9"/>
  <c r="AK106" i="9"/>
  <c r="BK107" i="9"/>
  <c r="EM107" i="9"/>
  <c r="BC107" i="9"/>
  <c r="AJ103" i="9"/>
  <c r="AI91" i="9"/>
  <c r="AJ91" i="9"/>
  <c r="AI88" i="9"/>
  <c r="BF107" i="9"/>
  <c r="BI107" i="9"/>
  <c r="BJ107" i="9"/>
  <c r="CT107" i="9"/>
  <c r="DB107" i="9" s="1"/>
  <c r="CU107" i="9"/>
  <c r="DC107" i="9" s="1"/>
  <c r="BG107" i="9"/>
  <c r="BH107" i="9"/>
  <c r="AI101" i="9"/>
  <c r="EK107" i="9"/>
  <c r="AL107" i="9"/>
  <c r="BA107" i="9"/>
  <c r="EL107" i="9"/>
  <c r="AM107" i="9"/>
  <c r="BB107" i="9"/>
  <c r="AJ102" i="9"/>
  <c r="Y91" i="9"/>
  <c r="Z91" i="9" s="1"/>
  <c r="AA91" i="9" s="1"/>
  <c r="FO91" i="9" s="1"/>
  <c r="AH91" i="9"/>
  <c r="Y88" i="9"/>
  <c r="Z88" i="9" s="1"/>
  <c r="AH88" i="9"/>
  <c r="BK63" i="9"/>
  <c r="BB69" i="9"/>
  <c r="Z83" i="9"/>
  <c r="DJ83" i="9" s="1"/>
  <c r="BA75" i="9"/>
  <c r="EI106" i="9"/>
  <c r="AJ106" i="9"/>
  <c r="AY106" i="9"/>
  <c r="EJ107" i="9"/>
  <c r="AK107" i="9"/>
  <c r="AZ107" i="9"/>
  <c r="EM105" i="9"/>
  <c r="BC105" i="9"/>
  <c r="AJ97" i="9"/>
  <c r="AI103" i="9"/>
  <c r="AI102" i="9"/>
  <c r="AB90" i="9"/>
  <c r="AI65" i="9"/>
  <c r="AL64" i="9"/>
  <c r="AX55" i="9"/>
  <c r="AK68" i="9"/>
  <c r="CT106" i="9"/>
  <c r="DB106" i="9" s="1"/>
  <c r="BH106" i="9"/>
  <c r="BI106" i="9"/>
  <c r="BK106" i="9"/>
  <c r="BF106" i="9"/>
  <c r="BG106" i="9"/>
  <c r="Y101" i="9"/>
  <c r="Z101" i="9" s="1"/>
  <c r="AH101" i="9"/>
  <c r="EH106" i="9"/>
  <c r="AX106" i="9"/>
  <c r="AI106" i="9"/>
  <c r="BF105" i="9"/>
  <c r="Y102" i="9"/>
  <c r="Z102" i="9" s="1"/>
  <c r="FV102" i="9" s="1"/>
  <c r="AH102" i="9"/>
  <c r="AL72" i="9"/>
  <c r="AA81" i="9"/>
  <c r="AX57" i="9"/>
  <c r="AZ54" i="9"/>
  <c r="Y106" i="9"/>
  <c r="Z106" i="9" s="1"/>
  <c r="AH106" i="9"/>
  <c r="AJ107" i="9"/>
  <c r="EI107" i="9"/>
  <c r="AY107" i="9"/>
  <c r="AI95" i="9"/>
  <c r="AM105" i="9"/>
  <c r="EL105" i="9"/>
  <c r="BB105" i="9"/>
  <c r="AI97" i="9"/>
  <c r="AH103" i="9"/>
  <c r="Y103" i="9"/>
  <c r="Z103" i="9" s="1"/>
  <c r="AA103" i="9" s="1"/>
  <c r="FO103" i="9" s="1"/>
  <c r="AJ96" i="9"/>
  <c r="AI90" i="9"/>
  <c r="AI84" i="9"/>
  <c r="BK105" i="9"/>
  <c r="BC63" i="9"/>
  <c r="AJ74" i="9"/>
  <c r="BI83" i="9"/>
  <c r="Z84" i="9"/>
  <c r="DJ84" i="9" s="1"/>
  <c r="DR84" i="9" s="1"/>
  <c r="AY65" i="9"/>
  <c r="BA62" i="9"/>
  <c r="Y95" i="9"/>
  <c r="Z95" i="9" s="1"/>
  <c r="AH95" i="9"/>
  <c r="EK105" i="9"/>
  <c r="AL105" i="9"/>
  <c r="BA105" i="9"/>
  <c r="AK104" i="9"/>
  <c r="BJ105" i="9"/>
  <c r="AI94" i="9"/>
  <c r="AH97" i="9"/>
  <c r="Y97" i="9"/>
  <c r="Z97" i="9" s="1"/>
  <c r="AA97" i="9" s="1"/>
  <c r="FO97" i="9" s="1"/>
  <c r="AH90" i="9"/>
  <c r="Y90" i="9"/>
  <c r="Z90" i="9" s="1"/>
  <c r="EM106" i="9"/>
  <c r="BC106" i="9"/>
  <c r="EH107" i="9"/>
  <c r="AI107" i="9"/>
  <c r="AX107" i="9"/>
  <c r="AJ104" i="9"/>
  <c r="BI105" i="9"/>
  <c r="Y94" i="9"/>
  <c r="Z94" i="9" s="1"/>
  <c r="AH94" i="9"/>
  <c r="AZ74" i="9"/>
  <c r="BA83" i="9"/>
  <c r="AY66" i="9"/>
  <c r="Y107" i="9"/>
  <c r="Z107" i="9" s="1"/>
  <c r="AH107" i="9"/>
  <c r="EJ105" i="9"/>
  <c r="AK105" i="9"/>
  <c r="AZ105" i="9"/>
  <c r="AI104" i="9"/>
  <c r="BH105" i="9"/>
  <c r="AJ98" i="9"/>
  <c r="Y96" i="9"/>
  <c r="Z96" i="9" s="1"/>
  <c r="AH96" i="9"/>
  <c r="Z81" i="9"/>
  <c r="AY78" i="9"/>
  <c r="BB80" i="9"/>
  <c r="AI92" i="9"/>
  <c r="BJ106" i="9"/>
  <c r="BB106" i="9"/>
  <c r="EL106" i="9"/>
  <c r="AM106" i="9"/>
  <c r="AJ105" i="9"/>
  <c r="EI105" i="9"/>
  <c r="AY105" i="9"/>
  <c r="Y104" i="9"/>
  <c r="Z104" i="9" s="1"/>
  <c r="AH104" i="9"/>
  <c r="AI89" i="9"/>
  <c r="AI98" i="9"/>
  <c r="BA58" i="9"/>
  <c r="AZ67" i="9"/>
  <c r="BC64" i="9"/>
  <c r="AZ58" i="9"/>
  <c r="BB72" i="9"/>
  <c r="AY80" i="9"/>
  <c r="BC73" i="9"/>
  <c r="BA59" i="9"/>
  <c r="BB67" i="9"/>
  <c r="AX66" i="9"/>
  <c r="AY62" i="9"/>
  <c r="BA71" i="9"/>
  <c r="BA79" i="9"/>
  <c r="BB83" i="9"/>
  <c r="AX68" i="9"/>
  <c r="AY73" i="9"/>
  <c r="AZ59" i="9"/>
  <c r="BC56" i="9"/>
  <c r="AY54" i="9"/>
  <c r="AX83" i="9"/>
  <c r="AZ78" i="9"/>
  <c r="BB76" i="9"/>
  <c r="AX82" i="9"/>
  <c r="AX71" i="9"/>
  <c r="BB77" i="9"/>
  <c r="AX84" i="9"/>
  <c r="BB68" i="9"/>
  <c r="AZ76" i="9"/>
  <c r="AZ75" i="9"/>
  <c r="BA66" i="9"/>
  <c r="AX76" i="9"/>
  <c r="BC54" i="9"/>
  <c r="BA70" i="9"/>
  <c r="AY61" i="9"/>
  <c r="BC81" i="9"/>
  <c r="AZ68" i="9"/>
  <c r="AY74" i="9"/>
  <c r="BC71" i="9"/>
  <c r="BC70" i="9"/>
  <c r="BA67" i="9"/>
  <c r="BC72" i="9"/>
  <c r="BB63" i="9"/>
  <c r="BB84" i="9"/>
  <c r="AZ83" i="9"/>
  <c r="AX74" i="9"/>
  <c r="AX81" i="9"/>
  <c r="AY60" i="9"/>
  <c r="BB70" i="9"/>
  <c r="BC57" i="9"/>
  <c r="BC78" i="9"/>
  <c r="BA69" i="9"/>
  <c r="AZ60" i="9"/>
  <c r="AY76" i="9"/>
  <c r="BA55" i="9"/>
  <c r="AZ56" i="9"/>
  <c r="AZ69" i="9"/>
  <c r="BA63" i="9"/>
  <c r="BB78" i="9"/>
  <c r="AX59" i="9"/>
  <c r="BC65" i="9"/>
  <c r="AX58" i="9"/>
  <c r="BB55" i="9"/>
  <c r="BC55" i="9"/>
  <c r="BC80" i="9"/>
  <c r="AI64" i="9"/>
  <c r="BI79" i="9"/>
  <c r="AI69" i="9"/>
  <c r="BI74" i="9"/>
  <c r="Z69" i="9"/>
  <c r="AA69" i="9" s="1"/>
  <c r="FO69" i="9" s="1"/>
  <c r="AX60" i="9"/>
  <c r="Z60" i="9"/>
  <c r="AA60" i="9" s="1"/>
  <c r="AL77" i="9"/>
  <c r="BH58" i="9"/>
  <c r="BK58" i="9"/>
  <c r="AH80" i="9"/>
  <c r="AM69" i="9"/>
  <c r="AL76" i="9"/>
  <c r="AJ58" i="9"/>
  <c r="AK76" i="9"/>
  <c r="AJ67" i="9"/>
  <c r="AY72" i="9"/>
  <c r="BI64" i="9"/>
  <c r="AY84" i="9"/>
  <c r="AM76" i="9"/>
  <c r="BA76" i="9"/>
  <c r="AK64" i="9"/>
  <c r="AZ57" i="9"/>
  <c r="BF79" i="9"/>
  <c r="BF75" i="9"/>
  <c r="AY58" i="9"/>
  <c r="BH54" i="9"/>
  <c r="AZ84" i="9"/>
  <c r="BJ76" i="9"/>
  <c r="BH76" i="9"/>
  <c r="BH75" i="9"/>
  <c r="AI58" i="9"/>
  <c r="BK56" i="9"/>
  <c r="AI62" i="9"/>
  <c r="BA84" i="9"/>
  <c r="Z58" i="9"/>
  <c r="AA58" i="9" s="1"/>
  <c r="FO58" i="9" s="1"/>
  <c r="AH60" i="9"/>
  <c r="BG58" i="9"/>
  <c r="AK75" i="9"/>
  <c r="BF84" i="9"/>
  <c r="AL67" i="9"/>
  <c r="AY67" i="9"/>
  <c r="AI57" i="9"/>
  <c r="BF83" i="9"/>
  <c r="AK67" i="9"/>
  <c r="AL55" i="9"/>
  <c r="AL71" i="9"/>
  <c r="BI55" i="9"/>
  <c r="AK55" i="9"/>
  <c r="AY64" i="9"/>
  <c r="AI72" i="9"/>
  <c r="AX64" i="9"/>
  <c r="Z75" i="9"/>
  <c r="DJ75" i="9" s="1"/>
  <c r="DE63" i="9"/>
  <c r="AH69" i="9"/>
  <c r="AY70" i="9"/>
  <c r="AK71" i="9"/>
  <c r="BH63" i="9"/>
  <c r="AY59" i="9"/>
  <c r="AI67" i="9"/>
  <c r="BK61" i="9"/>
  <c r="BH68" i="9"/>
  <c r="AH75" i="9"/>
  <c r="BJ83" i="9"/>
  <c r="Z62" i="9"/>
  <c r="AA62" i="9" s="1"/>
  <c r="AL82" i="9"/>
  <c r="BI77" i="9"/>
  <c r="BI82" i="9"/>
  <c r="DD56" i="9"/>
  <c r="BC61" i="9"/>
  <c r="BA82" i="9"/>
  <c r="BG60" i="9"/>
  <c r="BF80" i="9"/>
  <c r="AI60" i="9"/>
  <c r="AJ76" i="9"/>
  <c r="AI80" i="9"/>
  <c r="BB81" i="9"/>
  <c r="BJ61" i="9"/>
  <c r="DG57" i="9"/>
  <c r="BG81" i="9"/>
  <c r="AH54" i="9"/>
  <c r="AJ55" i="9"/>
  <c r="AX72" i="9"/>
  <c r="BB54" i="9"/>
  <c r="BH55" i="9"/>
  <c r="BF73" i="9"/>
  <c r="BB73" i="9"/>
  <c r="AK74" i="9"/>
  <c r="DF59" i="9"/>
  <c r="AZ55" i="9"/>
  <c r="BH60" i="9"/>
  <c r="BG64" i="9"/>
  <c r="BF63" i="9"/>
  <c r="AM80" i="9"/>
  <c r="AK56" i="9"/>
  <c r="BI56" i="9"/>
  <c r="AL65" i="9"/>
  <c r="AY57" i="9"/>
  <c r="AK81" i="9"/>
  <c r="AM78" i="9"/>
  <c r="BC74" i="9"/>
  <c r="AL75" i="9"/>
  <c r="AH82" i="9"/>
  <c r="AJ78" i="9"/>
  <c r="BC66" i="9"/>
  <c r="AJ66" i="9"/>
  <c r="AM56" i="9"/>
  <c r="Z68" i="9"/>
  <c r="DJ68" i="9" s="1"/>
  <c r="DR68" i="9" s="1"/>
  <c r="AJ62" i="9"/>
  <c r="BC79" i="9"/>
  <c r="AJ60" i="9"/>
  <c r="BI78" i="9"/>
  <c r="BH78" i="9"/>
  <c r="BB65" i="9"/>
  <c r="AL74" i="9"/>
  <c r="AK79" i="9"/>
  <c r="AZ81" i="9"/>
  <c r="BF61" i="9"/>
  <c r="BA56" i="9"/>
  <c r="AJ56" i="9"/>
  <c r="AL54" i="9"/>
  <c r="BA54" i="9"/>
  <c r="BK78" i="9"/>
  <c r="AI71" i="9"/>
  <c r="BG54" i="9"/>
  <c r="AM72" i="9"/>
  <c r="AL79" i="9"/>
  <c r="AJ79" i="9"/>
  <c r="AH61" i="9"/>
  <c r="DB58" i="9"/>
  <c r="BA74" i="9"/>
  <c r="AL78" i="9"/>
  <c r="BK73" i="9"/>
  <c r="Z77" i="9"/>
  <c r="DJ77" i="9" s="1"/>
  <c r="DR77" i="9" s="1"/>
  <c r="BH59" i="9"/>
  <c r="BH56" i="9"/>
  <c r="AZ71" i="9"/>
  <c r="AK54" i="9"/>
  <c r="BK77" i="9"/>
  <c r="Z71" i="9"/>
  <c r="AA71" i="9" s="1"/>
  <c r="AZ79" i="9"/>
  <c r="BJ59" i="9"/>
  <c r="BG80" i="9"/>
  <c r="BG78" i="9"/>
  <c r="AJ73" i="9"/>
  <c r="AJ61" i="9"/>
  <c r="BA61" i="9"/>
  <c r="AJ71" i="9"/>
  <c r="AL61" i="9"/>
  <c r="BI54" i="9"/>
  <c r="AX77" i="9"/>
  <c r="AK61" i="9"/>
  <c r="BA60" i="9"/>
  <c r="AJ54" i="9"/>
  <c r="AJ70" i="9"/>
  <c r="AH77" i="9"/>
  <c r="AL81" i="9"/>
  <c r="BK79" i="9"/>
  <c r="AL56" i="9"/>
  <c r="AK78" i="9"/>
  <c r="AM81" i="9"/>
  <c r="BK81" i="9"/>
  <c r="AM77" i="9"/>
  <c r="BF77" i="9"/>
  <c r="AJ69" i="9"/>
  <c r="AM65" i="9"/>
  <c r="AI78" i="9"/>
  <c r="BG61" i="9"/>
  <c r="AI61" i="9"/>
  <c r="AK58" i="9"/>
  <c r="AZ63" i="9"/>
  <c r="BJ78" i="9"/>
  <c r="BH62" i="9"/>
  <c r="AK69" i="9"/>
  <c r="AK82" i="9"/>
  <c r="AL63" i="9"/>
  <c r="AL69" i="9"/>
  <c r="BI63" i="9"/>
  <c r="AK63" i="9"/>
  <c r="AJ64" i="9"/>
  <c r="Z61" i="9"/>
  <c r="DJ61" i="9" s="1"/>
  <c r="AH71" i="9"/>
  <c r="AJ81" i="9"/>
  <c r="AK62" i="9"/>
  <c r="BJ77" i="9"/>
  <c r="AJ80" i="9"/>
  <c r="BJ65" i="9"/>
  <c r="BI59" i="9"/>
  <c r="AK60" i="9"/>
  <c r="DF62" i="9"/>
  <c r="BF82" i="9"/>
  <c r="BA68" i="9"/>
  <c r="AM59" i="9"/>
  <c r="AM74" i="9"/>
  <c r="Z80" i="9"/>
  <c r="DJ80" i="9" s="1"/>
  <c r="DR80" i="9" s="1"/>
  <c r="AM62" i="9"/>
  <c r="AM79" i="9"/>
  <c r="AL70" i="9"/>
  <c r="AH68" i="9"/>
  <c r="Z67" i="9"/>
  <c r="AA67" i="9" s="1"/>
  <c r="AI77" i="9"/>
  <c r="AH76" i="9"/>
  <c r="AH59" i="9"/>
  <c r="AL68" i="9"/>
  <c r="BK80" i="9"/>
  <c r="BB56" i="9"/>
  <c r="BF55" i="9"/>
  <c r="AY81" i="9"/>
  <c r="AH56" i="9"/>
  <c r="AH57" i="9"/>
  <c r="Z74" i="9"/>
  <c r="DJ74" i="9" s="1"/>
  <c r="DR74" i="9" s="1"/>
  <c r="BF66" i="9"/>
  <c r="AK70" i="9"/>
  <c r="AM70" i="9"/>
  <c r="BC58" i="9"/>
  <c r="AL57" i="9"/>
  <c r="AM83" i="9"/>
  <c r="BG77" i="9"/>
  <c r="AH74" i="9"/>
  <c r="AY55" i="9"/>
  <c r="BB61" i="9"/>
  <c r="BG74" i="9"/>
  <c r="BF76" i="9"/>
  <c r="BB62" i="9"/>
  <c r="AX63" i="9"/>
  <c r="AL83" i="9"/>
  <c r="AH63" i="9"/>
  <c r="AH83" i="9"/>
  <c r="AK83" i="9"/>
  <c r="AH84" i="9"/>
  <c r="AY77" i="9"/>
  <c r="BB79" i="9"/>
  <c r="AI76" i="9"/>
  <c r="Z70" i="9"/>
  <c r="AA70" i="9" s="1"/>
  <c r="BI58" i="9"/>
  <c r="AL58" i="9"/>
  <c r="AM61" i="9"/>
  <c r="AZ61" i="9"/>
  <c r="BH83" i="9"/>
  <c r="DB73" i="9"/>
  <c r="BG73" i="9"/>
  <c r="BF65" i="9"/>
  <c r="Z76" i="9"/>
  <c r="DJ76" i="9" s="1"/>
  <c r="AM73" i="9"/>
  <c r="AM71" i="9"/>
  <c r="AJ77" i="9"/>
  <c r="DG76" i="9"/>
  <c r="BH82" i="9"/>
  <c r="AZ73" i="9"/>
  <c r="BK64" i="9"/>
  <c r="BJ57" i="9"/>
  <c r="AM57" i="9"/>
  <c r="AL62" i="9"/>
  <c r="AX65" i="9"/>
  <c r="Z56" i="9"/>
  <c r="DJ56" i="9" s="1"/>
  <c r="DR56" i="9" s="1"/>
  <c r="AM64" i="9"/>
  <c r="BH73" i="9"/>
  <c r="Z57" i="9"/>
  <c r="AA57" i="9" s="1"/>
  <c r="AI63" i="9"/>
  <c r="AH58" i="9"/>
  <c r="AH64" i="9"/>
  <c r="AH65" i="9"/>
  <c r="Z72" i="9"/>
  <c r="AA72" i="9" s="1"/>
  <c r="AH79" i="9"/>
  <c r="AK77" i="9"/>
  <c r="AL80" i="9"/>
  <c r="AJ82" i="9"/>
  <c r="AI81" i="9"/>
  <c r="DF74" i="9"/>
  <c r="AY82" i="9"/>
  <c r="Z79" i="9"/>
  <c r="AA79" i="9" s="1"/>
  <c r="AK65" i="9"/>
  <c r="AM75" i="9"/>
  <c r="AK59" i="9"/>
  <c r="AY56" i="9"/>
  <c r="AM54" i="9"/>
  <c r="AJ68" i="9"/>
  <c r="Z55" i="9"/>
  <c r="DJ55" i="9" s="1"/>
  <c r="DR55" i="9" s="1"/>
  <c r="AM55" i="9"/>
  <c r="BG56" i="9"/>
  <c r="AY75" i="9"/>
  <c r="AL66" i="9"/>
  <c r="BC69" i="9"/>
  <c r="DF65" i="9"/>
  <c r="AI56" i="9"/>
  <c r="AL59" i="9"/>
  <c r="BB75" i="9"/>
  <c r="Z65" i="9"/>
  <c r="AA65" i="9" s="1"/>
  <c r="AH73" i="9"/>
  <c r="AH72" i="9"/>
  <c r="AJ65" i="9"/>
  <c r="BK55" i="9"/>
  <c r="Z64" i="9"/>
  <c r="AJ84" i="9"/>
  <c r="BF81" i="9"/>
  <c r="BA80" i="9"/>
  <c r="AJ75" i="9"/>
  <c r="BJ73" i="9"/>
  <c r="AH55" i="9"/>
  <c r="BB60" i="9"/>
  <c r="AM60" i="9"/>
  <c r="AI73" i="9"/>
  <c r="AH81" i="9"/>
  <c r="AI82" i="9"/>
  <c r="AI68" i="9"/>
  <c r="BG55" i="9"/>
  <c r="AL60" i="9"/>
  <c r="BH84" i="9"/>
  <c r="AZ77" i="9"/>
  <c r="AX73" i="9"/>
  <c r="AI83" i="9"/>
  <c r="AI75" i="9"/>
  <c r="BG76" i="9"/>
  <c r="AK84" i="9"/>
  <c r="AY83" i="9"/>
  <c r="AM68" i="9"/>
  <c r="AH66" i="9"/>
  <c r="AI66" i="9"/>
  <c r="Z73" i="9"/>
  <c r="AA73" i="9" s="1"/>
  <c r="Z78" i="9"/>
  <c r="AA78" i="9" s="1"/>
  <c r="BI80" i="9"/>
  <c r="AH67" i="9"/>
  <c r="BJ60" i="9"/>
  <c r="BH77" i="9"/>
  <c r="BC62" i="9"/>
  <c r="DD59" i="9"/>
  <c r="Z59" i="9"/>
  <c r="AJ83" i="9"/>
  <c r="BH65" i="9"/>
  <c r="BK54" i="9"/>
  <c r="AI74" i="9"/>
  <c r="BF59" i="9"/>
  <c r="AI59" i="9"/>
  <c r="BG83" i="9"/>
  <c r="Z66" i="9"/>
  <c r="AA66" i="9" s="1"/>
  <c r="FO66" i="9" s="1"/>
  <c r="BF74" i="9"/>
  <c r="AI55" i="9"/>
  <c r="Z63" i="9"/>
  <c r="AJ59" i="9"/>
  <c r="DB62" i="9"/>
  <c r="DR54" i="9"/>
  <c r="DF55" i="9"/>
  <c r="DC76" i="9"/>
  <c r="AA54" i="9"/>
  <c r="DE56" i="9"/>
  <c r="DC81" i="9"/>
  <c r="DB74" i="9"/>
  <c r="DG84" i="9"/>
  <c r="DG65" i="9"/>
  <c r="DD79" i="9"/>
  <c r="DG77" i="9"/>
  <c r="DC65" i="9"/>
  <c r="BH72" i="9"/>
  <c r="DB54" i="9"/>
  <c r="DG64" i="9"/>
  <c r="DE59" i="9"/>
  <c r="BF71" i="9"/>
  <c r="DF57" i="9"/>
  <c r="DD78" i="9"/>
  <c r="DC80" i="9"/>
  <c r="BG72" i="9"/>
  <c r="BI67" i="9"/>
  <c r="DC61" i="9"/>
  <c r="DF58" i="9"/>
  <c r="BH71" i="9"/>
  <c r="CV58" i="9"/>
  <c r="DD58" i="9" s="1"/>
  <c r="BK72" i="9"/>
  <c r="DD61" i="9"/>
  <c r="DG61" i="9"/>
  <c r="BJ67" i="9"/>
  <c r="DD84" i="9"/>
  <c r="DC77" i="9"/>
  <c r="DF81" i="9"/>
  <c r="DE82" i="9"/>
  <c r="DB55" i="9"/>
  <c r="BK66" i="9"/>
  <c r="BI72" i="9"/>
  <c r="BG67" i="9"/>
  <c r="BJ66" i="9"/>
  <c r="DE77" i="9"/>
  <c r="CT68" i="9"/>
  <c r="DB68" i="9" s="1"/>
  <c r="BJ68" i="9"/>
  <c r="BG68" i="9"/>
  <c r="BI68" i="9"/>
  <c r="BK68" i="9"/>
  <c r="CY56" i="9"/>
  <c r="DG56" i="9" s="1"/>
  <c r="BJ69" i="9"/>
  <c r="BG69" i="9"/>
  <c r="BI69" i="9"/>
  <c r="BF69" i="9"/>
  <c r="BK69" i="9"/>
  <c r="BF68" i="9"/>
  <c r="CU62" i="9"/>
  <c r="DC62" i="9" s="1"/>
  <c r="CV60" i="9"/>
  <c r="DD60" i="9" s="1"/>
  <c r="DB61" i="9"/>
  <c r="BH69" i="9"/>
  <c r="CT77" i="9"/>
  <c r="DB77" i="9" s="1"/>
  <c r="CV75" i="9"/>
  <c r="DD75" i="9" s="1"/>
  <c r="BG71" i="9"/>
  <c r="CU57" i="9"/>
  <c r="DC57" i="9" s="1"/>
  <c r="BJ72" i="9"/>
  <c r="BJ70" i="9"/>
  <c r="CU83" i="9"/>
  <c r="DC83" i="9" s="1"/>
  <c r="CX75" i="9"/>
  <c r="DF75" i="9" s="1"/>
  <c r="CX56" i="9"/>
  <c r="DF56" i="9" s="1"/>
  <c r="BK67" i="9"/>
  <c r="CU56" i="9"/>
  <c r="DC56" i="9" s="1"/>
  <c r="CV77" i="9"/>
  <c r="DD77" i="9" s="1"/>
  <c r="BK71" i="9"/>
  <c r="CW84" i="9"/>
  <c r="DE84" i="9" s="1"/>
  <c r="CW81" i="9"/>
  <c r="DE81" i="9" s="1"/>
  <c r="CT65" i="9"/>
  <c r="DB65" i="9" s="1"/>
  <c r="CY60" i="9"/>
  <c r="DG60" i="9" s="1"/>
  <c r="CV65" i="9"/>
  <c r="DD65" i="9" s="1"/>
  <c r="CT78" i="9"/>
  <c r="DB78" i="9" s="1"/>
  <c r="CT59" i="9"/>
  <c r="DB59" i="9" s="1"/>
  <c r="CW72" i="9"/>
  <c r="DE72" i="9" s="1"/>
  <c r="DB83" i="9"/>
  <c r="BJ71" i="9"/>
  <c r="BF67" i="9"/>
  <c r="BF72" i="9"/>
  <c r="CV74" i="9"/>
  <c r="DD74" i="9" s="1"/>
  <c r="CT76" i="9"/>
  <c r="DB76" i="9" s="1"/>
  <c r="CY82" i="9"/>
  <c r="DG82" i="9" s="1"/>
  <c r="BH70" i="9"/>
  <c r="CU54" i="9"/>
  <c r="DC54" i="9" s="1"/>
  <c r="CV80" i="9"/>
  <c r="DD80" i="9" s="1"/>
  <c r="CU64" i="9"/>
  <c r="DC64" i="9" s="1"/>
  <c r="DE79" i="9"/>
  <c r="CV66" i="9"/>
  <c r="DD66" i="9" s="1"/>
  <c r="CT66" i="9"/>
  <c r="DB66" i="9" s="1"/>
  <c r="BF70" i="9"/>
  <c r="BG66" i="9"/>
  <c r="BH66" i="9"/>
  <c r="CV57" i="9"/>
  <c r="DD57" i="9" s="1"/>
  <c r="CW74" i="9"/>
  <c r="DE74" i="9" s="1"/>
  <c r="CW73" i="9"/>
  <c r="DE73" i="9" s="1"/>
  <c r="CW78" i="9"/>
  <c r="DE78" i="9" s="1"/>
  <c r="CX71" i="9"/>
  <c r="DF71" i="9" s="1"/>
  <c r="BI71" i="9"/>
  <c r="CV83" i="9"/>
  <c r="DD83" i="9" s="1"/>
  <c r="CW55" i="9"/>
  <c r="DE55" i="9" s="1"/>
  <c r="CU67" i="9"/>
  <c r="DC67" i="9" s="1"/>
  <c r="CY67" i="9"/>
  <c r="DG67" i="9" s="1"/>
  <c r="CY70" i="9"/>
  <c r="DG70" i="9" s="1"/>
  <c r="BI70" i="9"/>
  <c r="CT70" i="9"/>
  <c r="DB70" i="9" s="1"/>
  <c r="CW70" i="9"/>
  <c r="DE70" i="9" s="1"/>
  <c r="DF77" i="9"/>
  <c r="DE75" i="9"/>
  <c r="BH67" i="9"/>
  <c r="BI66" i="9"/>
  <c r="CU75" i="9"/>
  <c r="DC75" i="9" s="1"/>
  <c r="CT82" i="9"/>
  <c r="DB82" i="9" s="1"/>
  <c r="CY58" i="9"/>
  <c r="DG58" i="9" s="1"/>
  <c r="BG70" i="9"/>
  <c r="CX73" i="9"/>
  <c r="DF73" i="9" s="1"/>
  <c r="CX78" i="9"/>
  <c r="DF78" i="9" s="1"/>
  <c r="BK70" i="9"/>
  <c r="CF99" i="9" l="1"/>
  <c r="CG99" i="9"/>
  <c r="CP99" i="9" s="1"/>
  <c r="CF100" i="9"/>
  <c r="CO100" i="9" s="1"/>
  <c r="CG100" i="9"/>
  <c r="CP100" i="9" s="1"/>
  <c r="CE99" i="9"/>
  <c r="CN99" i="9" s="1"/>
  <c r="CE100" i="9"/>
  <c r="CN100" i="9" s="1"/>
  <c r="CO99" i="9"/>
  <c r="DJ81" i="9"/>
  <c r="DR81" i="9" s="1"/>
  <c r="D33" i="9" a="1"/>
  <c r="D33" i="9" s="1"/>
  <c r="D36" i="9" s="1"/>
  <c r="D35" i="9" s="1"/>
  <c r="CI99" i="9"/>
  <c r="CR99" i="9" s="1"/>
  <c r="CH99" i="9"/>
  <c r="CQ99" i="9" s="1"/>
  <c r="CH100" i="9"/>
  <c r="CQ100" i="9" s="1"/>
  <c r="CI100" i="9"/>
  <c r="CR100" i="9" s="1"/>
  <c r="CJ90" i="9"/>
  <c r="CZ90" i="9" s="1"/>
  <c r="DH90" i="9" s="1"/>
  <c r="CN90" i="9"/>
  <c r="CY106" i="9"/>
  <c r="DG106" i="9" s="1"/>
  <c r="CR106" i="9"/>
  <c r="CJ91" i="9"/>
  <c r="CZ91" i="9" s="1"/>
  <c r="DH91" i="9" s="1"/>
  <c r="CJ101" i="9"/>
  <c r="CZ101" i="9" s="1"/>
  <c r="DH101" i="9" s="1"/>
  <c r="DK71" i="9"/>
  <c r="FO71" i="9"/>
  <c r="AB82" i="9"/>
  <c r="AC82" i="9" s="1"/>
  <c r="AD82" i="9" s="1"/>
  <c r="AE82" i="9" s="1"/>
  <c r="AF82" i="9" s="1"/>
  <c r="DP82" i="9" s="1"/>
  <c r="FO82" i="9"/>
  <c r="CJ89" i="9"/>
  <c r="CZ89" i="9" s="1"/>
  <c r="DH89" i="9" s="1"/>
  <c r="AB83" i="9"/>
  <c r="AC83" i="9" s="1"/>
  <c r="AD83" i="9" s="1"/>
  <c r="AE83" i="9" s="1"/>
  <c r="AF83" i="9" s="1"/>
  <c r="DP83" i="9" s="1"/>
  <c r="FO83" i="9"/>
  <c r="CJ105" i="9"/>
  <c r="CZ105" i="9" s="1"/>
  <c r="DH105" i="9" s="1"/>
  <c r="CW106" i="9"/>
  <c r="DE106" i="9" s="1"/>
  <c r="DK62" i="9"/>
  <c r="FO62" i="9"/>
  <c r="DK57" i="9"/>
  <c r="FO57" i="9"/>
  <c r="DK54" i="9"/>
  <c r="DS54" i="9" s="1"/>
  <c r="FO54" i="9"/>
  <c r="DK78" i="9"/>
  <c r="FO78" i="9"/>
  <c r="DK65" i="9"/>
  <c r="FO65" i="9"/>
  <c r="AB67" i="9"/>
  <c r="AC67" i="9" s="1"/>
  <c r="AD67" i="9" s="1"/>
  <c r="FO67" i="9"/>
  <c r="AB70" i="9"/>
  <c r="DL70" i="9" s="1"/>
  <c r="FO70" i="9"/>
  <c r="AB73" i="9"/>
  <c r="DL73" i="9" s="1"/>
  <c r="FO73" i="9"/>
  <c r="DK79" i="9"/>
  <c r="FO79" i="9"/>
  <c r="AB72" i="9"/>
  <c r="DL72" i="9" s="1"/>
  <c r="FO72" i="9"/>
  <c r="AB60" i="9"/>
  <c r="AC60" i="9" s="1"/>
  <c r="FO60" i="9"/>
  <c r="AB81" i="9"/>
  <c r="FO81" i="9"/>
  <c r="CJ88" i="9"/>
  <c r="CZ88" i="9" s="1"/>
  <c r="DH88" i="9" s="1"/>
  <c r="CJ97" i="9"/>
  <c r="CZ97" i="9" s="1"/>
  <c r="DH97" i="9" s="1"/>
  <c r="CJ94" i="9"/>
  <c r="CZ94" i="9" s="1"/>
  <c r="DH94" i="9" s="1"/>
  <c r="CJ103" i="9"/>
  <c r="CZ103" i="9" s="1"/>
  <c r="DH103" i="9" s="1"/>
  <c r="CJ95" i="9"/>
  <c r="CZ95" i="9" s="1"/>
  <c r="DH95" i="9" s="1"/>
  <c r="CJ107" i="9"/>
  <c r="CZ107" i="9" s="1"/>
  <c r="DH107" i="9" s="1"/>
  <c r="CJ92" i="9"/>
  <c r="CZ92" i="9" s="1"/>
  <c r="DH92" i="9" s="1"/>
  <c r="CJ102" i="9"/>
  <c r="CZ102" i="9" s="1"/>
  <c r="DH102" i="9" s="1"/>
  <c r="CJ106" i="9"/>
  <c r="CJ93" i="9"/>
  <c r="CZ93" i="9" s="1"/>
  <c r="DH93" i="9" s="1"/>
  <c r="CJ104" i="9"/>
  <c r="CZ104" i="9" s="1"/>
  <c r="DH104" i="9" s="1"/>
  <c r="CJ96" i="9"/>
  <c r="CZ96" i="9" s="1"/>
  <c r="DH96" i="9" s="1"/>
  <c r="CJ98" i="9"/>
  <c r="CZ98" i="9" s="1"/>
  <c r="DH98" i="9" s="1"/>
  <c r="FT97" i="9"/>
  <c r="AA101" i="9"/>
  <c r="FV101" i="9"/>
  <c r="FL97" i="9"/>
  <c r="DP97" i="9"/>
  <c r="AN100" i="9"/>
  <c r="AN99" i="9"/>
  <c r="DK81" i="9"/>
  <c r="AA84" i="9"/>
  <c r="AJ99" i="9"/>
  <c r="Z99" i="9"/>
  <c r="AA99" i="9" s="1"/>
  <c r="AI99" i="9"/>
  <c r="AJ100" i="9"/>
  <c r="DJ58" i="9"/>
  <c r="DR58" i="9" s="1"/>
  <c r="AH99" i="9"/>
  <c r="DJ71" i="9"/>
  <c r="DR71" i="9" s="1"/>
  <c r="AI100" i="9"/>
  <c r="AH100" i="9"/>
  <c r="Z100" i="9"/>
  <c r="AA100" i="9" s="1"/>
  <c r="AA88" i="9"/>
  <c r="FF88" i="9"/>
  <c r="DJ88" i="9"/>
  <c r="FG103" i="9"/>
  <c r="DK103" i="9"/>
  <c r="AB103" i="9"/>
  <c r="FF92" i="9"/>
  <c r="DJ92" i="9"/>
  <c r="AA92" i="9"/>
  <c r="FF95" i="9"/>
  <c r="DJ95" i="9"/>
  <c r="AA95" i="9"/>
  <c r="AA104" i="9"/>
  <c r="FO104" i="9" s="1"/>
  <c r="FF104" i="9"/>
  <c r="DJ104" i="9"/>
  <c r="AA96" i="9"/>
  <c r="FO96" i="9" s="1"/>
  <c r="FF96" i="9"/>
  <c r="DJ96" i="9"/>
  <c r="FG91" i="9"/>
  <c r="DK91" i="9"/>
  <c r="AB91" i="9"/>
  <c r="AC91" i="9" s="1"/>
  <c r="AD91" i="9" s="1"/>
  <c r="AE91" i="9" s="1"/>
  <c r="AF91" i="9" s="1"/>
  <c r="DP91" i="9" s="1"/>
  <c r="FF98" i="9"/>
  <c r="DJ98" i="9"/>
  <c r="DR76" i="9"/>
  <c r="FF90" i="9"/>
  <c r="DJ90" i="9"/>
  <c r="CV106" i="9"/>
  <c r="DD106" i="9" s="1"/>
  <c r="FK97" i="9"/>
  <c r="FS97" i="9"/>
  <c r="DL90" i="9"/>
  <c r="FP90" i="9"/>
  <c r="FG93" i="9"/>
  <c r="DK93" i="9"/>
  <c r="FF105" i="9"/>
  <c r="DJ105" i="9"/>
  <c r="DR105" i="9"/>
  <c r="FG97" i="9"/>
  <c r="DK97" i="9"/>
  <c r="CU106" i="9"/>
  <c r="DC106" i="9" s="1"/>
  <c r="CV107" i="9"/>
  <c r="DD107" i="9" s="1"/>
  <c r="AA98" i="9"/>
  <c r="FO98" i="9" s="1"/>
  <c r="FF106" i="9"/>
  <c r="DJ106" i="9"/>
  <c r="DR106" i="9"/>
  <c r="FR97" i="9"/>
  <c r="FF107" i="9"/>
  <c r="DJ107" i="9"/>
  <c r="AC89" i="9"/>
  <c r="DR107" i="9"/>
  <c r="AB97" i="9"/>
  <c r="AC97" i="9" s="1"/>
  <c r="DM97" i="9" s="1"/>
  <c r="AC90" i="9"/>
  <c r="FF89" i="9"/>
  <c r="DJ89" i="9"/>
  <c r="FF102" i="9"/>
  <c r="DJ102" i="9"/>
  <c r="AA94" i="9"/>
  <c r="FF94" i="9"/>
  <c r="DJ94" i="9"/>
  <c r="AA89" i="9"/>
  <c r="AA107" i="9"/>
  <c r="FO107" i="9" s="1"/>
  <c r="AA90" i="9"/>
  <c r="FO90" i="9" s="1"/>
  <c r="AA102" i="9"/>
  <c r="CW107" i="9"/>
  <c r="DE107" i="9" s="1"/>
  <c r="AA105" i="9"/>
  <c r="FO105" i="9" s="1"/>
  <c r="DR82" i="9"/>
  <c r="AA106" i="9"/>
  <c r="FO106" i="9" s="1"/>
  <c r="AB93" i="9"/>
  <c r="AC93" i="9" s="1"/>
  <c r="DM93" i="9" s="1"/>
  <c r="DJ60" i="9"/>
  <c r="DR60" i="9" s="1"/>
  <c r="FF103" i="9"/>
  <c r="DJ103" i="9"/>
  <c r="FF97" i="9"/>
  <c r="DJ97" i="9"/>
  <c r="FF101" i="9"/>
  <c r="DJ101" i="9"/>
  <c r="CX106" i="9"/>
  <c r="DF106" i="9" s="1"/>
  <c r="FF91" i="9"/>
  <c r="DJ91" i="9"/>
  <c r="CY107" i="9"/>
  <c r="DG107" i="9" s="1"/>
  <c r="FF93" i="9"/>
  <c r="DJ93" i="9"/>
  <c r="AB69" i="9"/>
  <c r="AC69" i="9" s="1"/>
  <c r="DM69" i="9" s="1"/>
  <c r="DK69" i="9"/>
  <c r="AB71" i="9"/>
  <c r="DL71" i="9" s="1"/>
  <c r="DJ69" i="9"/>
  <c r="DR69" i="9" s="1"/>
  <c r="AA68" i="9"/>
  <c r="AA75" i="9"/>
  <c r="DK67" i="9"/>
  <c r="AB65" i="9"/>
  <c r="DL65" i="9" s="1"/>
  <c r="DJ72" i="9"/>
  <c r="DR72" i="9" s="1"/>
  <c r="AB54" i="9"/>
  <c r="AC54" i="9" s="1"/>
  <c r="DR75" i="9"/>
  <c r="AA77" i="9"/>
  <c r="AB62" i="9"/>
  <c r="AC62" i="9" s="1"/>
  <c r="AA61" i="9"/>
  <c r="DK82" i="9"/>
  <c r="DS82" i="9" s="1"/>
  <c r="DJ62" i="9"/>
  <c r="DR62" i="9" s="1"/>
  <c r="DR61" i="9"/>
  <c r="DK60" i="9"/>
  <c r="DJ65" i="9"/>
  <c r="DR65" i="9" s="1"/>
  <c r="AA80" i="9"/>
  <c r="AB57" i="9"/>
  <c r="DL57" i="9" s="1"/>
  <c r="DJ57" i="9"/>
  <c r="DR57" i="9" s="1"/>
  <c r="DJ73" i="9"/>
  <c r="DR73" i="9" s="1"/>
  <c r="AA76" i="9"/>
  <c r="FO76" i="9" s="1"/>
  <c r="DJ67" i="9"/>
  <c r="DR67" i="9" s="1"/>
  <c r="DK73" i="9"/>
  <c r="AA74" i="9"/>
  <c r="AA56" i="9"/>
  <c r="FO56" i="9" s="1"/>
  <c r="DK72" i="9"/>
  <c r="DJ70" i="9"/>
  <c r="DR70" i="9" s="1"/>
  <c r="DK70" i="9"/>
  <c r="DK83" i="9"/>
  <c r="DJ79" i="9"/>
  <c r="DR79" i="9" s="1"/>
  <c r="AB79" i="9"/>
  <c r="DL79" i="9" s="1"/>
  <c r="AA64" i="9"/>
  <c r="FO64" i="9" s="1"/>
  <c r="DJ64" i="9"/>
  <c r="DR64" i="9" s="1"/>
  <c r="DJ66" i="9"/>
  <c r="DR66" i="9" s="1"/>
  <c r="AA55" i="9"/>
  <c r="DJ63" i="9"/>
  <c r="DR63" i="9" s="1"/>
  <c r="AA63" i="9"/>
  <c r="FO63" i="9" s="1"/>
  <c r="DJ59" i="9"/>
  <c r="DR59" i="9" s="1"/>
  <c r="AA59" i="9"/>
  <c r="FO59" i="9" s="1"/>
  <c r="DJ78" i="9"/>
  <c r="DR78" i="9" s="1"/>
  <c r="AB78" i="9"/>
  <c r="DL78" i="9" s="1"/>
  <c r="DR83" i="9"/>
  <c r="CV70" i="9"/>
  <c r="DD70" i="9" s="1"/>
  <c r="CX67" i="9"/>
  <c r="DF67" i="9" s="1"/>
  <c r="CY71" i="9"/>
  <c r="DG71" i="9" s="1"/>
  <c r="CT71" i="9"/>
  <c r="DB71" i="9" s="1"/>
  <c r="CT72" i="9"/>
  <c r="DB72" i="9" s="1"/>
  <c r="CW67" i="9"/>
  <c r="DE67" i="9" s="1"/>
  <c r="CV67" i="9"/>
  <c r="DD67" i="9" s="1"/>
  <c r="CU71" i="9"/>
  <c r="DC71" i="9" s="1"/>
  <c r="CU66" i="9"/>
  <c r="DC66" i="9" s="1"/>
  <c r="CX69" i="9"/>
  <c r="DF69" i="9" s="1"/>
  <c r="CX68" i="9"/>
  <c r="DF68" i="9" s="1"/>
  <c r="CX66" i="9"/>
  <c r="DF66" i="9" s="1"/>
  <c r="CV72" i="9"/>
  <c r="DD72" i="9" s="1"/>
  <c r="CT69" i="9"/>
  <c r="DB69" i="9" s="1"/>
  <c r="CX72" i="9"/>
  <c r="DF72" i="9" s="1"/>
  <c r="CY66" i="9"/>
  <c r="DG66" i="9" s="1"/>
  <c r="CU68" i="9"/>
  <c r="DC68" i="9" s="1"/>
  <c r="CX70" i="9"/>
  <c r="DF70" i="9" s="1"/>
  <c r="CT67" i="9"/>
  <c r="DB67" i="9" s="1"/>
  <c r="CV71" i="9"/>
  <c r="DD71" i="9" s="1"/>
  <c r="CY72" i="9"/>
  <c r="DG72" i="9" s="1"/>
  <c r="CY69" i="9"/>
  <c r="DG69" i="9" s="1"/>
  <c r="CV68" i="9"/>
  <c r="DD68" i="9" s="1"/>
  <c r="CY68" i="9"/>
  <c r="DG68" i="9" s="1"/>
  <c r="CU69" i="9"/>
  <c r="DC69" i="9" s="1"/>
  <c r="CW66" i="9"/>
  <c r="DE66" i="9" s="1"/>
  <c r="CW68" i="9"/>
  <c r="DE68" i="9" s="1"/>
  <c r="CU70" i="9"/>
  <c r="DC70" i="9" s="1"/>
  <c r="CW71" i="9"/>
  <c r="DE71" i="9" s="1"/>
  <c r="CU72" i="9"/>
  <c r="DC72" i="9" s="1"/>
  <c r="CV69" i="9"/>
  <c r="DD69" i="9" s="1"/>
  <c r="CW69" i="9"/>
  <c r="DE69" i="9" s="1"/>
  <c r="AB66" i="9"/>
  <c r="DK66" i="9"/>
  <c r="DK58" i="9"/>
  <c r="AB58" i="9"/>
  <c r="I20" i="18"/>
  <c r="FQ91" i="9" l="1"/>
  <c r="AD93" i="9"/>
  <c r="FK91" i="9"/>
  <c r="FR91" i="9"/>
  <c r="FL91" i="9"/>
  <c r="FS91" i="9"/>
  <c r="FJ91" i="9"/>
  <c r="FT91" i="9"/>
  <c r="DM91" i="9"/>
  <c r="DM82" i="9"/>
  <c r="DS81" i="9"/>
  <c r="AC81" i="9"/>
  <c r="DM81" i="9" s="1"/>
  <c r="DM67" i="9"/>
  <c r="DL67" i="9"/>
  <c r="DT67" i="9" s="1"/>
  <c r="AC70" i="9"/>
  <c r="AD70" i="9" s="1"/>
  <c r="DL60" i="9"/>
  <c r="DT60" i="9" s="1"/>
  <c r="CZ106" i="9"/>
  <c r="DH106" i="9" s="1"/>
  <c r="AC73" i="9"/>
  <c r="DM73" i="9" s="1"/>
  <c r="AB80" i="9"/>
  <c r="AC80" i="9" s="1"/>
  <c r="AD80" i="9" s="1"/>
  <c r="AE80" i="9" s="1"/>
  <c r="DO80" i="9" s="1"/>
  <c r="FO80" i="9"/>
  <c r="AB99" i="9"/>
  <c r="AC99" i="9" s="1"/>
  <c r="AD99" i="9" s="1"/>
  <c r="AE99" i="9" s="1"/>
  <c r="AF99" i="9" s="1"/>
  <c r="FT99" i="9" s="1"/>
  <c r="FO99" i="9"/>
  <c r="AC72" i="9"/>
  <c r="AD72" i="9" s="1"/>
  <c r="AB55" i="9"/>
  <c r="AC55" i="9" s="1"/>
  <c r="FO55" i="9"/>
  <c r="AB95" i="9"/>
  <c r="DL95" i="9" s="1"/>
  <c r="FO95" i="9"/>
  <c r="AB84" i="9"/>
  <c r="AC84" i="9" s="1"/>
  <c r="AD84" i="9" s="1"/>
  <c r="AE84" i="9" s="1"/>
  <c r="AF84" i="9" s="1"/>
  <c r="DP84" i="9" s="1"/>
  <c r="FO84" i="9"/>
  <c r="DK77" i="9"/>
  <c r="DS77" i="9" s="1"/>
  <c r="FO77" i="9"/>
  <c r="AB89" i="9"/>
  <c r="DL89" i="9" s="1"/>
  <c r="FO89" i="9"/>
  <c r="DL83" i="9"/>
  <c r="DT83" i="9" s="1"/>
  <c r="AB94" i="9"/>
  <c r="AC94" i="9" s="1"/>
  <c r="AD94" i="9" s="1"/>
  <c r="FR94" i="9" s="1"/>
  <c r="FO94" i="9"/>
  <c r="AB74" i="9"/>
  <c r="DL74" i="9" s="1"/>
  <c r="FO74" i="9"/>
  <c r="FW102" i="9"/>
  <c r="FO102" i="9"/>
  <c r="AB92" i="9"/>
  <c r="FO92" i="9"/>
  <c r="AB88" i="9"/>
  <c r="AC88" i="9" s="1"/>
  <c r="AD88" i="9" s="1"/>
  <c r="FJ88" i="9" s="1"/>
  <c r="FO88" i="9"/>
  <c r="AB68" i="9"/>
  <c r="AC68" i="9" s="1"/>
  <c r="DM68" i="9" s="1"/>
  <c r="FO68" i="9"/>
  <c r="DL82" i="9"/>
  <c r="DT82" i="9" s="1"/>
  <c r="DK61" i="9"/>
  <c r="DS61" i="9" s="1"/>
  <c r="FO61" i="9"/>
  <c r="AB75" i="9"/>
  <c r="DL75" i="9" s="1"/>
  <c r="FO75" i="9"/>
  <c r="AB100" i="9"/>
  <c r="AC100" i="9" s="1"/>
  <c r="DM100" i="9" s="1"/>
  <c r="FO100" i="9"/>
  <c r="FW101" i="9"/>
  <c r="FO101" i="9"/>
  <c r="CJ99" i="9"/>
  <c r="CZ99" i="9" s="1"/>
  <c r="DH99" i="9" s="1"/>
  <c r="CJ100" i="9"/>
  <c r="CZ100" i="9" s="1"/>
  <c r="DH100" i="9" s="1"/>
  <c r="AB101" i="9"/>
  <c r="FX101" i="9" s="1"/>
  <c r="DK101" i="9"/>
  <c r="FG101" i="9"/>
  <c r="DK99" i="9"/>
  <c r="FG99" i="9"/>
  <c r="DT71" i="9"/>
  <c r="DS71" i="9"/>
  <c r="DJ99" i="9"/>
  <c r="DK84" i="9"/>
  <c r="DS84" i="9" s="1"/>
  <c r="FF99" i="9"/>
  <c r="DJ100" i="9"/>
  <c r="DS58" i="9"/>
  <c r="AC65" i="9"/>
  <c r="DM65" i="9" s="1"/>
  <c r="DU65" i="9" s="1"/>
  <c r="AC71" i="9"/>
  <c r="DM71" i="9" s="1"/>
  <c r="DU71" i="9" s="1"/>
  <c r="DK100" i="9"/>
  <c r="FF100" i="9"/>
  <c r="FG100" i="9"/>
  <c r="FH97" i="9"/>
  <c r="DL97" i="9"/>
  <c r="FG106" i="9"/>
  <c r="DK106" i="9"/>
  <c r="AB106" i="9"/>
  <c r="FI89" i="9"/>
  <c r="FQ89" i="9"/>
  <c r="AD89" i="9"/>
  <c r="FG102" i="9"/>
  <c r="DK102" i="9"/>
  <c r="AB102" i="9"/>
  <c r="FG98" i="9"/>
  <c r="DK98" i="9"/>
  <c r="AB98" i="9"/>
  <c r="AC98" i="9" s="1"/>
  <c r="FG90" i="9"/>
  <c r="DK90" i="9"/>
  <c r="FG95" i="9"/>
  <c r="DK95" i="9"/>
  <c r="FG94" i="9"/>
  <c r="DK94" i="9"/>
  <c r="FG92" i="9"/>
  <c r="DK92" i="9"/>
  <c r="FH93" i="9"/>
  <c r="DL93" i="9"/>
  <c r="FG96" i="9"/>
  <c r="DK96" i="9"/>
  <c r="AB96" i="9"/>
  <c r="AC96" i="9" s="1"/>
  <c r="FJ93" i="9"/>
  <c r="FR93" i="9"/>
  <c r="AE93" i="9"/>
  <c r="AF93" i="9" s="1"/>
  <c r="FG105" i="9"/>
  <c r="DK105" i="9"/>
  <c r="DS105" i="9"/>
  <c r="EA105" i="9" s="1"/>
  <c r="AB105" i="9"/>
  <c r="FG107" i="9"/>
  <c r="DK107" i="9"/>
  <c r="DS107" i="9" s="1"/>
  <c r="EA107" i="9" s="1"/>
  <c r="AB107" i="9"/>
  <c r="FH91" i="9"/>
  <c r="DL91" i="9"/>
  <c r="DS60" i="9"/>
  <c r="FG89" i="9"/>
  <c r="DK89" i="9"/>
  <c r="FH103" i="9"/>
  <c r="DL103" i="9"/>
  <c r="AC103" i="9"/>
  <c r="AD103" i="9" s="1"/>
  <c r="AE103" i="9" s="1"/>
  <c r="FG104" i="9"/>
  <c r="DK104" i="9"/>
  <c r="AB104" i="9"/>
  <c r="FQ90" i="9"/>
  <c r="FI90" i="9"/>
  <c r="AD90" i="9"/>
  <c r="DS106" i="9"/>
  <c r="EA106" i="9" s="1"/>
  <c r="FG88" i="9"/>
  <c r="DK88" i="9"/>
  <c r="AC78" i="9"/>
  <c r="DM78" i="9" s="1"/>
  <c r="DU78" i="9" s="1"/>
  <c r="DS69" i="9"/>
  <c r="AD69" i="9"/>
  <c r="AE69" i="9" s="1"/>
  <c r="AF69" i="9" s="1"/>
  <c r="DL69" i="9"/>
  <c r="DT69" i="9" s="1"/>
  <c r="DK75" i="9"/>
  <c r="DS75" i="9" s="1"/>
  <c r="DL54" i="9"/>
  <c r="DT54" i="9" s="1"/>
  <c r="DK68" i="9"/>
  <c r="AB77" i="9"/>
  <c r="DL77" i="9" s="1"/>
  <c r="DS72" i="9"/>
  <c r="DT65" i="9"/>
  <c r="DS65" i="9"/>
  <c r="AC57" i="9"/>
  <c r="DM57" i="9" s="1"/>
  <c r="DU57" i="9" s="1"/>
  <c r="DS67" i="9"/>
  <c r="AB61" i="9"/>
  <c r="AC61" i="9" s="1"/>
  <c r="DM61" i="9" s="1"/>
  <c r="DN82" i="9"/>
  <c r="DK74" i="9"/>
  <c r="DS74" i="9" s="1"/>
  <c r="DL62" i="9"/>
  <c r="DT62" i="9" s="1"/>
  <c r="DM83" i="9"/>
  <c r="DT70" i="9"/>
  <c r="DT57" i="9"/>
  <c r="DS62" i="9"/>
  <c r="DM62" i="9"/>
  <c r="AD62" i="9"/>
  <c r="DK80" i="9"/>
  <c r="DS80" i="9" s="1"/>
  <c r="DT73" i="9"/>
  <c r="DT79" i="9"/>
  <c r="DS73" i="9"/>
  <c r="DL81" i="9"/>
  <c r="DS79" i="9"/>
  <c r="DS57" i="9"/>
  <c r="DS70" i="9"/>
  <c r="DT78" i="9"/>
  <c r="AB56" i="9"/>
  <c r="DK56" i="9"/>
  <c r="DS56" i="9" s="1"/>
  <c r="DK76" i="9"/>
  <c r="DS76" i="9" s="1"/>
  <c r="AB76" i="9"/>
  <c r="AC79" i="9"/>
  <c r="DM79" i="9" s="1"/>
  <c r="DU79" i="9" s="1"/>
  <c r="DK55" i="9"/>
  <c r="DS55" i="9" s="1"/>
  <c r="DS83" i="9"/>
  <c r="DT72" i="9"/>
  <c r="DK59" i="9"/>
  <c r="DS59" i="9" s="1"/>
  <c r="AB59" i="9"/>
  <c r="DS66" i="9"/>
  <c r="AB63" i="9"/>
  <c r="DK63" i="9"/>
  <c r="DS63" i="9" s="1"/>
  <c r="AB64" i="9"/>
  <c r="DK64" i="9"/>
  <c r="DS64" i="9" s="1"/>
  <c r="DS78" i="9"/>
  <c r="DM60" i="9"/>
  <c r="AD60" i="9"/>
  <c r="DL58" i="9"/>
  <c r="DT58" i="9" s="1"/>
  <c r="AC58" i="9"/>
  <c r="DM54" i="9"/>
  <c r="AD54" i="9"/>
  <c r="DN67" i="9"/>
  <c r="AE67" i="9"/>
  <c r="AF67" i="9" s="1"/>
  <c r="DL66" i="9"/>
  <c r="DT66" i="9" s="1"/>
  <c r="AC66" i="9"/>
  <c r="DN83" i="9"/>
  <c r="C78" i="17"/>
  <c r="C67" i="17"/>
  <c r="C68" i="17"/>
  <c r="C69" i="17"/>
  <c r="C70" i="17"/>
  <c r="C62" i="17"/>
  <c r="C75" i="17"/>
  <c r="C76" i="17"/>
  <c r="C77" i="17"/>
  <c r="C74" i="17"/>
  <c r="C66" i="17"/>
  <c r="C59" i="17"/>
  <c r="C60" i="17"/>
  <c r="C61" i="17"/>
  <c r="C58" i="17"/>
  <c r="I46" i="7"/>
  <c r="FS99" i="9" l="1"/>
  <c r="FK99" i="9"/>
  <c r="DP99" i="9"/>
  <c r="FL99" i="9"/>
  <c r="AC101" i="9"/>
  <c r="AD101" i="9" s="1"/>
  <c r="FZ101" i="9" s="1"/>
  <c r="DL92" i="9"/>
  <c r="AC92" i="9"/>
  <c r="DV67" i="9"/>
  <c r="DM70" i="9"/>
  <c r="DU70" i="9" s="1"/>
  <c r="DL55" i="9"/>
  <c r="DT55" i="9" s="1"/>
  <c r="DU67" i="9"/>
  <c r="AC74" i="9"/>
  <c r="DM74" i="9" s="1"/>
  <c r="AF103" i="9"/>
  <c r="FS103" i="9"/>
  <c r="DU73" i="9"/>
  <c r="AD81" i="9"/>
  <c r="DN81" i="9" s="1"/>
  <c r="AF80" i="9"/>
  <c r="DP80" i="9" s="1"/>
  <c r="DM84" i="9"/>
  <c r="DN80" i="9"/>
  <c r="DU60" i="9"/>
  <c r="DL80" i="9"/>
  <c r="DT80" i="9" s="1"/>
  <c r="DM80" i="9"/>
  <c r="DL99" i="9"/>
  <c r="FH99" i="9"/>
  <c r="FH100" i="9"/>
  <c r="AD68" i="9"/>
  <c r="AE68" i="9" s="1"/>
  <c r="AF68" i="9" s="1"/>
  <c r="DP68" i="9" s="1"/>
  <c r="AE88" i="9"/>
  <c r="AF88" i="9" s="1"/>
  <c r="DP88" i="9" s="1"/>
  <c r="DM99" i="9"/>
  <c r="AE94" i="9"/>
  <c r="AF94" i="9" s="1"/>
  <c r="FI94" i="9"/>
  <c r="FR88" i="9"/>
  <c r="FQ88" i="9"/>
  <c r="DL68" i="9"/>
  <c r="DT68" i="9" s="1"/>
  <c r="FJ94" i="9"/>
  <c r="FI88" i="9"/>
  <c r="DL84" i="9"/>
  <c r="DT84" i="9" s="1"/>
  <c r="AD73" i="9"/>
  <c r="DN73" i="9" s="1"/>
  <c r="DV73" i="9" s="1"/>
  <c r="DL100" i="9"/>
  <c r="DL94" i="9"/>
  <c r="DL88" i="9"/>
  <c r="AD100" i="9"/>
  <c r="AE100" i="9" s="1"/>
  <c r="AF100" i="9" s="1"/>
  <c r="DP100" i="9" s="1"/>
  <c r="DM72" i="9"/>
  <c r="DU72" i="9" s="1"/>
  <c r="DV82" i="9"/>
  <c r="DU82" i="9"/>
  <c r="DT77" i="9"/>
  <c r="AC75" i="9"/>
  <c r="DM75" i="9" s="1"/>
  <c r="FH101" i="9"/>
  <c r="AC95" i="9"/>
  <c r="AD95" i="9" s="1"/>
  <c r="DL101" i="9"/>
  <c r="FT93" i="9"/>
  <c r="AC102" i="9"/>
  <c r="FY102" i="9" s="1"/>
  <c r="FX102" i="9"/>
  <c r="DM101" i="9"/>
  <c r="AD71" i="9"/>
  <c r="DN71" i="9" s="1"/>
  <c r="DV71" i="9" s="1"/>
  <c r="DP69" i="9"/>
  <c r="DP93" i="9"/>
  <c r="FL93" i="9"/>
  <c r="DP67" i="9"/>
  <c r="DT81" i="9"/>
  <c r="AD65" i="9"/>
  <c r="DN65" i="9" s="1"/>
  <c r="DV65" i="9" s="1"/>
  <c r="AD96" i="9"/>
  <c r="DM96" i="9"/>
  <c r="FQ96" i="9"/>
  <c r="DU83" i="9"/>
  <c r="AD98" i="9"/>
  <c r="DM98" i="9"/>
  <c r="DN103" i="9"/>
  <c r="EH89" i="9"/>
  <c r="EI89" i="9"/>
  <c r="EJ89" i="9"/>
  <c r="EK89" i="9"/>
  <c r="EL89" i="9"/>
  <c r="EM89" i="9"/>
  <c r="AM89" i="9"/>
  <c r="AK89" i="9"/>
  <c r="AL89" i="9"/>
  <c r="AJ89" i="9"/>
  <c r="AZ88" i="9"/>
  <c r="BA88" i="9"/>
  <c r="AX88" i="9"/>
  <c r="AY88" i="9"/>
  <c r="AY98" i="9"/>
  <c r="BB98" i="9"/>
  <c r="BC98" i="9"/>
  <c r="AY96" i="9"/>
  <c r="AZ96" i="9"/>
  <c r="BA96" i="9"/>
  <c r="EM92" i="9"/>
  <c r="EH92" i="9"/>
  <c r="EI92" i="9"/>
  <c r="EJ92" i="9"/>
  <c r="EK92" i="9"/>
  <c r="EL92" i="9"/>
  <c r="AL92" i="9"/>
  <c r="AY92" i="9"/>
  <c r="AJ92" i="9"/>
  <c r="AM92" i="9"/>
  <c r="AK92" i="9"/>
  <c r="AX94" i="9"/>
  <c r="AY94" i="9"/>
  <c r="BB94" i="9"/>
  <c r="EM90" i="9"/>
  <c r="EH90" i="9"/>
  <c r="AY90" i="9"/>
  <c r="EI90" i="9"/>
  <c r="EJ90" i="9"/>
  <c r="EK90" i="9"/>
  <c r="EL90" i="9"/>
  <c r="AM90" i="9"/>
  <c r="AK90" i="9"/>
  <c r="AL90" i="9"/>
  <c r="AJ90" i="9"/>
  <c r="EH97" i="9"/>
  <c r="EI97" i="9"/>
  <c r="EJ97" i="9"/>
  <c r="EK97" i="9"/>
  <c r="EL97" i="9"/>
  <c r="EM97" i="9"/>
  <c r="AK97" i="9"/>
  <c r="AL97" i="9"/>
  <c r="AM97" i="9"/>
  <c r="DU69" i="9"/>
  <c r="DL104" i="9"/>
  <c r="FH104" i="9"/>
  <c r="AC104" i="9"/>
  <c r="AD104" i="9" s="1"/>
  <c r="FH96" i="9"/>
  <c r="DL96" i="9"/>
  <c r="AX102" i="9"/>
  <c r="AY102" i="9"/>
  <c r="AZ102" i="9"/>
  <c r="BA102" i="9"/>
  <c r="FK93" i="9"/>
  <c r="FS93" i="9"/>
  <c r="AX104" i="9"/>
  <c r="AY104" i="9"/>
  <c r="BA104" i="9"/>
  <c r="BB104" i="9"/>
  <c r="BC104" i="9"/>
  <c r="DL107" i="9"/>
  <c r="FP107" i="9"/>
  <c r="FH107" i="9"/>
  <c r="DT107" i="9"/>
  <c r="EB107" i="9" s="1"/>
  <c r="AC107" i="9"/>
  <c r="FJ89" i="9"/>
  <c r="FR89" i="9"/>
  <c r="AE89" i="9"/>
  <c r="AF89" i="9" s="1"/>
  <c r="BC91" i="9"/>
  <c r="AY91" i="9"/>
  <c r="BB91" i="9"/>
  <c r="AX90" i="9"/>
  <c r="AZ90" i="9"/>
  <c r="BA90" i="9"/>
  <c r="BB90" i="9"/>
  <c r="BC90" i="9"/>
  <c r="AY101" i="9"/>
  <c r="AZ101" i="9"/>
  <c r="BC101" i="9"/>
  <c r="AX103" i="9"/>
  <c r="AY103" i="9"/>
  <c r="BA103" i="9"/>
  <c r="BB103" i="9"/>
  <c r="AZ100" i="9"/>
  <c r="BB100" i="9"/>
  <c r="BC100" i="9"/>
  <c r="AX100" i="9"/>
  <c r="AY100" i="9"/>
  <c r="EK104" i="9"/>
  <c r="EL104" i="9"/>
  <c r="EM104" i="9"/>
  <c r="AZ104" i="9"/>
  <c r="EH104" i="9"/>
  <c r="EI104" i="9"/>
  <c r="EJ104" i="9"/>
  <c r="AL104" i="9"/>
  <c r="AM104" i="9"/>
  <c r="AX92" i="9"/>
  <c r="AZ92" i="9"/>
  <c r="BA92" i="9"/>
  <c r="BB92" i="9"/>
  <c r="BC92" i="9"/>
  <c r="AY99" i="9"/>
  <c r="AZ99" i="9"/>
  <c r="BA99" i="9"/>
  <c r="BB99" i="9"/>
  <c r="BC99" i="9"/>
  <c r="AZ103" i="9"/>
  <c r="BC103" i="9"/>
  <c r="EH103" i="9"/>
  <c r="EI103" i="9"/>
  <c r="EJ103" i="9"/>
  <c r="EK103" i="9"/>
  <c r="EL103" i="9"/>
  <c r="EM103" i="9"/>
  <c r="AL103" i="9"/>
  <c r="AM103" i="9"/>
  <c r="DM103" i="9"/>
  <c r="FI103" i="9"/>
  <c r="FH102" i="9"/>
  <c r="DL102" i="9"/>
  <c r="DL106" i="9"/>
  <c r="FH106" i="9"/>
  <c r="FP106" i="9"/>
  <c r="DT106" i="9"/>
  <c r="EB106" i="9" s="1"/>
  <c r="AC106" i="9"/>
  <c r="AX93" i="9"/>
  <c r="BA93" i="9"/>
  <c r="BB93" i="9"/>
  <c r="EL102" i="9"/>
  <c r="BB102" i="9"/>
  <c r="EM102" i="9"/>
  <c r="BC102" i="9"/>
  <c r="EH102" i="9"/>
  <c r="EI102" i="9"/>
  <c r="EJ102" i="9"/>
  <c r="EK102" i="9"/>
  <c r="AL102" i="9"/>
  <c r="AK102" i="9"/>
  <c r="AM102" i="9"/>
  <c r="FJ90" i="9"/>
  <c r="FR90" i="9"/>
  <c r="AE90" i="9"/>
  <c r="AF90" i="9" s="1"/>
  <c r="EM88" i="9"/>
  <c r="BB88" i="9"/>
  <c r="EH88" i="9"/>
  <c r="EI88" i="9"/>
  <c r="EJ88" i="9"/>
  <c r="EK88" i="9"/>
  <c r="EL88" i="9"/>
  <c r="BC88" i="9"/>
  <c r="AM88" i="9"/>
  <c r="AK88" i="9"/>
  <c r="AL88" i="9"/>
  <c r="AJ88" i="9"/>
  <c r="AX95" i="9"/>
  <c r="EH95" i="9"/>
  <c r="EI95" i="9"/>
  <c r="EJ95" i="9"/>
  <c r="EK95" i="9"/>
  <c r="EL95" i="9"/>
  <c r="EM95" i="9"/>
  <c r="AL95" i="9"/>
  <c r="AM95" i="9"/>
  <c r="AJ95" i="9"/>
  <c r="AK95" i="9"/>
  <c r="EM94" i="9"/>
  <c r="EH94" i="9"/>
  <c r="BC94" i="9"/>
  <c r="EI94" i="9"/>
  <c r="EJ94" i="9"/>
  <c r="EK94" i="9"/>
  <c r="EL94" i="9"/>
  <c r="BA94" i="9"/>
  <c r="AZ94" i="9"/>
  <c r="AM94" i="9"/>
  <c r="AL94" i="9"/>
  <c r="AJ94" i="9"/>
  <c r="AK94" i="9"/>
  <c r="BB97" i="9"/>
  <c r="BC97" i="9"/>
  <c r="AX97" i="9"/>
  <c r="AY97" i="9"/>
  <c r="AZ97" i="9"/>
  <c r="BA97" i="9"/>
  <c r="AX101" i="9"/>
  <c r="BA101" i="9"/>
  <c r="EH101" i="9"/>
  <c r="BB101" i="9"/>
  <c r="EI101" i="9"/>
  <c r="EJ101" i="9"/>
  <c r="EK101" i="9"/>
  <c r="EL101" i="9"/>
  <c r="EM101" i="9"/>
  <c r="AL101" i="9"/>
  <c r="AM101" i="9"/>
  <c r="AK101" i="9"/>
  <c r="DL98" i="9"/>
  <c r="FH98" i="9"/>
  <c r="EM96" i="9"/>
  <c r="BB96" i="9"/>
  <c r="EH96" i="9"/>
  <c r="EI96" i="9"/>
  <c r="EJ96" i="9"/>
  <c r="EK96" i="9"/>
  <c r="EL96" i="9"/>
  <c r="AX96" i="9"/>
  <c r="BC96" i="9"/>
  <c r="AM96" i="9"/>
  <c r="AK96" i="9"/>
  <c r="AL96" i="9"/>
  <c r="EL100" i="9"/>
  <c r="EM100" i="9"/>
  <c r="BA100" i="9"/>
  <c r="EH100" i="9"/>
  <c r="EI100" i="9"/>
  <c r="EJ100" i="9"/>
  <c r="EK100" i="9"/>
  <c r="AK100" i="9"/>
  <c r="AL100" i="9"/>
  <c r="AM100" i="9"/>
  <c r="AX89" i="9"/>
  <c r="AY89" i="9"/>
  <c r="AZ89" i="9"/>
  <c r="BA89" i="9"/>
  <c r="BB89" i="9"/>
  <c r="BC89" i="9"/>
  <c r="EH99" i="9"/>
  <c r="EI99" i="9"/>
  <c r="EJ99" i="9"/>
  <c r="EK99" i="9"/>
  <c r="EL99" i="9"/>
  <c r="EM99" i="9"/>
  <c r="AX99" i="9"/>
  <c r="AK99" i="9"/>
  <c r="AM99" i="9"/>
  <c r="AL99" i="9"/>
  <c r="FS100" i="9"/>
  <c r="DT105" i="9"/>
  <c r="EB105" i="9" s="1"/>
  <c r="DL105" i="9"/>
  <c r="FH105" i="9"/>
  <c r="FP105" i="9"/>
  <c r="AC105" i="9"/>
  <c r="AD105" i="9" s="1"/>
  <c r="EH93" i="9"/>
  <c r="AY93" i="9"/>
  <c r="EI93" i="9"/>
  <c r="AZ93" i="9"/>
  <c r="EJ93" i="9"/>
  <c r="BC93" i="9"/>
  <c r="EK93" i="9"/>
  <c r="EL93" i="9"/>
  <c r="EM93" i="9"/>
  <c r="AK93" i="9"/>
  <c r="AM93" i="9"/>
  <c r="AL93" i="9"/>
  <c r="AY95" i="9"/>
  <c r="AZ95" i="9"/>
  <c r="BA95" i="9"/>
  <c r="BB95" i="9"/>
  <c r="BC95" i="9"/>
  <c r="EH91" i="9"/>
  <c r="AX91" i="9"/>
  <c r="EI91" i="9"/>
  <c r="AZ91" i="9"/>
  <c r="EJ91" i="9"/>
  <c r="BA91" i="9"/>
  <c r="EK91" i="9"/>
  <c r="EL91" i="9"/>
  <c r="EM91" i="9"/>
  <c r="AK91" i="9"/>
  <c r="AL91" i="9"/>
  <c r="AM91" i="9"/>
  <c r="EL98" i="9"/>
  <c r="EM98" i="9"/>
  <c r="EH98" i="9"/>
  <c r="EI98" i="9"/>
  <c r="EJ98" i="9"/>
  <c r="AX98" i="9"/>
  <c r="EK98" i="9"/>
  <c r="BA98" i="9"/>
  <c r="AZ98" i="9"/>
  <c r="AK98" i="9"/>
  <c r="AL98" i="9"/>
  <c r="AM98" i="9"/>
  <c r="DN69" i="9"/>
  <c r="DV69" i="9" s="1"/>
  <c r="AD78" i="9"/>
  <c r="DN78" i="9" s="1"/>
  <c r="DV78" i="9" s="1"/>
  <c r="AC77" i="9"/>
  <c r="DM77" i="9" s="1"/>
  <c r="DU77" i="9" s="1"/>
  <c r="AD57" i="9"/>
  <c r="AE57" i="9" s="1"/>
  <c r="AF57" i="9" s="1"/>
  <c r="DT74" i="9"/>
  <c r="DT75" i="9"/>
  <c r="DU54" i="9"/>
  <c r="DS68" i="9"/>
  <c r="DU62" i="9"/>
  <c r="AD61" i="9"/>
  <c r="AE61" i="9" s="1"/>
  <c r="AF61" i="9" s="1"/>
  <c r="DL61" i="9"/>
  <c r="DT61" i="9" s="1"/>
  <c r="DV83" i="9"/>
  <c r="DN62" i="9"/>
  <c r="DV62" i="9" s="1"/>
  <c r="AE62" i="9"/>
  <c r="DU81" i="9"/>
  <c r="AD79" i="9"/>
  <c r="DN79" i="9" s="1"/>
  <c r="DV79" i="9" s="1"/>
  <c r="DL76" i="9"/>
  <c r="DT76" i="9" s="1"/>
  <c r="AC76" i="9"/>
  <c r="DL56" i="9"/>
  <c r="DT56" i="9" s="1"/>
  <c r="AC56" i="9"/>
  <c r="AC63" i="9"/>
  <c r="DL63" i="9"/>
  <c r="DT63" i="9" s="1"/>
  <c r="AC64" i="9"/>
  <c r="DL64" i="9"/>
  <c r="DT64" i="9" s="1"/>
  <c r="DO100" i="9"/>
  <c r="AD55" i="9"/>
  <c r="DM55" i="9"/>
  <c r="DU55" i="9" s="1"/>
  <c r="AC59" i="9"/>
  <c r="DL59" i="9"/>
  <c r="DT59" i="9" s="1"/>
  <c r="DO67" i="9"/>
  <c r="DW67" i="9" s="1"/>
  <c r="DN84" i="9"/>
  <c r="DO82" i="9"/>
  <c r="DW82" i="9" s="1"/>
  <c r="DO69" i="9"/>
  <c r="DN60" i="9"/>
  <c r="DV60" i="9" s="1"/>
  <c r="AE60" i="9"/>
  <c r="AF60" i="9" s="1"/>
  <c r="DN72" i="9"/>
  <c r="AE72" i="9"/>
  <c r="AF72" i="9" s="1"/>
  <c r="DO83" i="9"/>
  <c r="DX83" i="9" s="1"/>
  <c r="DM66" i="9"/>
  <c r="DU66" i="9" s="1"/>
  <c r="AD66" i="9"/>
  <c r="DM58" i="9"/>
  <c r="DU58" i="9" s="1"/>
  <c r="AD58" i="9"/>
  <c r="DN70" i="9"/>
  <c r="DV70" i="9" s="1"/>
  <c r="AE70" i="9"/>
  <c r="AF70" i="9" s="1"/>
  <c r="DN54" i="9"/>
  <c r="DV54" i="9" s="1"/>
  <c r="AE54" i="9"/>
  <c r="AF54" i="9" s="1"/>
  <c r="C71" i="17"/>
  <c r="D71" i="17" s="1"/>
  <c r="C79" i="17"/>
  <c r="C63" i="17"/>
  <c r="L50" i="7"/>
  <c r="L49" i="7"/>
  <c r="FR101" i="9" l="1"/>
  <c r="AE101" i="9"/>
  <c r="AF101" i="9" s="1"/>
  <c r="FL101" i="9" s="1"/>
  <c r="FK100" i="9"/>
  <c r="FL100" i="9"/>
  <c r="FT100" i="9"/>
  <c r="FY101" i="9"/>
  <c r="FI92" i="9"/>
  <c r="AD92" i="9"/>
  <c r="DN92" i="9" s="1"/>
  <c r="FQ92" i="9"/>
  <c r="DU74" i="9"/>
  <c r="AD74" i="9"/>
  <c r="DN74" i="9" s="1"/>
  <c r="DV74" i="9" s="1"/>
  <c r="DU68" i="9"/>
  <c r="FL103" i="9"/>
  <c r="DP103" i="9"/>
  <c r="FT103" i="9"/>
  <c r="AE73" i="9"/>
  <c r="DO73" i="9" s="1"/>
  <c r="DW73" i="9" s="1"/>
  <c r="FS88" i="9"/>
  <c r="AE81" i="9"/>
  <c r="DO81" i="9" s="1"/>
  <c r="DX80" i="9"/>
  <c r="DV80" i="9"/>
  <c r="DU80" i="9"/>
  <c r="DW80" i="9"/>
  <c r="DV84" i="9"/>
  <c r="FK88" i="9"/>
  <c r="DN68" i="9"/>
  <c r="DV68" i="9" s="1"/>
  <c r="DO68" i="9"/>
  <c r="DV72" i="9"/>
  <c r="FT88" i="9"/>
  <c r="DU84" i="9"/>
  <c r="FL88" i="9"/>
  <c r="FS94" i="9"/>
  <c r="FK94" i="9"/>
  <c r="AE71" i="9"/>
  <c r="AF71" i="9" s="1"/>
  <c r="DP71" i="9" s="1"/>
  <c r="FK101" i="9"/>
  <c r="AD75" i="9"/>
  <c r="AE75" i="9" s="1"/>
  <c r="AF75" i="9" s="1"/>
  <c r="DP75" i="9" s="1"/>
  <c r="DU75" i="9"/>
  <c r="FQ95" i="9"/>
  <c r="FS101" i="9"/>
  <c r="DV81" i="9"/>
  <c r="GA101" i="9"/>
  <c r="AD102" i="9"/>
  <c r="FZ102" i="9" s="1"/>
  <c r="DX82" i="9"/>
  <c r="DP101" i="9"/>
  <c r="FT90" i="9"/>
  <c r="FT94" i="9"/>
  <c r="DX67" i="9"/>
  <c r="FT89" i="9"/>
  <c r="DX69" i="9"/>
  <c r="DM102" i="9"/>
  <c r="AE65" i="9"/>
  <c r="AF65" i="9" s="1"/>
  <c r="DP65" i="9" s="1"/>
  <c r="FT101" i="9"/>
  <c r="GB101" i="9"/>
  <c r="DP60" i="9"/>
  <c r="DP94" i="9"/>
  <c r="FL94" i="9"/>
  <c r="DP61" i="9"/>
  <c r="DP70" i="9"/>
  <c r="DP72" i="9"/>
  <c r="DP57" i="9"/>
  <c r="DP90" i="9"/>
  <c r="FL90" i="9"/>
  <c r="DP54" i="9"/>
  <c r="FL89" i="9"/>
  <c r="DP89" i="9"/>
  <c r="DO62" i="9"/>
  <c r="DW62" i="9" s="1"/>
  <c r="AF62" i="9"/>
  <c r="AE95" i="9"/>
  <c r="AF95" i="9" s="1"/>
  <c r="FJ95" i="9"/>
  <c r="FR95" i="9"/>
  <c r="AE105" i="9"/>
  <c r="AF105" i="9" s="1"/>
  <c r="FJ105" i="9"/>
  <c r="DN105" i="9"/>
  <c r="FJ96" i="9"/>
  <c r="FR96" i="9"/>
  <c r="AE96" i="9"/>
  <c r="AF96" i="9" s="1"/>
  <c r="DN57" i="9"/>
  <c r="DV57" i="9" s="1"/>
  <c r="DO101" i="9"/>
  <c r="BP101" i="9"/>
  <c r="BO101" i="9"/>
  <c r="BN101" i="9"/>
  <c r="BS101" i="9"/>
  <c r="BR101" i="9"/>
  <c r="BQ101" i="9"/>
  <c r="FJ101" i="9"/>
  <c r="BP103" i="9"/>
  <c r="BO103" i="9"/>
  <c r="BQ103" i="9"/>
  <c r="BR103" i="9"/>
  <c r="BS103" i="9"/>
  <c r="BN103" i="9"/>
  <c r="FK103" i="9"/>
  <c r="BP91" i="9"/>
  <c r="BQ91" i="9"/>
  <c r="BR91" i="9"/>
  <c r="BO91" i="9"/>
  <c r="BS91" i="9"/>
  <c r="BN91" i="9"/>
  <c r="BR96" i="9"/>
  <c r="BS96" i="9"/>
  <c r="BN96" i="9"/>
  <c r="BO96" i="9"/>
  <c r="BP96" i="9"/>
  <c r="BQ96" i="9"/>
  <c r="BP95" i="9"/>
  <c r="BQ95" i="9"/>
  <c r="BR95" i="9"/>
  <c r="BS95" i="9"/>
  <c r="BO95" i="9"/>
  <c r="BN95" i="9"/>
  <c r="FI95" i="9"/>
  <c r="BP89" i="9"/>
  <c r="BS89" i="9"/>
  <c r="BN89" i="9"/>
  <c r="BO89" i="9"/>
  <c r="BQ89" i="9"/>
  <c r="BR89" i="9"/>
  <c r="BR92" i="9"/>
  <c r="BS92" i="9"/>
  <c r="BN92" i="9"/>
  <c r="BO92" i="9"/>
  <c r="BP92" i="9"/>
  <c r="BQ92" i="9"/>
  <c r="BO99" i="9"/>
  <c r="BS99" i="9"/>
  <c r="BN99" i="9"/>
  <c r="BQ99" i="9"/>
  <c r="BP99" i="9"/>
  <c r="FJ99" i="9"/>
  <c r="BR99" i="9"/>
  <c r="BP97" i="9"/>
  <c r="BN97" i="9"/>
  <c r="BO97" i="9"/>
  <c r="BS97" i="9"/>
  <c r="BR97" i="9"/>
  <c r="BQ97" i="9"/>
  <c r="FJ97" i="9"/>
  <c r="BP93" i="9"/>
  <c r="BN93" i="9"/>
  <c r="BO93" i="9"/>
  <c r="BQ93" i="9"/>
  <c r="BS93" i="9"/>
  <c r="BR93" i="9"/>
  <c r="BS88" i="9"/>
  <c r="BR88" i="9"/>
  <c r="BQ88" i="9"/>
  <c r="BP88" i="9"/>
  <c r="BO88" i="9"/>
  <c r="BN88" i="9"/>
  <c r="BN90" i="9"/>
  <c r="BO90" i="9"/>
  <c r="BP90" i="9"/>
  <c r="BR90" i="9"/>
  <c r="BQ90" i="9"/>
  <c r="BS90" i="9"/>
  <c r="BN100" i="9"/>
  <c r="BP100" i="9"/>
  <c r="BO100" i="9"/>
  <c r="BQ100" i="9"/>
  <c r="BS100" i="9"/>
  <c r="BR100" i="9"/>
  <c r="FJ100" i="9"/>
  <c r="BN102" i="9"/>
  <c r="BR102" i="9"/>
  <c r="BO102" i="9"/>
  <c r="BP102" i="9"/>
  <c r="BQ102" i="9"/>
  <c r="BS102" i="9"/>
  <c r="BR104" i="9"/>
  <c r="BS104" i="9"/>
  <c r="BQ104" i="9"/>
  <c r="BN104" i="9"/>
  <c r="BO104" i="9"/>
  <c r="BP104" i="9"/>
  <c r="DW69" i="9"/>
  <c r="BN94" i="9"/>
  <c r="BO94" i="9"/>
  <c r="BR94" i="9"/>
  <c r="BP94" i="9"/>
  <c r="BQ94" i="9"/>
  <c r="BS94" i="9"/>
  <c r="BN98" i="9"/>
  <c r="BS98" i="9"/>
  <c r="BQ98" i="9"/>
  <c r="BO98" i="9"/>
  <c r="BR98" i="9"/>
  <c r="BP98" i="9"/>
  <c r="DW83" i="9"/>
  <c r="FJ98" i="9"/>
  <c r="FR98" i="9"/>
  <c r="AE98" i="9"/>
  <c r="AE104" i="9"/>
  <c r="DN104" i="9"/>
  <c r="DU106" i="9"/>
  <c r="EC106" i="9" s="1"/>
  <c r="FI106" i="9"/>
  <c r="DM106" i="9"/>
  <c r="FQ106" i="9"/>
  <c r="AD106" i="9"/>
  <c r="AE106" i="9" s="1"/>
  <c r="AF106" i="9" s="1"/>
  <c r="FI104" i="9"/>
  <c r="DM104" i="9"/>
  <c r="CW100" i="9"/>
  <c r="DE100" i="9" s="1"/>
  <c r="DU100" i="9" s="1"/>
  <c r="EC100" i="9" s="1"/>
  <c r="BH100" i="9"/>
  <c r="BI100" i="9"/>
  <c r="BK100" i="9"/>
  <c r="BJ100" i="9"/>
  <c r="BF100" i="9"/>
  <c r="BG100" i="9"/>
  <c r="FI100" i="9"/>
  <c r="DN100" i="9"/>
  <c r="DX100" i="9" s="1"/>
  <c r="CU101" i="9"/>
  <c r="DC101" i="9" s="1"/>
  <c r="DS101" i="9" s="1"/>
  <c r="EA101" i="9" s="1"/>
  <c r="CV101" i="9"/>
  <c r="DD101" i="9" s="1"/>
  <c r="DT101" i="9" s="1"/>
  <c r="EB101" i="9" s="1"/>
  <c r="CX101" i="9"/>
  <c r="DF101" i="9" s="1"/>
  <c r="CW101" i="9"/>
  <c r="DE101" i="9" s="1"/>
  <c r="DU101" i="9" s="1"/>
  <c r="EC101" i="9" s="1"/>
  <c r="BF101" i="9"/>
  <c r="BG101" i="9"/>
  <c r="BI101" i="9"/>
  <c r="BJ101" i="9"/>
  <c r="BK101" i="9"/>
  <c r="BH101" i="9"/>
  <c r="FI101" i="9"/>
  <c r="DN101" i="9"/>
  <c r="DO90" i="9"/>
  <c r="FK90" i="9"/>
  <c r="FS90" i="9"/>
  <c r="FS89" i="9"/>
  <c r="FK89" i="9"/>
  <c r="DO89" i="9"/>
  <c r="BJ99" i="9"/>
  <c r="BK99" i="9"/>
  <c r="CU99" i="9"/>
  <c r="DC99" i="9" s="1"/>
  <c r="DS99" i="9" s="1"/>
  <c r="EA99" i="9" s="1"/>
  <c r="CV99" i="9"/>
  <c r="DD99" i="9" s="1"/>
  <c r="DT99" i="9" s="1"/>
  <c r="EB99" i="9" s="1"/>
  <c r="CX99" i="9"/>
  <c r="DF99" i="9" s="1"/>
  <c r="BG99" i="9"/>
  <c r="BH99" i="9"/>
  <c r="BF99" i="9"/>
  <c r="BI99" i="9"/>
  <c r="FI99" i="9"/>
  <c r="DN99" i="9"/>
  <c r="DO99" i="9"/>
  <c r="FQ107" i="9"/>
  <c r="DM107" i="9"/>
  <c r="FI107" i="9"/>
  <c r="AD107" i="9"/>
  <c r="AE107" i="9" s="1"/>
  <c r="AF107" i="9" s="1"/>
  <c r="BF95" i="9"/>
  <c r="BG95" i="9"/>
  <c r="BH95" i="9"/>
  <c r="BK95" i="9"/>
  <c r="CW95" i="9"/>
  <c r="DE95" i="9" s="1"/>
  <c r="CV95" i="9"/>
  <c r="DD95" i="9" s="1"/>
  <c r="DT95" i="9" s="1"/>
  <c r="EB95" i="9" s="1"/>
  <c r="CY95" i="9"/>
  <c r="DG95" i="9" s="1"/>
  <c r="BI95" i="9"/>
  <c r="BJ95" i="9"/>
  <c r="FH95" i="9"/>
  <c r="DM95" i="9"/>
  <c r="DU95" i="9" s="1"/>
  <c r="EC95" i="9" s="1"/>
  <c r="DN95" i="9"/>
  <c r="CX97" i="9"/>
  <c r="DF97" i="9" s="1"/>
  <c r="CU97" i="9"/>
  <c r="DC97" i="9" s="1"/>
  <c r="DS97" i="9" s="1"/>
  <c r="EA97" i="9" s="1"/>
  <c r="CV97" i="9"/>
  <c r="DD97" i="9" s="1"/>
  <c r="DT97" i="9" s="1"/>
  <c r="EB97" i="9" s="1"/>
  <c r="BF97" i="9"/>
  <c r="BH97" i="9"/>
  <c r="BI97" i="9"/>
  <c r="BJ97" i="9"/>
  <c r="BK97" i="9"/>
  <c r="BG97" i="9"/>
  <c r="FI97" i="9"/>
  <c r="DN97" i="9"/>
  <c r="DO97" i="9"/>
  <c r="CU103" i="9"/>
  <c r="DC103" i="9" s="1"/>
  <c r="DS103" i="9" s="1"/>
  <c r="EA103" i="9" s="1"/>
  <c r="BF103" i="9"/>
  <c r="CV103" i="9"/>
  <c r="DD103" i="9" s="1"/>
  <c r="DT103" i="9" s="1"/>
  <c r="EB103" i="9" s="1"/>
  <c r="CW103" i="9"/>
  <c r="DE103" i="9" s="1"/>
  <c r="DU103" i="9" s="1"/>
  <c r="EC103" i="9" s="1"/>
  <c r="BG103" i="9"/>
  <c r="CX103" i="9"/>
  <c r="DF103" i="9" s="1"/>
  <c r="DV103" i="9" s="1"/>
  <c r="ED103" i="9" s="1"/>
  <c r="BH103" i="9"/>
  <c r="BI103" i="9"/>
  <c r="BJ103" i="9"/>
  <c r="BK103" i="9"/>
  <c r="FJ103" i="9"/>
  <c r="DO103" i="9"/>
  <c r="DN89" i="9"/>
  <c r="BF98" i="9"/>
  <c r="CW98" i="9"/>
  <c r="DE98" i="9" s="1"/>
  <c r="DU98" i="9" s="1"/>
  <c r="EC98" i="9" s="1"/>
  <c r="BG98" i="9"/>
  <c r="CX98" i="9"/>
  <c r="DF98" i="9" s="1"/>
  <c r="BI98" i="9"/>
  <c r="CY98" i="9"/>
  <c r="DG98" i="9" s="1"/>
  <c r="BJ98" i="9"/>
  <c r="BK98" i="9"/>
  <c r="CV98" i="9"/>
  <c r="DD98" i="9" s="1"/>
  <c r="DT98" i="9" s="1"/>
  <c r="EB98" i="9" s="1"/>
  <c r="BH98" i="9"/>
  <c r="DN98" i="9"/>
  <c r="DV98" i="9" s="1"/>
  <c r="ED98" i="9" s="1"/>
  <c r="FI98" i="9"/>
  <c r="BJ90" i="9"/>
  <c r="CU90" i="9"/>
  <c r="DC90" i="9" s="1"/>
  <c r="DS90" i="9" s="1"/>
  <c r="EA90" i="9" s="1"/>
  <c r="CW90" i="9"/>
  <c r="DE90" i="9" s="1"/>
  <c r="BF90" i="9"/>
  <c r="CY90" i="9"/>
  <c r="DG90" i="9" s="1"/>
  <c r="BG90" i="9"/>
  <c r="BI90" i="9"/>
  <c r="BH90" i="9"/>
  <c r="BK90" i="9"/>
  <c r="FH90" i="9"/>
  <c r="DT90" i="9"/>
  <c r="EB90" i="9" s="1"/>
  <c r="DM90" i="9"/>
  <c r="DU90" i="9" s="1"/>
  <c r="EC90" i="9" s="1"/>
  <c r="DN90" i="9"/>
  <c r="BF88" i="9"/>
  <c r="BG88" i="9"/>
  <c r="BH88" i="9"/>
  <c r="BK88" i="9"/>
  <c r="BJ88" i="9"/>
  <c r="BI88" i="9"/>
  <c r="DM88" i="9"/>
  <c r="FH88" i="9"/>
  <c r="DN88" i="9"/>
  <c r="CU92" i="9"/>
  <c r="DC92" i="9" s="1"/>
  <c r="DS92" i="9" s="1"/>
  <c r="EA92" i="9" s="1"/>
  <c r="CW92" i="9"/>
  <c r="DE92" i="9" s="1"/>
  <c r="BH92" i="9"/>
  <c r="CY92" i="9"/>
  <c r="DG92" i="9" s="1"/>
  <c r="BI92" i="9"/>
  <c r="BK92" i="9"/>
  <c r="BJ92" i="9"/>
  <c r="BG92" i="9"/>
  <c r="BF92" i="9"/>
  <c r="FH92" i="9"/>
  <c r="DM92" i="9"/>
  <c r="DU92" i="9" s="1"/>
  <c r="EC92" i="9" s="1"/>
  <c r="CX94" i="9"/>
  <c r="DF94" i="9" s="1"/>
  <c r="CY94" i="9"/>
  <c r="DG94" i="9" s="1"/>
  <c r="BF94" i="9"/>
  <c r="BG94" i="9"/>
  <c r="BJ94" i="9"/>
  <c r="BK94" i="9"/>
  <c r="BH94" i="9"/>
  <c r="BI94" i="9"/>
  <c r="CU94" i="9"/>
  <c r="DC94" i="9" s="1"/>
  <c r="DS94" i="9" s="1"/>
  <c r="EA94" i="9" s="1"/>
  <c r="DM94" i="9"/>
  <c r="FH94" i="9"/>
  <c r="DN94" i="9"/>
  <c r="DO94" i="9"/>
  <c r="CV91" i="9"/>
  <c r="DD91" i="9" s="1"/>
  <c r="DT91" i="9" s="1"/>
  <c r="EB91" i="9" s="1"/>
  <c r="BG91" i="9"/>
  <c r="BH91" i="9"/>
  <c r="BJ91" i="9"/>
  <c r="CX91" i="9"/>
  <c r="DF91" i="9" s="1"/>
  <c r="BK91" i="9"/>
  <c r="BF91" i="9"/>
  <c r="BI91" i="9"/>
  <c r="FI91" i="9"/>
  <c r="DU91" i="9"/>
  <c r="EC91" i="9" s="1"/>
  <c r="DN91" i="9"/>
  <c r="DO91" i="9"/>
  <c r="DO88" i="9"/>
  <c r="BH104" i="9"/>
  <c r="CY104" i="9"/>
  <c r="DG104" i="9" s="1"/>
  <c r="BJ104" i="9"/>
  <c r="BK104" i="9"/>
  <c r="CU104" i="9"/>
  <c r="DC104" i="9" s="1"/>
  <c r="DS104" i="9" s="1"/>
  <c r="EA104" i="9" s="1"/>
  <c r="CV104" i="9"/>
  <c r="DD104" i="9" s="1"/>
  <c r="DT104" i="9" s="1"/>
  <c r="EB104" i="9" s="1"/>
  <c r="BF104" i="9"/>
  <c r="CW104" i="9"/>
  <c r="DE104" i="9" s="1"/>
  <c r="BG104" i="9"/>
  <c r="CX104" i="9"/>
  <c r="DF104" i="9" s="1"/>
  <c r="BI104" i="9"/>
  <c r="FJ104" i="9"/>
  <c r="CV102" i="9"/>
  <c r="DD102" i="9" s="1"/>
  <c r="DT102" i="9" s="1"/>
  <c r="EB102" i="9" s="1"/>
  <c r="CW102" i="9"/>
  <c r="DE102" i="9" s="1"/>
  <c r="BF102" i="9"/>
  <c r="BG102" i="9"/>
  <c r="BH102" i="9"/>
  <c r="BI102" i="9"/>
  <c r="BJ102" i="9"/>
  <c r="CU102" i="9"/>
  <c r="DC102" i="9" s="1"/>
  <c r="DS102" i="9" s="1"/>
  <c r="EA102" i="9" s="1"/>
  <c r="BK102" i="9"/>
  <c r="FI102" i="9"/>
  <c r="FI105" i="9"/>
  <c r="FQ105" i="9"/>
  <c r="FR105" i="9" s="1"/>
  <c r="DM105" i="9"/>
  <c r="DU105" i="9"/>
  <c r="EC105" i="9" s="1"/>
  <c r="CU93" i="9"/>
  <c r="DC93" i="9" s="1"/>
  <c r="DS93" i="9" s="1"/>
  <c r="EA93" i="9" s="1"/>
  <c r="CV93" i="9"/>
  <c r="DD93" i="9" s="1"/>
  <c r="DT93" i="9" s="1"/>
  <c r="EB93" i="9" s="1"/>
  <c r="BF93" i="9"/>
  <c r="BI93" i="9"/>
  <c r="BJ93" i="9"/>
  <c r="CX93" i="9"/>
  <c r="DF93" i="9" s="1"/>
  <c r="BH93" i="9"/>
  <c r="BG93" i="9"/>
  <c r="BK93" i="9"/>
  <c r="FI93" i="9"/>
  <c r="DN93" i="9"/>
  <c r="BF89" i="9"/>
  <c r="CY89" i="9"/>
  <c r="DG89" i="9" s="1"/>
  <c r="BH89" i="9"/>
  <c r="BI89" i="9"/>
  <c r="CU89" i="9"/>
  <c r="DC89" i="9" s="1"/>
  <c r="DS89" i="9" s="1"/>
  <c r="EA89" i="9" s="1"/>
  <c r="CV89" i="9"/>
  <c r="DD89" i="9" s="1"/>
  <c r="DT89" i="9" s="1"/>
  <c r="EB89" i="9" s="1"/>
  <c r="CW89" i="9"/>
  <c r="DE89" i="9" s="1"/>
  <c r="CX89" i="9"/>
  <c r="DF89" i="9" s="1"/>
  <c r="BG89" i="9"/>
  <c r="BK89" i="9"/>
  <c r="BJ89" i="9"/>
  <c r="FH89" i="9"/>
  <c r="DM89" i="9"/>
  <c r="DU89" i="9" s="1"/>
  <c r="EC89" i="9" s="1"/>
  <c r="CW96" i="9"/>
  <c r="DE96" i="9" s="1"/>
  <c r="CX96" i="9"/>
  <c r="DF96" i="9" s="1"/>
  <c r="BG96" i="9"/>
  <c r="BH96" i="9"/>
  <c r="BI96" i="9"/>
  <c r="BF96" i="9"/>
  <c r="BK96" i="9"/>
  <c r="BJ96" i="9"/>
  <c r="CU96" i="9"/>
  <c r="DC96" i="9" s="1"/>
  <c r="DS96" i="9" s="1"/>
  <c r="EA96" i="9" s="1"/>
  <c r="DN96" i="9"/>
  <c r="FI96" i="9"/>
  <c r="DU96" i="9"/>
  <c r="EC96" i="9" s="1"/>
  <c r="DO93" i="9"/>
  <c r="AD77" i="9"/>
  <c r="DN77" i="9" s="1"/>
  <c r="DV77" i="9" s="1"/>
  <c r="AE78" i="9"/>
  <c r="DN61" i="9"/>
  <c r="DV61" i="9" s="1"/>
  <c r="DU61" i="9"/>
  <c r="E15" i="19"/>
  <c r="AE79" i="9"/>
  <c r="E16" i="19"/>
  <c r="AD56" i="9"/>
  <c r="DM56" i="9"/>
  <c r="DU56" i="9" s="1"/>
  <c r="AD76" i="9"/>
  <c r="DM76" i="9"/>
  <c r="DU76" i="9" s="1"/>
  <c r="F15" i="19"/>
  <c r="E14" i="19"/>
  <c r="DM59" i="9"/>
  <c r="DU59" i="9" s="1"/>
  <c r="AD59" i="9"/>
  <c r="DM63" i="9"/>
  <c r="DU63" i="9" s="1"/>
  <c r="AD63" i="9"/>
  <c r="DN55" i="9"/>
  <c r="DV55" i="9" s="1"/>
  <c r="AE55" i="9"/>
  <c r="DM64" i="9"/>
  <c r="DU64" i="9" s="1"/>
  <c r="AD64" i="9"/>
  <c r="DO84" i="9"/>
  <c r="DW84" i="9" s="1"/>
  <c r="DO70" i="9"/>
  <c r="DW70" i="9" s="1"/>
  <c r="AE66" i="9"/>
  <c r="AF66" i="9" s="1"/>
  <c r="DN66" i="9"/>
  <c r="DV66" i="9" s="1"/>
  <c r="DO60" i="9"/>
  <c r="DW60" i="9" s="1"/>
  <c r="DO57" i="9"/>
  <c r="DO72" i="9"/>
  <c r="DW72" i="9" s="1"/>
  <c r="DO61" i="9"/>
  <c r="DO54" i="9"/>
  <c r="DW54" i="9" s="1"/>
  <c r="AE58" i="9"/>
  <c r="AF58" i="9" s="1"/>
  <c r="DN58" i="9"/>
  <c r="DV58" i="9" s="1"/>
  <c r="C81" i="17"/>
  <c r="L48" i="7"/>
  <c r="F39" i="7"/>
  <c r="F56" i="7" s="1"/>
  <c r="J61" i="15"/>
  <c r="J65" i="15"/>
  <c r="J64" i="15"/>
  <c r="K65" i="15"/>
  <c r="K64" i="15"/>
  <c r="I61" i="15"/>
  <c r="L65" i="15"/>
  <c r="K61" i="15"/>
  <c r="C39" i="16"/>
  <c r="C38" i="16"/>
  <c r="C35" i="16"/>
  <c r="C46" i="16" s="1"/>
  <c r="C42" i="16"/>
  <c r="C36" i="16"/>
  <c r="J15" i="16"/>
  <c r="J12" i="16"/>
  <c r="J11" i="16"/>
  <c r="J8" i="16"/>
  <c r="J7" i="16"/>
  <c r="FJ92" i="9" l="1"/>
  <c r="FR92" i="9"/>
  <c r="AE92" i="9"/>
  <c r="DX103" i="9"/>
  <c r="AE74" i="9"/>
  <c r="DO74" i="9" s="1"/>
  <c r="DW74" i="9" s="1"/>
  <c r="AF73" i="9"/>
  <c r="DP73" i="9" s="1"/>
  <c r="DX73" i="9" s="1"/>
  <c r="DO71" i="9"/>
  <c r="DW71" i="9" s="1"/>
  <c r="FL107" i="9"/>
  <c r="FT107" i="9"/>
  <c r="DP107" i="9"/>
  <c r="FT106" i="9"/>
  <c r="FL106" i="9"/>
  <c r="DP106" i="9"/>
  <c r="DW68" i="9"/>
  <c r="AF81" i="9"/>
  <c r="DX68" i="9"/>
  <c r="DO75" i="9"/>
  <c r="DN75" i="9"/>
  <c r="DV75" i="9" s="1"/>
  <c r="FJ102" i="9"/>
  <c r="AE102" i="9"/>
  <c r="GA102" i="9" s="1"/>
  <c r="DN102" i="9"/>
  <c r="DV102" i="9" s="1"/>
  <c r="ED102" i="9" s="1"/>
  <c r="DW81" i="9"/>
  <c r="DU102" i="9"/>
  <c r="EC102" i="9" s="1"/>
  <c r="FR102" i="9"/>
  <c r="I79" i="5"/>
  <c r="J79" i="5" s="1"/>
  <c r="DO65" i="9"/>
  <c r="DW65" i="9" s="1"/>
  <c r="DX97" i="9"/>
  <c r="DX94" i="9"/>
  <c r="DX70" i="9"/>
  <c r="DX99" i="9"/>
  <c r="DX101" i="9"/>
  <c r="FT105" i="9"/>
  <c r="DX72" i="9"/>
  <c r="DX57" i="9"/>
  <c r="DX60" i="9"/>
  <c r="DX61" i="9"/>
  <c r="DX90" i="9"/>
  <c r="FT96" i="9"/>
  <c r="FT95" i="9"/>
  <c r="DX89" i="9"/>
  <c r="DX84" i="9"/>
  <c r="DV91" i="9"/>
  <c r="ED91" i="9" s="1"/>
  <c r="DX91" i="9"/>
  <c r="DX88" i="9"/>
  <c r="DX93" i="9"/>
  <c r="DX54" i="9"/>
  <c r="DW57" i="9"/>
  <c r="J66" i="15"/>
  <c r="K66" i="15"/>
  <c r="DO95" i="9"/>
  <c r="DW95" i="9" s="1"/>
  <c r="EE95" i="9" s="1"/>
  <c r="DO96" i="9"/>
  <c r="DW96" i="9" s="1"/>
  <c r="EE96" i="9" s="1"/>
  <c r="DP58" i="9"/>
  <c r="DO79" i="9"/>
  <c r="DW79" i="9" s="1"/>
  <c r="AF79" i="9"/>
  <c r="DP66" i="9"/>
  <c r="DO55" i="9"/>
  <c r="DW55" i="9" s="1"/>
  <c r="AF55" i="9"/>
  <c r="DO104" i="9"/>
  <c r="DW104" i="9" s="1"/>
  <c r="EE104" i="9" s="1"/>
  <c r="AF104" i="9"/>
  <c r="DP62" i="9"/>
  <c r="DX62" i="9" s="1"/>
  <c r="FL105" i="9"/>
  <c r="DP105" i="9"/>
  <c r="DV97" i="9"/>
  <c r="ED97" i="9" s="1"/>
  <c r="DU107" i="9"/>
  <c r="EC107" i="9" s="1"/>
  <c r="DV99" i="9"/>
  <c r="ED99" i="9" s="1"/>
  <c r="DW101" i="9"/>
  <c r="EE101" i="9" s="1"/>
  <c r="DO98" i="9"/>
  <c r="DW98" i="9" s="1"/>
  <c r="EE98" i="9" s="1"/>
  <c r="AF98" i="9"/>
  <c r="DO78" i="9"/>
  <c r="DW78" i="9" s="1"/>
  <c r="AF78" i="9"/>
  <c r="DW103" i="9"/>
  <c r="EE103" i="9" s="1"/>
  <c r="DV93" i="9"/>
  <c r="ED93" i="9" s="1"/>
  <c r="DP96" i="9"/>
  <c r="FL96" i="9"/>
  <c r="DP95" i="9"/>
  <c r="FL95" i="9"/>
  <c r="DW91" i="9"/>
  <c r="EE91" i="9" s="1"/>
  <c r="FK107" i="9"/>
  <c r="DO107" i="9"/>
  <c r="FK105" i="9"/>
  <c r="DO105" i="9"/>
  <c r="DW105" i="9" s="1"/>
  <c r="EE105" i="9" s="1"/>
  <c r="FS105" i="9"/>
  <c r="FS96" i="9"/>
  <c r="FK96" i="9"/>
  <c r="FK106" i="9"/>
  <c r="DO106" i="9"/>
  <c r="FS95" i="9"/>
  <c r="FK95" i="9"/>
  <c r="DW61" i="9"/>
  <c r="AE77" i="9"/>
  <c r="AF77" i="9" s="1"/>
  <c r="DV95" i="9"/>
  <c r="ED95" i="9" s="1"/>
  <c r="DV92" i="9"/>
  <c r="ED92" i="9" s="1"/>
  <c r="DV88" i="9"/>
  <c r="ED88" i="9" s="1"/>
  <c r="DU88" i="9"/>
  <c r="EC88" i="9" s="1"/>
  <c r="DW99" i="9"/>
  <c r="EE99" i="9" s="1"/>
  <c r="DW97" i="9"/>
  <c r="EE97" i="9" s="1"/>
  <c r="FS98" i="9"/>
  <c r="FK98" i="9"/>
  <c r="DU104" i="9"/>
  <c r="EC104" i="9" s="1"/>
  <c r="FK104" i="9"/>
  <c r="FS104" i="9"/>
  <c r="DW93" i="9"/>
  <c r="EE93" i="9" s="1"/>
  <c r="DW94" i="9"/>
  <c r="EE94" i="9" s="1"/>
  <c r="DV94" i="9"/>
  <c r="ED94" i="9" s="1"/>
  <c r="DV90" i="9"/>
  <c r="ED90" i="9" s="1"/>
  <c r="DW88" i="9"/>
  <c r="EE88" i="9" s="1"/>
  <c r="CV94" i="9"/>
  <c r="DD94" i="9" s="1"/>
  <c r="DT94" i="9" s="1"/>
  <c r="EB94" i="9" s="1"/>
  <c r="CY88" i="9"/>
  <c r="DG88" i="9" s="1"/>
  <c r="CQ140" i="9"/>
  <c r="CU98" i="9"/>
  <c r="DC98" i="9" s="1"/>
  <c r="DS98" i="9" s="1"/>
  <c r="EA98" i="9" s="1"/>
  <c r="FP97" i="9"/>
  <c r="FQ97" i="9" s="1"/>
  <c r="CT97" i="9"/>
  <c r="DB97" i="9" s="1"/>
  <c r="DR97" i="9" s="1"/>
  <c r="FP93" i="9"/>
  <c r="FQ93" i="9" s="1"/>
  <c r="CT93" i="9"/>
  <c r="DB93" i="9" s="1"/>
  <c r="DR93" i="9" s="1"/>
  <c r="CY102" i="9"/>
  <c r="DG102" i="9" s="1"/>
  <c r="CT98" i="9"/>
  <c r="DB98" i="9" s="1"/>
  <c r="DR98" i="9" s="1"/>
  <c r="FP98" i="9"/>
  <c r="FQ98" i="9" s="1"/>
  <c r="CY100" i="9"/>
  <c r="DG100" i="9" s="1"/>
  <c r="CY96" i="9"/>
  <c r="DG96" i="9" s="1"/>
  <c r="CT94" i="9"/>
  <c r="DB94" i="9" s="1"/>
  <c r="DR94" i="9" s="1"/>
  <c r="FP94" i="9"/>
  <c r="FQ94" i="9" s="1"/>
  <c r="CO140" i="9"/>
  <c r="CW88" i="9"/>
  <c r="DE88" i="9" s="1"/>
  <c r="DW90" i="9"/>
  <c r="EE90" i="9" s="1"/>
  <c r="DW100" i="9"/>
  <c r="EE100" i="9" s="1"/>
  <c r="CT92" i="9"/>
  <c r="DB92" i="9" s="1"/>
  <c r="DR92" i="9" s="1"/>
  <c r="FP92" i="9"/>
  <c r="CX88" i="9"/>
  <c r="DF88" i="9" s="1"/>
  <c r="CP140" i="9"/>
  <c r="CX102" i="9"/>
  <c r="DF102" i="9" s="1"/>
  <c r="CN140" i="9"/>
  <c r="CV88" i="9"/>
  <c r="DD88" i="9" s="1"/>
  <c r="CT95" i="9"/>
  <c r="DB95" i="9" s="1"/>
  <c r="DR95" i="9" s="1"/>
  <c r="FP95" i="9"/>
  <c r="CX100" i="9"/>
  <c r="DF100" i="9" s="1"/>
  <c r="DV100" i="9" s="1"/>
  <c r="ED100" i="9" s="1"/>
  <c r="DN106" i="9"/>
  <c r="DV106" i="9" s="1"/>
  <c r="ED106" i="9" s="1"/>
  <c r="FR106" i="9"/>
  <c r="FS106" i="9" s="1"/>
  <c r="FJ106" i="9"/>
  <c r="CY91" i="9"/>
  <c r="DG91" i="9" s="1"/>
  <c r="CU88" i="9"/>
  <c r="DC88" i="9" s="1"/>
  <c r="CM140" i="9"/>
  <c r="CW97" i="9"/>
  <c r="DE97" i="9" s="1"/>
  <c r="DU97" i="9" s="1"/>
  <c r="EC97" i="9" s="1"/>
  <c r="CX95" i="9"/>
  <c r="DF95" i="9" s="1"/>
  <c r="CV96" i="9"/>
  <c r="DD96" i="9" s="1"/>
  <c r="DT96" i="9" s="1"/>
  <c r="EB96" i="9" s="1"/>
  <c r="CT88" i="9"/>
  <c r="DB88" i="9" s="1"/>
  <c r="DR88" i="9" s="1"/>
  <c r="CL140" i="9"/>
  <c r="CT103" i="9"/>
  <c r="DB103" i="9" s="1"/>
  <c r="DR103" i="9" s="1"/>
  <c r="FP103" i="9"/>
  <c r="FQ103" i="9" s="1"/>
  <c r="FR103" i="9" s="1"/>
  <c r="FR107" i="9"/>
  <c r="FS107" i="9" s="1"/>
  <c r="DN107" i="9"/>
  <c r="FJ107" i="9"/>
  <c r="DV101" i="9"/>
  <c r="ED101" i="9" s="1"/>
  <c r="CV100" i="9"/>
  <c r="DD100" i="9" s="1"/>
  <c r="DT100" i="9" s="1"/>
  <c r="EB100" i="9" s="1"/>
  <c r="CW91" i="9"/>
  <c r="DE91" i="9" s="1"/>
  <c r="CT99" i="9"/>
  <c r="DB99" i="9" s="1"/>
  <c r="DR99" i="9" s="1"/>
  <c r="FP99" i="9"/>
  <c r="FQ99" i="9" s="1"/>
  <c r="FR99" i="9" s="1"/>
  <c r="CT96" i="9"/>
  <c r="DB96" i="9" s="1"/>
  <c r="DR96" i="9" s="1"/>
  <c r="FP96" i="9"/>
  <c r="CW93" i="9"/>
  <c r="DE93" i="9" s="1"/>
  <c r="DU93" i="9" s="1"/>
  <c r="EC93" i="9" s="1"/>
  <c r="CT102" i="9"/>
  <c r="DB102" i="9" s="1"/>
  <c r="DR102" i="9" s="1"/>
  <c r="FP102" i="9"/>
  <c r="FQ102" i="9" s="1"/>
  <c r="CT91" i="9"/>
  <c r="DB91" i="9" s="1"/>
  <c r="DR91" i="9" s="1"/>
  <c r="FP91" i="9"/>
  <c r="CU91" i="9"/>
  <c r="DC91" i="9" s="1"/>
  <c r="DS91" i="9" s="1"/>
  <c r="EA91" i="9" s="1"/>
  <c r="CX90" i="9"/>
  <c r="DF90" i="9" s="1"/>
  <c r="CY101" i="9"/>
  <c r="DG101" i="9" s="1"/>
  <c r="CU100" i="9"/>
  <c r="DC100" i="9" s="1"/>
  <c r="DS100" i="9" s="1"/>
  <c r="EA100" i="9" s="1"/>
  <c r="CT104" i="9"/>
  <c r="DB104" i="9" s="1"/>
  <c r="DR104" i="9" s="1"/>
  <c r="FP104" i="9"/>
  <c r="FQ104" i="9" s="1"/>
  <c r="FR104" i="9" s="1"/>
  <c r="DV96" i="9"/>
  <c r="ED96" i="9" s="1"/>
  <c r="CU95" i="9"/>
  <c r="DC95" i="9" s="1"/>
  <c r="DS95" i="9" s="1"/>
  <c r="EA95" i="9" s="1"/>
  <c r="CY99" i="9"/>
  <c r="DG99" i="9" s="1"/>
  <c r="CT100" i="9"/>
  <c r="DB100" i="9" s="1"/>
  <c r="DR100" i="9" s="1"/>
  <c r="FP100" i="9"/>
  <c r="FQ100" i="9" s="1"/>
  <c r="FR100" i="9" s="1"/>
  <c r="CV90" i="9"/>
  <c r="DD90" i="9" s="1"/>
  <c r="DW89" i="9"/>
  <c r="EE89" i="9" s="1"/>
  <c r="DV105" i="9"/>
  <c r="ED105" i="9" s="1"/>
  <c r="CT89" i="9"/>
  <c r="DB89" i="9" s="1"/>
  <c r="DR89" i="9" s="1"/>
  <c r="FP89" i="9"/>
  <c r="CX92" i="9"/>
  <c r="DF92" i="9" s="1"/>
  <c r="CY97" i="9"/>
  <c r="DG97" i="9" s="1"/>
  <c r="DV89" i="9"/>
  <c r="ED89" i="9" s="1"/>
  <c r="DV104" i="9"/>
  <c r="ED104" i="9" s="1"/>
  <c r="CT90" i="9"/>
  <c r="DB90" i="9" s="1"/>
  <c r="DR90" i="9" s="1"/>
  <c r="CY103" i="9"/>
  <c r="DG103" i="9" s="1"/>
  <c r="CW99" i="9"/>
  <c r="DE99" i="9" s="1"/>
  <c r="DU99" i="9" s="1"/>
  <c r="EC99" i="9" s="1"/>
  <c r="CT101" i="9"/>
  <c r="DB101" i="9" s="1"/>
  <c r="DR101" i="9" s="1"/>
  <c r="FP101" i="9"/>
  <c r="FQ101" i="9" s="1"/>
  <c r="CY93" i="9"/>
  <c r="DG93" i="9" s="1"/>
  <c r="CW94" i="9"/>
  <c r="DE94" i="9" s="1"/>
  <c r="DU94" i="9" s="1"/>
  <c r="EC94" i="9" s="1"/>
  <c r="CV92" i="9"/>
  <c r="DD92" i="9" s="1"/>
  <c r="DT92" i="9" s="1"/>
  <c r="EB92" i="9" s="1"/>
  <c r="G16" i="19"/>
  <c r="F13" i="19"/>
  <c r="E13" i="19"/>
  <c r="F14" i="19"/>
  <c r="G13" i="19"/>
  <c r="G15" i="19"/>
  <c r="H16" i="19"/>
  <c r="H15" i="19"/>
  <c r="F16" i="19"/>
  <c r="H13" i="19"/>
  <c r="G14" i="19"/>
  <c r="H14" i="19"/>
  <c r="DN76" i="9"/>
  <c r="DV76" i="9" s="1"/>
  <c r="AE76" i="9"/>
  <c r="AE56" i="9"/>
  <c r="DN56" i="9"/>
  <c r="DV56" i="9" s="1"/>
  <c r="DN63" i="9"/>
  <c r="DV63" i="9" s="1"/>
  <c r="AE63" i="9"/>
  <c r="AE59" i="9"/>
  <c r="DN59" i="9"/>
  <c r="DV59" i="9" s="1"/>
  <c r="DN64" i="9"/>
  <c r="DV64" i="9" s="1"/>
  <c r="AE64" i="9"/>
  <c r="DO58" i="9"/>
  <c r="DW58" i="9" s="1"/>
  <c r="DO66" i="9"/>
  <c r="DW66" i="9" s="1"/>
  <c r="I66" i="5" l="1"/>
  <c r="DW107" i="9"/>
  <c r="EE107" i="9" s="1"/>
  <c r="K82" i="5"/>
  <c r="AF92" i="9"/>
  <c r="DO92" i="9"/>
  <c r="DW92" i="9" s="1"/>
  <c r="EE92" i="9" s="1"/>
  <c r="FK92" i="9"/>
  <c r="FS92" i="9"/>
  <c r="J82" i="5"/>
  <c r="AF74" i="9"/>
  <c r="DP74" i="9" s="1"/>
  <c r="DX74" i="9" s="1"/>
  <c r="DX71" i="9"/>
  <c r="DW106" i="9"/>
  <c r="EE106" i="9" s="1"/>
  <c r="DV107" i="9"/>
  <c r="ED107" i="9" s="1"/>
  <c r="FS102" i="9"/>
  <c r="AF102" i="9"/>
  <c r="GB102" i="9" s="1"/>
  <c r="DP81" i="9"/>
  <c r="DX81" i="9" s="1"/>
  <c r="FK102" i="9"/>
  <c r="DO102" i="9"/>
  <c r="DW102" i="9" s="1"/>
  <c r="EE102" i="9" s="1"/>
  <c r="DX75" i="9"/>
  <c r="DW75" i="9"/>
  <c r="DX65" i="9"/>
  <c r="L66" i="5"/>
  <c r="J66" i="5"/>
  <c r="K66" i="5"/>
  <c r="DT88" i="9"/>
  <c r="EB88" i="9" s="1"/>
  <c r="K79" i="5"/>
  <c r="DX96" i="9"/>
  <c r="DX95" i="9"/>
  <c r="FT98" i="9"/>
  <c r="DX66" i="9"/>
  <c r="DX58" i="9"/>
  <c r="FT104" i="9"/>
  <c r="DX107" i="9"/>
  <c r="DX105" i="9"/>
  <c r="DX106" i="9"/>
  <c r="DO77" i="9"/>
  <c r="DW77" i="9" s="1"/>
  <c r="DO63" i="9"/>
  <c r="DW63" i="9" s="1"/>
  <c r="AF63" i="9"/>
  <c r="DO59" i="9"/>
  <c r="DW59" i="9" s="1"/>
  <c r="AF59" i="9"/>
  <c r="DP78" i="9"/>
  <c r="DX78" i="9" s="1"/>
  <c r="DP79" i="9"/>
  <c r="DX79" i="9" s="1"/>
  <c r="FL98" i="9"/>
  <c r="DP98" i="9"/>
  <c r="DX98" i="9" s="1"/>
  <c r="DP55" i="9"/>
  <c r="DX55" i="9" s="1"/>
  <c r="DP104" i="9"/>
  <c r="DX104" i="9" s="1"/>
  <c r="FL104" i="9"/>
  <c r="DP77" i="9"/>
  <c r="DO64" i="9"/>
  <c r="DW64" i="9" s="1"/>
  <c r="AF64" i="9"/>
  <c r="DO56" i="9"/>
  <c r="DW56" i="9" s="1"/>
  <c r="AF56" i="9"/>
  <c r="DO76" i="9"/>
  <c r="AF76" i="9"/>
  <c r="DX76" i="9" s="1"/>
  <c r="CS140" i="9"/>
  <c r="FP88" i="9"/>
  <c r="I82" i="5" s="1"/>
  <c r="DS88" i="9"/>
  <c r="EA88" i="9" s="1"/>
  <c r="DW76" i="9"/>
  <c r="L82" i="5" l="1"/>
  <c r="FT92" i="9"/>
  <c r="DP92" i="9"/>
  <c r="DX92" i="9" s="1"/>
  <c r="FL92" i="9"/>
  <c r="DP102" i="9"/>
  <c r="DX102" i="9" s="1"/>
  <c r="FT102" i="9"/>
  <c r="FL102" i="9"/>
  <c r="L79" i="5"/>
  <c r="DX77" i="9"/>
  <c r="K5" i="9" a="1"/>
  <c r="K5" i="9" s="1"/>
  <c r="K30" i="9" s="1"/>
  <c r="K4" i="9" a="1"/>
  <c r="K4" i="9" s="1"/>
  <c r="K29" i="9" s="1"/>
  <c r="DP76" i="9"/>
  <c r="DP56" i="9"/>
  <c r="DX56" i="9" s="1"/>
  <c r="DP59" i="9"/>
  <c r="DX59" i="9" s="1"/>
  <c r="DP64" i="9"/>
  <c r="DX64" i="9" s="1"/>
  <c r="DP63" i="9"/>
  <c r="DX63" i="9" s="1"/>
  <c r="L59" i="15"/>
  <c r="L64" i="15" s="1"/>
  <c r="L66" i="15" s="1"/>
  <c r="M60" i="15"/>
  <c r="K31" i="9" l="1"/>
  <c r="K6" i="9"/>
  <c r="M65" i="15"/>
  <c r="N65" i="15"/>
  <c r="N66" i="15" s="1"/>
  <c r="M61" i="15"/>
  <c r="L61" i="15"/>
  <c r="M64" i="15"/>
  <c r="M33" i="15"/>
  <c r="M6" i="15"/>
  <c r="H3" i="16" s="1"/>
  <c r="M66" i="15" l="1"/>
  <c r="M12" i="15"/>
  <c r="M13" i="15" s="1"/>
  <c r="M7" i="15"/>
  <c r="M19" i="15" l="1"/>
  <c r="M24" i="15" s="1"/>
  <c r="M27" i="15" s="1"/>
  <c r="M34" i="15" s="1"/>
  <c r="H5" i="16"/>
  <c r="H6" i="16" s="1"/>
  <c r="J3" i="16"/>
  <c r="L47" i="7"/>
  <c r="I47" i="7"/>
  <c r="G8" i="16"/>
  <c r="E5" i="16"/>
  <c r="E6" i="16" s="1"/>
  <c r="F8" i="16"/>
  <c r="D5" i="16"/>
  <c r="D6" i="16" s="1"/>
  <c r="G15" i="16"/>
  <c r="G12" i="16"/>
  <c r="F7" i="16"/>
  <c r="C5" i="16"/>
  <c r="C6" i="16" s="1"/>
  <c r="L33" i="15"/>
  <c r="H18" i="16" s="1"/>
  <c r="K33" i="15"/>
  <c r="E18" i="16" s="1"/>
  <c r="J33" i="15"/>
  <c r="I33" i="15"/>
  <c r="H33" i="15"/>
  <c r="G33" i="15"/>
  <c r="F33" i="15"/>
  <c r="E33" i="15"/>
  <c r="D33" i="15"/>
  <c r="L12" i="15"/>
  <c r="I12" i="15"/>
  <c r="H12" i="15"/>
  <c r="H13" i="15" s="1"/>
  <c r="G12" i="15"/>
  <c r="G13" i="15" s="1"/>
  <c r="E12" i="15"/>
  <c r="E19" i="15" s="1"/>
  <c r="E24" i="15" s="1"/>
  <c r="E27" i="15" s="1"/>
  <c r="D12" i="15"/>
  <c r="D19" i="15" s="1"/>
  <c r="D24" i="15" s="1"/>
  <c r="D27" i="15" s="1"/>
  <c r="K12" i="15"/>
  <c r="O14" i="15" s="1"/>
  <c r="J12" i="15"/>
  <c r="N14" i="15" s="1"/>
  <c r="F12" i="15"/>
  <c r="L7" i="15"/>
  <c r="K7" i="15"/>
  <c r="J7" i="15"/>
  <c r="I7" i="15"/>
  <c r="H7" i="15"/>
  <c r="M36" i="15" l="1"/>
  <c r="M40" i="15" s="1"/>
  <c r="M45" i="15" s="1"/>
  <c r="M46" i="15" s="1"/>
  <c r="L19" i="15"/>
  <c r="L24" i="15" s="1"/>
  <c r="L27" i="15" s="1"/>
  <c r="P14" i="15"/>
  <c r="I18" i="16"/>
  <c r="I21" i="16" s="1"/>
  <c r="F18" i="16"/>
  <c r="E36" i="15"/>
  <c r="E40" i="15" s="1"/>
  <c r="E45" i="15" s="1"/>
  <c r="E46" i="15" s="1"/>
  <c r="H9" i="16"/>
  <c r="H10" i="16" s="1"/>
  <c r="I13" i="15"/>
  <c r="M14" i="15"/>
  <c r="G18" i="16"/>
  <c r="D36" i="15"/>
  <c r="D40" i="15" s="1"/>
  <c r="D45" i="15" s="1"/>
  <c r="D46" i="15" s="1"/>
  <c r="G6" i="16"/>
  <c r="E9" i="16"/>
  <c r="G11" i="16"/>
  <c r="D9" i="16"/>
  <c r="D10" i="16" s="1"/>
  <c r="F6" i="16"/>
  <c r="F15" i="16"/>
  <c r="F12" i="16"/>
  <c r="F11" i="16"/>
  <c r="G7" i="16"/>
  <c r="F3" i="16"/>
  <c r="G3" i="16"/>
  <c r="L36" i="15"/>
  <c r="L40" i="15" s="1"/>
  <c r="L45" i="15" s="1"/>
  <c r="P47" i="15" s="1"/>
  <c r="F5" i="16"/>
  <c r="G5" i="16"/>
  <c r="C9" i="16"/>
  <c r="H19" i="15"/>
  <c r="H24" i="15" s="1"/>
  <c r="H27" i="15" s="1"/>
  <c r="H36" i="15" s="1"/>
  <c r="H40" i="15" s="1"/>
  <c r="H45" i="15" s="1"/>
  <c r="E34" i="15"/>
  <c r="I14" i="15"/>
  <c r="F13" i="15"/>
  <c r="F19" i="15"/>
  <c r="F24" i="15" s="1"/>
  <c r="F27" i="15" s="1"/>
  <c r="F36" i="15" s="1"/>
  <c r="F40" i="15" s="1"/>
  <c r="F45" i="15" s="1"/>
  <c r="F46" i="15" s="1"/>
  <c r="J13" i="15"/>
  <c r="J19" i="15"/>
  <c r="J24" i="15" s="1"/>
  <c r="J27" i="15" s="1"/>
  <c r="J36" i="15" s="1"/>
  <c r="J40" i="15" s="1"/>
  <c r="J14" i="15"/>
  <c r="K13" i="15"/>
  <c r="K19" i="15"/>
  <c r="K24" i="15" s="1"/>
  <c r="K27" i="15" s="1"/>
  <c r="K14" i="15"/>
  <c r="D34" i="15"/>
  <c r="L34" i="15"/>
  <c r="L13" i="15"/>
  <c r="E13" i="15"/>
  <c r="H14" i="15"/>
  <c r="G19" i="15"/>
  <c r="G24" i="15" s="1"/>
  <c r="G27" i="15" s="1"/>
  <c r="G36" i="15" s="1"/>
  <c r="G40" i="15" s="1"/>
  <c r="G45" i="15" s="1"/>
  <c r="G46" i="15" s="1"/>
  <c r="I19" i="15"/>
  <c r="I24" i="15" s="1"/>
  <c r="I27" i="15" s="1"/>
  <c r="I36" i="15" s="1"/>
  <c r="I40" i="15" s="1"/>
  <c r="D13" i="15"/>
  <c r="L14" i="15"/>
  <c r="I24" i="16" l="1"/>
  <c r="I22" i="16"/>
  <c r="E13" i="16"/>
  <c r="E14" i="16" s="1"/>
  <c r="E10" i="16"/>
  <c r="J6" i="16"/>
  <c r="J9" i="16"/>
  <c r="H16" i="16"/>
  <c r="H17" i="16" s="1"/>
  <c r="H13" i="16"/>
  <c r="H14" i="16" s="1"/>
  <c r="J18" i="16"/>
  <c r="L46" i="15"/>
  <c r="L47" i="15"/>
  <c r="E16" i="16"/>
  <c r="D16" i="16"/>
  <c r="D13" i="16"/>
  <c r="D14" i="16" s="1"/>
  <c r="H34" i="15"/>
  <c r="C13" i="16"/>
  <c r="F9" i="16"/>
  <c r="G9" i="16"/>
  <c r="C10" i="16"/>
  <c r="C16" i="16"/>
  <c r="J34" i="15"/>
  <c r="J45" i="15"/>
  <c r="N47" i="15" s="1"/>
  <c r="J41" i="15"/>
  <c r="I45" i="15"/>
  <c r="M47" i="15" s="1"/>
  <c r="I41" i="15"/>
  <c r="H46" i="15"/>
  <c r="G34" i="15"/>
  <c r="I34" i="15"/>
  <c r="F34" i="15"/>
  <c r="K36" i="15"/>
  <c r="K40" i="15" s="1"/>
  <c r="K34" i="15"/>
  <c r="J10" i="16" l="1"/>
  <c r="J13" i="16"/>
  <c r="J17" i="16"/>
  <c r="H21" i="16"/>
  <c r="H22" i="16" s="1"/>
  <c r="E17" i="16"/>
  <c r="E21" i="16"/>
  <c r="D21" i="16"/>
  <c r="D17" i="16"/>
  <c r="G10" i="16"/>
  <c r="F10" i="16"/>
  <c r="C14" i="16"/>
  <c r="G13" i="16"/>
  <c r="F13" i="16"/>
  <c r="C17" i="16"/>
  <c r="G16" i="16"/>
  <c r="F16" i="16"/>
  <c r="C21" i="16"/>
  <c r="I47" i="15"/>
  <c r="I46" i="15"/>
  <c r="K45" i="15"/>
  <c r="O47" i="15" s="1"/>
  <c r="K41" i="15"/>
  <c r="J47" i="15"/>
  <c r="J46" i="15"/>
  <c r="J14" i="16" l="1"/>
  <c r="J21" i="16"/>
  <c r="H24" i="16"/>
  <c r="E24" i="16"/>
  <c r="E22" i="16"/>
  <c r="D24" i="16"/>
  <c r="D22" i="16"/>
  <c r="G21" i="16"/>
  <c r="F21" i="16"/>
  <c r="C24" i="16"/>
  <c r="C22" i="16"/>
  <c r="F14" i="16"/>
  <c r="G14" i="16"/>
  <c r="G17" i="16"/>
  <c r="F17" i="16"/>
  <c r="K47" i="15"/>
  <c r="K46" i="15"/>
  <c r="J24" i="16" l="1"/>
  <c r="J22" i="16"/>
  <c r="G22" i="16"/>
  <c r="F22" i="16"/>
  <c r="G24" i="16"/>
  <c r="F24" i="16"/>
  <c r="E80" i="7"/>
  <c r="E79" i="7"/>
  <c r="E78" i="7"/>
  <c r="E75" i="7"/>
  <c r="E74" i="7"/>
  <c r="E73" i="7"/>
  <c r="E68" i="7"/>
  <c r="E71" i="7" s="1"/>
  <c r="E84" i="7" l="1"/>
  <c r="E85" i="7"/>
  <c r="E83" i="7"/>
  <c r="E81" i="7"/>
  <c r="E76" i="7"/>
  <c r="E86" i="7" l="1"/>
  <c r="C4" i="12" l="1" a="1"/>
  <c r="EB56" i="9" l="1"/>
  <c r="EB55" i="9"/>
  <c r="EB68" i="9"/>
  <c r="EB82" i="9"/>
  <c r="EB83" i="9"/>
  <c r="EB57" i="9"/>
  <c r="EB62" i="9"/>
  <c r="EB73" i="9"/>
  <c r="EB84" i="9"/>
  <c r="EB60" i="9"/>
  <c r="EB54" i="9"/>
  <c r="EB75" i="9"/>
  <c r="EB76" i="9"/>
  <c r="EB74" i="9"/>
  <c r="EB79" i="9"/>
  <c r="EB69" i="9"/>
  <c r="EB71" i="9"/>
  <c r="EB61" i="9"/>
  <c r="EB64" i="9"/>
  <c r="EB63" i="9"/>
  <c r="EB70" i="9"/>
  <c r="EB67" i="9"/>
  <c r="EB59" i="9"/>
  <c r="EB78" i="9"/>
  <c r="EB65" i="9"/>
  <c r="EB72" i="9"/>
  <c r="EB81" i="9"/>
  <c r="EB80" i="9"/>
  <c r="EB66" i="9"/>
  <c r="EB77" i="9"/>
  <c r="EB58" i="9"/>
  <c r="EC80" i="9"/>
  <c r="EC82" i="9"/>
  <c r="EC63" i="9"/>
  <c r="EC74" i="9"/>
  <c r="EC83" i="9"/>
  <c r="EC67" i="9"/>
  <c r="EC56" i="9"/>
  <c r="EC64" i="9"/>
  <c r="EC69" i="9"/>
  <c r="EC55" i="9"/>
  <c r="EC68" i="9"/>
  <c r="EC73" i="9"/>
  <c r="EC62" i="9"/>
  <c r="EC79" i="9"/>
  <c r="EC60" i="9"/>
  <c r="EC71" i="9"/>
  <c r="EC84" i="9"/>
  <c r="EC65" i="9"/>
  <c r="EC81" i="9"/>
  <c r="EC76" i="9"/>
  <c r="EC70" i="9"/>
  <c r="EC75" i="9"/>
  <c r="EC59" i="9"/>
  <c r="EC72" i="9"/>
  <c r="EC54" i="9"/>
  <c r="EC57" i="9"/>
  <c r="EC78" i="9"/>
  <c r="EC61" i="9"/>
  <c r="EC77" i="9"/>
  <c r="EC58" i="9"/>
  <c r="EC66" i="9"/>
  <c r="ED80" i="9"/>
  <c r="ED62" i="9"/>
  <c r="ED55" i="9"/>
  <c r="ED69" i="9"/>
  <c r="ED56" i="9"/>
  <c r="ED63" i="9"/>
  <c r="ED74" i="9"/>
  <c r="ED67" i="9"/>
  <c r="ED82" i="9"/>
  <c r="ED68" i="9"/>
  <c r="ED83" i="9"/>
  <c r="ED64" i="9"/>
  <c r="ED73" i="9"/>
  <c r="ED76" i="9"/>
  <c r="ED81" i="9"/>
  <c r="ED78" i="9"/>
  <c r="ED71" i="9"/>
  <c r="ED54" i="9"/>
  <c r="ED79" i="9"/>
  <c r="ED72" i="9"/>
  <c r="ED75" i="9"/>
  <c r="ED65" i="9"/>
  <c r="ED61" i="9"/>
  <c r="ED59" i="9"/>
  <c r="ED84" i="9"/>
  <c r="ED60" i="9"/>
  <c r="ED70" i="9"/>
  <c r="ED57" i="9"/>
  <c r="ED58" i="9"/>
  <c r="ED77" i="9"/>
  <c r="ED66" i="9"/>
  <c r="EE80" i="9"/>
  <c r="EE62" i="9"/>
  <c r="EE68" i="9"/>
  <c r="EE67" i="9"/>
  <c r="EE64" i="9"/>
  <c r="EE63" i="9"/>
  <c r="EE55" i="9"/>
  <c r="EE74" i="9"/>
  <c r="EE69" i="9"/>
  <c r="EE82" i="9"/>
  <c r="EE56" i="9"/>
  <c r="EE73" i="9"/>
  <c r="EE83" i="9"/>
  <c r="EE65" i="9"/>
  <c r="EE76" i="9"/>
  <c r="EE60" i="9"/>
  <c r="EE72" i="9"/>
  <c r="EE84" i="9"/>
  <c r="EE75" i="9"/>
  <c r="EE61" i="9"/>
  <c r="EE57" i="9"/>
  <c r="EE59" i="9"/>
  <c r="EE78" i="9"/>
  <c r="EE81" i="9"/>
  <c r="EE54" i="9"/>
  <c r="EE79" i="9"/>
  <c r="EE70" i="9"/>
  <c r="EE71" i="9"/>
  <c r="EE58" i="9"/>
  <c r="EE66" i="9"/>
  <c r="EE77" i="9"/>
  <c r="EA57" i="9"/>
  <c r="EA64" i="9"/>
  <c r="EA63" i="9"/>
  <c r="EA60" i="9"/>
  <c r="EA84" i="9"/>
  <c r="EA68" i="9"/>
  <c r="EA71" i="9"/>
  <c r="EA54" i="9"/>
  <c r="EA78" i="9"/>
  <c r="EA55" i="9"/>
  <c r="EA61" i="9"/>
  <c r="EA81" i="9"/>
  <c r="EA74" i="9"/>
  <c r="EA65" i="9"/>
  <c r="EA82" i="9"/>
  <c r="EA70" i="9"/>
  <c r="EA59" i="9"/>
  <c r="EA56" i="9"/>
  <c r="EA72" i="9"/>
  <c r="EA75" i="9"/>
  <c r="EA76" i="9"/>
  <c r="EA69" i="9"/>
  <c r="EA77" i="9"/>
  <c r="EA83" i="9"/>
  <c r="EA79" i="9"/>
  <c r="EA66" i="9"/>
  <c r="EA67" i="9"/>
  <c r="EA80" i="9"/>
  <c r="EA62" i="9"/>
  <c r="EA73" i="9"/>
  <c r="EA58" i="9"/>
  <c r="FN139" i="9"/>
  <c r="G171" i="5"/>
  <c r="F182" i="5"/>
  <c r="E182" i="5"/>
  <c r="D182" i="5"/>
  <c r="G182" i="5"/>
  <c r="C38" i="19" s="1"/>
  <c r="G104" i="5"/>
  <c r="D114" i="5"/>
  <c r="D178" i="5" s="1"/>
  <c r="E114" i="5"/>
  <c r="E178" i="5" s="1"/>
  <c r="F114" i="5"/>
  <c r="F178" i="5" s="1"/>
  <c r="G114" i="5"/>
  <c r="G178" i="5" s="1"/>
  <c r="I114" i="5"/>
  <c r="I178" i="5" s="1"/>
  <c r="J114" i="5"/>
  <c r="J178" i="5" s="1"/>
  <c r="K114" i="5"/>
  <c r="K178" i="5" s="1"/>
  <c r="L114" i="5"/>
  <c r="L178" i="5" s="1"/>
  <c r="C40" i="16" l="1"/>
  <c r="H222" i="5"/>
  <c r="FO139" i="9"/>
  <c r="E181" i="5"/>
  <c r="F181" i="5"/>
  <c r="G181" i="5"/>
  <c r="C39" i="19" s="1"/>
  <c r="I182" i="5"/>
  <c r="E38" i="19" s="1"/>
  <c r="J182" i="5"/>
  <c r="F38" i="19" s="1"/>
  <c r="K182" i="5"/>
  <c r="L182" i="5"/>
  <c r="E183" i="5"/>
  <c r="F183" i="5"/>
  <c r="G183" i="5"/>
  <c r="C37" i="19" s="1"/>
  <c r="E187" i="5"/>
  <c r="F187" i="5"/>
  <c r="E188" i="5"/>
  <c r="F188" i="5"/>
  <c r="G188" i="5"/>
  <c r="C44" i="19" s="1"/>
  <c r="E189" i="5"/>
  <c r="F189" i="5"/>
  <c r="G189" i="5"/>
  <c r="E190" i="5"/>
  <c r="F190" i="5"/>
  <c r="G190" i="5"/>
  <c r="I190" i="5"/>
  <c r="J190" i="5"/>
  <c r="K190" i="5"/>
  <c r="L190" i="5"/>
  <c r="E191" i="5"/>
  <c r="F191" i="5"/>
  <c r="G191" i="5"/>
  <c r="I191" i="5"/>
  <c r="J191" i="5"/>
  <c r="K191" i="5"/>
  <c r="L191" i="5"/>
  <c r="E192" i="5"/>
  <c r="F192" i="5"/>
  <c r="G192" i="5"/>
  <c r="C46" i="19" s="1"/>
  <c r="E193" i="5"/>
  <c r="F193" i="5"/>
  <c r="E194" i="5"/>
  <c r="F194" i="5"/>
  <c r="G194" i="5"/>
  <c r="I194" i="5"/>
  <c r="J194" i="5"/>
  <c r="K194" i="5"/>
  <c r="L194" i="5"/>
  <c r="D193" i="5"/>
  <c r="D190" i="5"/>
  <c r="D194" i="5"/>
  <c r="D183" i="5"/>
  <c r="D192" i="5"/>
  <c r="D191" i="5"/>
  <c r="D189" i="5"/>
  <c r="D188" i="5"/>
  <c r="D187" i="5"/>
  <c r="D181" i="5"/>
  <c r="G240" i="5" l="1"/>
  <c r="C31" i="19"/>
  <c r="C45" i="19"/>
  <c r="G38" i="19"/>
  <c r="FP139" i="9"/>
  <c r="F195" i="5"/>
  <c r="E195" i="5"/>
  <c r="D195" i="5"/>
  <c r="I95" i="5"/>
  <c r="J95" i="5" s="1"/>
  <c r="K95" i="5" s="1"/>
  <c r="L95" i="5" s="1"/>
  <c r="G100" i="5"/>
  <c r="H221" i="5" s="1"/>
  <c r="FQ139" i="9" l="1"/>
  <c r="FR139" i="9" l="1"/>
  <c r="FS139" i="9" l="1"/>
  <c r="L46" i="7"/>
  <c r="L45" i="7"/>
  <c r="L43" i="7"/>
  <c r="L39" i="7"/>
  <c r="L40" i="7"/>
  <c r="L41" i="7"/>
  <c r="F130" i="5"/>
  <c r="F180" i="5" s="1"/>
  <c r="F184" i="5" s="1"/>
  <c r="F197" i="5" s="1"/>
  <c r="E130" i="5"/>
  <c r="E180" i="5" s="1"/>
  <c r="E184" i="5" s="1"/>
  <c r="E197" i="5" s="1"/>
  <c r="D130" i="5"/>
  <c r="D180" i="5" s="1"/>
  <c r="D184" i="5" s="1"/>
  <c r="D197" i="5" s="1"/>
  <c r="G149" i="5"/>
  <c r="G134" i="5"/>
  <c r="G187" i="5" s="1"/>
  <c r="C43" i="19" s="1"/>
  <c r="G129" i="5"/>
  <c r="G130" i="5" s="1"/>
  <c r="G180" i="5" s="1"/>
  <c r="I96" i="5"/>
  <c r="J96" i="5" s="1"/>
  <c r="K96" i="5" s="1"/>
  <c r="L96" i="5" s="1"/>
  <c r="G105" i="5"/>
  <c r="H223" i="5" s="1"/>
  <c r="H224" i="5" s="1"/>
  <c r="G98" i="5"/>
  <c r="H201" i="5" s="1"/>
  <c r="G92" i="5"/>
  <c r="G88" i="5"/>
  <c r="C37" i="16"/>
  <c r="G71" i="5"/>
  <c r="G65" i="5"/>
  <c r="G68" i="5" s="1"/>
  <c r="G54" i="5"/>
  <c r="G36" i="5"/>
  <c r="G15" i="5"/>
  <c r="H17" i="5" s="1"/>
  <c r="G11" i="5"/>
  <c r="G6" i="5"/>
  <c r="G184" i="5" l="1"/>
  <c r="C36" i="19"/>
  <c r="G69" i="5"/>
  <c r="F25" i="12"/>
  <c r="G13" i="5"/>
  <c r="H12" i="5"/>
  <c r="I201" i="5"/>
  <c r="L201" i="5"/>
  <c r="J201" i="5"/>
  <c r="K201" i="5"/>
  <c r="G22" i="5"/>
  <c r="G27" i="5" s="1"/>
  <c r="G30" i="5" s="1"/>
  <c r="G37" i="5" s="1"/>
  <c r="C21" i="19"/>
  <c r="C22" i="19" s="1"/>
  <c r="C33" i="16"/>
  <c r="L56" i="7"/>
  <c r="M56" i="7" s="1"/>
  <c r="G157" i="5"/>
  <c r="G193" i="5"/>
  <c r="G139" i="5"/>
  <c r="G16" i="5"/>
  <c r="G107" i="5"/>
  <c r="G101" i="5"/>
  <c r="C28" i="19" l="1"/>
  <c r="H228" i="5"/>
  <c r="I228" i="5" s="1"/>
  <c r="J228" i="5" s="1"/>
  <c r="K228" i="5" s="1"/>
  <c r="L228" i="5" s="1"/>
  <c r="G39" i="5"/>
  <c r="G43" i="5" s="1"/>
  <c r="C23" i="19" s="1"/>
  <c r="C40" i="19"/>
  <c r="C51" i="19"/>
  <c r="C32" i="16"/>
  <c r="C34" i="16" s="1"/>
  <c r="C29" i="19"/>
  <c r="G75" i="5"/>
  <c r="G195" i="5"/>
  <c r="G197" i="5" s="1"/>
  <c r="C47" i="19"/>
  <c r="C48" i="19" s="1"/>
  <c r="G141" i="5"/>
  <c r="G173" i="5" s="1"/>
  <c r="C45" i="16"/>
  <c r="C44" i="16"/>
  <c r="G109" i="5"/>
  <c r="G111" i="5" s="1"/>
  <c r="G51" i="5" l="1"/>
  <c r="G46" i="5"/>
  <c r="G47" i="5" s="1"/>
  <c r="G44" i="5"/>
  <c r="G198" i="5"/>
  <c r="C50" i="19"/>
  <c r="C43" i="16"/>
  <c r="C47" i="16" s="1"/>
  <c r="G239" i="5"/>
  <c r="G112" i="5"/>
  <c r="N3" i="14"/>
  <c r="B3" i="14"/>
  <c r="B4" i="14" s="1"/>
  <c r="K2" i="14"/>
  <c r="K3" i="14" l="1"/>
  <c r="K4" i="14" s="1"/>
  <c r="K5" i="14" l="1"/>
  <c r="K6" i="14"/>
  <c r="K7" i="14" s="1"/>
  <c r="C25" i="19" l="1"/>
  <c r="G59" i="7"/>
  <c r="D63" i="7"/>
  <c r="D61" i="7"/>
  <c r="D62" i="7"/>
  <c r="D60" i="7"/>
  <c r="B30" i="12"/>
  <c r="B29" i="12"/>
  <c r="B28" i="12"/>
  <c r="B21" i="12"/>
  <c r="B20" i="12"/>
  <c r="B19" i="12"/>
  <c r="B14" i="12"/>
  <c r="B13" i="12"/>
  <c r="B12" i="12"/>
  <c r="C4" i="11" l="1" a="1"/>
  <c r="C3" i="11" a="1"/>
  <c r="D15" i="11"/>
  <c r="D14" i="11"/>
  <c r="D12" i="11"/>
  <c r="E15" i="11" l="1"/>
  <c r="E14" i="11"/>
  <c r="E12" i="11"/>
  <c r="C28" i="11"/>
  <c r="F98" i="5" l="1"/>
  <c r="G201" i="5" s="1"/>
  <c r="F104" i="5"/>
  <c r="G222" i="5" s="1"/>
  <c r="I222" i="5" s="1"/>
  <c r="J222" i="5" s="1"/>
  <c r="K222" i="5" s="1"/>
  <c r="L222" i="5" s="1"/>
  <c r="F92" i="5" l="1"/>
  <c r="I106" i="5" l="1"/>
  <c r="E220" i="5"/>
  <c r="F220" i="5"/>
  <c r="D220" i="5"/>
  <c r="D219" i="5"/>
  <c r="E219" i="5"/>
  <c r="F219" i="5"/>
  <c r="I91" i="5"/>
  <c r="J91" i="5" s="1"/>
  <c r="K91" i="5" s="1"/>
  <c r="L91" i="5" s="1"/>
  <c r="I89" i="5"/>
  <c r="J89" i="5" s="1"/>
  <c r="K89" i="5" s="1"/>
  <c r="L89" i="5" s="1"/>
  <c r="I85" i="5"/>
  <c r="J85" i="5" s="1"/>
  <c r="K85" i="5" s="1"/>
  <c r="L85" i="5" s="1"/>
  <c r="D80" i="5"/>
  <c r="E80" i="5"/>
  <c r="F80" i="5"/>
  <c r="I73" i="5"/>
  <c r="J73" i="5" s="1"/>
  <c r="K73" i="5" s="1"/>
  <c r="L73" i="5" s="1"/>
  <c r="I70" i="5"/>
  <c r="J70" i="5" s="1"/>
  <c r="K70" i="5" s="1"/>
  <c r="L70" i="5" s="1"/>
  <c r="I60" i="5"/>
  <c r="J60" i="5" s="1"/>
  <c r="K60" i="5" s="1"/>
  <c r="L60" i="5" s="1"/>
  <c r="I58" i="5"/>
  <c r="J58" i="5" s="1"/>
  <c r="K58" i="5" s="1"/>
  <c r="L58" i="5" s="1"/>
  <c r="J106" i="5" l="1"/>
  <c r="I99" i="5"/>
  <c r="J99" i="5" s="1"/>
  <c r="E11" i="5"/>
  <c r="E13" i="5" s="1"/>
  <c r="F11" i="5"/>
  <c r="D11" i="5"/>
  <c r="F13" i="5" l="1"/>
  <c r="G12" i="5"/>
  <c r="K106" i="5"/>
  <c r="I88" i="5"/>
  <c r="I144" i="5" s="1"/>
  <c r="I193" i="5" s="1"/>
  <c r="E47" i="19" s="1"/>
  <c r="K99" i="5"/>
  <c r="E12" i="5"/>
  <c r="F12" i="5"/>
  <c r="J88" i="5" l="1"/>
  <c r="J144" i="5" s="1"/>
  <c r="J193" i="5" s="1"/>
  <c r="F47" i="19" s="1"/>
  <c r="G47" i="19" s="1"/>
  <c r="L106" i="5"/>
  <c r="L99" i="5"/>
  <c r="K88" i="5" l="1"/>
  <c r="K144" i="5" s="1"/>
  <c r="K193" i="5" s="1"/>
  <c r="L88" i="5" l="1"/>
  <c r="L144" i="5" s="1"/>
  <c r="L193" i="5" s="1"/>
  <c r="EX139" i="9"/>
  <c r="EY139" i="9"/>
  <c r="EZ139" i="9"/>
  <c r="FA139" i="9"/>
  <c r="FB139" i="9"/>
  <c r="FC139" i="9"/>
  <c r="EU51" i="9"/>
  <c r="ET51" i="9"/>
  <c r="ES51" i="9"/>
  <c r="ER51" i="9"/>
  <c r="EQ51" i="9"/>
  <c r="EP51" i="9"/>
  <c r="EI52" i="9"/>
  <c r="EI51" i="9"/>
  <c r="EJ51" i="9" s="1"/>
  <c r="EK51" i="9" s="1"/>
  <c r="EL51" i="9" s="1"/>
  <c r="EM51" i="9" s="1"/>
  <c r="BN1" i="9"/>
  <c r="EJ52" i="9" l="1"/>
  <c r="DZ51" i="9"/>
  <c r="DZ130" i="9" l="1"/>
  <c r="DZ131" i="9"/>
  <c r="DZ121" i="9"/>
  <c r="DZ125" i="9"/>
  <c r="DZ128" i="9"/>
  <c r="DZ129" i="9"/>
  <c r="DZ133" i="9"/>
  <c r="DZ122" i="9"/>
  <c r="DZ124" i="9"/>
  <c r="DZ127" i="9"/>
  <c r="DZ132" i="9"/>
  <c r="DZ120" i="9"/>
  <c r="DZ126" i="9"/>
  <c r="DZ123" i="9"/>
  <c r="DZ116" i="9"/>
  <c r="DZ119" i="9"/>
  <c r="DZ115" i="9"/>
  <c r="DZ109" i="9"/>
  <c r="DZ110" i="9"/>
  <c r="DZ118" i="9"/>
  <c r="DZ114" i="9"/>
  <c r="DZ117" i="9"/>
  <c r="DZ113" i="9"/>
  <c r="DZ112" i="9"/>
  <c r="DZ108" i="9"/>
  <c r="DZ111" i="9"/>
  <c r="DZ105" i="9"/>
  <c r="DZ107" i="9"/>
  <c r="DZ106" i="9"/>
  <c r="DZ93" i="9"/>
  <c r="DZ91" i="9"/>
  <c r="DZ90" i="9"/>
  <c r="DZ95" i="9"/>
  <c r="DZ101" i="9"/>
  <c r="DZ96" i="9"/>
  <c r="DZ88" i="9"/>
  <c r="DZ94" i="9"/>
  <c r="DZ99" i="9"/>
  <c r="DZ92" i="9"/>
  <c r="DZ104" i="9"/>
  <c r="DZ103" i="9"/>
  <c r="DZ102" i="9"/>
  <c r="DZ98" i="9"/>
  <c r="DZ89" i="9"/>
  <c r="DZ97" i="9"/>
  <c r="DZ100" i="9"/>
  <c r="C15" i="19"/>
  <c r="D15" i="19"/>
  <c r="C13" i="19"/>
  <c r="D13" i="19"/>
  <c r="DZ74" i="9"/>
  <c r="DZ56" i="9"/>
  <c r="DZ61" i="9"/>
  <c r="DZ57" i="9"/>
  <c r="DZ84" i="9"/>
  <c r="DZ78" i="9"/>
  <c r="DZ59" i="9"/>
  <c r="DZ82" i="9"/>
  <c r="DZ76" i="9"/>
  <c r="DZ55" i="9"/>
  <c r="DZ62" i="9"/>
  <c r="DZ81" i="9"/>
  <c r="DZ80" i="9"/>
  <c r="DZ54" i="9"/>
  <c r="DZ64" i="9"/>
  <c r="DZ75" i="9"/>
  <c r="DZ63" i="9"/>
  <c r="DZ58" i="9"/>
  <c r="DZ79" i="9"/>
  <c r="DZ73" i="9"/>
  <c r="DZ69" i="9"/>
  <c r="DZ66" i="9"/>
  <c r="DZ83" i="9"/>
  <c r="DZ60" i="9"/>
  <c r="DZ67" i="9"/>
  <c r="DZ68" i="9"/>
  <c r="DZ77" i="9"/>
  <c r="DZ65" i="9"/>
  <c r="DZ72" i="9"/>
  <c r="DZ70" i="9"/>
  <c r="DZ71" i="9"/>
  <c r="EK52" i="9"/>
  <c r="P53" i="9"/>
  <c r="Q53" i="9"/>
  <c r="BN53" i="9" s="1"/>
  <c r="S53" i="9"/>
  <c r="AZ53" i="9" s="1"/>
  <c r="BR53" i="9"/>
  <c r="K20" i="5" s="1"/>
  <c r="S20" i="5" s="1"/>
  <c r="T53" i="9"/>
  <c r="BQ53" i="9" s="1"/>
  <c r="J20" i="5" s="1"/>
  <c r="R20" i="5" s="1"/>
  <c r="R53" i="9"/>
  <c r="BG53" i="9" s="1"/>
  <c r="G4" i="9" l="1" a="1"/>
  <c r="G4" i="9" s="1"/>
  <c r="G29" i="9" s="1"/>
  <c r="G5" i="9" a="1"/>
  <c r="G5" i="9" s="1"/>
  <c r="G30" i="9" s="1"/>
  <c r="BC53" i="9"/>
  <c r="AN53" i="9"/>
  <c r="Z53" i="9"/>
  <c r="BO53" i="9"/>
  <c r="BP53" i="9"/>
  <c r="I20" i="5" s="1"/>
  <c r="Q20" i="5" s="1"/>
  <c r="BS53" i="9"/>
  <c r="L20" i="5" s="1"/>
  <c r="C16" i="19"/>
  <c r="D16" i="19"/>
  <c r="C14" i="19"/>
  <c r="D14" i="19"/>
  <c r="EL52" i="9"/>
  <c r="AX53" i="9"/>
  <c r="BH53" i="9"/>
  <c r="CV53" i="9"/>
  <c r="DD53" i="9" s="1"/>
  <c r="CU53" i="9"/>
  <c r="DC53" i="9" s="1"/>
  <c r="AM53" i="9"/>
  <c r="BI53" i="9"/>
  <c r="BJ53" i="9"/>
  <c r="BK53" i="9"/>
  <c r="BF53" i="9"/>
  <c r="CX53" i="9"/>
  <c r="DF53" i="9" s="1"/>
  <c r="CT53" i="9"/>
  <c r="DB53" i="9" s="1"/>
  <c r="CY53" i="9"/>
  <c r="DG53" i="9" s="1"/>
  <c r="CW53" i="9"/>
  <c r="DE53" i="9" s="1"/>
  <c r="AH53" i="9"/>
  <c r="AJ53" i="9"/>
  <c r="AY53" i="9"/>
  <c r="AK53" i="9"/>
  <c r="AL53" i="9"/>
  <c r="BA53" i="9"/>
  <c r="AI53" i="9"/>
  <c r="BB53" i="9"/>
  <c r="E33" i="9" l="1" a="1"/>
  <c r="E33" i="9" s="1"/>
  <c r="AA53" i="9"/>
  <c r="F33" i="9" s="1" a="1"/>
  <c r="F33" i="9" s="1"/>
  <c r="G31" i="9"/>
  <c r="G6" i="9"/>
  <c r="I5" i="5" s="1"/>
  <c r="E6" i="9"/>
  <c r="F6" i="9"/>
  <c r="J4" i="9" a="1"/>
  <c r="J4" i="9" s="1"/>
  <c r="J29" i="9" s="1"/>
  <c r="J5" i="9" a="1"/>
  <c r="J5" i="9" s="1"/>
  <c r="J30" i="9" s="1"/>
  <c r="H5" i="9" a="1"/>
  <c r="H5" i="9" s="1"/>
  <c r="H30" i="9" s="1"/>
  <c r="H4" i="9" a="1"/>
  <c r="H4" i="9" s="1"/>
  <c r="H29" i="9" s="1"/>
  <c r="I4" i="9" a="1"/>
  <c r="I4" i="9" s="1"/>
  <c r="I29" i="9" s="1"/>
  <c r="I5" i="9" a="1"/>
  <c r="I5" i="9" s="1"/>
  <c r="I30" i="9" s="1"/>
  <c r="G12" i="19"/>
  <c r="G17" i="19" s="1"/>
  <c r="F12" i="19"/>
  <c r="F17" i="19" s="1"/>
  <c r="E12" i="19"/>
  <c r="E17" i="19" s="1"/>
  <c r="H12" i="19"/>
  <c r="H17" i="19" s="1"/>
  <c r="J12" i="11"/>
  <c r="L117" i="5"/>
  <c r="AM140" i="9"/>
  <c r="AL140" i="9"/>
  <c r="AI140" i="9"/>
  <c r="AJ140" i="9"/>
  <c r="AH140" i="9"/>
  <c r="AK140" i="9"/>
  <c r="EM52" i="9"/>
  <c r="DJ53" i="9"/>
  <c r="FO53" i="9" l="1"/>
  <c r="AB53" i="9"/>
  <c r="G33" i="9" s="1" a="1"/>
  <c r="G33" i="9" s="1"/>
  <c r="I31" i="9"/>
  <c r="H31" i="9"/>
  <c r="J31" i="9"/>
  <c r="G7" i="9"/>
  <c r="H6" i="9"/>
  <c r="H7" i="9" s="1"/>
  <c r="J6" i="9"/>
  <c r="L5" i="5" s="1"/>
  <c r="I6" i="9"/>
  <c r="K5" i="5" s="1"/>
  <c r="F7" i="9"/>
  <c r="E20" i="19"/>
  <c r="Q16" i="5"/>
  <c r="C12" i="19"/>
  <c r="C17" i="19" s="1"/>
  <c r="D12" i="19"/>
  <c r="D17" i="19" s="1"/>
  <c r="H12" i="11"/>
  <c r="R28" i="5"/>
  <c r="Q28" i="5"/>
  <c r="J117" i="5"/>
  <c r="S28" i="5"/>
  <c r="I163" i="5"/>
  <c r="J163" i="5"/>
  <c r="L163" i="5"/>
  <c r="K163" i="5"/>
  <c r="AJ156" i="9"/>
  <c r="AK156" i="9"/>
  <c r="AI156" i="9"/>
  <c r="AL156" i="9"/>
  <c r="AM156" i="9"/>
  <c r="G12" i="11"/>
  <c r="DR53" i="9"/>
  <c r="DZ53" i="9" s="1"/>
  <c r="K117" i="5"/>
  <c r="F12" i="11"/>
  <c r="I104" i="5"/>
  <c r="I97" i="5"/>
  <c r="I117" i="5"/>
  <c r="I12" i="11"/>
  <c r="I80" i="5"/>
  <c r="J80" i="5" s="1"/>
  <c r="K80" i="5" s="1"/>
  <c r="L80" i="5" s="1"/>
  <c r="K12" i="11"/>
  <c r="DK53" i="9"/>
  <c r="AC53" i="9" l="1"/>
  <c r="H33" i="9" s="1" a="1"/>
  <c r="H33" i="9" s="1"/>
  <c r="G20" i="19"/>
  <c r="J5" i="5"/>
  <c r="I7" i="9"/>
  <c r="J7" i="9"/>
  <c r="K7" i="9"/>
  <c r="K97" i="5"/>
  <c r="K104" i="5"/>
  <c r="H20" i="19"/>
  <c r="N5" i="5"/>
  <c r="L104" i="5"/>
  <c r="L6" i="5"/>
  <c r="L97" i="5"/>
  <c r="S16" i="5"/>
  <c r="S25" i="5" s="1"/>
  <c r="Q25" i="5"/>
  <c r="D20" i="19"/>
  <c r="D37" i="19"/>
  <c r="DS53" i="9"/>
  <c r="EA53" i="9" s="1"/>
  <c r="DL53" i="9"/>
  <c r="I67" i="5" s="1"/>
  <c r="AD53" i="9" l="1"/>
  <c r="I33" i="9" s="1" a="1"/>
  <c r="I33" i="9" s="1"/>
  <c r="J104" i="5"/>
  <c r="J135" i="5" s="1"/>
  <c r="M5" i="5"/>
  <c r="R16" i="5"/>
  <c r="R25" i="5" s="1"/>
  <c r="K6" i="5"/>
  <c r="J97" i="5"/>
  <c r="K132" i="5" s="1"/>
  <c r="F20" i="19"/>
  <c r="I20" i="19" s="1"/>
  <c r="J6" i="5"/>
  <c r="L135" i="5"/>
  <c r="L132" i="5"/>
  <c r="I164" i="5"/>
  <c r="DT53" i="9"/>
  <c r="EB53" i="9" s="1"/>
  <c r="DM53" i="9"/>
  <c r="J67" i="5" s="1"/>
  <c r="I183" i="5" l="1"/>
  <c r="E37" i="19" s="1"/>
  <c r="AE53" i="9"/>
  <c r="J33" i="9" s="1" a="1"/>
  <c r="J33" i="9" s="1"/>
  <c r="K135" i="5"/>
  <c r="J132" i="5"/>
  <c r="J164" i="5"/>
  <c r="J183" i="5" s="1"/>
  <c r="F37" i="19" s="1"/>
  <c r="DU53" i="9"/>
  <c r="EC53" i="9" s="1"/>
  <c r="DN53" i="9"/>
  <c r="K67" i="5" s="1"/>
  <c r="G37" i="19" l="1"/>
  <c r="AF53" i="9"/>
  <c r="K33" i="9" s="1" a="1"/>
  <c r="K33" i="9" s="1"/>
  <c r="K164" i="5"/>
  <c r="K183" i="5" s="1"/>
  <c r="DV53" i="9"/>
  <c r="ED53" i="9" s="1"/>
  <c r="DO53" i="9"/>
  <c r="DP53" i="9" l="1"/>
  <c r="DX53" i="9" s="1"/>
  <c r="L67" i="5"/>
  <c r="L164" i="5" s="1"/>
  <c r="L183" i="5" s="1"/>
  <c r="DW53" i="9"/>
  <c r="EE53" i="9" s="1"/>
  <c r="E215" i="5"/>
  <c r="F215" i="5"/>
  <c r="D215" i="5"/>
  <c r="D65" i="7" l="1"/>
  <c r="E62" i="7" s="1"/>
  <c r="G215" i="5"/>
  <c r="F6" i="5"/>
  <c r="E6" i="5"/>
  <c r="E65" i="7" l="1"/>
  <c r="D64" i="7"/>
  <c r="E64" i="7" s="1"/>
  <c r="E63" i="7"/>
  <c r="E60" i="7"/>
  <c r="E61" i="7"/>
  <c r="I6" i="5" l="1"/>
  <c r="D79" i="5" l="1"/>
  <c r="D81" i="5" s="1"/>
  <c r="E79" i="5"/>
  <c r="E81" i="5" s="1"/>
  <c r="F79" i="5"/>
  <c r="E171" i="5"/>
  <c r="D171" i="5"/>
  <c r="F171" i="5"/>
  <c r="E157" i="5"/>
  <c r="D157" i="5"/>
  <c r="F157" i="5"/>
  <c r="E139" i="5"/>
  <c r="D139" i="5"/>
  <c r="D141" i="5" s="1"/>
  <c r="F139" i="5"/>
  <c r="F141" i="5" s="1"/>
  <c r="D105" i="5"/>
  <c r="E105" i="5"/>
  <c r="F105" i="5"/>
  <c r="G223" i="5" s="1"/>
  <c r="I223" i="5" s="1"/>
  <c r="J223" i="5" s="1"/>
  <c r="K223" i="5" s="1"/>
  <c r="L223" i="5" s="1"/>
  <c r="D104" i="5"/>
  <c r="E104" i="5"/>
  <c r="F222" i="5" s="1"/>
  <c r="E65" i="5"/>
  <c r="E68" i="5" s="1"/>
  <c r="D65" i="5"/>
  <c r="D68" i="5" s="1"/>
  <c r="D69" i="5" s="1"/>
  <c r="D71" i="5"/>
  <c r="E71" i="5"/>
  <c r="F71" i="5"/>
  <c r="I71" i="5" s="1"/>
  <c r="J71" i="5" s="1"/>
  <c r="K71" i="5" s="1"/>
  <c r="L71" i="5" s="1"/>
  <c r="D98" i="5"/>
  <c r="D100" i="5"/>
  <c r="E100" i="5"/>
  <c r="F100" i="5"/>
  <c r="G221" i="5" s="1"/>
  <c r="I221" i="5" s="1"/>
  <c r="J221" i="5" s="1"/>
  <c r="K221" i="5" s="1"/>
  <c r="L221" i="5" s="1"/>
  <c r="E98" i="5"/>
  <c r="G224" i="5" l="1"/>
  <c r="D101" i="5"/>
  <c r="F221" i="5"/>
  <c r="D221" i="5"/>
  <c r="E221" i="5"/>
  <c r="F223" i="5"/>
  <c r="D107" i="5"/>
  <c r="D223" i="5"/>
  <c r="E223" i="5"/>
  <c r="F81" i="5"/>
  <c r="E69" i="5"/>
  <c r="D22" i="11"/>
  <c r="E141" i="5"/>
  <c r="E173" i="5" s="1"/>
  <c r="E198" i="5" s="1"/>
  <c r="E222" i="5"/>
  <c r="D222" i="5"/>
  <c r="F173" i="5"/>
  <c r="F198" i="5" s="1"/>
  <c r="D75" i="5"/>
  <c r="D173" i="5"/>
  <c r="E107" i="5"/>
  <c r="E101" i="5"/>
  <c r="D92" i="5"/>
  <c r="E92" i="5"/>
  <c r="E54" i="5"/>
  <c r="F54" i="5"/>
  <c r="D54" i="5"/>
  <c r="E36" i="5"/>
  <c r="D36" i="5"/>
  <c r="E15" i="5"/>
  <c r="E22" i="5" s="1"/>
  <c r="D15" i="5"/>
  <c r="D16" i="5" s="1"/>
  <c r="F15" i="5"/>
  <c r="F107" i="5"/>
  <c r="F101" i="5"/>
  <c r="F65" i="5"/>
  <c r="F68" i="5" s="1"/>
  <c r="F36" i="5"/>
  <c r="D25" i="12" l="1"/>
  <c r="E25" i="12"/>
  <c r="G17" i="5"/>
  <c r="D24" i="12"/>
  <c r="E75" i="5"/>
  <c r="D176" i="5"/>
  <c r="E174" i="5" s="1"/>
  <c r="E176" i="5" s="1"/>
  <c r="F174" i="5" s="1"/>
  <c r="F176" i="5" s="1"/>
  <c r="G174" i="5" s="1"/>
  <c r="G176" i="5" s="1"/>
  <c r="H174" i="5" s="1"/>
  <c r="H176" i="5" s="1"/>
  <c r="D198" i="5"/>
  <c r="E27" i="5"/>
  <c r="E30" i="5" s="1"/>
  <c r="D109" i="5"/>
  <c r="D111" i="5" s="1"/>
  <c r="F224" i="5"/>
  <c r="E224" i="5"/>
  <c r="F22" i="5"/>
  <c r="D224" i="5"/>
  <c r="E22" i="11"/>
  <c r="F14" i="11"/>
  <c r="F69" i="5"/>
  <c r="E109" i="5"/>
  <c r="E111" i="5" s="1"/>
  <c r="E16" i="5"/>
  <c r="D22" i="5"/>
  <c r="E17" i="5"/>
  <c r="F17" i="5"/>
  <c r="F16" i="5"/>
  <c r="F109" i="5"/>
  <c r="F111" i="5" s="1"/>
  <c r="C26" i="19" s="1"/>
  <c r="D112" i="5" l="1"/>
  <c r="G228" i="5"/>
  <c r="F27" i="5"/>
  <c r="F30" i="5" s="1"/>
  <c r="F39" i="5" s="1"/>
  <c r="F43" i="5" s="1"/>
  <c r="E112" i="5"/>
  <c r="F75" i="5"/>
  <c r="F112" i="5" s="1"/>
  <c r="E37" i="5"/>
  <c r="E39" i="5"/>
  <c r="E43" i="5" s="1"/>
  <c r="D27" i="5"/>
  <c r="D30" i="5" s="1"/>
  <c r="D39" i="5" s="1"/>
  <c r="D43" i="5" s="1"/>
  <c r="I105" i="5"/>
  <c r="I100" i="5"/>
  <c r="I92" i="5"/>
  <c r="E24" i="12"/>
  <c r="E11" i="11" l="1"/>
  <c r="F37" i="5"/>
  <c r="E13" i="11" s="1"/>
  <c r="F44" i="5"/>
  <c r="F51" i="5"/>
  <c r="F46" i="5"/>
  <c r="F47" i="5" s="1"/>
  <c r="D13" i="11"/>
  <c r="D11" i="11"/>
  <c r="E46" i="5"/>
  <c r="E47" i="5" s="1"/>
  <c r="I134" i="5"/>
  <c r="E44" i="5"/>
  <c r="D46" i="5"/>
  <c r="D47" i="5" s="1"/>
  <c r="D44" i="5"/>
  <c r="D37" i="5"/>
  <c r="I224" i="5"/>
  <c r="J100" i="5"/>
  <c r="J105" i="5"/>
  <c r="I138" i="5"/>
  <c r="I107" i="5"/>
  <c r="J92" i="5"/>
  <c r="D29" i="19"/>
  <c r="I65" i="5"/>
  <c r="I68" i="5" s="1"/>
  <c r="E16" i="11" l="1"/>
  <c r="D16" i="11"/>
  <c r="D21" i="19"/>
  <c r="D22" i="19" s="1"/>
  <c r="J224" i="5"/>
  <c r="F24" i="12"/>
  <c r="J138" i="5"/>
  <c r="K105" i="5"/>
  <c r="J107" i="5"/>
  <c r="J134" i="5"/>
  <c r="K100" i="5"/>
  <c r="K92" i="5"/>
  <c r="J65" i="5"/>
  <c r="J68" i="5" s="1"/>
  <c r="I69" i="5"/>
  <c r="I229" i="5" l="1"/>
  <c r="I217" i="5"/>
  <c r="I202" i="5" s="1"/>
  <c r="E29" i="19"/>
  <c r="J187" i="5"/>
  <c r="F43" i="19" s="1"/>
  <c r="K134" i="5"/>
  <c r="I14" i="11"/>
  <c r="K224" i="5"/>
  <c r="L100" i="5"/>
  <c r="L105" i="5"/>
  <c r="K138" i="5"/>
  <c r="K107" i="5"/>
  <c r="L92" i="5"/>
  <c r="K65" i="5"/>
  <c r="K68" i="5" s="1"/>
  <c r="J69" i="5"/>
  <c r="J229" i="5" l="1"/>
  <c r="J217" i="5"/>
  <c r="J202" i="5" s="1"/>
  <c r="F29" i="19"/>
  <c r="I29" i="19" s="1"/>
  <c r="K187" i="5"/>
  <c r="J14" i="11"/>
  <c r="L134" i="5"/>
  <c r="L224" i="5"/>
  <c r="L138" i="5"/>
  <c r="L107" i="5"/>
  <c r="L65" i="5"/>
  <c r="L68" i="5" s="1"/>
  <c r="L69" i="5" s="1"/>
  <c r="K69" i="5"/>
  <c r="L229" i="5" l="1"/>
  <c r="K229" i="5"/>
  <c r="L217" i="5"/>
  <c r="L202" i="5" s="1"/>
  <c r="K217" i="5"/>
  <c r="K202" i="5" s="1"/>
  <c r="H29" i="19"/>
  <c r="G29" i="19"/>
  <c r="L187" i="5"/>
  <c r="K14" i="11"/>
  <c r="F15" i="11" l="1"/>
  <c r="I81" i="5"/>
  <c r="J81" i="5"/>
  <c r="K81" i="5"/>
  <c r="L81" i="5"/>
  <c r="I143" i="5"/>
  <c r="Q22" i="5" s="1"/>
  <c r="Q30" i="5" s="1"/>
  <c r="J143" i="5"/>
  <c r="R22" i="5" s="1"/>
  <c r="R30" i="5" s="1"/>
  <c r="K143" i="5"/>
  <c r="S22" i="5" s="1"/>
  <c r="S30" i="5" s="1"/>
  <c r="L143" i="5"/>
  <c r="H240" i="5" l="1"/>
  <c r="D31" i="19"/>
  <c r="D45" i="19"/>
  <c r="K15" i="11"/>
  <c r="L189" i="5"/>
  <c r="L240" i="5" s="1"/>
  <c r="H15" i="11"/>
  <c r="I189" i="5"/>
  <c r="J15" i="11"/>
  <c r="K189" i="5"/>
  <c r="K240" i="5" s="1"/>
  <c r="I15" i="11"/>
  <c r="J189" i="5"/>
  <c r="G15" i="11"/>
  <c r="F11" i="11"/>
  <c r="F13" i="11"/>
  <c r="I240" i="5" l="1"/>
  <c r="E31" i="19"/>
  <c r="E45" i="19"/>
  <c r="J240" i="5"/>
  <c r="F31" i="19"/>
  <c r="F45" i="19"/>
  <c r="F16" i="11"/>
  <c r="G31" i="19" l="1"/>
  <c r="F22" i="11"/>
  <c r="I132" i="5" l="1"/>
  <c r="D43" i="19" l="1"/>
  <c r="I135" i="5"/>
  <c r="G14" i="11" l="1"/>
  <c r="H14" i="11"/>
  <c r="I187" i="5"/>
  <c r="E43" i="19" s="1"/>
  <c r="G43" i="19" s="1"/>
  <c r="G45" i="19" l="1"/>
  <c r="D23" i="19" l="1"/>
  <c r="D25" i="19"/>
  <c r="D26" i="19"/>
  <c r="D28" i="19"/>
  <c r="D36" i="19"/>
  <c r="D39" i="19"/>
  <c r="D44" i="19"/>
  <c r="D46" i="19"/>
  <c r="I174" i="5"/>
  <c r="H239" i="5"/>
  <c r="G11" i="11"/>
  <c r="G13" i="11"/>
  <c r="G22" i="11"/>
  <c r="G25" i="12"/>
  <c r="D48" i="19" l="1"/>
  <c r="D40" i="19"/>
  <c r="D51" i="19"/>
  <c r="G16" i="11"/>
  <c r="D50" i="19" l="1"/>
  <c r="C4" i="11"/>
  <c r="C3" i="11"/>
  <c r="C4" i="12"/>
  <c r="C3" i="12"/>
  <c r="H29" i="12" l="1"/>
  <c r="H28" i="12"/>
  <c r="H30" i="12"/>
  <c r="C25" i="16"/>
  <c r="D17" i="12"/>
  <c r="D18" i="12" s="1"/>
  <c r="E10" i="12"/>
  <c r="E11" i="12" s="1"/>
  <c r="E17" i="12"/>
  <c r="F17" i="12"/>
  <c r="F18" i="12" s="1"/>
  <c r="F10" i="12"/>
  <c r="C5" i="11"/>
  <c r="C5" i="12"/>
  <c r="B11" i="12"/>
  <c r="B27" i="12"/>
  <c r="B18" i="12"/>
  <c r="E30" i="12"/>
  <c r="E28" i="12"/>
  <c r="E29" i="12"/>
  <c r="F24" i="11"/>
  <c r="E24" i="11"/>
  <c r="G24" i="11"/>
  <c r="H24" i="11"/>
  <c r="I24" i="11"/>
  <c r="J24" i="11"/>
  <c r="K24" i="11"/>
  <c r="D24" i="11"/>
  <c r="D28" i="12"/>
  <c r="D30" i="12"/>
  <c r="D29" i="12"/>
  <c r="F30" i="12"/>
  <c r="F28" i="12"/>
  <c r="F29" i="12"/>
  <c r="F12" i="12" l="1"/>
  <c r="F13" i="12"/>
  <c r="F14" i="12"/>
  <c r="F19" i="12"/>
  <c r="F20" i="12"/>
  <c r="F21" i="12"/>
  <c r="D19" i="12"/>
  <c r="D21" i="12"/>
  <c r="D20" i="12"/>
  <c r="C26" i="16"/>
  <c r="D25" i="16"/>
  <c r="D26" i="16" s="1"/>
  <c r="I25" i="16"/>
  <c r="I26" i="16" s="1"/>
  <c r="H25" i="16"/>
  <c r="H26" i="16" s="1"/>
  <c r="E25" i="16"/>
  <c r="E26" i="16" s="1"/>
  <c r="E18" i="12"/>
  <c r="E21" i="12"/>
  <c r="E19" i="12"/>
  <c r="E20" i="12"/>
  <c r="D26" i="12"/>
  <c r="D27" i="12" s="1"/>
  <c r="E26" i="12"/>
  <c r="E27" i="12" s="1"/>
  <c r="F26" i="12"/>
  <c r="F27" i="12" s="1"/>
  <c r="G26" i="12"/>
  <c r="E12" i="12"/>
  <c r="E13" i="12"/>
  <c r="E14" i="12"/>
  <c r="F11" i="12"/>
  <c r="I237" i="5"/>
  <c r="I24" i="5" s="1"/>
  <c r="J237" i="5"/>
  <c r="J24" i="5" s="1"/>
  <c r="K237" i="5"/>
  <c r="K24" i="5" s="1"/>
  <c r="L237" i="5"/>
  <c r="L24" i="5" s="1"/>
  <c r="R21" i="5" l="1"/>
  <c r="R29" i="5" s="1"/>
  <c r="I13" i="11"/>
  <c r="J118" i="5"/>
  <c r="J167" i="5" s="1"/>
  <c r="H13" i="11"/>
  <c r="I118" i="5"/>
  <c r="I167" i="5" s="1"/>
  <c r="I171" i="5" s="1"/>
  <c r="Q21" i="5"/>
  <c r="Q29" i="5" s="1"/>
  <c r="K13" i="11"/>
  <c r="L118" i="5"/>
  <c r="L167" i="5" s="1"/>
  <c r="S21" i="5"/>
  <c r="S29" i="5" s="1"/>
  <c r="J13" i="11"/>
  <c r="K118" i="5"/>
  <c r="K167" i="5" s="1"/>
  <c r="I192" i="5" l="1"/>
  <c r="E46" i="19" s="1"/>
  <c r="K192" i="5"/>
  <c r="K171" i="5"/>
  <c r="J192" i="5"/>
  <c r="F46" i="19" s="1"/>
  <c r="J171" i="5"/>
  <c r="L171" i="5"/>
  <c r="L192" i="5"/>
  <c r="G46" i="19" l="1"/>
  <c r="K39" i="9" l="1"/>
  <c r="K41" i="9" s="1"/>
  <c r="K42" i="9" s="1"/>
  <c r="K44" i="9"/>
  <c r="K46" i="9" s="1"/>
  <c r="K45" i="9"/>
  <c r="K47" i="9" s="1"/>
  <c r="J39" i="9"/>
  <c r="J41" i="9" s="1"/>
  <c r="J44" i="9"/>
  <c r="J46" i="9" s="1"/>
  <c r="J45" i="9"/>
  <c r="J47" i="9" s="1"/>
  <c r="I39" i="9"/>
  <c r="I41" i="9" s="1"/>
  <c r="I44" i="9"/>
  <c r="I46" i="9" s="1"/>
  <c r="I45" i="9"/>
  <c r="I47" i="9" s="1"/>
  <c r="E39" i="9"/>
  <c r="E41" i="9" s="1"/>
  <c r="E42" i="9" s="1"/>
  <c r="E44" i="9"/>
  <c r="E46" i="9" s="1"/>
  <c r="E45" i="9"/>
  <c r="E47" i="9" s="1"/>
  <c r="H39" i="9"/>
  <c r="H41" i="9" s="1"/>
  <c r="H44" i="9"/>
  <c r="H46" i="9" s="1"/>
  <c r="H45" i="9"/>
  <c r="H47" i="9" s="1"/>
  <c r="G39" i="9"/>
  <c r="G41" i="9" s="1"/>
  <c r="G44" i="9"/>
  <c r="G46" i="9" s="1"/>
  <c r="G45" i="9"/>
  <c r="G47" i="9" s="1"/>
  <c r="F39" i="9"/>
  <c r="F41" i="9" s="1"/>
  <c r="F42" i="9" s="1"/>
  <c r="F44" i="9"/>
  <c r="F46" i="9" s="1"/>
  <c r="F45" i="9"/>
  <c r="F47" i="9" s="1"/>
  <c r="I42" i="9" l="1"/>
  <c r="K15" i="5"/>
  <c r="H42" i="9"/>
  <c r="J15" i="5"/>
  <c r="J42" i="9"/>
  <c r="L15" i="5"/>
  <c r="G42" i="9"/>
  <c r="I15" i="5"/>
  <c r="I11" i="5" l="1"/>
  <c r="E21" i="19"/>
  <c r="E22" i="19" s="1"/>
  <c r="G24" i="12"/>
  <c r="Q17" i="5"/>
  <c r="I16" i="5"/>
  <c r="I17" i="5"/>
  <c r="L11" i="5"/>
  <c r="H21" i="19"/>
  <c r="H22" i="19" s="1"/>
  <c r="N15" i="5"/>
  <c r="L17" i="5"/>
  <c r="J24" i="12"/>
  <c r="L16" i="5"/>
  <c r="J11" i="5"/>
  <c r="F21" i="19"/>
  <c r="J17" i="5"/>
  <c r="J16" i="5"/>
  <c r="M15" i="5"/>
  <c r="R17" i="5"/>
  <c r="H24" i="12"/>
  <c r="K11" i="5"/>
  <c r="G21" i="19"/>
  <c r="G22" i="19" s="1"/>
  <c r="S17" i="5"/>
  <c r="I24" i="12"/>
  <c r="K16" i="5"/>
  <c r="K17" i="5"/>
  <c r="J12" i="5" l="1"/>
  <c r="J13" i="5"/>
  <c r="L13" i="5"/>
  <c r="L12" i="5"/>
  <c r="F22" i="19"/>
  <c r="I21" i="19"/>
  <c r="R18" i="5"/>
  <c r="R26" i="5"/>
  <c r="Q18" i="5"/>
  <c r="Q26" i="5"/>
  <c r="K13" i="5"/>
  <c r="K12" i="5"/>
  <c r="G30" i="12"/>
  <c r="K30" i="12" s="1"/>
  <c r="G28" i="12"/>
  <c r="K28" i="12" s="1"/>
  <c r="G27" i="12"/>
  <c r="G29" i="12"/>
  <c r="K29" i="12" s="1"/>
  <c r="S18" i="5"/>
  <c r="S26" i="5"/>
  <c r="I12" i="5"/>
  <c r="I13" i="5"/>
  <c r="I215" i="5" l="1"/>
  <c r="I19" i="5" s="1"/>
  <c r="Q23" i="5" s="1"/>
  <c r="Q31" i="5" s="1"/>
  <c r="J215" i="5"/>
  <c r="J19" i="5" s="1"/>
  <c r="R23" i="5" s="1"/>
  <c r="R31" i="5" s="1"/>
  <c r="I119" i="5" l="1"/>
  <c r="I22" i="5"/>
  <c r="I27" i="5" s="1"/>
  <c r="I30" i="5" s="1"/>
  <c r="I147" i="5"/>
  <c r="J119" i="5"/>
  <c r="J22" i="5"/>
  <c r="J27" i="5" s="1"/>
  <c r="J30" i="5" s="1"/>
  <c r="J147" i="5"/>
  <c r="J36" i="5" l="1"/>
  <c r="J140" i="5" s="1"/>
  <c r="J188" i="5" s="1"/>
  <c r="J115" i="5"/>
  <c r="J130" i="5" s="1"/>
  <c r="J181" i="5"/>
  <c r="F39" i="19" s="1"/>
  <c r="J157" i="5"/>
  <c r="I157" i="5"/>
  <c r="I181" i="5"/>
  <c r="E39" i="19" s="1"/>
  <c r="I36" i="5"/>
  <c r="I140" i="5" s="1"/>
  <c r="I188" i="5" s="1"/>
  <c r="I115" i="5"/>
  <c r="I130" i="5" s="1"/>
  <c r="L215" i="5"/>
  <c r="L19" i="5" s="1"/>
  <c r="G39" i="19" l="1"/>
  <c r="J39" i="5"/>
  <c r="J43" i="5" s="1"/>
  <c r="J51" i="5" s="1"/>
  <c r="I195" i="5"/>
  <c r="E44" i="19"/>
  <c r="L22" i="5"/>
  <c r="L27" i="5" s="1"/>
  <c r="L30" i="5" s="1"/>
  <c r="L147" i="5"/>
  <c r="L119" i="5"/>
  <c r="I39" i="5"/>
  <c r="I43" i="5" s="1"/>
  <c r="J139" i="5"/>
  <c r="J141" i="5" s="1"/>
  <c r="J180" i="5"/>
  <c r="I139" i="5"/>
  <c r="I141" i="5" s="1"/>
  <c r="I239" i="5" s="1"/>
  <c r="I180" i="5"/>
  <c r="J195" i="5"/>
  <c r="F44" i="19"/>
  <c r="F48" i="19" s="1"/>
  <c r="F23" i="19" l="1"/>
  <c r="I23" i="19" s="1"/>
  <c r="R19" i="5"/>
  <c r="R27" i="5" s="1"/>
  <c r="J46" i="5"/>
  <c r="H10" i="12" s="1"/>
  <c r="I11" i="11"/>
  <c r="I16" i="11" s="1"/>
  <c r="J44" i="5"/>
  <c r="I173" i="5"/>
  <c r="I176" i="5" s="1"/>
  <c r="J174" i="5" s="1"/>
  <c r="J239" i="5"/>
  <c r="J173" i="5"/>
  <c r="E23" i="19"/>
  <c r="H11" i="11"/>
  <c r="H16" i="11" s="1"/>
  <c r="Q19" i="5"/>
  <c r="Q27" i="5" s="1"/>
  <c r="I51" i="5"/>
  <c r="I44" i="5"/>
  <c r="I46" i="5"/>
  <c r="I57" i="5" s="1"/>
  <c r="L157" i="5"/>
  <c r="L181" i="5"/>
  <c r="E36" i="19"/>
  <c r="I184" i="5"/>
  <c r="I197" i="5" s="1"/>
  <c r="L115" i="5"/>
  <c r="L130" i="5" s="1"/>
  <c r="L36" i="5"/>
  <c r="L140" i="5" s="1"/>
  <c r="L188" i="5" s="1"/>
  <c r="L195" i="5" s="1"/>
  <c r="E48" i="19"/>
  <c r="G44" i="19"/>
  <c r="G48" i="19" s="1"/>
  <c r="F36" i="19"/>
  <c r="J184" i="5"/>
  <c r="J197" i="5" s="1"/>
  <c r="J47" i="5" l="1"/>
  <c r="M46" i="5"/>
  <c r="I98" i="5"/>
  <c r="H25" i="12" s="1"/>
  <c r="H26" i="12" s="1"/>
  <c r="H27" i="12" s="1"/>
  <c r="I198" i="5"/>
  <c r="L39" i="5"/>
  <c r="L43" i="5" s="1"/>
  <c r="E28" i="19"/>
  <c r="J176" i="5"/>
  <c r="L139" i="5"/>
  <c r="L141" i="5" s="1"/>
  <c r="L239" i="5" s="1"/>
  <c r="L180" i="5"/>
  <c r="L184" i="5" s="1"/>
  <c r="L197" i="5" s="1"/>
  <c r="I48" i="5"/>
  <c r="G10" i="12"/>
  <c r="I47" i="5"/>
  <c r="H11" i="12"/>
  <c r="H12" i="12"/>
  <c r="L12" i="12" s="1"/>
  <c r="H13" i="12"/>
  <c r="L13" i="12" s="1"/>
  <c r="H14" i="12"/>
  <c r="L14" i="12" s="1"/>
  <c r="J198" i="5"/>
  <c r="F40" i="19"/>
  <c r="F50" i="19" s="1"/>
  <c r="F51" i="19"/>
  <c r="G36" i="19"/>
  <c r="E51" i="19"/>
  <c r="E40" i="19"/>
  <c r="E50" i="19" s="1"/>
  <c r="J48" i="5"/>
  <c r="L51" i="5" l="1"/>
  <c r="I101" i="5"/>
  <c r="I109" i="5" s="1"/>
  <c r="I111" i="5" s="1"/>
  <c r="E26" i="19" s="1"/>
  <c r="L28" i="12"/>
  <c r="L29" i="12"/>
  <c r="L30" i="12"/>
  <c r="H22" i="11"/>
  <c r="H23" i="19"/>
  <c r="L44" i="5"/>
  <c r="K11" i="11"/>
  <c r="K16" i="11" s="1"/>
  <c r="K18" i="11" s="1"/>
  <c r="K19" i="11" s="1"/>
  <c r="L46" i="5"/>
  <c r="L47" i="5" s="1"/>
  <c r="L173" i="5"/>
  <c r="L198" i="5" s="1"/>
  <c r="I53" i="5"/>
  <c r="I75" i="5"/>
  <c r="J57" i="5"/>
  <c r="G17" i="12"/>
  <c r="J98" i="5"/>
  <c r="K174" i="5"/>
  <c r="G14" i="12"/>
  <c r="K14" i="12" s="1"/>
  <c r="G12" i="12"/>
  <c r="K12" i="12" s="1"/>
  <c r="G13" i="12"/>
  <c r="K13" i="12" s="1"/>
  <c r="G11" i="12"/>
  <c r="G51" i="19"/>
  <c r="G40" i="19"/>
  <c r="G50" i="19" s="1"/>
  <c r="I112" i="5" l="1"/>
  <c r="J18" i="11"/>
  <c r="N46" i="5"/>
  <c r="J10" i="12"/>
  <c r="J12" i="12" s="1"/>
  <c r="H17" i="12"/>
  <c r="J53" i="5"/>
  <c r="J75" i="5"/>
  <c r="H20" i="11"/>
  <c r="K20" i="11"/>
  <c r="K21" i="11" s="1"/>
  <c r="D20" i="11"/>
  <c r="I20" i="11"/>
  <c r="E20" i="11"/>
  <c r="F20" i="11"/>
  <c r="J20" i="11"/>
  <c r="G20" i="11"/>
  <c r="G19" i="12"/>
  <c r="K19" i="12" s="1"/>
  <c r="G18" i="12"/>
  <c r="G21" i="12"/>
  <c r="K21" i="12" s="1"/>
  <c r="G20" i="12"/>
  <c r="K20" i="12" s="1"/>
  <c r="I22" i="11"/>
  <c r="I30" i="12"/>
  <c r="M30" i="12" s="1"/>
  <c r="F28" i="19"/>
  <c r="I25" i="12"/>
  <c r="I26" i="12" s="1"/>
  <c r="I27" i="12" s="1"/>
  <c r="I28" i="12"/>
  <c r="M28" i="12" s="1"/>
  <c r="I29" i="12"/>
  <c r="M29" i="12" s="1"/>
  <c r="J101" i="5"/>
  <c r="J109" i="5" s="1"/>
  <c r="J111" i="5" s="1"/>
  <c r="E25" i="19"/>
  <c r="J21" i="11" l="1"/>
  <c r="J11" i="12"/>
  <c r="J13" i="12"/>
  <c r="J14" i="12"/>
  <c r="F25" i="19"/>
  <c r="F26" i="19"/>
  <c r="H18" i="12"/>
  <c r="H21" i="12"/>
  <c r="L21" i="12" s="1"/>
  <c r="H20" i="12"/>
  <c r="L20" i="12" s="1"/>
  <c r="H19" i="12"/>
  <c r="L19" i="12" s="1"/>
  <c r="J112" i="5"/>
  <c r="K215" i="5"/>
  <c r="K19" i="5" s="1"/>
  <c r="S23" i="5" s="1"/>
  <c r="S31" i="5" s="1"/>
  <c r="K147" i="5" l="1"/>
  <c r="K22" i="5"/>
  <c r="K27" i="5" s="1"/>
  <c r="K30" i="5" s="1"/>
  <c r="K119" i="5"/>
  <c r="K115" i="5" l="1"/>
  <c r="K130" i="5" s="1"/>
  <c r="K36" i="5"/>
  <c r="K140" i="5" s="1"/>
  <c r="K188" i="5" s="1"/>
  <c r="K195" i="5" s="1"/>
  <c r="K157" i="5"/>
  <c r="K181" i="5"/>
  <c r="K180" i="5" l="1"/>
  <c r="K184" i="5" s="1"/>
  <c r="K197" i="5" s="1"/>
  <c r="K139" i="5"/>
  <c r="K141" i="5" s="1"/>
  <c r="K239" i="5" s="1"/>
  <c r="K39" i="5"/>
  <c r="K43" i="5" s="1"/>
  <c r="K51" i="5" l="1"/>
  <c r="J11" i="11"/>
  <c r="J16" i="11" s="1"/>
  <c r="K46" i="5"/>
  <c r="G23" i="19"/>
  <c r="S19" i="5"/>
  <c r="S27" i="5" s="1"/>
  <c r="K44" i="5"/>
  <c r="K173" i="5"/>
  <c r="K176" i="5" l="1"/>
  <c r="K198" i="5"/>
  <c r="K47" i="5"/>
  <c r="K48" i="5"/>
  <c r="K57" i="5"/>
  <c r="I10" i="12"/>
  <c r="L48" i="5"/>
  <c r="G18" i="11"/>
  <c r="G21" i="11" s="1"/>
  <c r="G23" i="11" s="1"/>
  <c r="G25" i="11" s="1"/>
  <c r="G26" i="11" s="1"/>
  <c r="F18" i="11"/>
  <c r="F21" i="11" s="1"/>
  <c r="F23" i="11" s="1"/>
  <c r="F25" i="11" s="1"/>
  <c r="F26" i="11" s="1"/>
  <c r="I18" i="11"/>
  <c r="I21" i="11" s="1"/>
  <c r="I23" i="11" s="1"/>
  <c r="I25" i="11" s="1"/>
  <c r="I26" i="11" s="1"/>
  <c r="E18" i="11"/>
  <c r="E21" i="11" s="1"/>
  <c r="E23" i="11" s="1"/>
  <c r="E25" i="11" s="1"/>
  <c r="E26" i="11" s="1"/>
  <c r="D18" i="11"/>
  <c r="D21" i="11" s="1"/>
  <c r="D23" i="11" s="1"/>
  <c r="D25" i="11" s="1"/>
  <c r="D26" i="11" s="1"/>
  <c r="H18" i="11"/>
  <c r="H21" i="11" s="1"/>
  <c r="H23" i="11" s="1"/>
  <c r="H25" i="11" s="1"/>
  <c r="H26" i="11" s="1"/>
  <c r="I11" i="12" l="1"/>
  <c r="I12" i="12"/>
  <c r="M12" i="12" s="1"/>
  <c r="I13" i="12"/>
  <c r="M13" i="12" s="1"/>
  <c r="I14" i="12"/>
  <c r="M14" i="12" s="1"/>
  <c r="I17" i="12"/>
  <c r="K53" i="5"/>
  <c r="L57" i="5"/>
  <c r="K75" i="5"/>
  <c r="L174" i="5"/>
  <c r="L176" i="5" s="1"/>
  <c r="L98" i="5" s="1"/>
  <c r="K98" i="5"/>
  <c r="G25" i="19" l="1"/>
  <c r="I21" i="12"/>
  <c r="M21" i="12" s="1"/>
  <c r="I18" i="12"/>
  <c r="I20" i="12"/>
  <c r="M20" i="12" s="1"/>
  <c r="I19" i="12"/>
  <c r="M19" i="12" s="1"/>
  <c r="H28" i="19"/>
  <c r="K22" i="11"/>
  <c r="K23" i="11" s="1"/>
  <c r="K25" i="11" s="1"/>
  <c r="K26" i="11" s="1"/>
  <c r="L101" i="5"/>
  <c r="L109" i="5" s="1"/>
  <c r="L111" i="5" s="1"/>
  <c r="H25" i="19"/>
  <c r="L53" i="5"/>
  <c r="L75" i="5"/>
  <c r="J17" i="12"/>
  <c r="J29" i="12"/>
  <c r="G28" i="19"/>
  <c r="J25" i="12"/>
  <c r="J26" i="12" s="1"/>
  <c r="J27" i="12" s="1"/>
  <c r="J28" i="12"/>
  <c r="K101" i="5"/>
  <c r="K109" i="5" s="1"/>
  <c r="K111" i="5" s="1"/>
  <c r="J30" i="12"/>
  <c r="J22" i="11"/>
  <c r="J23" i="11" s="1"/>
  <c r="J25" i="11" s="1"/>
  <c r="J26" i="11" s="1"/>
  <c r="L112" i="5" l="1"/>
  <c r="J20" i="12"/>
  <c r="J19" i="12"/>
  <c r="J21" i="12"/>
  <c r="J18" i="12"/>
  <c r="G26" i="19"/>
  <c r="H26" i="19"/>
  <c r="K112" i="5"/>
  <c r="D37" i="9"/>
  <c r="D38" i="9"/>
  <c r="D39" i="9"/>
  <c r="D41" i="9"/>
  <c r="D42" i="9"/>
  <c r="D44" i="9"/>
  <c r="D45" i="9"/>
  <c r="D46" i="9"/>
  <c r="D47" i="9"/>
  <c r="EP88" i="9"/>
  <c r="EQ88" i="9"/>
  <c r="ER88" i="9"/>
  <c r="ES88" i="9"/>
  <c r="ET88" i="9"/>
  <c r="EU88" i="9"/>
  <c r="EV88" i="9"/>
  <c r="EX88" i="9"/>
  <c r="EY88" i="9"/>
  <c r="EZ88" i="9"/>
  <c r="FA88" i="9"/>
  <c r="FB88" i="9"/>
  <c r="FC88" i="9"/>
  <c r="FD88" i="9"/>
  <c r="EP89" i="9"/>
  <c r="EQ89" i="9"/>
  <c r="ER89" i="9"/>
  <c r="ES89" i="9"/>
  <c r="ET89" i="9"/>
  <c r="EU89" i="9"/>
  <c r="EV89" i="9"/>
  <c r="EX89" i="9"/>
  <c r="EY89" i="9"/>
  <c r="EZ89" i="9"/>
  <c r="FA89" i="9"/>
  <c r="FB89" i="9"/>
  <c r="FC89" i="9"/>
  <c r="FD89" i="9"/>
  <c r="EP90" i="9"/>
  <c r="EQ90" i="9"/>
  <c r="ER90" i="9"/>
  <c r="ES90" i="9"/>
  <c r="ET90" i="9"/>
  <c r="EU90" i="9"/>
  <c r="EV90" i="9"/>
  <c r="EX90" i="9"/>
  <c r="EY90" i="9"/>
  <c r="EZ90" i="9"/>
  <c r="FA90" i="9"/>
  <c r="FB90" i="9"/>
  <c r="FC90" i="9"/>
  <c r="FD90" i="9"/>
  <c r="EP91" i="9"/>
  <c r="EQ91" i="9"/>
  <c r="ER91" i="9"/>
  <c r="ES91" i="9"/>
  <c r="ET91" i="9"/>
  <c r="EU91" i="9"/>
  <c r="EV91" i="9"/>
  <c r="EX91" i="9"/>
  <c r="EY91" i="9"/>
  <c r="EZ91" i="9"/>
  <c r="FA91" i="9"/>
  <c r="FB91" i="9"/>
  <c r="FC91" i="9"/>
  <c r="FD91" i="9"/>
  <c r="EP92" i="9"/>
  <c r="EQ92" i="9"/>
  <c r="ER92" i="9"/>
  <c r="ES92" i="9"/>
  <c r="ET92" i="9"/>
  <c r="EU92" i="9"/>
  <c r="EV92" i="9"/>
  <c r="EX92" i="9"/>
  <c r="EY92" i="9"/>
  <c r="EZ92" i="9"/>
  <c r="FA92" i="9"/>
  <c r="FB92" i="9"/>
  <c r="FC92" i="9"/>
  <c r="FD92" i="9"/>
  <c r="EP93" i="9"/>
  <c r="EQ93" i="9"/>
  <c r="ER93" i="9"/>
  <c r="ES93" i="9"/>
  <c r="ET93" i="9"/>
  <c r="EU93" i="9"/>
  <c r="EV93" i="9"/>
  <c r="EX93" i="9"/>
  <c r="EY93" i="9"/>
  <c r="EZ93" i="9"/>
  <c r="FA93" i="9"/>
  <c r="FB93" i="9"/>
  <c r="FC93" i="9"/>
  <c r="FD93" i="9"/>
  <c r="EP94" i="9"/>
  <c r="EQ94" i="9"/>
  <c r="ER94" i="9"/>
  <c r="ES94" i="9"/>
  <c r="ET94" i="9"/>
  <c r="EU94" i="9"/>
  <c r="EV94" i="9"/>
  <c r="EX94" i="9"/>
  <c r="EY94" i="9"/>
  <c r="EZ94" i="9"/>
  <c r="FA94" i="9"/>
  <c r="FB94" i="9"/>
  <c r="FC94" i="9"/>
  <c r="FD94" i="9"/>
  <c r="EP95" i="9"/>
  <c r="EQ95" i="9"/>
  <c r="ER95" i="9"/>
  <c r="ES95" i="9"/>
  <c r="ET95" i="9"/>
  <c r="EU95" i="9"/>
  <c r="EV95" i="9"/>
  <c r="EX95" i="9"/>
  <c r="EY95" i="9"/>
  <c r="EZ95" i="9"/>
  <c r="FA95" i="9"/>
  <c r="FB95" i="9"/>
  <c r="FC95" i="9"/>
  <c r="FD95" i="9"/>
  <c r="EP96" i="9"/>
  <c r="EQ96" i="9"/>
  <c r="ER96" i="9"/>
  <c r="ES96" i="9"/>
  <c r="ET96" i="9"/>
  <c r="EU96" i="9"/>
  <c r="EV96" i="9"/>
  <c r="EX96" i="9"/>
  <c r="EY96" i="9"/>
  <c r="EZ96" i="9"/>
  <c r="FA96" i="9"/>
  <c r="FB96" i="9"/>
  <c r="FC96" i="9"/>
  <c r="FD96" i="9"/>
  <c r="EP97" i="9"/>
  <c r="EQ97" i="9"/>
  <c r="ER97" i="9"/>
  <c r="ES97" i="9"/>
  <c r="ET97" i="9"/>
  <c r="EU97" i="9"/>
  <c r="EV97" i="9"/>
  <c r="EX97" i="9"/>
  <c r="EY97" i="9"/>
  <c r="EZ97" i="9"/>
  <c r="FA97" i="9"/>
  <c r="FB97" i="9"/>
  <c r="FC97" i="9"/>
  <c r="FD97" i="9"/>
  <c r="EP98" i="9"/>
  <c r="EQ98" i="9"/>
  <c r="ER98" i="9"/>
  <c r="ES98" i="9"/>
  <c r="ET98" i="9"/>
  <c r="EU98" i="9"/>
  <c r="EV98" i="9"/>
  <c r="EX98" i="9"/>
  <c r="EY98" i="9"/>
  <c r="EZ98" i="9"/>
  <c r="FA98" i="9"/>
  <c r="FB98" i="9"/>
  <c r="FC98" i="9"/>
  <c r="FD98" i="9"/>
  <c r="EP99" i="9"/>
  <c r="EQ99" i="9"/>
  <c r="ER99" i="9"/>
  <c r="ES99" i="9"/>
  <c r="ET99" i="9"/>
  <c r="EU99" i="9"/>
  <c r="EV99" i="9"/>
  <c r="EX99" i="9"/>
  <c r="EY99" i="9"/>
  <c r="EZ99" i="9"/>
  <c r="FA99" i="9"/>
  <c r="FB99" i="9"/>
  <c r="FC99" i="9"/>
  <c r="FD99" i="9"/>
  <c r="EP100" i="9"/>
  <c r="EQ100" i="9"/>
  <c r="ER100" i="9"/>
  <c r="ES100" i="9"/>
  <c r="ET100" i="9"/>
  <c r="EU100" i="9"/>
  <c r="EV100" i="9"/>
  <c r="EX100" i="9"/>
  <c r="EY100" i="9"/>
  <c r="EZ100" i="9"/>
  <c r="FA100" i="9"/>
  <c r="FB100" i="9"/>
  <c r="FC100" i="9"/>
  <c r="FD100" i="9"/>
  <c r="EP101" i="9"/>
  <c r="EQ101" i="9"/>
  <c r="ER101" i="9"/>
  <c r="ES101" i="9"/>
  <c r="ET101" i="9"/>
  <c r="EU101" i="9"/>
  <c r="EV101" i="9"/>
  <c r="EX101" i="9"/>
  <c r="EY101" i="9"/>
  <c r="EZ101" i="9"/>
  <c r="FA101" i="9"/>
  <c r="FB101" i="9"/>
  <c r="FC101" i="9"/>
  <c r="FD101" i="9"/>
  <c r="EP102" i="9"/>
  <c r="EQ102" i="9"/>
  <c r="ER102" i="9"/>
  <c r="ES102" i="9"/>
  <c r="ET102" i="9"/>
  <c r="EU102" i="9"/>
  <c r="EV102" i="9"/>
  <c r="EX102" i="9"/>
  <c r="EY102" i="9"/>
  <c r="EZ102" i="9"/>
  <c r="FA102" i="9"/>
  <c r="FB102" i="9"/>
  <c r="FC102" i="9"/>
  <c r="FD102" i="9"/>
  <c r="EP103" i="9"/>
  <c r="EQ103" i="9"/>
  <c r="ER103" i="9"/>
  <c r="ES103" i="9"/>
  <c r="ET103" i="9"/>
  <c r="EU103" i="9"/>
  <c r="EV103" i="9"/>
  <c r="EX103" i="9"/>
  <c r="EY103" i="9"/>
  <c r="EZ103" i="9"/>
  <c r="FA103" i="9"/>
  <c r="FB103" i="9"/>
  <c r="FC103" i="9"/>
  <c r="FD103" i="9"/>
  <c r="EP104" i="9"/>
  <c r="EQ104" i="9"/>
  <c r="ER104" i="9"/>
  <c r="ES104" i="9"/>
  <c r="ET104" i="9"/>
  <c r="EU104" i="9"/>
  <c r="EV104" i="9"/>
  <c r="EX104" i="9"/>
  <c r="EY104" i="9"/>
  <c r="EZ104" i="9"/>
  <c r="FA104" i="9"/>
  <c r="FB104" i="9"/>
  <c r="FC104" i="9"/>
  <c r="FD104" i="9"/>
  <c r="EP105" i="9"/>
  <c r="EQ105" i="9"/>
  <c r="ER105" i="9"/>
  <c r="ES105" i="9"/>
  <c r="ET105" i="9"/>
  <c r="EU105" i="9"/>
  <c r="EV105" i="9"/>
  <c r="EX105" i="9"/>
  <c r="EY105" i="9"/>
  <c r="EZ105" i="9"/>
  <c r="FA105" i="9"/>
  <c r="FB105" i="9"/>
  <c r="FC105" i="9"/>
  <c r="FD105" i="9"/>
  <c r="EP106" i="9"/>
  <c r="EQ106" i="9"/>
  <c r="ER106" i="9"/>
  <c r="ES106" i="9"/>
  <c r="ET106" i="9"/>
  <c r="EU106" i="9"/>
  <c r="EV106" i="9"/>
  <c r="EX106" i="9"/>
  <c r="EY106" i="9"/>
  <c r="EZ106" i="9"/>
  <c r="FA106" i="9"/>
  <c r="FB106" i="9"/>
  <c r="FC106" i="9"/>
  <c r="FD106" i="9"/>
  <c r="EP107" i="9"/>
  <c r="EQ107" i="9"/>
  <c r="ER107" i="9"/>
  <c r="ES107" i="9"/>
  <c r="ET107" i="9"/>
  <c r="EU107" i="9"/>
  <c r="EV107" i="9"/>
  <c r="EX107" i="9"/>
  <c r="EY107" i="9"/>
  <c r="EZ107" i="9"/>
  <c r="FA107" i="9"/>
  <c r="FB107" i="9"/>
  <c r="FC107" i="9"/>
  <c r="FD107" i="9"/>
  <c r="EP108" i="9"/>
  <c r="EQ108" i="9"/>
  <c r="ER108" i="9"/>
  <c r="ES108" i="9"/>
  <c r="ET108" i="9"/>
  <c r="EU108" i="9"/>
  <c r="EV108" i="9"/>
  <c r="EX108" i="9"/>
  <c r="EY108" i="9"/>
  <c r="EZ108" i="9"/>
  <c r="FA108" i="9"/>
  <c r="FB108" i="9"/>
  <c r="FC108" i="9"/>
  <c r="FD108" i="9"/>
  <c r="EP109" i="9"/>
  <c r="EQ109" i="9"/>
  <c r="ER109" i="9"/>
  <c r="ES109" i="9"/>
  <c r="ET109" i="9"/>
  <c r="EU109" i="9"/>
  <c r="EV109" i="9"/>
  <c r="EX109" i="9"/>
  <c r="EY109" i="9"/>
  <c r="EZ109" i="9"/>
  <c r="FA109" i="9"/>
  <c r="FB109" i="9"/>
  <c r="FC109" i="9"/>
  <c r="FD109" i="9"/>
  <c r="EP110" i="9"/>
  <c r="EQ110" i="9"/>
  <c r="ER110" i="9"/>
  <c r="ES110" i="9"/>
  <c r="ET110" i="9"/>
  <c r="EU110" i="9"/>
  <c r="EV110" i="9"/>
  <c r="EX110" i="9"/>
  <c r="EY110" i="9"/>
  <c r="EZ110" i="9"/>
  <c r="FA110" i="9"/>
  <c r="FB110" i="9"/>
  <c r="FC110" i="9"/>
  <c r="FD110" i="9"/>
  <c r="EP111" i="9"/>
  <c r="EQ111" i="9"/>
  <c r="ER111" i="9"/>
  <c r="ES111" i="9"/>
  <c r="ET111" i="9"/>
  <c r="EU111" i="9"/>
  <c r="EV111" i="9"/>
  <c r="EX111" i="9"/>
  <c r="EY111" i="9"/>
  <c r="EZ111" i="9"/>
  <c r="FA111" i="9"/>
  <c r="FB111" i="9"/>
  <c r="FC111" i="9"/>
  <c r="FD111" i="9"/>
  <c r="EP112" i="9"/>
  <c r="EQ112" i="9"/>
  <c r="ER112" i="9"/>
  <c r="ES112" i="9"/>
  <c r="ET112" i="9"/>
  <c r="EU112" i="9"/>
  <c r="EV112" i="9"/>
  <c r="EX112" i="9"/>
  <c r="EY112" i="9"/>
  <c r="EZ112" i="9"/>
  <c r="FA112" i="9"/>
  <c r="FB112" i="9"/>
  <c r="FC112" i="9"/>
  <c r="FD112" i="9"/>
  <c r="EP113" i="9"/>
  <c r="EQ113" i="9"/>
  <c r="ER113" i="9"/>
  <c r="ES113" i="9"/>
  <c r="ET113" i="9"/>
  <c r="EU113" i="9"/>
  <c r="EV113" i="9"/>
  <c r="EX113" i="9"/>
  <c r="EY113" i="9"/>
  <c r="EZ113" i="9"/>
  <c r="FA113" i="9"/>
  <c r="FB113" i="9"/>
  <c r="FC113" i="9"/>
  <c r="FD113" i="9"/>
  <c r="EP114" i="9"/>
  <c r="EQ114" i="9"/>
  <c r="ER114" i="9"/>
  <c r="ES114" i="9"/>
  <c r="ET114" i="9"/>
  <c r="EU114" i="9"/>
  <c r="EV114" i="9"/>
  <c r="EX114" i="9"/>
  <c r="EY114" i="9"/>
  <c r="EZ114" i="9"/>
  <c r="FA114" i="9"/>
  <c r="FB114" i="9"/>
  <c r="FC114" i="9"/>
  <c r="FD114" i="9"/>
  <c r="EP115" i="9"/>
  <c r="EQ115" i="9"/>
  <c r="ER115" i="9"/>
  <c r="ES115" i="9"/>
  <c r="ET115" i="9"/>
  <c r="EU115" i="9"/>
  <c r="EV115" i="9"/>
  <c r="EX115" i="9"/>
  <c r="EY115" i="9"/>
  <c r="EZ115" i="9"/>
  <c r="FA115" i="9"/>
  <c r="FB115" i="9"/>
  <c r="FC115" i="9"/>
  <c r="FD115" i="9"/>
  <c r="EP116" i="9"/>
  <c r="EQ116" i="9"/>
  <c r="ER116" i="9"/>
  <c r="ES116" i="9"/>
  <c r="ET116" i="9"/>
  <c r="EU116" i="9"/>
  <c r="EV116" i="9"/>
  <c r="EX116" i="9"/>
  <c r="EY116" i="9"/>
  <c r="EZ116" i="9"/>
  <c r="FA116" i="9"/>
  <c r="FB116" i="9"/>
  <c r="FC116" i="9"/>
  <c r="FD116" i="9"/>
  <c r="EP117" i="9"/>
  <c r="EQ117" i="9"/>
  <c r="ER117" i="9"/>
  <c r="ES117" i="9"/>
  <c r="ET117" i="9"/>
  <c r="EU117" i="9"/>
  <c r="EV117" i="9"/>
  <c r="EX117" i="9"/>
  <c r="EY117" i="9"/>
  <c r="EZ117" i="9"/>
  <c r="FA117" i="9"/>
  <c r="FB117" i="9"/>
  <c r="FC117" i="9"/>
  <c r="FD117" i="9"/>
  <c r="EP118" i="9"/>
  <c r="EQ118" i="9"/>
  <c r="ER118" i="9"/>
  <c r="ES118" i="9"/>
  <c r="ET118" i="9"/>
  <c r="EU118" i="9"/>
  <c r="EV118" i="9"/>
  <c r="EX118" i="9"/>
  <c r="EY118" i="9"/>
  <c r="EZ118" i="9"/>
  <c r="FA118" i="9"/>
  <c r="FB118" i="9"/>
  <c r="FC118" i="9"/>
  <c r="FD118" i="9"/>
  <c r="EP119" i="9"/>
  <c r="EQ119" i="9"/>
  <c r="ER119" i="9"/>
  <c r="ES119" i="9"/>
  <c r="ET119" i="9"/>
  <c r="EU119" i="9"/>
  <c r="EV119" i="9"/>
  <c r="EX119" i="9"/>
  <c r="EY119" i="9"/>
  <c r="EZ119" i="9"/>
  <c r="FA119" i="9"/>
  <c r="FB119" i="9"/>
  <c r="FC119" i="9"/>
  <c r="FD119" i="9"/>
  <c r="EP120" i="9"/>
  <c r="EQ120" i="9"/>
  <c r="ER120" i="9"/>
  <c r="ES120" i="9"/>
  <c r="ET120" i="9"/>
  <c r="EU120" i="9"/>
  <c r="EV120" i="9"/>
  <c r="EX120" i="9"/>
  <c r="EY120" i="9"/>
  <c r="EZ120" i="9"/>
  <c r="FA120" i="9"/>
  <c r="FB120" i="9"/>
  <c r="FC120" i="9"/>
  <c r="FD120" i="9"/>
  <c r="EP121" i="9"/>
  <c r="EQ121" i="9"/>
  <c r="ER121" i="9"/>
  <c r="ES121" i="9"/>
  <c r="ET121" i="9"/>
  <c r="EU121" i="9"/>
  <c r="EV121" i="9"/>
  <c r="EX121" i="9"/>
  <c r="EY121" i="9"/>
  <c r="EZ121" i="9"/>
  <c r="FA121" i="9"/>
  <c r="FB121" i="9"/>
  <c r="FC121" i="9"/>
  <c r="FD121" i="9"/>
  <c r="EP122" i="9"/>
  <c r="EQ122" i="9"/>
  <c r="ER122" i="9"/>
  <c r="ES122" i="9"/>
  <c r="ET122" i="9"/>
  <c r="EU122" i="9"/>
  <c r="EV122" i="9"/>
  <c r="EX122" i="9"/>
  <c r="EY122" i="9"/>
  <c r="EZ122" i="9"/>
  <c r="FA122" i="9"/>
  <c r="FB122" i="9"/>
  <c r="FC122" i="9"/>
  <c r="FD122" i="9"/>
  <c r="EP123" i="9"/>
  <c r="EQ123" i="9"/>
  <c r="ER123" i="9"/>
  <c r="ES123" i="9"/>
  <c r="ET123" i="9"/>
  <c r="EU123" i="9"/>
  <c r="EV123" i="9"/>
  <c r="EX123" i="9"/>
  <c r="EY123" i="9"/>
  <c r="EZ123" i="9"/>
  <c r="FA123" i="9"/>
  <c r="FB123" i="9"/>
  <c r="FC123" i="9"/>
  <c r="FD123" i="9"/>
  <c r="EP124" i="9"/>
  <c r="EQ124" i="9"/>
  <c r="ER124" i="9"/>
  <c r="ES124" i="9"/>
  <c r="ET124" i="9"/>
  <c r="EU124" i="9"/>
  <c r="EV124" i="9"/>
  <c r="EX124" i="9"/>
  <c r="EY124" i="9"/>
  <c r="EZ124" i="9"/>
  <c r="FA124" i="9"/>
  <c r="FB124" i="9"/>
  <c r="FC124" i="9"/>
  <c r="FD124" i="9"/>
  <c r="EP125" i="9"/>
  <c r="EQ125" i="9"/>
  <c r="ER125" i="9"/>
  <c r="ES125" i="9"/>
  <c r="ET125" i="9"/>
  <c r="EU125" i="9"/>
  <c r="EV125" i="9"/>
  <c r="EX125" i="9"/>
  <c r="EY125" i="9"/>
  <c r="EZ125" i="9"/>
  <c r="FA125" i="9"/>
  <c r="FB125" i="9"/>
  <c r="FC125" i="9"/>
  <c r="FD125" i="9"/>
  <c r="EP126" i="9"/>
  <c r="EQ126" i="9"/>
  <c r="ER126" i="9"/>
  <c r="ES126" i="9"/>
  <c r="ET126" i="9"/>
  <c r="EU126" i="9"/>
  <c r="EV126" i="9"/>
  <c r="EX126" i="9"/>
  <c r="EY126" i="9"/>
  <c r="EZ126" i="9"/>
  <c r="FA126" i="9"/>
  <c r="FB126" i="9"/>
  <c r="FC126" i="9"/>
  <c r="FD126" i="9"/>
  <c r="EP127" i="9"/>
  <c r="EQ127" i="9"/>
  <c r="ER127" i="9"/>
  <c r="ES127" i="9"/>
  <c r="ET127" i="9"/>
  <c r="EU127" i="9"/>
  <c r="EV127" i="9"/>
  <c r="EX127" i="9"/>
  <c r="EY127" i="9"/>
  <c r="EZ127" i="9"/>
  <c r="FA127" i="9"/>
  <c r="FB127" i="9"/>
  <c r="FC127" i="9"/>
  <c r="FD127" i="9"/>
  <c r="EP128" i="9"/>
  <c r="EQ128" i="9"/>
  <c r="ER128" i="9"/>
  <c r="ES128" i="9"/>
  <c r="ET128" i="9"/>
  <c r="EU128" i="9"/>
  <c r="EV128" i="9"/>
  <c r="EX128" i="9"/>
  <c r="EY128" i="9"/>
  <c r="EZ128" i="9"/>
  <c r="FA128" i="9"/>
  <c r="FB128" i="9"/>
  <c r="FC128" i="9"/>
  <c r="FD128" i="9"/>
  <c r="EP129" i="9"/>
  <c r="EQ129" i="9"/>
  <c r="ER129" i="9"/>
  <c r="ES129" i="9"/>
  <c r="ET129" i="9"/>
  <c r="EU129" i="9"/>
  <c r="EV129" i="9"/>
  <c r="EX129" i="9"/>
  <c r="EY129" i="9"/>
  <c r="EZ129" i="9"/>
  <c r="FA129" i="9"/>
  <c r="FB129" i="9"/>
  <c r="FC129" i="9"/>
  <c r="FD129" i="9"/>
  <c r="EP130" i="9"/>
  <c r="EQ130" i="9"/>
  <c r="ER130" i="9"/>
  <c r="ES130" i="9"/>
  <c r="ET130" i="9"/>
  <c r="EU130" i="9"/>
  <c r="EV130" i="9"/>
  <c r="EX130" i="9"/>
  <c r="EY130" i="9"/>
  <c r="EZ130" i="9"/>
  <c r="FA130" i="9"/>
  <c r="FB130" i="9"/>
  <c r="FC130" i="9"/>
  <c r="FD130" i="9"/>
  <c r="EP131" i="9"/>
  <c r="EQ131" i="9"/>
  <c r="ER131" i="9"/>
  <c r="ES131" i="9"/>
  <c r="ET131" i="9"/>
  <c r="EU131" i="9"/>
  <c r="EV131" i="9"/>
  <c r="EX131" i="9"/>
  <c r="EY131" i="9"/>
  <c r="EZ131" i="9"/>
  <c r="FA131" i="9"/>
  <c r="FB131" i="9"/>
  <c r="FC131" i="9"/>
  <c r="FD131" i="9"/>
  <c r="EP132" i="9"/>
  <c r="EQ132" i="9"/>
  <c r="ER132" i="9"/>
  <c r="ES132" i="9"/>
  <c r="ET132" i="9"/>
  <c r="EU132" i="9"/>
  <c r="EV132" i="9"/>
  <c r="EX132" i="9"/>
  <c r="EY132" i="9"/>
  <c r="EZ132" i="9"/>
  <c r="FA132" i="9"/>
  <c r="FB132" i="9"/>
  <c r="FC132" i="9"/>
  <c r="FD132" i="9"/>
  <c r="EP133" i="9"/>
  <c r="EQ133" i="9"/>
  <c r="ER133" i="9"/>
  <c r="ES133" i="9"/>
  <c r="ET133" i="9"/>
  <c r="EU133" i="9"/>
  <c r="EV133" i="9"/>
  <c r="EX133" i="9"/>
  <c r="EY133" i="9"/>
  <c r="EZ133" i="9"/>
  <c r="FA133" i="9"/>
  <c r="FB133" i="9"/>
  <c r="FC133" i="9"/>
  <c r="FD133" i="9"/>
  <c r="EP136" i="9"/>
  <c r="EQ136" i="9"/>
  <c r="ER136" i="9"/>
  <c r="ES136" i="9"/>
  <c r="ET136" i="9"/>
  <c r="EU136" i="9"/>
  <c r="EX136" i="9"/>
  <c r="EY136" i="9"/>
  <c r="EZ136" i="9"/>
  <c r="FA136" i="9"/>
  <c r="FB136" i="9"/>
  <c r="FC136" i="9"/>
  <c r="EP137" i="9"/>
  <c r="EQ137" i="9"/>
  <c r="ER137" i="9"/>
  <c r="ES137" i="9"/>
  <c r="ET137" i="9"/>
  <c r="EU137" i="9"/>
  <c r="EX137" i="9"/>
  <c r="EY137" i="9"/>
  <c r="EZ137" i="9"/>
  <c r="FA137" i="9"/>
  <c r="FB137" i="9"/>
  <c r="FC137" i="9"/>
  <c r="EP138" i="9"/>
  <c r="EQ138" i="9"/>
  <c r="ER138" i="9"/>
  <c r="ES138" i="9"/>
  <c r="ET138" i="9"/>
  <c r="EU138" i="9"/>
  <c r="EX138" i="9"/>
  <c r="EY138" i="9"/>
  <c r="EZ138" i="9"/>
  <c r="FA138" i="9"/>
  <c r="FB138" i="9"/>
  <c r="FC13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ketan.j</author>
    <author>Dheeraj Kripalani</author>
  </authors>
  <commentList>
    <comment ref="I35" authorId="0" shapeId="0" xr:uid="{D6EE95D0-190E-4C8D-9A85-19F9E6F69B1A}">
      <text>
        <r>
          <rPr>
            <b/>
            <sz val="9"/>
            <color indexed="81"/>
            <rFont val="Tahoma"/>
            <family val="2"/>
          </rPr>
          <t>ketan.j:</t>
        </r>
        <r>
          <rPr>
            <sz val="9"/>
            <color indexed="81"/>
            <rFont val="Tahoma"/>
            <family val="2"/>
          </rPr>
          <t xml:space="preserve">
As per PPA</t>
        </r>
      </text>
    </comment>
    <comment ref="I36" authorId="0" shapeId="0" xr:uid="{E8F0FE63-3DA1-4A73-8B77-BFF0FDC09A77}">
      <text>
        <r>
          <rPr>
            <b/>
            <sz val="9"/>
            <color indexed="81"/>
            <rFont val="Tahoma"/>
            <family val="2"/>
          </rPr>
          <t>ketan.j:</t>
        </r>
        <r>
          <rPr>
            <sz val="9"/>
            <color indexed="81"/>
            <rFont val="Tahoma"/>
            <family val="2"/>
          </rPr>
          <t xml:space="preserve">
As per PPA</t>
        </r>
      </text>
    </comment>
    <comment ref="F45" authorId="1" shapeId="0" xr:uid="{84739B3E-D192-475B-8BAD-8649856F407D}">
      <text>
        <r>
          <rPr>
            <b/>
            <sz val="9"/>
            <color indexed="81"/>
            <rFont val="Tahoma"/>
            <family val="2"/>
          </rPr>
          <t>Dheeraj Kripalani:</t>
        </r>
        <r>
          <rPr>
            <sz val="9"/>
            <color indexed="81"/>
            <rFont val="Tahoma"/>
            <family val="2"/>
          </rPr>
          <t xml:space="preserve">
MWh</t>
        </r>
      </text>
    </comment>
    <comment ref="F46" authorId="1" shapeId="0" xr:uid="{89232268-AC1D-4FEA-A90F-502259C3D185}">
      <text>
        <r>
          <rPr>
            <b/>
            <sz val="9"/>
            <color indexed="81"/>
            <rFont val="Tahoma"/>
            <family val="2"/>
          </rPr>
          <t>Dheeraj Kripalani:</t>
        </r>
        <r>
          <rPr>
            <sz val="9"/>
            <color indexed="81"/>
            <rFont val="Tahoma"/>
            <family val="2"/>
          </rPr>
          <t xml:space="preserve">
Mwh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Dheeraj Kripalani</author>
    <author>Historical data update (Oct-2026)</author>
  </authors>
  <commentList>
    <comment ref="K159" authorId="0" shapeId="0" xr:uid="{13AA188A-6CDF-4F16-B520-733FBDF5C2AD}">
      <text>
        <r>
          <rPr>
            <b/>
            <sz val="9"/>
            <color indexed="81"/>
            <rFont val="Tahoma"/>
            <family val="2"/>
          </rPr>
          <t>Dheeraj Kripalani:</t>
        </r>
        <r>
          <rPr>
            <sz val="9"/>
            <color indexed="81"/>
            <rFont val="Tahoma"/>
            <family val="2"/>
          </rPr>
          <t xml:space="preserve">
Issue of equity shares</t>
        </r>
      </text>
    </comment>
    <comment ref="B2" authorId="1" shapeId="0">
      <text>
        <r>
          <rPr>
            <b/>
            <sz val="9"/>
            <color indexed="81"/>
            <rFont val="Tahoma"/>
            <family val="2"/>
          </rPr>
          <t>Historical data update (Oct-2026):</t>
        </r>
        <r>
          <rPr>
            <sz val="9"/>
            <color indexed="81"/>
            <rFont val="Tahoma"/>
            <family val="2"/>
          </rPr>
          <t xml:space="preserve">
FY18-FY21 columns added Oct-2026 from the company's own annual reports (consolidated Ind AS statements, as originally reported): FY21 and FY20 from AR 2020-21 (ASHL 2020-21.pdf p.110-112; FY20 column uses the FY20 comparatives shown in AR 2020-21 unless AR 2019-20 p. refs are cited in data notes), FY19/FY18 from AR 2018-19 (ASHL 2018-19.pdf) - see cell notes on B54/B114. FY22-FY24 (existing) agree to the RHP dated 29-Oct-2024 p.104 Restated Consolidated Statement of Profit and Loss (restated basis, e.g. FY22 revenue 14,879.02), not the as-originally-reported annual reports; FY25/FY26 (existing) agree to the audited results (AR25 p.60; AR26 p.307). Shares for FY18-FY21 shown on the current INR 2 face value (522.21 mn = 104,441,582 shares of INR 10 sub-divided 5:1, RHP p.10). Sub-total rows keep the sheet's existing formulas; reported line items are hard-coded in black. No restatements of FY18-FY21 have been published; FY20 comparatives in AR21 differ from AR20 only where noted.</t>
        </r>
      </text>
    </comment>
    <comment ref="B54" authorId="1" shapeId="0">
      <text>
        <r>
          <rPr>
            <b/>
            <sz val="9"/>
            <color indexed="81"/>
            <rFont val="Tahoma"/>
            <family val="2"/>
          </rPr>
          <t>Historical data update (Oct-2026):</t>
        </r>
        <r>
          <rPr>
            <sz val="9"/>
            <color indexed="81"/>
            <rFont val="Tahoma"/>
            <family val="2"/>
          </rPr>
          <t xml:space="preserve">
FY18-FY21 balance sheets as originally reported (AR 2020-21 p.110 for Mar-21 and Mar-20; AR 2018-19 for Mar-19 and Mar-18). Mapping follows the existing FY22 column: 'Other long term liabilities' = non-current lease liabilities + other non-current financial liabilities + other non-current liabilities; 'Other non-current assets' = non-current loans + other non-current financial assets + non-current tax assets + other non-current assets; 'Other current assets' = other current assets + other current financial assets + assets held for sale; 'Other current liabilities' = current lease liabilities + other current financial liabilities + other current liabilities + current tax liabilities (+ liabilities associated with assets held for sale, Mar-20: 19,217.90). Gross block / accumulated depreciation were not extracted from the PPE notes for FY18-FY21: row 79 carries the reported net PPE + right-of-use assets and row 80 is set to nil, so net block (row 81) equals the reported net carrying amount.</t>
        </r>
      </text>
    </comment>
    <comment ref="B114" authorId="1" shapeId="0">
      <text>
        <r>
          <rPr>
            <b/>
            <sz val="9"/>
            <color indexed="81"/>
            <rFont val="Tahoma"/>
            <family val="2"/>
          </rPr>
          <t>Historical data update (Oct-2026):</t>
        </r>
        <r>
          <rPr>
            <sz val="9"/>
            <color indexed="81"/>
            <rFont val="Tahoma"/>
            <family val="2"/>
          </rPr>
          <t xml:space="preserve">
FY18-FY21 cash flow statements as originally reported (AR 2020-21 p.112 for FY21 and FY20; AR 2018-19 for FY19 and FY18). 'Others' (row 129) = provision for doubtful debts + balances written off; row 170 for FY20/FY21 holds 'foreign exchange gain realised' (57.88 / 57.04) which has no separate line in this sheet; row 175 for FY20 is cash reclassified to assets held for sale (367.74).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Dheeraj Kripalani</author>
  </authors>
  <commentList>
    <comment ref="N53" authorId="0" shapeId="0" xr:uid="{E2F17E4A-E34A-4C44-A2A2-36086E97B109}">
      <text>
        <r>
          <rPr>
            <b/>
            <sz val="9"/>
            <color indexed="81"/>
            <rFont val="Tahoma"/>
            <family val="2"/>
          </rPr>
          <t>Dheeraj Kripalani:</t>
        </r>
        <r>
          <rPr>
            <sz val="9"/>
            <color indexed="81"/>
            <rFont val="Tahoma"/>
            <family val="2"/>
          </rPr>
          <t xml:space="preserve">
First 12 years - 15.00
Next 13 years - 5.00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Dheeraj Kripalani</author>
    <author>ketan.j</author>
  </authors>
  <commentList>
    <comment ref="H5" authorId="0" shapeId="0" xr:uid="{DA0A01B5-893A-47D3-8452-BAA81F3C6C0E}">
      <text>
        <r>
          <rPr>
            <b/>
            <sz val="9"/>
            <color indexed="81"/>
            <rFont val="Tahoma"/>
            <family val="2"/>
          </rPr>
          <t>Dheeraj Kripalani:</t>
        </r>
        <r>
          <rPr>
            <sz val="9"/>
            <color indexed="81"/>
            <rFont val="Tahoma"/>
            <family val="2"/>
          </rPr>
          <t xml:space="preserve">
First 12 years - 15.00
Next 13 years - 5.00</t>
        </r>
      </text>
    </comment>
    <comment ref="I6" authorId="0" shapeId="0" xr:uid="{F86E3897-158F-4C0D-A26D-076FD544DB8E}">
      <text>
        <r>
          <rPr>
            <b/>
            <sz val="9"/>
            <color indexed="81"/>
            <rFont val="Tahoma"/>
            <family val="2"/>
          </rPr>
          <t>Dheeraj Kripalani:</t>
        </r>
        <r>
          <rPr>
            <sz val="9"/>
            <color indexed="81"/>
            <rFont val="Tahoma"/>
            <family val="2"/>
          </rPr>
          <t xml:space="preserve">
Phase I (10MW) - Dec. 2013
Phase II (15MW) - Jan. 2014</t>
        </r>
      </text>
    </comment>
    <comment ref="I8" authorId="0" shapeId="0" xr:uid="{F250FF75-2094-4196-8570-1712AE046A54}">
      <text>
        <r>
          <rPr>
            <b/>
            <sz val="9"/>
            <color indexed="81"/>
            <rFont val="Tahoma"/>
            <family val="2"/>
          </rPr>
          <t>Dheeraj Kripalani:</t>
        </r>
        <r>
          <rPr>
            <sz val="9"/>
            <color indexed="81"/>
            <rFont val="Tahoma"/>
            <family val="2"/>
          </rPr>
          <t xml:space="preserve">
Phase I (23 MW) - Jan. 2016
Phase II (7MW) - Mar. 2016</t>
        </r>
      </text>
    </comment>
    <comment ref="I18" authorId="0" shapeId="0" xr:uid="{2ACB69A5-E8DF-410A-A2A5-4AE5EBD09276}">
      <text>
        <r>
          <rPr>
            <b/>
            <sz val="9"/>
            <color indexed="81"/>
            <rFont val="Tahoma"/>
            <family val="2"/>
          </rPr>
          <t>Dheeraj Kripalani:</t>
        </r>
        <r>
          <rPr>
            <sz val="9"/>
            <color indexed="81"/>
            <rFont val="Tahoma"/>
            <family val="2"/>
          </rPr>
          <t xml:space="preserve">
Phase I (20 MW) July 2016
Phase II (30 MW) August 2016</t>
        </r>
      </text>
    </comment>
    <comment ref="I19" authorId="0" shapeId="0" xr:uid="{E9BB1111-6DF7-4A96-B113-F58A4D0166AB}">
      <text>
        <r>
          <rPr>
            <b/>
            <sz val="9"/>
            <color indexed="81"/>
            <rFont val="Tahoma"/>
            <family val="2"/>
          </rPr>
          <t>Dheeraj Kripalani:</t>
        </r>
        <r>
          <rPr>
            <sz val="9"/>
            <color indexed="81"/>
            <rFont val="Tahoma"/>
            <family val="2"/>
          </rPr>
          <t xml:space="preserve">
Phase I (40 MW) July 2017
Phase II (10 MW) August 2017</t>
        </r>
      </text>
    </comment>
    <comment ref="I27" authorId="0" shapeId="0" xr:uid="{DD842C02-2CF2-4FB6-8FF1-BA5B395D7F50}">
      <text>
        <r>
          <rPr>
            <b/>
            <sz val="9"/>
            <color indexed="81"/>
            <rFont val="Tahoma"/>
            <family val="2"/>
          </rPr>
          <t>Dheeraj Kripalani:</t>
        </r>
        <r>
          <rPr>
            <sz val="9"/>
            <color indexed="81"/>
            <rFont val="Tahoma"/>
            <family val="2"/>
          </rPr>
          <t xml:space="preserve">
Phase I (100 MW) April 2022
Phase II (200 MW) May 2022</t>
        </r>
      </text>
    </comment>
    <comment ref="I28" authorId="0" shapeId="0" xr:uid="{EA683EFD-B9ED-46B0-A9F0-19DF456ED31C}">
      <text>
        <r>
          <rPr>
            <b/>
            <sz val="9"/>
            <color indexed="81"/>
            <rFont val="Tahoma"/>
            <family val="2"/>
          </rPr>
          <t>Dheeraj Kripalani:</t>
        </r>
        <r>
          <rPr>
            <sz val="9"/>
            <color indexed="81"/>
            <rFont val="Tahoma"/>
            <family val="2"/>
          </rPr>
          <t xml:space="preserve">
Phase I (200 MW) July 2023
Phase II (50 MW) January 2024</t>
        </r>
      </text>
    </comment>
    <comment ref="I40" authorId="1" shapeId="0" xr:uid="{62362651-F871-40EF-8358-954E197F1C73}">
      <text>
        <r>
          <rPr>
            <b/>
            <sz val="9"/>
            <color indexed="81"/>
            <rFont val="Tahoma"/>
            <family val="2"/>
          </rPr>
          <t>ketan.j:</t>
        </r>
        <r>
          <rPr>
            <sz val="9"/>
            <color indexed="81"/>
            <rFont val="Tahoma"/>
            <family val="2"/>
          </rPr>
          <t xml:space="preserve">
As per PPA</t>
        </r>
      </text>
    </comment>
    <comment ref="I41" authorId="1" shapeId="0" xr:uid="{AEBAA672-BD46-423F-9D62-CF54763DDF61}">
      <text>
        <r>
          <rPr>
            <b/>
            <sz val="9"/>
            <color indexed="81"/>
            <rFont val="Tahoma"/>
            <family val="2"/>
          </rPr>
          <t>ketan.j:</t>
        </r>
        <r>
          <rPr>
            <sz val="9"/>
            <color indexed="81"/>
            <rFont val="Tahoma"/>
            <family val="2"/>
          </rPr>
          <t xml:space="preserve">
As per PPA</t>
        </r>
      </text>
    </comment>
    <comment ref="F49" authorId="0" shapeId="0" xr:uid="{93E79FBC-7B1C-4F23-B9B5-10FF76D35923}">
      <text>
        <r>
          <rPr>
            <b/>
            <sz val="9"/>
            <color indexed="81"/>
            <rFont val="Tahoma"/>
            <family val="2"/>
          </rPr>
          <t>Dheeraj Kripalani:</t>
        </r>
        <r>
          <rPr>
            <sz val="9"/>
            <color indexed="81"/>
            <rFont val="Tahoma"/>
            <family val="2"/>
          </rPr>
          <t xml:space="preserve">
MWh</t>
        </r>
      </text>
    </comment>
    <comment ref="F50" authorId="0" shapeId="0" xr:uid="{E41AF4A6-16A5-4F11-BD30-9CC071FD0204}">
      <text>
        <r>
          <rPr>
            <b/>
            <sz val="9"/>
            <color indexed="81"/>
            <rFont val="Tahoma"/>
            <family val="2"/>
          </rPr>
          <t>Dheeraj Kripalani:</t>
        </r>
        <r>
          <rPr>
            <sz val="9"/>
            <color indexed="81"/>
            <rFont val="Tahoma"/>
            <family val="2"/>
          </rPr>
          <t xml:space="preserve">
Mwh
</t>
        </r>
      </text>
    </comment>
  </commentList>
</comments>
</file>

<file path=xl/comments5.xml><?xml version="1.0" encoding="utf-8"?>
<comments xmlns="http://schemas.openxmlformats.org/spreadsheetml/2006/main">
  <authors>
    <author>Historical data update (Oct-2026)</author>
  </authors>
  <commentList>
    <comment ref="B5" authorId="0" shapeId="0">
      <text>
        <r>
          <rPr>
            <b/>
            <sz val="9"/>
            <color indexed="81"/>
            <rFont val="Tahoma"/>
            <family val="2"/>
          </rPr>
          <t>Historical data update (Oct-2026):</t>
        </r>
        <r>
          <rPr>
            <sz val="9"/>
            <color indexed="81"/>
            <rFont val="Tahoma"/>
            <family val="2"/>
          </rPr>
          <t xml:space="preserve">
Source: ACME Solar exchange results filings (Statement of Consolidated Financial Results), INR mn, as first reported for each quarter: Q2FY24/Q1FY25/Q2FY25 - Q2FY25 filing p.1; Q3FY24/Q3FY25 - Q3FY25 filing p.1; Q4FY24/Q4FY25 - Q4FY25 filing p.7 (Q4 = balancing figures); Q1FY26 - Q1FY26 filing p.6; Q2FY26 - Q2FY26 filing p.4 (also Q3FY26 filing p.9); Q3FY26 - Q3FY26 filing p.9; Q4FY26 and Q1FY27 - Q1FY27 filing p.8. Q1FY24 from the RHP (29-Oct-2024) p.104, Restated Consolidated Statement of Profit and Loss, 3 months ended 30-Jun-2023 (restated basis; its 'total expense' 3,118.31 includes finance costs and D&amp;A, so total expenses/EBITDA on the filing basis are not disclosed for Q1FY24; RHP KPI table p.157 gives EBITDA excl. other income of 3,216.98). Quarterly results were not published before listing (Nov-2024); FY24 quarters appear only as comparatives. EBITDA = line V of the filings (includes other income). Q1FY27 'cost of materials' line = cost of power purchased for BESS (389.51). Current tax for Q1FY24 includes 0.03 earlier-year adjustment. Cash PAT computed as PAT + D&amp;A -/+ exceptional items (company definition, Q4FY26 pres p.16 fn.2). Dash = nil or not disclosed.</t>
        </r>
      </text>
    </comment>
    <comment ref="B27" authorId="0" shapeId="0">
      <text>
        <r>
          <rPr>
            <b/>
            <sz val="9"/>
            <color indexed="81"/>
            <rFont val="Tahoma"/>
            <family val="2"/>
          </rPr>
          <t>Historical data update (Oct-2026):</t>
        </r>
        <r>
          <rPr>
            <sz val="9"/>
            <color indexed="81"/>
            <rFont val="Tahoma"/>
            <family val="2"/>
          </rPr>
          <t xml:space="preserve">
Source: Statement of Standalone Financial Results in the same filings: Q2FY24/Q1FY25/Q2FY25 - Q2FY25 filing p.5; Q3FY24/Q3FY25 - Q3FY25 filing p.7; Q4FY24/Q4FY25 - Q4FY25 filing p.14; Q1FY26 - Q1FY26 filing p.9; Q2FY26 - Q2FY26 filing p.10 (also Q3FY26 filing p.3); Q3FY26 - Q3FY26 filing p.3; Q4FY26/Q1FY27 - Q1FY27 filing p.2. Revenue from operations = EPC contracts + O&amp;M services + other operating revenue. 'Cost of materials' row = construction expenses. Q1FY24 standalone quarter not disclosed in any public document (RHP carries consolidated restated financials only; H1FY24 standalone appears in the Q2FY25 filing). Dash = nil or not disclosed.</t>
        </r>
      </text>
    </comment>
    <comment ref="B49" authorId="0" shapeId="0">
      <text>
        <r>
          <rPr>
            <b/>
            <sz val="9"/>
            <color indexed="81"/>
            <rFont val="Tahoma"/>
            <family val="2"/>
          </rPr>
          <t>Historical data update (Oct-2026):</t>
        </r>
        <r>
          <rPr>
            <sz val="9"/>
            <color indexed="81"/>
            <rFont val="Tahoma"/>
            <family val="2"/>
          </rPr>
          <t xml:space="preserve">
Quarterly generation/CUF/plant &amp; grid availability from the 'Operational Highlights' slide of each presentation: Q1FY25 &amp; Q1FY26 from Q1FY26 pres p.9; Q2FY25 &amp; Q2FY26 from Q2FY26 pres p.10; Q3FY25 &amp; Q3FY26 from Q3FY26 pres p.12; Q4FY25 &amp; Q4FY26 from Q4FY26 pres p.12; Q1FY27 from Q1FY27 pres p.9. Rajasthan-asset CUF (with contracted MW it refers to) from the same slides (Q4FY25: Q4FY25 pres p.10). Wind CUF 41.4% on 150 MW: Q1FY27 pres p.9 (9MFY26 partial wind ~90 MW CUF 24.8%: Q3FY26 pres p.13, cumulative only). FY24 quarters: company discloses only like-for-like cumulative figures (H1FY24 CUF 23.3%/1,221 MU, 9MFY24 23.0%/1,858 MU, FY24 23.6%/2,586 MU, adjusted for 369 MW divested) - quarterly split not disclosed. RHP p.157 gives period-end weighted CUF/PA/GA for 3M Jun-23 (25.12/99.57/99.11) and 3M Jun-24 (26.99/99.36/99.46) on a different (assets-held) basis - not used here.</t>
        </r>
      </text>
    </comment>
    <comment ref="B59" authorId="0" shapeId="0">
      <text>
        <r>
          <rPr>
            <b/>
            <sz val="9"/>
            <color indexed="81"/>
            <rFont val="Tahoma"/>
            <family val="2"/>
          </rPr>
          <t>Historical data update (Oct-2026):</t>
        </r>
        <r>
          <rPr>
            <sz val="9"/>
            <color indexed="81"/>
            <rFont val="Tahoma"/>
            <family val="2"/>
          </rPr>
          <t xml:space="preserve">
Total operational MW as stated by the company for each quarter: Jun-23 1,459 and Mar-24 / Jun-24 1,340 (RHP p.157); Sep-24 1,340 (Q2FY26 pres p.7, YoY); Dec-24 and Mar-25 2,540 (Q3FY25 pres p.5/p.19; AR25 p.2); Jun-25 2,890 (Q1FY26 pres p.7); Sep-25 2,918 (Q2FY26 pres p.7); Dec-25 2,962 (Q3FY26 pres p.7); Mar-26 2,982 (Q4FY26 pres p.7 fn.1; AR26 p.21); Jun-26 2,990 (Q1FY27 pres p.7). Technology split: operational portfolio 100% solar to Mar-25 (AR25 p.58; Q3FY25 pres p.19 shows wind/hybrid '-'); from Jun-25 solar = 2,840 MW per project list (2,540 + Sikar 300, Q4FY26 pres p.27) and wind = Pokhran 50 + Eco Clean phases (28/44/20/8 MW), i.e. total less solar. No hybrid/FDRE project operational to Q1FY27. MW commissioned in the quarter: 1,200 MW SECI ISTS in Q3FY25 (Q3FY25 pres p.5; phase CODs Dec-24/Jan-25 per Q4FY26 pres p.27), 350 MW Q1FY26 (Q1FY26 pres p.7), 28 MW Q2FY26 (Q2FY26 pres p.7), 44 MW Q3FY26 (72 MW cumulative, Q3FY26 pres p.7), 20 MW Q4FY26 (to 2,982), 8 MW Q1FY27 (AR26 p.5 fn.3). Sep-23/Dec-23 quarter-end MW not stated (Aklera 200 MW COD Jul-23, 50 MW Jan-24; 369 MW sold Jan-24) - left as dash. BESS commissioned: 10 MWh pilot operationalised Oct-25 (Q2FY26 pres p.9); 1,324 MWh at 31-Mar-26 (AR26 p.5 fn.4, p.87); 3,109 MWh commissioned by Q1FY27 (Q1FY27 pres p.20); 3,621 MWh by end-Jul-26 (AR26 p.5).</t>
        </r>
      </text>
    </comment>
    <comment ref="B68" authorId="0" shapeId="0">
      <text>
        <r>
          <rPr>
            <b/>
            <sz val="9"/>
            <color indexed="81"/>
            <rFont val="Tahoma"/>
            <family val="2"/>
          </rPr>
          <t>Historical data update (Oct-2026):</t>
        </r>
        <r>
          <rPr>
            <sz val="9"/>
            <color indexed="81"/>
            <rFont val="Tahoma"/>
            <family val="2"/>
          </rPr>
          <t xml:space="preserve">
Q1FY27 pres p.18 'BESS Performance - Q1 FY27': capacity commissioned Jun-26 3.1 GWh; revenue from sale of power INR 226 Cr; cost of power INR 39 Cr; EBITDA INR 189 Cr; EBITDA margin 82%; revenue mix 85% short-term contracts / 15% merchant; RTE ~89%; DoD ~93%; SoH ~99.9%; capitalised cost ~INR 93 lakhs/MWh. Consolidated P&amp;L shows cost of power purchased INR 389.51 mn (Q1FY27 filing p.8). Q4FY26: BESS operationalised in phases Feb-May-26, RTE 88-90% (Q4FY26 pres p.10) - no quarterly BESS revenue/EBITDA disclosed (only 'net realisation ~INR 2.2 Cr/day as of date'). INR Cr converted to INR mn (x10). Earlier quarters: no BESS operations.</t>
        </r>
      </text>
    </comment>
    <comment ref="B80" authorId="0" shapeId="0">
      <text>
        <r>
          <rPr>
            <b/>
            <sz val="9"/>
            <color indexed="81"/>
            <rFont val="Tahoma"/>
            <family val="2"/>
          </rPr>
          <t>Historical data update (Oct-2026):</t>
        </r>
        <r>
          <rPr>
            <sz val="9"/>
            <color indexed="81"/>
            <rFont val="Tahoma"/>
            <family val="2"/>
          </rPr>
          <t xml:space="preserve">
Presentation 'Asset Base and Capital Structure' and 'Other Financial Highlights' slides, INR Cr converted to INR mn (x10): Mar-24 &amp; Mar-25 from Q4FY25 pres p.15-16; Jun-24 &amp; Jun-25 from Q1FY26 pres p.14-15; Sep-24 from Q2FY25 pres p.19/p.18 and Sep-25 from Q2FY26 pres p.17-18; Dec-24 from Q3FY25 pres p.12-13 and Dec-25 from Q3FY26 pres p.19-20 (net debt only, gross debt/cash not shown); Mar-26 from Q4FY26 pres p.19-20 and Jun-26 from Q1FY27 pres p.13-14 (net debt only). Net worth: presentation net worth slides (Q3FY25 4,375 Cr per Q3FY26 YoY slide). Sep-23 (H1FY24) and Dec-23 (9MFY24) net debt split from Q2FY25 pres p.18 and Q3FY25 pres p.13 - FY24 comparatives adjusted for assets monetised in Jan-24 (restated basis). Q2FY25 operational/CWIP split restated to 5,492/3,263 Cr in Q2FY26 pres; original Q2FY25 pres figures (5,517/3,238) used. Statutory balance sheets in INR mn exist only for Mar/Jun-23(RHP), Mar-24, Jun-24 (RHP p.103), Sep-24 (Q2FY25 filing p.2), Mar-25 (Q4FY25 filing p.8), Sep-25 (Q2FY26 filing p.6), Mar-26 (AR26 p.306).</t>
        </r>
      </text>
    </comment>
    <comment ref="B91" authorId="0" shapeId="0">
      <text>
        <r>
          <rPr>
            <b/>
            <sz val="9"/>
            <color indexed="81"/>
            <rFont val="Tahoma"/>
            <family val="2"/>
          </rPr>
          <t>Historical data update (Oct-2026):</t>
        </r>
        <r>
          <rPr>
            <sz val="9"/>
            <color indexed="81"/>
            <rFont val="Tahoma"/>
            <family val="2"/>
          </rPr>
          <t xml:space="preserve">
Net debt/EBITDA, TTM (or annualised) EBITDA, net debt/net worth and cash RoE from the 'Other Financial Highlights' slide of each presentation (INR Cr x10): H1FY24/H1FY25 Q2FY25 pres p.18 (annualised H1 EBITDA; net debt/equity on combined SPV equity); 9MFY24/9MFY25 Q3FY25 pres p.13 (annualised 9M EBITDA; FY24 adjusted for monetised assets); FY24/FY25 Q4FY25 pres p.16; Q1FY25/Q1FY26 Q1FY26 pres p.15; Q2FY26 pres p.18; Q3FY26 pres p.20; Q4FY26 pres p.20; Q1FY27 pres p.14 (Q1FY27 ratio lowered by QIP inflow). Ratios use operational net debt in the numerator. Later presentations restate earlier comparatives on a TTM basis (e.g. Q2FY25 cash RoE 13.1% and ND/EBITDA 5.0x in Q2FY26 pres; Q3FY25 10.5%/5.3x in Q3FY26 pres) - the originally reported figures are shown. DSO: Q1FY24/Q1FY25 and FY24 per RHP p.157 (closing receivables / revenue x days); H1FY24, 9MFY24 per Q2FY25/Q3FY25 pres (p.20/p.14); from Q2FY25 the company excludes AP discom dues under APERC ruling (Q2FY25 67 vs 103 incl.; Q3FY25 72 vs 98; FY25 42 vs 56; Q1FY26 36 vs 41) and from Q2FY26 reports 'as billed' DSO on TTM revenue (Q2FY26 27, Q3FY26 23, FY26 14, Q1FY27 20 excl. BESS receivables / 37 incl.). Weighted average tariff of operational portfolio (contracted-capacity weighted): Q3FY25 3.46 (Q3FY25 pres p.22), Mar-25 3.5 (AR25 p.12), Q1FY26-Q3FY26 3.4 (pres portfolio slides), Q4FY26 3.41 (Q4FY26 pres p.27), Q1FY27 3.4 (Q1FY27 pres p.26). Not disclosed before Q3FY25. Weighted average cost of debt (operational projects): 8.45% Dec-25 (Q3FY26 pres p.5; 8.6% on total debt), 8.4% Mar-26 (Q4FY26 pres p.5) and Jun-26 (Q1FY27 pres p.8). Earlier: only indicative rates (e.g. 9.4-9.5% for UC debt, Q2FY25 call) - not disclosed as a weighted average.</t>
        </r>
      </text>
    </comment>
    <comment ref="B101" authorId="0" shapeId="0">
      <text>
        <r>
          <rPr>
            <b/>
            <sz val="9"/>
            <color indexed="81"/>
            <rFont val="Tahoma"/>
            <family val="2"/>
          </rPr>
          <t>Historical data update (Oct-2026):</t>
        </r>
        <r>
          <rPr>
            <sz val="9"/>
            <color indexed="81"/>
            <rFont val="Tahoma"/>
            <family val="2"/>
          </rPr>
          <t xml:space="preserve">
Shares outstanding = paid-up equity share capital in the results filings / face value INR 2 (1,044.42 mn to Q2FY25 = 522.21 mn shares, also RHP p.10: 522,207,910 shares; 1,210.18 mn post-IPO; 1,210.59 Q3FY26; 1,210.78 Q4FY26; 1,411.24 mn post-QIP Q1FY27). Basic/diluted EPS (not annualised) from the consolidated results filings; Q1FY24 from RHP p.104. Cash EPS: not disclosed (presentations give cash PAT only). BVPS: NAV per share per RHP p.156 (Jun-23 37.93, Mar-24 49.61, Jun-24 37.19); not disclosed thereafter. Dividend: interim INR 0.20/share declared 25-Apr-25 for FY25 (Q4FY25 filing note; AR26 p.87) and interim INR 0.20/share declared 29-Jan-26 (AR26 p.87-88); no other dividend declared.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<sst xmlns="http://schemas.openxmlformats.org/spreadsheetml/2006/main" count="1963" uniqueCount="796">
  <si>
    <t>Revenue from Operations</t>
  </si>
  <si>
    <t>growth, %</t>
  </si>
  <si>
    <t>Employee benefit expenses</t>
  </si>
  <si>
    <t>Other expenses</t>
  </si>
  <si>
    <t>EBITDA</t>
  </si>
  <si>
    <t>margin, %</t>
  </si>
  <si>
    <t>Other Income</t>
  </si>
  <si>
    <t>Depreciation and Amortisation</t>
  </si>
  <si>
    <t>EBIT</t>
  </si>
  <si>
    <t>Finance Expenses</t>
  </si>
  <si>
    <t>Tax</t>
  </si>
  <si>
    <t>Current Tax</t>
  </si>
  <si>
    <t>Deferred Tax</t>
  </si>
  <si>
    <t>Prior Period Tax</t>
  </si>
  <si>
    <t>Total Tax</t>
  </si>
  <si>
    <t>Effective tax rate, %</t>
  </si>
  <si>
    <t>PAT before Minority</t>
  </si>
  <si>
    <t>Minority share</t>
  </si>
  <si>
    <t>PAT after Minority</t>
  </si>
  <si>
    <t>No. of shares</t>
  </si>
  <si>
    <t>EPS</t>
  </si>
  <si>
    <t>P/E</t>
  </si>
  <si>
    <t>PBT Before Exceptionals</t>
  </si>
  <si>
    <t>Exceptional item</t>
  </si>
  <si>
    <t>PBT after Exceptional</t>
  </si>
  <si>
    <t>Balance Sheet</t>
  </si>
  <si>
    <t>Shareholder's funds</t>
  </si>
  <si>
    <t>Share Capital</t>
  </si>
  <si>
    <t>Reserves &amp; Surplus</t>
  </si>
  <si>
    <t>Minority Interest</t>
  </si>
  <si>
    <t>Long Term Borrowings</t>
  </si>
  <si>
    <t>Short Term Borrowings</t>
  </si>
  <si>
    <t>Current Maturities of Long Term Borrowings</t>
  </si>
  <si>
    <t>opening</t>
  </si>
  <si>
    <t>addition</t>
  </si>
  <si>
    <t>repayment</t>
  </si>
  <si>
    <t>closing</t>
  </si>
  <si>
    <t>Long term borrowings</t>
  </si>
  <si>
    <t>Deferred Tax Liabilities (net)</t>
  </si>
  <si>
    <t>Other long term liabilities</t>
  </si>
  <si>
    <t>Trade Payables</t>
  </si>
  <si>
    <t>Long term provisions</t>
  </si>
  <si>
    <t>Total Liabilities</t>
  </si>
  <si>
    <t>Non current assets</t>
  </si>
  <si>
    <t>Fixed assets</t>
  </si>
  <si>
    <t>Gross block</t>
  </si>
  <si>
    <t>Accumulated depreciation</t>
  </si>
  <si>
    <t>Net block</t>
  </si>
  <si>
    <t>Capital work in progress</t>
  </si>
  <si>
    <t>Tangible Assets</t>
  </si>
  <si>
    <t>Intangible Assets</t>
  </si>
  <si>
    <t>Intangible Assets Under Development</t>
  </si>
  <si>
    <t>Non current investments</t>
  </si>
  <si>
    <t>Deferred tax assets (net)</t>
  </si>
  <si>
    <t>Trade Receivables</t>
  </si>
  <si>
    <t>Long term loans &amp; advances</t>
  </si>
  <si>
    <t>Other non-current assets</t>
  </si>
  <si>
    <t>Current Assets</t>
  </si>
  <si>
    <t>Current Investments</t>
  </si>
  <si>
    <t>Inventories</t>
  </si>
  <si>
    <t>Trade receivabels</t>
  </si>
  <si>
    <t>Cash and bank balances</t>
  </si>
  <si>
    <t>Short term loans and advances</t>
  </si>
  <si>
    <t>Other current assets</t>
  </si>
  <si>
    <t>Total Current Assets</t>
  </si>
  <si>
    <t>Current Liabilities</t>
  </si>
  <si>
    <t>Trade payables</t>
  </si>
  <si>
    <t>Other current liabilities</t>
  </si>
  <si>
    <t>Short term provisions</t>
  </si>
  <si>
    <t>Total Current Liabilities</t>
  </si>
  <si>
    <t>Net Current Assets</t>
  </si>
  <si>
    <t>Total Assets</t>
  </si>
  <si>
    <t>Depreciation</t>
  </si>
  <si>
    <t>Net Debt</t>
  </si>
  <si>
    <t>FY24</t>
  </si>
  <si>
    <t>P&amp;L, Rs. Mn - Consolidated</t>
  </si>
  <si>
    <t>Cost of material consumed</t>
  </si>
  <si>
    <t>Instrument entirely in the nature of equity</t>
  </si>
  <si>
    <t>CASH FLOWS FROM OPERATING ACTIVITIES</t>
  </si>
  <si>
    <t>Profit/ (Loss) before tax</t>
  </si>
  <si>
    <t>Adjustments for:</t>
  </si>
  <si>
    <t>Depreciation and amortisation expense</t>
  </si>
  <si>
    <t>Finance costs</t>
  </si>
  <si>
    <t>Interest income</t>
  </si>
  <si>
    <t>Amortisation of deferred income</t>
  </si>
  <si>
    <t>Amortisation of deferred expenses</t>
  </si>
  <si>
    <t>Impairment loss on fair value of asset held for sale</t>
  </si>
  <si>
    <t>Contingent consideration related to investment disposed in earlier years</t>
  </si>
  <si>
    <t>Insurance claim received</t>
  </si>
  <si>
    <t>Gain on sale of fixed assets (net)</t>
  </si>
  <si>
    <t>Excess provisions written back</t>
  </si>
  <si>
    <t>Net foreign exchange difference</t>
  </si>
  <si>
    <t>Operating profit before working capital changes</t>
  </si>
  <si>
    <t>Movement in working capital</t>
  </si>
  <si>
    <t>(Decrease)/ increase in trade receivables</t>
  </si>
  <si>
    <t>Decrease in other current and non-current financial assets</t>
  </si>
  <si>
    <t>Decrease/ (increase) in other current and non-current assets</t>
  </si>
  <si>
    <t>(Decrease)/ increase in trade payables</t>
  </si>
  <si>
    <t>(Decrease)/ increase in other current and non-current financial liabilities</t>
  </si>
  <si>
    <t>Increase in current and non-current provisions</t>
  </si>
  <si>
    <t>Increase/(decrease) in other current and non-current liabilities</t>
  </si>
  <si>
    <t>Cash flows generated from operating activities post working capital changes</t>
  </si>
  <si>
    <t>Income tax paid received (net)</t>
  </si>
  <si>
    <t>CASH FLOWS FROM INVESTING ACTIVITIES</t>
  </si>
  <si>
    <t>Payment made for purchase of property, plant and equipment</t>
  </si>
  <si>
    <t>Payment made for purchase of investment property</t>
  </si>
  <si>
    <t>Sale of purchase of property, plant and equipment</t>
  </si>
  <si>
    <t>Acquisition of non-controlling interest in subsidiary company - compulsorily convertible debenture</t>
  </si>
  <si>
    <t>Interest received</t>
  </si>
  <si>
    <t>Proceeds from sale of subsidary</t>
  </si>
  <si>
    <t>Proceeds from sale of investment</t>
  </si>
  <si>
    <t>Proceeds related to investment disposed in earlier years</t>
  </si>
  <si>
    <t>Payment made for purchase of commercial paper/mutual funds</t>
  </si>
  <si>
    <t>Payment made for purchase of OCDs</t>
  </si>
  <si>
    <t>Payment made for purchase of equity shares of UK entities</t>
  </si>
  <si>
    <t>Fixed deposits (made)/ matured during the year</t>
  </si>
  <si>
    <t>Loans received from/ (given to) related parties (net)</t>
  </si>
  <si>
    <t>CASH FLOWS FROM FINANCING ACTIVITIES</t>
  </si>
  <si>
    <t>Proceeds from non convertible debentures issued</t>
  </si>
  <si>
    <t>Repayment of non convertible debentures</t>
  </si>
  <si>
    <t>Repayment of Compulsory convertible debentures</t>
  </si>
  <si>
    <t>Proceeds from long term borrowings</t>
  </si>
  <si>
    <t>Repayment of long term borrowings</t>
  </si>
  <si>
    <t>(Repayment)/ proceeds from short term borrowings (net)</t>
  </si>
  <si>
    <t>Finance costs paid</t>
  </si>
  <si>
    <t>Share issue expenses</t>
  </si>
  <si>
    <t>Net (repayment)/ proceeds from issuance of equity shares to non-controlling interest</t>
  </si>
  <si>
    <t>Net (repayment)/ proceeds from issuance of compulsorily convertible debenture</t>
  </si>
  <si>
    <t>Payment of lease liabilities</t>
  </si>
  <si>
    <t>Cash and cash equivalents at the beginning of the year/period</t>
  </si>
  <si>
    <t>Cash and cash equivalents transferred on sale of subsidiaries</t>
  </si>
  <si>
    <t>Increase/(decrease) in cash and cash equivalents</t>
  </si>
  <si>
    <t xml:space="preserve">Cash and cash equivalents at the end of the year </t>
  </si>
  <si>
    <t>Net cash flows from/ (used in) financing activities</t>
  </si>
  <si>
    <t>Net cash flows used in investing activities</t>
  </si>
  <si>
    <t>Net cash flows generated from operating activities</t>
  </si>
  <si>
    <t>Profit on sale of investments</t>
  </si>
  <si>
    <t>Acme Solar</t>
  </si>
  <si>
    <t>Project Name</t>
  </si>
  <si>
    <t>Type</t>
  </si>
  <si>
    <t>Solar</t>
  </si>
  <si>
    <t>Contracted Capacity (MW)</t>
  </si>
  <si>
    <t>ACME Dhaulpur Powertech Private Limited</t>
  </si>
  <si>
    <t>ACME Raisar Solar Energy Private Limited</t>
  </si>
  <si>
    <t>SECI</t>
  </si>
  <si>
    <t>ACME Deoghar Solar Power Private Limited</t>
  </si>
  <si>
    <t>ACME Phalodi Solar Energy Private Limited</t>
  </si>
  <si>
    <t>Name of Project SPV(s)</t>
  </si>
  <si>
    <t>ACME Solar Energy MP Private Limited</t>
  </si>
  <si>
    <t>Aarohi Solar Power Private Limited</t>
  </si>
  <si>
    <t>Andhra Pradesh</t>
  </si>
  <si>
    <t>ACME Magadh Solar Power Private Limited</t>
  </si>
  <si>
    <t>Bihar</t>
  </si>
  <si>
    <t>Dayakara Solar Power Private Limited</t>
  </si>
  <si>
    <t>Telangana</t>
  </si>
  <si>
    <t>State</t>
  </si>
  <si>
    <t>Capacity (in MW)</t>
  </si>
  <si>
    <t>Off-taker</t>
  </si>
  <si>
    <t>Tariff (INR/kWh)</t>
  </si>
  <si>
    <t>COD</t>
  </si>
  <si>
    <t>PPA Tenor (years)</t>
  </si>
  <si>
    <t>ACME Solar Technologies (Gujarat) Private Limited</t>
  </si>
  <si>
    <t>ACME Odisha Solar Power Private Limited</t>
  </si>
  <si>
    <t>Acme Raipur Solar Power Private Limited</t>
  </si>
  <si>
    <t>Acme Solar Rooftop Systems Private Limited</t>
  </si>
  <si>
    <t>Acme Jaisalmer Solar Power Private Limited</t>
  </si>
  <si>
    <t>Dayanidhi Solar Power Private Limited</t>
  </si>
  <si>
    <t>Niranjana Solar Power Private Limited</t>
  </si>
  <si>
    <t>Viswatma Solar Energy Private Limited</t>
  </si>
  <si>
    <t>ACME Nalanda Solar Power Private Limited</t>
  </si>
  <si>
    <t>Grahati Solar Power Private Limited</t>
  </si>
  <si>
    <t>ACME PV Powertech Private Limited</t>
  </si>
  <si>
    <t>ACME Solar Power Technology Private Limited</t>
  </si>
  <si>
    <t>Acme Yamunanagar Solar Power Private Limited</t>
  </si>
  <si>
    <t>Acme Mahbubnagar Solar Energy Private Limited</t>
  </si>
  <si>
    <t>Nirosha Power Private Limited</t>
  </si>
  <si>
    <t>ACME Sidlaghatta Solar Energy Private Limited</t>
  </si>
  <si>
    <t>Gujarat</t>
  </si>
  <si>
    <t>Odisha</t>
  </si>
  <si>
    <t>Chhattisgarh</t>
  </si>
  <si>
    <t>Punjab</t>
  </si>
  <si>
    <t>Uttar Pradesh</t>
  </si>
  <si>
    <t>Karnataka</t>
  </si>
  <si>
    <t>Madhya Pradesh</t>
  </si>
  <si>
    <t>GUVNL</t>
  </si>
  <si>
    <t>MPPMCL</t>
  </si>
  <si>
    <t>CSPDCL</t>
  </si>
  <si>
    <t>PSPCL</t>
  </si>
  <si>
    <t>APSPDCL</t>
  </si>
  <si>
    <t>SBPDCL and NBPDCL</t>
  </si>
  <si>
    <t>TSSPDCL</t>
  </si>
  <si>
    <t>TSNPDCL</t>
  </si>
  <si>
    <t>NTPC</t>
  </si>
  <si>
    <t>UPPCL</t>
  </si>
  <si>
    <t>BESCOM</t>
  </si>
  <si>
    <t>Operational Portfolio</t>
  </si>
  <si>
    <t>ACME Jodhpur Solar Power Private . Limited</t>
  </si>
  <si>
    <t>ACME Rewa Solar Power Private Limited</t>
  </si>
  <si>
    <t>Acme Heergarh Powertech Private Limited</t>
  </si>
  <si>
    <t>ACME Aklera Power Technology Private Limited</t>
  </si>
  <si>
    <t>Rajasthan</t>
  </si>
  <si>
    <t>MSEDCL</t>
  </si>
  <si>
    <t>Under Construction Portfolio</t>
  </si>
  <si>
    <t>ACME Pokhran Solar Private Limited</t>
  </si>
  <si>
    <t>ACME Eco Clean Energy Private Limited</t>
  </si>
  <si>
    <t>ACME Surya Power Private Limited</t>
  </si>
  <si>
    <t>ACME Sun Power Private Limited</t>
  </si>
  <si>
    <t>ACME Urja One Private Limited</t>
  </si>
  <si>
    <t>ACME Renewtech Private Limited</t>
  </si>
  <si>
    <t>ACME Platinum Urja Private Limited</t>
  </si>
  <si>
    <t>ACME Hybrid Urja Private Limited</t>
  </si>
  <si>
    <t>ACME Alpha Renewables Private Limited</t>
  </si>
  <si>
    <t>ACME Sigma Urja Private Limited</t>
  </si>
  <si>
    <t>ACME Omega Urja Private Limited</t>
  </si>
  <si>
    <t>Wind</t>
  </si>
  <si>
    <t>FDRE</t>
  </si>
  <si>
    <t>Hybrid</t>
  </si>
  <si>
    <t>SJVN</t>
  </si>
  <si>
    <t>NHPC</t>
  </si>
  <si>
    <t>12 (renewable for another 13 years)</t>
  </si>
  <si>
    <t>Total</t>
  </si>
  <si>
    <t>2027E</t>
  </si>
  <si>
    <t>Interest income on</t>
  </si>
  <si>
    <t>Bank deposits</t>
  </si>
  <si>
    <t>Inter corporate deposits</t>
  </si>
  <si>
    <t>Non-convertible debentures</t>
  </si>
  <si>
    <t>Receivable from discom</t>
  </si>
  <si>
    <t>Late payment surcharge</t>
  </si>
  <si>
    <t>Others</t>
  </si>
  <si>
    <t>Amortisation of deferred revenue</t>
  </si>
  <si>
    <t>Net foreign exchange difference*</t>
  </si>
  <si>
    <t>Gain on fair valuations of Investments</t>
  </si>
  <si>
    <t>Miscellaneous income</t>
  </si>
  <si>
    <t>Entity</t>
  </si>
  <si>
    <t>Status</t>
  </si>
  <si>
    <t>Operational</t>
  </si>
  <si>
    <t>No. of days operational</t>
  </si>
  <si>
    <t>Year of operation</t>
  </si>
  <si>
    <t>Capacity Operational</t>
  </si>
  <si>
    <t>CUF/PLF</t>
  </si>
  <si>
    <t>ROE pre-tax</t>
  </si>
  <si>
    <t>ROE %</t>
  </si>
  <si>
    <t>Tax %</t>
  </si>
  <si>
    <t>CAPEX each year</t>
  </si>
  <si>
    <t>Execution Spacing Days</t>
  </si>
  <si>
    <t>Execution Spacing %</t>
  </si>
  <si>
    <t>Equity Infusion each year</t>
  </si>
  <si>
    <t>Debt Taken each year</t>
  </si>
  <si>
    <t>Repayment of Loan (1 yr moratorium, 25 year repayment)</t>
  </si>
  <si>
    <t>Loans Outstanding</t>
  </si>
  <si>
    <t>Interest</t>
  </si>
  <si>
    <t>MCLR</t>
  </si>
  <si>
    <t>MCLR + 300bps</t>
  </si>
  <si>
    <t>Projects</t>
  </si>
  <si>
    <t xml:space="preserve">Capacity </t>
  </si>
  <si>
    <t>In MW</t>
  </si>
  <si>
    <t xml:space="preserve">CAPEX </t>
  </si>
  <si>
    <t>(Rs mn/MW)</t>
  </si>
  <si>
    <t>CAPEX</t>
  </si>
  <si>
    <t xml:space="preserve"> (Rs mn.)</t>
  </si>
  <si>
    <t xml:space="preserve">Tariff </t>
  </si>
  <si>
    <t>(INR/kWh)</t>
  </si>
  <si>
    <t xml:space="preserve">Operational </t>
  </si>
  <si>
    <t>Generation MU</t>
  </si>
  <si>
    <t>Under Construction</t>
  </si>
  <si>
    <t>Approx. COD</t>
  </si>
  <si>
    <t>LOA</t>
  </si>
  <si>
    <t>O&amp;M</t>
  </si>
  <si>
    <t>Interest on Working Capital (interest on 1 month of O&amp;M, 15% of O&amp;M, 45days receivables)</t>
  </si>
  <si>
    <t>Gross Block Addition</t>
  </si>
  <si>
    <t>CWIP</t>
  </si>
  <si>
    <t>Operational metrics</t>
  </si>
  <si>
    <t>Units</t>
  </si>
  <si>
    <t>FY25E</t>
  </si>
  <si>
    <t>FY26E</t>
  </si>
  <si>
    <t>FY27E</t>
  </si>
  <si>
    <t>FY28E</t>
  </si>
  <si>
    <t>FY29E</t>
  </si>
  <si>
    <t>FY30E</t>
  </si>
  <si>
    <t>mn units</t>
  </si>
  <si>
    <t>Revenue</t>
  </si>
  <si>
    <t>2028E</t>
  </si>
  <si>
    <t>2029E</t>
  </si>
  <si>
    <t>2030E</t>
  </si>
  <si>
    <t>Total Expenses</t>
  </si>
  <si>
    <t>as% of revenues</t>
  </si>
  <si>
    <t>Adjusted PAT</t>
  </si>
  <si>
    <t>Dividend+Dividend tax</t>
  </si>
  <si>
    <t>Creditor Days</t>
  </si>
  <si>
    <t>Other current liabilities Days</t>
  </si>
  <si>
    <t>Other current assets Days</t>
  </si>
  <si>
    <t>Short term loans and advances Days</t>
  </si>
  <si>
    <t>Working Capital (In Days)</t>
  </si>
  <si>
    <t>Check</t>
  </si>
  <si>
    <t>DCF</t>
  </si>
  <si>
    <t>Rs. mn</t>
  </si>
  <si>
    <t>FY23</t>
  </si>
  <si>
    <t>Net Income</t>
  </si>
  <si>
    <t>Add: Depreciation</t>
  </si>
  <si>
    <t>Add: Interest (1-t)</t>
  </si>
  <si>
    <t>Less: CAPEX</t>
  </si>
  <si>
    <t>FCFF</t>
  </si>
  <si>
    <t>PV of FCFF till FY30</t>
  </si>
  <si>
    <t>Terminal Value</t>
  </si>
  <si>
    <t>PV of Terminal Value</t>
  </si>
  <si>
    <t>Enterprise Value</t>
  </si>
  <si>
    <t>Equity Value</t>
  </si>
  <si>
    <t>No. of shares (in mn)</t>
  </si>
  <si>
    <t>Per Share Value</t>
  </si>
  <si>
    <t>Upside</t>
  </si>
  <si>
    <t>WACC</t>
  </si>
  <si>
    <t>Cost of Equity</t>
  </si>
  <si>
    <t>Cost of Debt</t>
  </si>
  <si>
    <t>Terminal growth rate (%)</t>
  </si>
  <si>
    <t>CMP</t>
  </si>
  <si>
    <t>Market Cap</t>
  </si>
  <si>
    <t>Working Capital changes</t>
  </si>
  <si>
    <t>No of Shares (In mn)</t>
  </si>
  <si>
    <t>P/E methodology</t>
  </si>
  <si>
    <t>Consolidated EPS</t>
  </si>
  <si>
    <t>Rs./ share</t>
  </si>
  <si>
    <t>implied P/E</t>
  </si>
  <si>
    <t>P/BV methodology</t>
  </si>
  <si>
    <t>Consolidated BVPS</t>
  </si>
  <si>
    <t>implied P/BV</t>
  </si>
  <si>
    <t>EV/EBITDA methodology</t>
  </si>
  <si>
    <t>Consolidated EBITDA</t>
  </si>
  <si>
    <t>implied EV/ EBITDA</t>
  </si>
  <si>
    <t>EV</t>
  </si>
  <si>
    <t>Acme Solar - Valuation Matrix</t>
  </si>
  <si>
    <t>NTPC Green</t>
  </si>
  <si>
    <t>Adani Green</t>
  </si>
  <si>
    <t>P/B</t>
  </si>
  <si>
    <t>EV/EBITDA</t>
  </si>
  <si>
    <t>Total Portfolio</t>
  </si>
  <si>
    <t>Capacity</t>
  </si>
  <si>
    <t>% Share</t>
  </si>
  <si>
    <t>unit</t>
  </si>
  <si>
    <t>type</t>
  </si>
  <si>
    <t>Mega Watt</t>
  </si>
  <si>
    <t>-cap*time</t>
  </si>
  <si>
    <t xml:space="preserve">1 Watt in 1 year produces </t>
  </si>
  <si>
    <t>watt hrs</t>
  </si>
  <si>
    <t>can generate</t>
  </si>
  <si>
    <t>mn kilo watt hour</t>
  </si>
  <si>
    <t>power</t>
  </si>
  <si>
    <t>in 1 year at 100% PLF</t>
  </si>
  <si>
    <t xml:space="preserve">1 Mega Watt in 1 year produces </t>
  </si>
  <si>
    <t>(1 kilo watt hour = 1 unit)</t>
  </si>
  <si>
    <t>which is</t>
  </si>
  <si>
    <t>kilo watt hrs</t>
  </si>
  <si>
    <t>units</t>
  </si>
  <si>
    <t>India Generates</t>
  </si>
  <si>
    <t>million kilo watt hrs</t>
  </si>
  <si>
    <t>million units</t>
  </si>
  <si>
    <t xml:space="preserve">1 Mega Watt </t>
  </si>
  <si>
    <t>Watts</t>
  </si>
  <si>
    <t>1 Kilo Watt</t>
  </si>
  <si>
    <t>Watt</t>
  </si>
  <si>
    <t>Acme Sikar Solar Pvt Ltd</t>
  </si>
  <si>
    <t>Acme Marigold Urja Pvt Ltd</t>
  </si>
  <si>
    <t>Acme Renewtech Fifth Pvt Ltd</t>
  </si>
  <si>
    <t>PPA</t>
  </si>
  <si>
    <t>Yes</t>
  </si>
  <si>
    <t>Acme Venue Urja Pvt Ltd</t>
  </si>
  <si>
    <t>No</t>
  </si>
  <si>
    <t>PPA Capacity</t>
  </si>
  <si>
    <t>Scheduled COD</t>
  </si>
  <si>
    <t>FY26</t>
  </si>
  <si>
    <t>FY27</t>
  </si>
  <si>
    <t>NTPC 1500 MW Wind Solar Tranche IV</t>
  </si>
  <si>
    <t>LoA</t>
  </si>
  <si>
    <t>PFC Consulting, 1250 MW, ISTS connected Solar, Pan India, Sep 2023</t>
  </si>
  <si>
    <t>SJVN 1200MW ISTS Connected Solar Power Projects</t>
  </si>
  <si>
    <t>Acme Renewtech Second Pvt Ltd</t>
  </si>
  <si>
    <t>NTPC, 1200 MW, RE Power (FDRE), May 2024</t>
  </si>
  <si>
    <t>SECI 600 MW Wind-Solar Hybrid Tranche - IX</t>
  </si>
  <si>
    <t>NHPC, 1200 MW FDRE from ISTS connected RE Projects with ESS (Tranche VI), Pan India, Sep 2024</t>
  </si>
  <si>
    <t>NHPC, 1500 MW, ISTS RE with ESS (FDRE), Pan India, oct 2023</t>
  </si>
  <si>
    <t>SECI, 1200 MW , ISTS Connected 
Solar with 600 MW/1200 MWh ESS 
(ISTS-XV), Pan India, Mar 2024</t>
  </si>
  <si>
    <t>NTPC, 1500MW Solar Wind Hybrid (Tranche II) Pan India, July 2023</t>
  </si>
  <si>
    <t>SECI, 1200 MW, Wind Solar Hybrid with ESS )Tranche VI, Pan India Nov 2022</t>
  </si>
  <si>
    <t>NA</t>
  </si>
  <si>
    <t>Battery</t>
  </si>
  <si>
    <t>Contracted</t>
  </si>
  <si>
    <t>Installed</t>
  </si>
  <si>
    <t xml:space="preserve">Avg CAPEX </t>
  </si>
  <si>
    <t>&lt;&lt; From DRHP Pg 50</t>
  </si>
  <si>
    <t>Installed Capacity</t>
  </si>
  <si>
    <t>MW</t>
  </si>
  <si>
    <t>FY25</t>
  </si>
  <si>
    <t>FDRE CUF</t>
  </si>
  <si>
    <t>40-50%</t>
  </si>
  <si>
    <t>Hybrid CUF</t>
  </si>
  <si>
    <t>Abriged Cash Flow</t>
  </si>
  <si>
    <t>Sources of Funds</t>
  </si>
  <si>
    <t>Operating Cashflows before WC</t>
  </si>
  <si>
    <t>Interest Income (net)</t>
  </si>
  <si>
    <t>Equity</t>
  </si>
  <si>
    <t>Total Sources of Funds</t>
  </si>
  <si>
    <t>Application of Funds (positive number indicates cash outflow)</t>
  </si>
  <si>
    <t>Working Capital</t>
  </si>
  <si>
    <t>Total Application of Funds</t>
  </si>
  <si>
    <t>Net Cash</t>
  </si>
  <si>
    <t>Loans to RPTs</t>
  </si>
  <si>
    <t>Investments in Subsidiaries/Acquisitions (net)</t>
  </si>
  <si>
    <t>Bank Deposits and Investments</t>
  </si>
  <si>
    <t>Proceeds from issue of equity shares</t>
  </si>
  <si>
    <t>ROE</t>
  </si>
  <si>
    <t>Complex</t>
  </si>
  <si>
    <t>CC</t>
  </si>
  <si>
    <t>BESS</t>
  </si>
  <si>
    <t>Total Operational</t>
  </si>
  <si>
    <t>Total Under Construction (PPA Signed)</t>
  </si>
  <si>
    <t>Total Pipeline (PPA not signed)</t>
  </si>
  <si>
    <t>Hybrid/FDRE</t>
  </si>
  <si>
    <t>Acme Solar Contracted Capacity</t>
  </si>
  <si>
    <t>in the past monetised 1.5GW to 2GW assets - Renew, Actis, Ayana (NTPC Green:ONGC)</t>
  </si>
  <si>
    <t>Consolidated</t>
  </si>
  <si>
    <t>P&amp;L, Rs. mn</t>
  </si>
  <si>
    <t>1QFY24</t>
  </si>
  <si>
    <t>2QFY24</t>
  </si>
  <si>
    <t>3QFY24</t>
  </si>
  <si>
    <t>4QFY24</t>
  </si>
  <si>
    <t>1QFY25</t>
  </si>
  <si>
    <t>2QFY25</t>
  </si>
  <si>
    <t>3QFY25</t>
  </si>
  <si>
    <t>4QFY25</t>
  </si>
  <si>
    <t>1QFY26</t>
  </si>
  <si>
    <t>Employee benefits expenses</t>
  </si>
  <si>
    <t>Prior Period Items</t>
  </si>
  <si>
    <t>PBT before exceptionals</t>
  </si>
  <si>
    <t>exceptional Items</t>
  </si>
  <si>
    <t>PBT after exceptionals</t>
  </si>
  <si>
    <t>PAT before regulatory income</t>
  </si>
  <si>
    <t>Regulatory Movement</t>
  </si>
  <si>
    <t>PAT after regulatory Income</t>
  </si>
  <si>
    <t>Profit of Associate</t>
  </si>
  <si>
    <t>BV/ Share</t>
  </si>
  <si>
    <t>P/BV</t>
  </si>
  <si>
    <t>DPS</t>
  </si>
  <si>
    <t>Dividend Payout</t>
  </si>
  <si>
    <t>Dividend</t>
  </si>
  <si>
    <t>QoQ (%)</t>
  </si>
  <si>
    <t>YoY (%)</t>
  </si>
  <si>
    <t>Sales</t>
  </si>
  <si>
    <t>COGS</t>
  </si>
  <si>
    <t>Gross Profit</t>
  </si>
  <si>
    <t xml:space="preserve"> % Margin</t>
  </si>
  <si>
    <t>Employee Expenses</t>
  </si>
  <si>
    <t>Other Expenditure</t>
  </si>
  <si>
    <t>Finance Cost</t>
  </si>
  <si>
    <t>PBT</t>
  </si>
  <si>
    <t>TAX</t>
  </si>
  <si>
    <t>Exceptional Items</t>
  </si>
  <si>
    <t>Reported PAT</t>
  </si>
  <si>
    <t>Minority profit</t>
  </si>
  <si>
    <t>No. of Shares</t>
  </si>
  <si>
    <t>Dividend Per Share</t>
  </si>
  <si>
    <t>Dividend Yield</t>
  </si>
  <si>
    <t>Battery projects of FDRE target</t>
  </si>
  <si>
    <t>2.5GWhr</t>
  </si>
  <si>
    <t>State of MP got it approved; consent received; delayed due to administrative delays, should be signed by Augg</t>
  </si>
  <si>
    <t>Pending with NTPC</t>
  </si>
  <si>
    <t>Advanced stage</t>
  </si>
  <si>
    <t>Discussion with NVVN</t>
  </si>
  <si>
    <t>2QFY26</t>
  </si>
  <si>
    <t xml:space="preserve">Solar </t>
  </si>
  <si>
    <t>Operational Capacity, MW</t>
  </si>
  <si>
    <t>Operational Addition, MW</t>
  </si>
  <si>
    <t>Key balance sheet items INR mn</t>
  </si>
  <si>
    <t>Gross debt excl. lease liability</t>
  </si>
  <si>
    <t>Cash and Cash equivalents</t>
  </si>
  <si>
    <t>Capex</t>
  </si>
  <si>
    <t>Net worth</t>
  </si>
  <si>
    <t>Net Block</t>
  </si>
  <si>
    <t>Inventory</t>
  </si>
  <si>
    <t>Debtors</t>
  </si>
  <si>
    <t>Creditors</t>
  </si>
  <si>
    <t>Cash flow statement INR mn</t>
  </si>
  <si>
    <t>OCF Post Tax</t>
  </si>
  <si>
    <t>Change in working capital</t>
  </si>
  <si>
    <t>OCF after change in working capital</t>
  </si>
  <si>
    <t>FCF</t>
  </si>
  <si>
    <t>Consensus</t>
  </si>
  <si>
    <t>PAT</t>
  </si>
  <si>
    <t>Spark</t>
  </si>
  <si>
    <t>Acme Eco Clean Energy Pvt. Ltd.</t>
  </si>
  <si>
    <t>ACME Greentech Nineth Pvt. Ltd.</t>
  </si>
  <si>
    <t>2.22 Lakhs/MW/month</t>
  </si>
  <si>
    <t>2.10 Lakhs/MW/month</t>
  </si>
  <si>
    <t>L1</t>
  </si>
  <si>
    <t>Mwh</t>
  </si>
  <si>
    <t>Acme Urja One Pvt. Ltd.</t>
  </si>
  <si>
    <t>Acme Alpha Renewables Pvt. Ltd.</t>
  </si>
  <si>
    <t>Acme Omega Urja Pvt. Ltd.</t>
  </si>
  <si>
    <t>Acme Renewtech Second Pvt. Ltd.</t>
  </si>
  <si>
    <t>Acme Marigold Urja Pvt. Ltd.</t>
  </si>
  <si>
    <t>FY26 capex target 12-14k crores</t>
  </si>
  <si>
    <t>Hybrid 8 crores/MW</t>
  </si>
  <si>
    <t>FDRE 11 crores/MW</t>
  </si>
  <si>
    <t xml:space="preserve">Battery Capex </t>
  </si>
  <si>
    <t>100$/Kwh</t>
  </si>
  <si>
    <t>1Mwh</t>
  </si>
  <si>
    <t>Rs. /Kwh</t>
  </si>
  <si>
    <t>2.22 lakhs/MW/Month</t>
  </si>
  <si>
    <t>TPDDL, 250 MW, RE with ESS, Pan India, April 2025</t>
  </si>
  <si>
    <t>SJVN, 6000 MWh, peak power supply from ISTS connected RE Power with ESS, Pan India, Dec 2024</t>
  </si>
  <si>
    <t>TPDDL</t>
  </si>
  <si>
    <t>https://www.mercomindia.com/acme-and-ceigall-win-rumsls-600-mw-solar-plus-storage-auction</t>
  </si>
  <si>
    <t>Generation</t>
  </si>
  <si>
    <t>Interest On</t>
  </si>
  <si>
    <t>Term Loan</t>
  </si>
  <si>
    <t>NCD</t>
  </si>
  <si>
    <t>Lease</t>
  </si>
  <si>
    <t>Delayed Payment</t>
  </si>
  <si>
    <t>Amortisation of anciliary cost of borrowing</t>
  </si>
  <si>
    <t>Foreign exchange</t>
  </si>
  <si>
    <t>other borrowing cost</t>
  </si>
  <si>
    <t>Installed Capacity by type</t>
  </si>
  <si>
    <t>Capacity additions by type</t>
  </si>
  <si>
    <t>Slide 1</t>
  </si>
  <si>
    <t>Slide 2</t>
  </si>
  <si>
    <t>Cashflow</t>
  </si>
  <si>
    <t>Net Debt/EBITDA</t>
  </si>
  <si>
    <t>RoCE/RoE</t>
  </si>
  <si>
    <t>Till FY28</t>
  </si>
  <si>
    <t>Slide 3</t>
  </si>
  <si>
    <t>Valuation Matrix</t>
  </si>
  <si>
    <t>Installed Capacity, MW</t>
  </si>
  <si>
    <t>Capacity Addition, MW</t>
  </si>
  <si>
    <t>Revenue, Rs. bn</t>
  </si>
  <si>
    <t>EBITDA, Rs. bn</t>
  </si>
  <si>
    <t>Margin %</t>
  </si>
  <si>
    <t>PAT, Rs. bn</t>
  </si>
  <si>
    <t>ROCE</t>
  </si>
  <si>
    <t>Net Debt/ EBITDA</t>
  </si>
  <si>
    <t>Total Debt</t>
  </si>
  <si>
    <t>Rs. bn</t>
  </si>
  <si>
    <t>Operating Cashflow</t>
  </si>
  <si>
    <t>Application of Funds</t>
  </si>
  <si>
    <t>WC</t>
  </si>
  <si>
    <t>FY26E-FY28E</t>
  </si>
  <si>
    <t>OCF Post Interest</t>
  </si>
  <si>
    <t>Cumulative (FY26-28E)</t>
  </si>
  <si>
    <t>Prev year Net Debt</t>
  </si>
  <si>
    <t>3QFY26</t>
  </si>
  <si>
    <t xml:space="preserve">Acme Renewtech Fourth Pvt. Ltd. </t>
  </si>
  <si>
    <t>ACME Greentech Seventh Pvt. Ltd</t>
  </si>
  <si>
    <t>ACME Marigold Urja Pvt. Ltd.</t>
  </si>
  <si>
    <t>Total Additions</t>
  </si>
  <si>
    <t>&lt;&lt;Please check&gt;&gt;</t>
  </si>
  <si>
    <t>4QFY26</t>
  </si>
  <si>
    <t>Consolidated (Rs. mn)</t>
  </si>
  <si>
    <t>1QFY27</t>
  </si>
  <si>
    <t>EBITDAM</t>
  </si>
  <si>
    <t>ACME Solar Technologies (Gujarat) Pvt Ltd</t>
  </si>
  <si>
    <t>Disclosed</t>
  </si>
  <si>
    <t>Tariff INR 15.00/kWh for first 12 years, INR 5.00/kWh for next 13 years</t>
  </si>
  <si>
    <t>ACME Solar Energy MP Pvt Ltd</t>
  </si>
  <si>
    <t>Phase I 10 MW Dec-13; Phase II 15 MW Jan-14</t>
  </si>
  <si>
    <t>ACME Odisha Solar Power Pvt Ltd</t>
  </si>
  <si>
    <t>GRIDCO</t>
  </si>
  <si>
    <t>ACME Raipur Solar Power Pvt Ltd</t>
  </si>
  <si>
    <t>Phase I 23 MW Jan-16; Phase II 7 MW Mar-16</t>
  </si>
  <si>
    <t>ACME Solar Rooftop Systems Pvt Ltd</t>
  </si>
  <si>
    <t>Aarohi Solar Power Pvt Ltd</t>
  </si>
  <si>
    <t>ACME Jaisalmer Solar Power Pvt Ltd</t>
  </si>
  <si>
    <t>Dayanidhi Solar Power Pvt Ltd</t>
  </si>
  <si>
    <t>Niranjana Solar Power Pvt Ltd</t>
  </si>
  <si>
    <t>Viswatma Solar Energy Pvt Ltd</t>
  </si>
  <si>
    <t>ACME Magadh Solar Power Pvt Ltd</t>
  </si>
  <si>
    <t>SBPDCL &amp; NBPDCL</t>
  </si>
  <si>
    <t>ACME Nalanda Solar Power Pvt Ltd</t>
  </si>
  <si>
    <t>Dayakara Solar Power Pvt Ltd</t>
  </si>
  <si>
    <t>Phase I 14 MW Jun-16; Phase II 16 MW Jul-16</t>
  </si>
  <si>
    <t>Grahati Solar Power Pvt Ltd</t>
  </si>
  <si>
    <t>Phase I 20 MW Jul-16; Phase II 30 MW Aug-16</t>
  </si>
  <si>
    <t>ACME PV Powertech Pvt Ltd</t>
  </si>
  <si>
    <t>Phase I 40 MW Jul-17; Phase II 10 MW Aug-17</t>
  </si>
  <si>
    <t>ACME Solar Power Technology Pvt Ltd</t>
  </si>
  <si>
    <t>ACME Yamunanagar Solar Power Pvt Ltd</t>
  </si>
  <si>
    <t>ACME Mahbubnagar Solar Energy Pvt Ltd</t>
  </si>
  <si>
    <t>Nirosha Power Pvt Ltd</t>
  </si>
  <si>
    <t>PPA tenor 12 years, renewable for a further 13 years</t>
  </si>
  <si>
    <t>ACME Sidlaghatta Solar Energy Pvt Ltd</t>
  </si>
  <si>
    <t>ACME Jodhpur Solar Power Pvt Ltd</t>
  </si>
  <si>
    <t>ACME Rewa Solar Power Pvt Ltd</t>
  </si>
  <si>
    <t>ACME Heergarh Powertech Pvt Ltd</t>
  </si>
  <si>
    <t>Phase I 100 MW Apr-22; Phase II 200 MW May-22. ICRA AA- rated</t>
  </si>
  <si>
    <t>ACME Aklera Power Technology Pvt Ltd</t>
  </si>
  <si>
    <t>Phase I 200 MW Jul-23; Phase II 50 MW Jan-24</t>
  </si>
  <si>
    <t>ACME Raisar Solar Energy Pvt Ltd</t>
  </si>
  <si>
    <t>Phase I 272 MW Dec-24; Phase II 28 MW Jan-25</t>
  </si>
  <si>
    <t>ACME Dhaulpur Powertech Pvt Ltd</t>
  </si>
  <si>
    <t>Phase I 238 MW Dec-24; Phase II 62 MW Jan-25</t>
  </si>
  <si>
    <t>ACME Deoghar Solar Power Pvt Ltd</t>
  </si>
  <si>
    <t>Phase I 253 MW Dec-24; Phase II 47 MW Jan-25</t>
  </si>
  <si>
    <t>ACME Phalodi Solar Energy Pvt Ltd</t>
  </si>
  <si>
    <t>Phase I 260 MW Dec-24; Phase II 40 MW Jan-25</t>
  </si>
  <si>
    <t>ACME Sikar Solar Pvt Ltd</t>
  </si>
  <si>
    <t>Commissioned May-Jun 25</t>
  </si>
  <si>
    <t>ACME Pokhran Solar Pvt Ltd</t>
  </si>
  <si>
    <t>CRISIL A+ rated</t>
  </si>
  <si>
    <t>ACME Eco Clean Energy Pvt Ltd (Ph I-II)</t>
  </si>
  <si>
    <t>Phase I 28 MW Oct-25; Phase II 44 MW Jan-26. CRISIL A+ rated</t>
  </si>
  <si>
    <t>ACME Eco Clean Energy Pvt Ltd (Ph III)</t>
  </si>
  <si>
    <t>Phase III commissioned Feb-Apr 26; split estimated so FY26 close ties to 2,982 MW per AR26</t>
  </si>
  <si>
    <t>ACME Eco Clean Energy Pvt Ltd (Ph IV)</t>
  </si>
  <si>
    <t>8 MW commissioned after 31-Mar-26 (AR26 fn 54); takes operational portfolio to 2,990 MW</t>
  </si>
  <si>
    <t>ACME Surya Power Pvt Ltd</t>
  </si>
  <si>
    <t>Secured</t>
  </si>
  <si>
    <t>Tariff adopted</t>
  </si>
  <si>
    <t>ACME Sun Power Pvt Ltd</t>
  </si>
  <si>
    <t>Andhra Pradesh / Maharashtra</t>
  </si>
  <si>
    <t>ACME Renewtech Pvt Ltd</t>
  </si>
  <si>
    <t>Rajasthan / Maharashtra</t>
  </si>
  <si>
    <t>ACME Venus Urja Pvt Ltd</t>
  </si>
  <si>
    <t>–</t>
  </si>
  <si>
    <t>ACME Hybrid Urja Pvt Ltd</t>
  </si>
  <si>
    <t>ACME Sigma Urja Pvt Ltd (NHPC)</t>
  </si>
  <si>
    <t>ACME Sigma Urja Pvt Ltd (Tata Power-DD)</t>
  </si>
  <si>
    <t>Tata Power-DD</t>
  </si>
  <si>
    <t>ACME Urja One Pvt Ltd (NHPC)</t>
  </si>
  <si>
    <t>Order reserved</t>
  </si>
  <si>
    <t>ACME Greentech Seventh Pvt Ltd</t>
  </si>
  <si>
    <t>Solar + ESS. ALMM List-II applicable (SJVN FDRE)</t>
  </si>
  <si>
    <t>ACME Renewtech Sixth Pvt Ltd</t>
  </si>
  <si>
    <t>Under process</t>
  </si>
  <si>
    <t>In-principle grant awaited</t>
  </si>
  <si>
    <t>PPA signed Q1 FY27. Awarded 301 MW, classified 300 MW. ALMM List-II applicable (SECI FDRE)</t>
  </si>
  <si>
    <t>ACME Renewtech Fifth Pvt Ltd</t>
  </si>
  <si>
    <t>PPA signed Q1 FY27. 1 hour of battery offered vs standard configuration</t>
  </si>
  <si>
    <t>ACME Alpha Renewables Pvt Ltd</t>
  </si>
  <si>
    <t>LoA Awarded</t>
  </si>
  <si>
    <t>ACME Omega Urja Pvt Ltd</t>
  </si>
  <si>
    <t>ACME Marigold Urja Pvt Ltd (NTPC)</t>
  </si>
  <si>
    <t>ACME Greentech Sixteen Pvt Ltd</t>
  </si>
  <si>
    <t>Secured (by procurer)</t>
  </si>
  <si>
    <t>ACME Marigold Urja Pvt Ltd (REMC)</t>
  </si>
  <si>
    <t>REMC Limited</t>
  </si>
  <si>
    <t>Not applicable</t>
  </si>
  <si>
    <t>#</t>
  </si>
  <si>
    <t>Project SPV</t>
  </si>
  <si>
    <t>Technology</t>
  </si>
  <si>
    <t>Capacity (MW)</t>
  </si>
  <si>
    <t>Off-taker category</t>
  </si>
  <si>
    <t>PPA tenor (yrs)</t>
  </si>
  <si>
    <t>PPA signed</t>
  </si>
  <si>
    <t>LoA / award date</t>
  </si>
  <si>
    <t>COD FY</t>
  </si>
  <si>
    <t>Debt tied up</t>
  </si>
  <si>
    <t>Grid connectivity</t>
  </si>
  <si>
    <t>Tariff adoption</t>
  </si>
  <si>
    <t>Notes</t>
  </si>
  <si>
    <t>ACME Greentech Nineth Pvt Ltd</t>
  </si>
  <si>
    <t>ACME Greentech Tenth Pvt Ltd</t>
  </si>
  <si>
    <t>Category</t>
  </si>
  <si>
    <t>Total Under Construction</t>
  </si>
  <si>
    <t>Total LoA Awarded</t>
  </si>
  <si>
    <t>BESS (MWh)</t>
  </si>
  <si>
    <t>Company SCOD / guidance</t>
  </si>
  <si>
    <t>Model COD</t>
  </si>
  <si>
    <t>Company SCOD basis</t>
  </si>
  <si>
    <t>Actual (commissioned)</t>
  </si>
  <si>
    <t>Disclosed (deck SCOD)</t>
  </si>
  <si>
    <t>Fatehgarh II. Night-time GNA Dec-26. Mgmt will not commission on TGNA — solar awaits daytime GNA; battery operated first</t>
  </si>
  <si>
    <t>ACME Urja One Pvt Ltd (SECI)</t>
  </si>
  <si>
    <t>Disclosed (phased from Sep-26)</t>
  </si>
  <si>
    <t>ACME Platinum Urja Pvt Ltd</t>
  </si>
  <si>
    <t>Not disclosed</t>
  </si>
  <si>
    <t>Disclosed (phased from Aug-26)</t>
  </si>
  <si>
    <t>Award date not disclosed</t>
  </si>
  <si>
    <t>In-principle</t>
  </si>
  <si>
    <t>Standalone BESS — no generation capacity. Capacity charge INR 2.22 lakhs/MW/month (not INR/kWh). Pre-identified state substation</t>
  </si>
  <si>
    <t>Standalone BESS — no generation capacity. Capacity charge INR 2.10 lakhs/MW/month (not INR/kWh). Pre-identified state substation</t>
  </si>
  <si>
    <t>Total master list</t>
  </si>
  <si>
    <t>PORTFOLIO SUMMARY — CAPACITY</t>
  </si>
  <si>
    <t>%</t>
  </si>
  <si>
    <t>INR mn / MW</t>
  </si>
  <si>
    <t>Cycles per day</t>
  </si>
  <si>
    <t>Round-trip efficiency</t>
  </si>
  <si>
    <t>Depth of discharge</t>
  </si>
  <si>
    <t>Availability</t>
  </si>
  <si>
    <t>INR / kWh</t>
  </si>
  <si>
    <t>FY31E</t>
  </si>
  <si>
    <t>BESS assumptions</t>
  </si>
  <si>
    <t>Storage sizing — FDRE (MWh/MW)</t>
  </si>
  <si>
    <t>Storage sizing — Hybrid (MWh/MW)</t>
  </si>
  <si>
    <t>Capex (INR mn/MWh)</t>
  </si>
  <si>
    <t>Charging power cost (INR/kWh)</t>
  </si>
  <si>
    <t>Discharge duration (hours)</t>
  </si>
  <si>
    <t>Capacity charge — contracted (INR lakh/MW/month)</t>
  </si>
  <si>
    <t>O&amp;M (INR mn/MWh/yr)</t>
  </si>
  <si>
    <t>Depreciation life (years)</t>
  </si>
  <si>
    <t>INR mn</t>
  </si>
  <si>
    <t>FY24A</t>
  </si>
  <si>
    <t>FY25A</t>
  </si>
  <si>
    <t>FY26A</t>
  </si>
  <si>
    <t>REVENUE</t>
  </si>
  <si>
    <t>CAPACITY ADDITIONS</t>
  </si>
  <si>
    <t>Growth</t>
  </si>
  <si>
    <t>Fiscal year (helper)</t>
  </si>
  <si>
    <t>OPERATIONAL CAPACITY (year-end)</t>
  </si>
  <si>
    <t>Total — generation (MW)</t>
  </si>
  <si>
    <t>Total — storage (MWh)</t>
  </si>
  <si>
    <t>Total capex (INR mn)</t>
  </si>
  <si>
    <t>BESS — Bhadla-II (Ph I)</t>
  </si>
  <si>
    <t>Short-term / merchant</t>
  </si>
  <si>
    <t>n.a.</t>
  </si>
  <si>
    <t>Commissioned BESS as at 31-Mar-26 per AR26 (1,324 MWh). Site allocation estimated.</t>
  </si>
  <si>
    <t>BESS — Bhadla-II (Ph II)</t>
  </si>
  <si>
    <t>Balancing tranche so Bhadla-II totals 1,404 MWh per the Q1 FY27 commissioning plan.</t>
  </si>
  <si>
    <t>BESS — Bikaner-II (Ph I)</t>
  </si>
  <si>
    <t>Commissioned by Q1 FY27. Bay charged.</t>
  </si>
  <si>
    <t>BESS — Bikaner-II (Ph II)</t>
  </si>
  <si>
    <t>Q3 FY27E per company commissioning plan.</t>
  </si>
  <si>
    <t>BESS — Bikaner-III (Ph I)</t>
  </si>
  <si>
    <t>Q2 FY27E. Co-located with ACME Renewtech (Bikaner III).</t>
  </si>
  <si>
    <t>BESS — Bikaner-III (Ph II)</t>
  </si>
  <si>
    <t>Q3 FY27E.</t>
  </si>
  <si>
    <t>BESS — Fatehgarh-I (Ph I)</t>
  </si>
  <si>
    <t>BESS — Fatehgarh-I (Ph II)</t>
  </si>
  <si>
    <t>Q2 FY27E.</t>
  </si>
  <si>
    <t>BESS — Fatehgarh-I (Ph III)</t>
  </si>
  <si>
    <t>Q3 FY27E. Largest single tranche.</t>
  </si>
  <si>
    <t>BESS — Fatehgarh-I (Ph IV)</t>
  </si>
  <si>
    <t>Q4 FY27E.</t>
  </si>
  <si>
    <t>BESS — Neemuch (Ph I)</t>
  </si>
  <si>
    <t>Q2 FY27E. Charging from Aug-26. Co-located with ACME Sigma Urja.</t>
  </si>
  <si>
    <t>BESS — Neemuch (Ph II)</t>
  </si>
  <si>
    <t>Tariff — short term (INR/kWh)</t>
  </si>
  <si>
    <t>Years on short-term before PPA</t>
  </si>
  <si>
    <t>Equivalent CUF</t>
  </si>
  <si>
    <t>Tariff — contracted equivalent (INR/kWh)</t>
  </si>
  <si>
    <t>Construction period — BESS (months)</t>
  </si>
  <si>
    <t>Spent to 31-Mar-26</t>
  </si>
  <si>
    <t>% of capex</t>
  </si>
  <si>
    <t>Capex spend calibration</t>
  </si>
  <si>
    <t>Spend factor vs elapsed time</t>
  </si>
  <si>
    <t>CWIP implied by spend factor (INR mn)</t>
  </si>
  <si>
    <t>CWIP actual at 31-Mar-26 (INR mn)</t>
  </si>
  <si>
    <t>Construction period — generation (months)</t>
  </si>
  <si>
    <t>Construction start</t>
  </si>
  <si>
    <t>Cost of debt (assumption)</t>
  </si>
  <si>
    <t>SEGMENT FINANCIALS</t>
  </si>
  <si>
    <t>Revenue — RE generation</t>
  </si>
  <si>
    <t>Revenue — BESS</t>
  </si>
  <si>
    <t>Total revenue</t>
  </si>
  <si>
    <t>EBITDA margin — RE generation</t>
  </si>
  <si>
    <t>EBITDA margin — BESS</t>
  </si>
  <si>
    <t>EBITDA margin — blended</t>
  </si>
  <si>
    <t>EBITDA — RE generation</t>
  </si>
  <si>
    <t>EBITDA — BESS</t>
  </si>
  <si>
    <t>Cost of power purchased — BESS charging</t>
  </si>
  <si>
    <t xml:space="preserve">  charging cost</t>
  </si>
  <si>
    <t xml:space="preserve">  employee cost per MW</t>
  </si>
  <si>
    <t>Other expenses (O&amp;M, insurance, admin)</t>
  </si>
  <si>
    <t xml:space="preserve">  other expenses per MW</t>
  </si>
  <si>
    <t>Total expenses</t>
  </si>
  <si>
    <t>Cost escalation (p.a.)</t>
  </si>
  <si>
    <t>Memo: cash and bank balances (period average)</t>
  </si>
  <si>
    <t xml:space="preserve">   balances as % of gross debt</t>
  </si>
  <si>
    <t xml:space="preserve">   yield on balances</t>
  </si>
  <si>
    <t>COD less build period</t>
  </si>
  <si>
    <t>COD aligned with ACME Venus Urja — same NHPC tender, same LoA date (Feb-24) and same tariff of INR 4.64/kWh, so no basis for a 3-month stagger.</t>
  </si>
  <si>
    <t>LoA awarded; PPA expected to sign in FY27 (Q1 FY27 call: LoA projects 'progressing well and expected to get signed soon'). PPA signing plus a 24-month hybrid build puts COD in FY29.</t>
  </si>
  <si>
    <t>LoA awarded; PPA expected FY27. Solar-only build is faster than FDRE, so an 18-month construction period from signing puts COD in FY28.</t>
  </si>
  <si>
    <t>LoA awarded; PPA expected FY27 plus a 24-month FDRE build puts COD in FY29.</t>
  </si>
  <si>
    <t>LoA awarded Sep-25, PPA expected FY27 plus a 24-month FDRE build puts COD at the FY29 year end. Morena Solar Park — connectivity provided by the procurer.</t>
  </si>
  <si>
    <t>Management said on the Q1 FY27 call this is '100% going to be signed very soon' with REMCL, delayed only by the Supreme Court review of railway open-access status. PPA signing plus a 24-month build puts COD in FY29.</t>
  </si>
  <si>
    <t>Future awards — tranche 1 (modelled)</t>
  </si>
  <si>
    <t>Future Awards</t>
  </si>
  <si>
    <t>SECI / NTPC / SJVN (assumed)</t>
  </si>
  <si>
    <t>Assumed</t>
  </si>
  <si>
    <t>Modelled</t>
  </si>
  <si>
    <t>Modelled capacity beyond the reported 8,070 MW portfolio. Management guides to 10 GW of generation by 2030; this tranche plus tranche 2 bridges the gap, deliberately set below the full target.</t>
  </si>
  <si>
    <t>Future awards — tranche 2 (modelled)</t>
  </si>
  <si>
    <t>Second tranche of modelled future awards. Tariff set at the under-construction weighted average of INR 4.4/kWh.</t>
  </si>
  <si>
    <t>Returned to the contractual SCOD of Sep-27 per the Q1 FY27 deck. The earlier FY27 placement assumed commissioning well ahead of SCOD on the Bikaner III GNA being available from Sep-26, which proved too aggressive.</t>
  </si>
  <si>
    <t>Deck SCOD is Mar-27 and the FY27 target table carries only 150 MW of the 350 MW. Dated mid-Feb-27 so it commissions within FY27 but contributes only ~6 weeks of generation.</t>
  </si>
  <si>
    <t>Deck shows phased commissioning from Sep-26 but carries only 190 MW of the 380 MW in the FY27 target table. Dating the full capacity at mid-Feb-27 approximates half the capacity running from Sep-26 plus the balance later, without splitting the row.</t>
  </si>
  <si>
    <t>Neemuch is disclosed as phased commissioning from Aug-26. Dating the full 250 MW at Dec-26 approximates a phased ramp rather than the whole block arriving in September.</t>
  </si>
  <si>
    <t>Neemuch, phased from Aug-26. Dated Dec-26 on the same basis as the 250 MW block.</t>
  </si>
  <si>
    <t>QUALIFIED INSTITUTIONS PLACEMENT — JUNE 2026</t>
  </si>
  <si>
    <t>Shares allotted</t>
  </si>
  <si>
    <t>Issue price</t>
  </si>
  <si>
    <t>Face value</t>
  </si>
  <si>
    <t>Premium per share</t>
  </si>
  <si>
    <t>Gross proceeds</t>
  </si>
  <si>
    <t xml:space="preserve">   to share capital</t>
  </si>
  <si>
    <t xml:space="preserve">   to securities premium</t>
  </si>
  <si>
    <t>Shares outstanding — pre-issue</t>
  </si>
  <si>
    <t>Shares outstanding — post-issue</t>
  </si>
  <si>
    <t>Paid-up capital — pre-issue</t>
  </si>
  <si>
    <t>Paid-up capital — post-issue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</si>
</sst>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_(* #,##0_);_(* \(#,##0\);_(* &quot;-&quot;_);_(@_)"/>
    <numFmt numFmtId="165" formatCode="_(* #,##0.00_);_(* \(#,##0.00\);_(* &quot;-&quot;??_);_(@_)"/>
    <numFmt numFmtId="166" formatCode="_ * #,##0.00_ ;_ * \-#,##0.00_ ;_ * &quot;-&quot;??_ ;_ @_ "/>
    <numFmt numFmtId="167" formatCode="_ * #,##0_ ;_ * \-#,##0_ ;_ * &quot;-&quot;??_ ;_ @_ "/>
    <numFmt numFmtId="168" formatCode="m/d;@"/>
    <numFmt numFmtId="169" formatCode="##,##0"/>
    <numFmt numFmtId="170" formatCode="[$-409]d/mmm/yy;@"/>
    <numFmt numFmtId="171" formatCode="[$-409]mmm\-yy;@"/>
    <numFmt numFmtId="172" formatCode="0.0%"/>
    <numFmt numFmtId="173" formatCode="0.0"/>
    <numFmt numFmtId="174" formatCode="_(* #,##0_);_(* \(#,##0\);_(* &quot;-&quot;??_);_(@_)"/>
    <numFmt numFmtId="175" formatCode="#,##0.0_);\(#,##0.0\)"/>
    <numFmt numFmtId="176" formatCode="0\ &quot;x&quot;"/>
    <numFmt numFmtId="177" formatCode="#,##0.0"/>
    <numFmt numFmtId="178" formatCode="#,##0;[Red]#,##0"/>
    <numFmt numFmtId="179" formatCode="[$-409]d/mmm/yyyy;@"/>
    <numFmt numFmtId="180" formatCode="0\ &quot;bps&quot;"/>
    <numFmt numFmtId="181" formatCode="_(* #,##0.0_);_(* \(#,##0.0\);_(* &quot;-&quot;??_);_(@_)"/>
    <numFmt numFmtId="182" formatCode="#,##0;\(#,##0\)"/>
    <numFmt numFmtId="183" formatCode="#,##0;\(#,##0\);&quot;–&quot;"/>
    <numFmt numFmtId="184" formatCode="0%;\(0%\);&quot;–&quot;"/>
    <numFmt numFmtId="185" formatCode="0.00;\(0.00\);&quot;–&quot;"/>
    <numFmt numFmtId="188" formatCode="0.0%;\(0.0%\);&quot;–&quot;"/>
    <numFmt numFmtId="189" formatCode="0.000"/>
  </numFmts>
  <fonts count="69" x14ac:knownFonts="1">
    <font>
      <sz val="11"/>
      <color theme="1"/>
      <name val="Calibri"/>
      <family val="2"/>
      <scheme val="minor"/>
    </font>
    <font>
      <b/>
      <sz val="9"/>
      <color theme="1"/>
      <name val="Arial"/>
      <family val="2"/>
    </font>
    <font>
      <sz val="9"/>
      <color theme="1"/>
      <name val="Arial"/>
      <family val="2"/>
    </font>
    <font>
      <i/>
      <sz val="9"/>
      <color rgb="FFFF0000"/>
      <name val="Arial"/>
      <family val="2"/>
    </font>
    <font>
      <sz val="9"/>
      <color indexed="81"/>
      <name val="Tahoma"/>
      <family val="2"/>
    </font>
    <font>
      <b/>
      <sz val="9"/>
      <color indexed="81"/>
      <name val="Tahoma"/>
      <family val="2"/>
    </font>
    <font>
      <sz val="9"/>
      <color rgb="FFFF0000"/>
      <name val="Arial"/>
      <family val="2"/>
    </font>
    <font>
      <sz val="11"/>
      <color theme="1"/>
      <name val="Calibri"/>
      <family val="2"/>
      <scheme val="minor"/>
    </font>
    <font>
      <b/>
      <sz val="9"/>
      <color rgb="FFFF0000"/>
      <name val="Arial"/>
      <family val="2"/>
    </font>
    <font>
      <b/>
      <sz val="9"/>
      <color theme="0"/>
      <name val="Arial"/>
      <family val="2"/>
    </font>
    <font>
      <sz val="9"/>
      <color indexed="8"/>
      <name val="Arial"/>
      <family val="2"/>
    </font>
    <font>
      <sz val="9"/>
      <color rgb="FF0000FF"/>
      <name val="Arial"/>
      <family val="2"/>
    </font>
    <font>
      <sz val="10"/>
      <name val="Arial"/>
      <family val="2"/>
    </font>
    <font>
      <b/>
      <sz val="9"/>
      <name val="Arial"/>
      <family val="2"/>
    </font>
    <font>
      <sz val="10"/>
      <name val="Book Antiqua"/>
      <family val="1"/>
    </font>
    <font>
      <i/>
      <sz val="9"/>
      <color rgb="FF0000FF"/>
      <name val="Arial"/>
      <family val="2"/>
    </font>
    <font>
      <sz val="9"/>
      <name val="Arial"/>
      <family val="2"/>
    </font>
    <font>
      <b/>
      <sz val="9"/>
      <color theme="4"/>
      <name val="Calibri"/>
      <family val="2"/>
    </font>
    <font>
      <b/>
      <sz val="9"/>
      <color theme="1"/>
      <name val="Calibri"/>
      <family val="2"/>
    </font>
    <font>
      <sz val="9"/>
      <color theme="1"/>
      <name val="Calibri"/>
      <family val="2"/>
    </font>
    <font>
      <b/>
      <i/>
      <sz val="9"/>
      <color rgb="FFFF0000"/>
      <name val="Calibri"/>
      <family val="2"/>
    </font>
    <font>
      <sz val="9"/>
      <color rgb="FF0000FF"/>
      <name val="Calibri"/>
      <family val="2"/>
    </font>
    <font>
      <sz val="9"/>
      <color theme="1"/>
      <name val="Calibri"/>
      <family val="2"/>
      <scheme val="minor"/>
    </font>
    <font>
      <b/>
      <sz val="9"/>
      <color theme="1"/>
      <name val="Calibri"/>
      <family val="2"/>
      <scheme val="minor"/>
    </font>
    <font>
      <b/>
      <sz val="9"/>
      <color rgb="FFFF0000"/>
      <name val="Calibri"/>
      <family val="2"/>
      <scheme val="minor"/>
    </font>
    <font>
      <b/>
      <sz val="9"/>
      <color theme="0"/>
      <name val="Calibri"/>
      <family val="2"/>
      <scheme val="minor"/>
    </font>
    <font>
      <i/>
      <sz val="9"/>
      <color rgb="FFFF0000"/>
      <name val="Calibri"/>
      <family val="2"/>
    </font>
    <font>
      <sz val="8"/>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b/>
      <sz val="9"/>
      <color indexed="8"/>
      <name val="Arial"/>
      <family val="2"/>
    </font>
    <font>
      <b/>
      <i/>
      <sz val="9"/>
      <color rgb="FFFF0000"/>
      <name val="Arial"/>
      <family val="2"/>
    </font>
    <font>
      <i/>
      <sz val="9"/>
      <color theme="1"/>
      <name val="Arial"/>
      <family val="2"/>
    </font>
    <font>
      <b/>
      <sz val="10"/>
      <color theme="1"/>
      <name val="Calibri"/>
      <family val="2"/>
    </font>
    <font>
      <sz val="10"/>
      <color theme="1"/>
      <name val="Calibri"/>
      <family val="2"/>
    </font>
    <font>
      <sz val="11"/>
      <color indexed="8"/>
      <name val="Calibri"/>
      <family val="2"/>
    </font>
    <font>
      <b/>
      <sz val="9"/>
      <color rgb="FF0000FF"/>
      <name val="Arial"/>
      <family val="2"/>
    </font>
    <font>
      <b/>
      <sz val="9"/>
      <color rgb="FF3366FF"/>
      <name val="Arial"/>
      <family val="2"/>
    </font>
    <font>
      <sz val="9"/>
      <color rgb="FF3366FF"/>
      <name val="Arial"/>
      <family val="2"/>
    </font>
    <font>
      <b/>
      <sz val="9"/>
      <color theme="4"/>
      <name val="Arial"/>
      <family val="2"/>
    </font>
    <font>
      <b/>
      <sz val="9"/>
      <color rgb="FF000000"/>
      <name val="Arial"/>
      <family val="2"/>
    </font>
    <font>
      <sz val="9"/>
      <color rgb="FF000000"/>
      <name val="Arial"/>
      <family val="2"/>
    </font>
    <font>
      <sz val="11"/>
      <color rgb="FFFF0000"/>
      <name val="Calibri"/>
      <family val="2"/>
      <scheme val="minor"/>
    </font>
    <font>
      <b/>
      <sz val="10"/>
      <color rgb="FFFFFFFF"/>
      <name val="Calibri"/>
      <family val="2"/>
      <scheme val="minor"/>
    </font>
    <font>
      <sz val="8"/>
      <color rgb="FF595959"/>
      <name val="Calibri"/>
      <family val="2"/>
      <scheme val="minor"/>
    </font>
    <font>
      <sz val="9"/>
      <color rgb="FF0000FF"/>
      <name val="Calibri"/>
      <family val="2"/>
      <scheme val="minor"/>
    </font>
    <font>
      <sz val="9"/>
      <color rgb="FF000000"/>
      <name val="Calibri"/>
      <family val="2"/>
      <scheme val="minor"/>
    </font>
    <font>
      <b/>
      <sz val="9"/>
      <color rgb="FF000000"/>
      <name val="Calibri"/>
      <family val="2"/>
      <scheme val="minor"/>
    </font>
    <font>
      <b/>
      <sz val="9"/>
      <color rgb="FF1F3864"/>
      <name val="Calibri"/>
      <family val="2"/>
      <scheme val="minor"/>
    </font>
    <font>
      <sz val="9"/>
      <color rgb="FF808080"/>
      <name val="Calibri"/>
      <family val="2"/>
      <scheme val="minor"/>
    </font>
    <font>
      <i/>
      <sz val="9"/>
      <color rgb="FF808080"/>
      <name val="Calibri"/>
      <family val="2"/>
      <scheme val="minor"/>
    </font>
    <font>
      <b/>
      <sz val="9"/>
      <color rgb="FFFFFFFF"/>
      <name val="Arial"/>
      <family val="2"/>
    </font>
    <font>
      <b/>
      <sz val="10"/>
      <color rgb="FFFFFFFF"/>
      <name val="Arial"/>
      <family val="2"/>
    </font>
    <font>
      <i/>
      <sz val="9"/>
      <color rgb="FF808080"/>
      <name val="Arial"/>
      <family val="2"/>
    </font>
    <font>
      <b/>
      <i/>
      <sz val="9"/>
      <color rgb="FF808080"/>
      <name val="Calibri"/>
      <family val="2"/>
      <scheme val="minor"/>
    </font>
    <font>
      <b/>
      <sz val="9"/>
      <color rgb="FF404040"/>
      <name val="Arial"/>
      <family val="2"/>
    </font>
    <font>
      <b/>
      <i/>
      <sz val="9"/>
      <color rgb="FF808080"/>
      <name val="Arial"/>
      <family val="2"/>
    </font>
    <font>
      <b/>
      <sz val="10"/>
      <color theme="1"/>
      <name val="Calibri"/>
      <family val="2"/>
      <scheme val="minor"/>
    </font>
    <font>
      <sz val="10"/>
      <color theme="1"/>
      <name val="Calibri"/>
      <family val="2"/>
      <scheme val="minor"/>
    </font>
    <font>
      <b/>
      <i/>
      <sz val="10"/>
      <color theme="1"/>
      <name val="Calibri"/>
      <family val="2"/>
      <scheme val="minor"/>
    </font>
    <font>
      <b/>
      <sz val="10"/>
      <color rgb="FFFF0000"/>
      <name val="Calibri"/>
      <family val="2"/>
      <scheme val="minor"/>
    </font>
    <font>
      <i/>
      <sz val="8"/>
      <color theme="0" tint="-0.249977111117893"/>
      <name val="Calibri"/>
      <family val="2"/>
      <scheme val="minor"/>
    </font>
    <font>
      <sz val="10"/>
      <color rgb="FF000000"/>
      <name val="Calibri"/>
      <family val="2"/>
      <scheme val="minor"/>
    </font>
    <font>
      <b/>
      <sz val="10"/>
      <color rgb="FF000000"/>
      <name val="Calibri"/>
      <family val="2"/>
      <scheme val="minor"/>
    </font>
    <font>
      <b/>
      <sz val="9"/>
      <color rgb="FF808080"/>
      <name val="Calibri"/>
      <family val="2"/>
      <scheme val="minor"/>
    </font>
    <font>
      <b/>
      <sz val="10"/>
      <color rgb="FF0000FF"/>
      <name val="Calibri"/>
      <family val="2"/>
      <scheme val="minor"/>
    </font>
    <font>
      <i/>
      <sz val="9"/>
      <color rgb="FF000000"/>
      <name val="Arial"/>
      <family val="2"/>
    </font>
    <font>
      <b/>
      <i/>
      <sz val="9"/>
      <color rgb="FF0000FF"/>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
      <patternFill patternType="solid">
        <fgColor rgb="FFE2ECF5"/>
        <bgColor indexed="64"/>
      </patternFill>
    </fill>
    <fill>
      <patternFill patternType="solid">
        <fgColor theme="5"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1F3864"/>
        <bgColor indexed="64"/>
      </patternFill>
    </fill>
    <fill>
      <patternFill patternType="solid">
        <fgColor rgb="FFD9E2F3"/>
        <bgColor indexed="64"/>
      </patternFill>
    </fill>
    <fill>
      <patternFill patternType="solid">
        <fgColor rgb="FF404040"/>
        <bgColor indexed="64"/>
      </patternFill>
    </fill>
    <fill>
      <patternFill patternType="solid">
        <fgColor rgb="FFD9D9D9"/>
        <bgColor indexed="64"/>
      </patternFill>
    </fill>
  </fills>
  <borders count="26">
    <border>
      <left/>
      <right/>
      <top/>
      <bottom/>
      <diagonal/>
    </border>
    <border>
      <left/>
      <right/>
      <top/>
      <bottom style="thin">
        <color indexed="64"/>
      </bottom>
      <diagonal/>
    </border>
    <border>
      <left/>
      <right/>
      <top style="thin">
        <color indexed="64"/>
      </top>
      <bottom/>
      <diagonal/>
    </border>
    <border>
      <left/>
      <right/>
      <top style="thin">
        <color theme="0" tint="-0.24994659260841701"/>
      </top>
      <bottom style="thin">
        <color theme="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medium">
        <color theme="0" tint="-0.24994659260841701"/>
      </left>
      <right/>
      <top style="thin">
        <color theme="0" tint="-0.24994659260841701"/>
      </top>
      <bottom style="thin">
        <color theme="4"/>
      </bottom>
      <diagonal/>
    </border>
    <border>
      <left style="medium">
        <color theme="0" tint="-0.24994659260841701"/>
      </left>
      <right/>
      <top/>
      <bottom style="thin">
        <color theme="0" tint="-0.24994659260841701"/>
      </bottom>
      <diagonal/>
    </border>
    <border>
      <left style="medium">
        <color theme="0" tint="-0.24994659260841701"/>
      </left>
      <right/>
      <top style="thin">
        <color theme="0" tint="-0.24994659260841701"/>
      </top>
      <bottom style="thin">
        <color theme="0" tint="-0.2499465926084170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
      <left/>
      <right/>
      <top/>
      <bottom style="thin">
        <color theme="1"/>
      </bottom>
      <diagonal/>
    </border>
    <border>
      <left style="thin">
        <color indexed="64"/>
      </left>
      <right style="thin">
        <color indexed="64"/>
      </right>
      <top style="thin">
        <color indexed="64"/>
      </top>
      <bottom style="thin">
        <color indexed="64"/>
      </bottom>
      <diagonal/>
    </border>
    <border>
      <left/>
      <right/>
      <top style="medium">
        <color theme="0" tint="-0.14999847407452621"/>
      </top>
      <bottom style="medium">
        <color theme="4"/>
      </bottom>
      <diagonal/>
    </border>
    <border>
      <left/>
      <right/>
      <top style="medium">
        <color theme="0" tint="-0.14999847407452621"/>
      </top>
      <bottom/>
      <diagonal/>
    </border>
    <border>
      <left/>
      <right/>
      <top style="medium">
        <color theme="0" tint="-0.14999847407452621"/>
      </top>
      <bottom style="thin">
        <color theme="0" tint="-0.14999847407452621"/>
      </bottom>
      <diagonal/>
    </border>
    <border>
      <left/>
      <right/>
      <top style="thin">
        <color indexed="64"/>
      </top>
      <bottom style="double">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s>
  <cellStyleXfs count="15">
    <xf numFmtId="0" fontId="0" fillId="0" borderId="0"/>
    <xf numFmtId="166" fontId="7" fillId="0" borderId="0" applyFont="0" applyFill="0" applyBorder="0" applyAlignment="0" applyProtection="0"/>
    <xf numFmtId="0" fontId="7" fillId="0" borderId="0"/>
    <xf numFmtId="0" fontId="7" fillId="0" borderId="0"/>
    <xf numFmtId="170" fontId="10" fillId="0" borderId="0"/>
    <xf numFmtId="0" fontId="12" fillId="0" borderId="0"/>
    <xf numFmtId="9" fontId="14" fillId="0" borderId="0" applyFont="0" applyFill="0" applyBorder="0" applyAlignment="0" applyProtection="0"/>
    <xf numFmtId="9" fontId="7" fillId="0" borderId="0" applyFont="0" applyFill="0" applyBorder="0" applyAlignment="0" applyProtection="0"/>
    <xf numFmtId="0" fontId="7" fillId="0" borderId="0"/>
    <xf numFmtId="166" fontId="7" fillId="0" borderId="0" applyFont="0" applyFill="0" applyBorder="0" applyAlignment="0" applyProtection="0"/>
    <xf numFmtId="165" fontId="7" fillId="0" borderId="0" applyFont="0" applyFill="0" applyBorder="0" applyAlignment="0" applyProtection="0"/>
    <xf numFmtId="179" fontId="36" fillId="0" borderId="0"/>
    <xf numFmtId="165" fontId="7" fillId="0" borderId="0" applyFont="0" applyFill="0" applyBorder="0" applyAlignment="0" applyProtection="0"/>
    <xf numFmtId="0" fontId="12" fillId="0" borderId="0"/>
    <xf numFmtId="165" fontId="14" fillId="0" borderId="0" applyFont="0" applyFill="0" applyBorder="0" applyAlignment="0" applyProtection="0"/>
  </cellStyleXfs>
  <cellXfs count="540">
    <xf numFmtId="0" fontId="0" fillId="0" borderId="0" xfId="0"/>
    <xf numFmtId="3" fontId="2" fillId="0" borderId="0" xfId="0" applyNumberFormat="1" applyFont="1"/>
    <xf numFmtId="3" fontId="1" fillId="0" borderId="0" xfId="0" applyNumberFormat="1" applyFont="1" applyAlignment="1">
      <alignment vertical="center"/>
    </xf>
    <xf numFmtId="3" fontId="1" fillId="0" borderId="0" xfId="0" applyNumberFormat="1" applyFont="1" applyAlignment="1">
      <alignment horizontal="right" vertical="center"/>
    </xf>
    <xf numFmtId="9" fontId="2" fillId="0" borderId="0" xfId="0" applyNumberFormat="1" applyFont="1"/>
    <xf numFmtId="3" fontId="2" fillId="3" borderId="0" xfId="0" applyNumberFormat="1" applyFont="1" applyFill="1"/>
    <xf numFmtId="3" fontId="2" fillId="3" borderId="0" xfId="0" applyNumberFormat="1" applyFont="1" applyFill="1" applyAlignment="1">
      <alignment horizontal="right"/>
    </xf>
    <xf numFmtId="3" fontId="8" fillId="3" borderId="1" xfId="0" applyNumberFormat="1" applyFont="1" applyFill="1" applyBorder="1"/>
    <xf numFmtId="3" fontId="2" fillId="3" borderId="1" xfId="0" applyNumberFormat="1" applyFont="1" applyFill="1" applyBorder="1"/>
    <xf numFmtId="3" fontId="1" fillId="3" borderId="1" xfId="0" applyNumberFormat="1" applyFont="1" applyFill="1" applyBorder="1" applyAlignment="1">
      <alignment horizontal="left"/>
    </xf>
    <xf numFmtId="3" fontId="1" fillId="3" borderId="1" xfId="0" applyNumberFormat="1" applyFont="1" applyFill="1" applyBorder="1" applyAlignment="1">
      <alignment horizontal="left" wrapText="1"/>
    </xf>
    <xf numFmtId="3" fontId="2" fillId="3" borderId="0" xfId="0" applyNumberFormat="1" applyFont="1" applyFill="1" applyAlignment="1">
      <alignment horizontal="left"/>
    </xf>
    <xf numFmtId="168" fontId="2" fillId="3" borderId="0" xfId="0" applyNumberFormat="1" applyFont="1" applyFill="1" applyAlignment="1">
      <alignment horizontal="left"/>
    </xf>
    <xf numFmtId="3" fontId="2" fillId="3" borderId="0" xfId="0" applyNumberFormat="1" applyFont="1" applyFill="1" applyAlignment="1">
      <alignment wrapText="1"/>
    </xf>
    <xf numFmtId="2" fontId="2" fillId="3" borderId="0" xfId="0" applyNumberFormat="1" applyFont="1" applyFill="1" applyAlignment="1">
      <alignment horizontal="left"/>
    </xf>
    <xf numFmtId="17" fontId="2" fillId="3" borderId="0" xfId="0" applyNumberFormat="1" applyFont="1" applyFill="1" applyAlignment="1">
      <alignment horizontal="left"/>
    </xf>
    <xf numFmtId="3" fontId="1" fillId="3" borderId="1" xfId="0" applyNumberFormat="1" applyFont="1" applyFill="1" applyBorder="1"/>
    <xf numFmtId="3" fontId="1" fillId="3" borderId="1" xfId="0" applyNumberFormat="1" applyFont="1" applyFill="1" applyBorder="1" applyAlignment="1">
      <alignment wrapText="1"/>
    </xf>
    <xf numFmtId="4" fontId="2" fillId="3" borderId="0" xfId="0" applyNumberFormat="1" applyFont="1" applyFill="1"/>
    <xf numFmtId="168" fontId="1" fillId="3" borderId="0" xfId="0" applyNumberFormat="1" applyFont="1" applyFill="1" applyAlignment="1">
      <alignment horizontal="left"/>
    </xf>
    <xf numFmtId="3" fontId="1" fillId="3" borderId="0" xfId="0" applyNumberFormat="1" applyFont="1" applyFill="1"/>
    <xf numFmtId="3" fontId="1" fillId="4" borderId="1" xfId="0" applyNumberFormat="1" applyFont="1" applyFill="1" applyBorder="1" applyAlignment="1">
      <alignment horizontal="right" vertical="center"/>
    </xf>
    <xf numFmtId="3" fontId="2" fillId="4" borderId="0" xfId="0" applyNumberFormat="1" applyFont="1" applyFill="1" applyAlignment="1">
      <alignment horizontal="right" vertical="center"/>
    </xf>
    <xf numFmtId="9" fontId="3" fillId="4" borderId="0" xfId="0" applyNumberFormat="1" applyFont="1" applyFill="1" applyAlignment="1">
      <alignment horizontal="right" vertical="center"/>
    </xf>
    <xf numFmtId="3" fontId="1" fillId="4" borderId="0" xfId="0" applyNumberFormat="1" applyFont="1" applyFill="1" applyAlignment="1">
      <alignment horizontal="right" vertical="center"/>
    </xf>
    <xf numFmtId="3" fontId="3" fillId="4" borderId="0" xfId="0" applyNumberFormat="1" applyFont="1" applyFill="1" applyAlignment="1">
      <alignment horizontal="right" vertical="center"/>
    </xf>
    <xf numFmtId="3" fontId="2" fillId="4" borderId="2" xfId="0" applyNumberFormat="1" applyFont="1" applyFill="1" applyBorder="1" applyAlignment="1">
      <alignment horizontal="right" vertical="center"/>
    </xf>
    <xf numFmtId="3" fontId="2" fillId="4" borderId="1" xfId="0" applyNumberFormat="1" applyFont="1" applyFill="1" applyBorder="1" applyAlignment="1">
      <alignment horizontal="right" vertical="center"/>
    </xf>
    <xf numFmtId="3" fontId="6" fillId="4" borderId="0" xfId="0" applyNumberFormat="1" applyFont="1" applyFill="1" applyAlignment="1">
      <alignment horizontal="right" vertical="center"/>
    </xf>
    <xf numFmtId="3" fontId="2" fillId="4" borderId="0" xfId="0" applyNumberFormat="1" applyFont="1" applyFill="1"/>
    <xf numFmtId="3" fontId="1" fillId="4" borderId="0" xfId="0" applyNumberFormat="1" applyFont="1" applyFill="1"/>
    <xf numFmtId="3" fontId="1" fillId="3" borderId="1" xfId="0" applyNumberFormat="1" applyFont="1" applyFill="1" applyBorder="1" applyAlignment="1">
      <alignment vertical="center"/>
    </xf>
    <xf numFmtId="3" fontId="1" fillId="3" borderId="1" xfId="0" applyNumberFormat="1" applyFont="1" applyFill="1" applyBorder="1" applyAlignment="1">
      <alignment horizontal="right" vertical="center"/>
    </xf>
    <xf numFmtId="3" fontId="2" fillId="3" borderId="0" xfId="0" applyNumberFormat="1" applyFont="1" applyFill="1" applyAlignment="1">
      <alignment vertical="center"/>
    </xf>
    <xf numFmtId="3" fontId="2" fillId="3" borderId="0" xfId="0" applyNumberFormat="1" applyFont="1" applyFill="1" applyAlignment="1">
      <alignment horizontal="right" vertical="center"/>
    </xf>
    <xf numFmtId="3" fontId="1" fillId="3" borderId="0" xfId="0" applyNumberFormat="1" applyFont="1" applyFill="1" applyAlignment="1">
      <alignment vertical="center"/>
    </xf>
    <xf numFmtId="3" fontId="1" fillId="3" borderId="0" xfId="0" applyNumberFormat="1" applyFont="1" applyFill="1" applyAlignment="1">
      <alignment horizontal="right" vertical="center"/>
    </xf>
    <xf numFmtId="3" fontId="3" fillId="3" borderId="0" xfId="0" applyNumberFormat="1" applyFont="1" applyFill="1" applyAlignment="1">
      <alignment vertical="center"/>
    </xf>
    <xf numFmtId="3" fontId="3" fillId="3" borderId="0" xfId="0" applyNumberFormat="1" applyFont="1" applyFill="1" applyAlignment="1">
      <alignment horizontal="right" vertical="center"/>
    </xf>
    <xf numFmtId="9" fontId="3" fillId="3" borderId="0" xfId="0" applyNumberFormat="1" applyFont="1" applyFill="1" applyAlignment="1">
      <alignment horizontal="right" vertical="center"/>
    </xf>
    <xf numFmtId="3" fontId="2" fillId="3" borderId="2" xfId="0" applyNumberFormat="1" applyFont="1" applyFill="1" applyBorder="1" applyAlignment="1">
      <alignment vertical="center"/>
    </xf>
    <xf numFmtId="3" fontId="2" fillId="3" borderId="2" xfId="0" applyNumberFormat="1" applyFont="1" applyFill="1" applyBorder="1" applyAlignment="1">
      <alignment horizontal="right" vertical="center"/>
    </xf>
    <xf numFmtId="3" fontId="2" fillId="3" borderId="1" xfId="0" applyNumberFormat="1" applyFont="1" applyFill="1" applyBorder="1" applyAlignment="1">
      <alignment vertical="center"/>
    </xf>
    <xf numFmtId="3" fontId="2" fillId="3" borderId="1" xfId="0" applyNumberFormat="1" applyFont="1" applyFill="1" applyBorder="1" applyAlignment="1">
      <alignment horizontal="right" vertical="center"/>
    </xf>
    <xf numFmtId="3" fontId="6" fillId="3" borderId="0" xfId="0" applyNumberFormat="1" applyFont="1" applyFill="1" applyAlignment="1">
      <alignment horizontal="right" vertical="center"/>
    </xf>
    <xf numFmtId="3" fontId="2" fillId="3" borderId="0" xfId="0" applyNumberFormat="1" applyFont="1" applyFill="1" applyAlignment="1">
      <alignment horizontal="left" indent="1"/>
    </xf>
    <xf numFmtId="169" fontId="2" fillId="3" borderId="0" xfId="0" applyNumberFormat="1" applyFont="1" applyFill="1"/>
    <xf numFmtId="37" fontId="11" fillId="4" borderId="0" xfId="4" applyNumberFormat="1" applyFont="1" applyFill="1" applyAlignment="1">
      <alignment horizontal="right"/>
    </xf>
    <xf numFmtId="0" fontId="2" fillId="3" borderId="0" xfId="0" applyFont="1" applyFill="1"/>
    <xf numFmtId="0" fontId="1" fillId="3" borderId="0" xfId="0" applyFont="1" applyFill="1"/>
    <xf numFmtId="0" fontId="1" fillId="0" borderId="0" xfId="0" applyFont="1"/>
    <xf numFmtId="0" fontId="2" fillId="0" borderId="0" xfId="0" applyFont="1"/>
    <xf numFmtId="1" fontId="2" fillId="3" borderId="0" xfId="0" applyNumberFormat="1" applyFont="1" applyFill="1"/>
    <xf numFmtId="171" fontId="11" fillId="0" borderId="0" xfId="5" applyNumberFormat="1" applyFont="1" applyAlignment="1">
      <alignment horizontal="right"/>
    </xf>
    <xf numFmtId="37" fontId="2" fillId="3" borderId="0" xfId="5" applyNumberFormat="1" applyFont="1" applyFill="1" applyAlignment="1">
      <alignment horizontal="right"/>
    </xf>
    <xf numFmtId="37" fontId="2" fillId="0" borderId="0" xfId="5" applyNumberFormat="1" applyFont="1" applyAlignment="1">
      <alignment horizontal="right"/>
    </xf>
    <xf numFmtId="10" fontId="2" fillId="0" borderId="0" xfId="0" applyNumberFormat="1" applyFont="1"/>
    <xf numFmtId="9" fontId="11" fillId="0" borderId="0" xfId="5" applyNumberFormat="1" applyFont="1" applyAlignment="1">
      <alignment horizontal="right"/>
    </xf>
    <xf numFmtId="0" fontId="2" fillId="3" borderId="0" xfId="0" applyFont="1" applyFill="1" applyAlignment="1">
      <alignment horizontal="left" vertical="center"/>
    </xf>
    <xf numFmtId="171" fontId="11" fillId="3" borderId="0" xfId="5" applyNumberFormat="1" applyFont="1" applyFill="1" applyAlignment="1">
      <alignment horizontal="right"/>
    </xf>
    <xf numFmtId="37" fontId="2" fillId="3" borderId="0" xfId="0" applyNumberFormat="1" applyFont="1" applyFill="1"/>
    <xf numFmtId="9" fontId="11" fillId="3" borderId="0" xfId="5" applyNumberFormat="1" applyFont="1" applyFill="1" applyAlignment="1">
      <alignment horizontal="right"/>
    </xf>
    <xf numFmtId="0" fontId="1" fillId="3" borderId="1" xfId="0" applyFont="1" applyFill="1" applyBorder="1"/>
    <xf numFmtId="171" fontId="13" fillId="3" borderId="1" xfId="5" applyNumberFormat="1" applyFont="1" applyFill="1" applyBorder="1"/>
    <xf numFmtId="172" fontId="11" fillId="3" borderId="0" xfId="5" applyNumberFormat="1" applyFont="1" applyFill="1" applyAlignment="1">
      <alignment horizontal="right"/>
    </xf>
    <xf numFmtId="166" fontId="11" fillId="3" borderId="0" xfId="1" applyFont="1" applyFill="1" applyAlignment="1">
      <alignment horizontal="right"/>
    </xf>
    <xf numFmtId="167" fontId="11" fillId="3" borderId="0" xfId="1" applyNumberFormat="1" applyFont="1" applyFill="1" applyAlignment="1">
      <alignment horizontal="right"/>
    </xf>
    <xf numFmtId="172" fontId="11" fillId="0" borderId="0" xfId="5" applyNumberFormat="1" applyFont="1" applyAlignment="1">
      <alignment horizontal="right"/>
    </xf>
    <xf numFmtId="10" fontId="11" fillId="0" borderId="0" xfId="5" applyNumberFormat="1" applyFont="1" applyAlignment="1">
      <alignment horizontal="right"/>
    </xf>
    <xf numFmtId="167" fontId="2" fillId="3" borderId="0" xfId="0" applyNumberFormat="1" applyFont="1" applyFill="1"/>
    <xf numFmtId="171" fontId="13" fillId="3" borderId="0" xfId="5" applyNumberFormat="1" applyFont="1" applyFill="1"/>
    <xf numFmtId="37" fontId="2" fillId="5" borderId="0" xfId="5" applyNumberFormat="1" applyFont="1" applyFill="1" applyAlignment="1">
      <alignment horizontal="right"/>
    </xf>
    <xf numFmtId="10" fontId="11" fillId="3" borderId="0" xfId="6" applyNumberFormat="1" applyFont="1" applyFill="1" applyAlignment="1">
      <alignment horizontal="right"/>
    </xf>
    <xf numFmtId="0" fontId="1" fillId="3" borderId="0" xfId="0" applyFont="1" applyFill="1" applyAlignment="1">
      <alignment horizontal="left"/>
    </xf>
    <xf numFmtId="3" fontId="1" fillId="0" borderId="0" xfId="0" applyNumberFormat="1" applyFont="1"/>
    <xf numFmtId="4" fontId="2" fillId="0" borderId="0" xfId="0" applyNumberFormat="1" applyFont="1"/>
    <xf numFmtId="166" fontId="2" fillId="3" borderId="0" xfId="0" applyNumberFormat="1" applyFont="1" applyFill="1"/>
    <xf numFmtId="0" fontId="2" fillId="0" borderId="0" xfId="0" applyFont="1" applyAlignment="1">
      <alignment horizontal="left" vertical="center"/>
    </xf>
    <xf numFmtId="167" fontId="11" fillId="0" borderId="0" xfId="1" applyNumberFormat="1" applyFont="1" applyFill="1" applyAlignment="1">
      <alignment horizontal="right"/>
    </xf>
    <xf numFmtId="37" fontId="2" fillId="0" borderId="0" xfId="0" applyNumberFormat="1" applyFont="1"/>
    <xf numFmtId="1" fontId="2" fillId="0" borderId="0" xfId="0" applyNumberFormat="1" applyFont="1"/>
    <xf numFmtId="167" fontId="2" fillId="0" borderId="0" xfId="0" applyNumberFormat="1" applyFont="1"/>
    <xf numFmtId="167" fontId="2" fillId="3" borderId="0" xfId="1" applyNumberFormat="1" applyFont="1" applyFill="1"/>
    <xf numFmtId="172" fontId="15" fillId="4" borderId="0" xfId="4" applyNumberFormat="1" applyFont="1" applyFill="1" applyAlignment="1">
      <alignment horizontal="right"/>
    </xf>
    <xf numFmtId="9" fontId="1" fillId="3" borderId="0" xfId="0" applyNumberFormat="1" applyFont="1" applyFill="1" applyAlignment="1">
      <alignment horizontal="right" vertical="center"/>
    </xf>
    <xf numFmtId="3" fontId="2" fillId="2" borderId="0" xfId="0" applyNumberFormat="1" applyFont="1" applyFill="1" applyAlignment="1">
      <alignment horizontal="right" vertical="center"/>
    </xf>
    <xf numFmtId="167" fontId="11" fillId="4" borderId="0" xfId="1" applyNumberFormat="1" applyFont="1" applyFill="1" applyAlignment="1">
      <alignment horizontal="right"/>
    </xf>
    <xf numFmtId="3" fontId="2" fillId="4" borderId="1" xfId="0" applyNumberFormat="1" applyFont="1" applyFill="1" applyBorder="1"/>
    <xf numFmtId="3" fontId="1" fillId="3" borderId="0" xfId="0" applyNumberFormat="1" applyFont="1" applyFill="1" applyAlignment="1">
      <alignment horizontal="left"/>
    </xf>
    <xf numFmtId="37" fontId="13" fillId="4" borderId="0" xfId="4" applyNumberFormat="1" applyFont="1" applyFill="1" applyAlignment="1">
      <alignment horizontal="right"/>
    </xf>
    <xf numFmtId="3" fontId="9" fillId="6" borderId="0" xfId="0" applyNumberFormat="1" applyFont="1" applyFill="1"/>
    <xf numFmtId="3" fontId="2" fillId="6" borderId="0" xfId="0" applyNumberFormat="1" applyFont="1" applyFill="1"/>
    <xf numFmtId="171" fontId="16" fillId="3" borderId="0" xfId="5" applyNumberFormat="1" applyFont="1" applyFill="1"/>
    <xf numFmtId="37" fontId="9" fillId="6" borderId="0" xfId="0" applyNumberFormat="1" applyFont="1" applyFill="1"/>
    <xf numFmtId="37" fontId="17" fillId="7" borderId="3" xfId="0" applyNumberFormat="1" applyFont="1" applyFill="1" applyBorder="1" applyAlignment="1">
      <alignment vertical="center"/>
    </xf>
    <xf numFmtId="37" fontId="17" fillId="0" borderId="3" xfId="0" applyNumberFormat="1" applyFont="1" applyBorder="1" applyAlignment="1">
      <alignment vertical="center"/>
    </xf>
    <xf numFmtId="37" fontId="17" fillId="0" borderId="3" xfId="0" applyNumberFormat="1" applyFont="1" applyBorder="1" applyAlignment="1">
      <alignment horizontal="right" vertical="center"/>
    </xf>
    <xf numFmtId="37" fontId="18" fillId="7" borderId="4" xfId="0" applyNumberFormat="1" applyFont="1" applyFill="1" applyBorder="1" applyAlignment="1">
      <alignment vertical="center"/>
    </xf>
    <xf numFmtId="0" fontId="18" fillId="0" borderId="4" xfId="0" applyFont="1" applyBorder="1" applyAlignment="1">
      <alignment vertical="center"/>
    </xf>
    <xf numFmtId="37" fontId="18" fillId="7" borderId="5" xfId="0" applyNumberFormat="1" applyFont="1" applyFill="1" applyBorder="1" applyAlignment="1">
      <alignment vertical="center"/>
    </xf>
    <xf numFmtId="37" fontId="19" fillId="0" borderId="5" xfId="0" applyNumberFormat="1" applyFont="1" applyBorder="1" applyAlignment="1">
      <alignment vertical="center"/>
    </xf>
    <xf numFmtId="37" fontId="18" fillId="0" borderId="5" xfId="0" applyNumberFormat="1" applyFont="1" applyBorder="1" applyAlignment="1">
      <alignment vertical="center"/>
    </xf>
    <xf numFmtId="0" fontId="18" fillId="7" borderId="5" xfId="0" applyFont="1" applyFill="1" applyBorder="1" applyAlignment="1">
      <alignment vertical="center"/>
    </xf>
    <xf numFmtId="164" fontId="18" fillId="0" borderId="5" xfId="0" applyNumberFormat="1" applyFont="1" applyBorder="1" applyAlignment="1">
      <alignment vertical="center"/>
    </xf>
    <xf numFmtId="173" fontId="19" fillId="0" borderId="5" xfId="0" applyNumberFormat="1" applyFont="1" applyBorder="1" applyAlignment="1">
      <alignment vertical="center"/>
    </xf>
    <xf numFmtId="174" fontId="18" fillId="0" borderId="5" xfId="10" applyNumberFormat="1" applyFont="1" applyFill="1" applyBorder="1" applyAlignment="1">
      <alignment vertical="center"/>
    </xf>
    <xf numFmtId="172" fontId="21" fillId="0" borderId="5" xfId="0" applyNumberFormat="1" applyFont="1" applyBorder="1" applyAlignment="1">
      <alignment vertical="center"/>
    </xf>
    <xf numFmtId="9" fontId="2" fillId="0" borderId="0" xfId="7" applyFont="1"/>
    <xf numFmtId="37" fontId="22" fillId="0" borderId="0" xfId="0" applyNumberFormat="1" applyFont="1"/>
    <xf numFmtId="37" fontId="23" fillId="0" borderId="0" xfId="0" applyNumberFormat="1" applyFont="1"/>
    <xf numFmtId="37" fontId="23" fillId="0" borderId="0" xfId="0" applyNumberFormat="1" applyFont="1" applyAlignment="1">
      <alignment horizontal="right"/>
    </xf>
    <xf numFmtId="37" fontId="24" fillId="0" borderId="0" xfId="0" applyNumberFormat="1" applyFont="1"/>
    <xf numFmtId="37" fontId="18" fillId="0" borderId="4" xfId="0" applyNumberFormat="1" applyFont="1" applyBorder="1" applyAlignment="1">
      <alignment vertical="center"/>
    </xf>
    <xf numFmtId="9" fontId="22" fillId="0" borderId="0" xfId="7" applyFont="1"/>
    <xf numFmtId="167" fontId="18" fillId="0" borderId="5" xfId="9" applyNumberFormat="1" applyFont="1" applyFill="1" applyBorder="1" applyAlignment="1">
      <alignment vertical="center"/>
    </xf>
    <xf numFmtId="9" fontId="20" fillId="0" borderId="5" xfId="7" applyFont="1" applyFill="1" applyBorder="1" applyAlignment="1">
      <alignment vertical="center"/>
    </xf>
    <xf numFmtId="37" fontId="18" fillId="0" borderId="0" xfId="0" applyNumberFormat="1" applyFont="1" applyAlignment="1">
      <alignment vertical="center"/>
    </xf>
    <xf numFmtId="9" fontId="6" fillId="3" borderId="0" xfId="5" applyNumberFormat="1" applyFont="1" applyFill="1" applyAlignment="1">
      <alignment horizontal="right"/>
    </xf>
    <xf numFmtId="37" fontId="0" fillId="0" borderId="0" xfId="0" applyNumberFormat="1"/>
    <xf numFmtId="9" fontId="0" fillId="0" borderId="0" xfId="7" applyFont="1"/>
    <xf numFmtId="39" fontId="0" fillId="0" borderId="0" xfId="0" applyNumberFormat="1"/>
    <xf numFmtId="175" fontId="2" fillId="5" borderId="0" xfId="0" applyNumberFormat="1" applyFont="1" applyFill="1"/>
    <xf numFmtId="37" fontId="25" fillId="6" borderId="0" xfId="0" applyNumberFormat="1" applyFont="1" applyFill="1"/>
    <xf numFmtId="37" fontId="22" fillId="6" borderId="0" xfId="0" applyNumberFormat="1" applyFont="1" applyFill="1"/>
    <xf numFmtId="37" fontId="19" fillId="0" borderId="4" xfId="0" applyNumberFormat="1" applyFont="1" applyBorder="1" applyAlignment="1">
      <alignment vertical="center"/>
    </xf>
    <xf numFmtId="37" fontId="18" fillId="0" borderId="7" xfId="0" applyNumberFormat="1" applyFont="1" applyBorder="1" applyAlignment="1">
      <alignment horizontal="centerContinuous" vertical="center"/>
    </xf>
    <xf numFmtId="37" fontId="18" fillId="0" borderId="4" xfId="0" applyNumberFormat="1" applyFont="1" applyBorder="1" applyAlignment="1">
      <alignment horizontal="centerContinuous" vertical="center"/>
    </xf>
    <xf numFmtId="37" fontId="18" fillId="7" borderId="5" xfId="0" quotePrefix="1" applyNumberFormat="1" applyFont="1" applyFill="1" applyBorder="1" applyAlignment="1">
      <alignment vertical="center"/>
    </xf>
    <xf numFmtId="175" fontId="18" fillId="0" borderId="5" xfId="0" applyNumberFormat="1" applyFont="1" applyBorder="1" applyAlignment="1">
      <alignment vertical="center"/>
    </xf>
    <xf numFmtId="37" fontId="18" fillId="0" borderId="8" xfId="0" applyNumberFormat="1" applyFont="1" applyBorder="1" applyAlignment="1">
      <alignment horizontal="right" vertical="center"/>
    </xf>
    <xf numFmtId="37" fontId="18" fillId="0" borderId="5" xfId="0" applyNumberFormat="1" applyFont="1" applyBorder="1" applyAlignment="1">
      <alignment horizontal="right" vertical="center"/>
    </xf>
    <xf numFmtId="175" fontId="19" fillId="0" borderId="5" xfId="0" applyNumberFormat="1" applyFont="1" applyBorder="1" applyAlignment="1">
      <alignment vertical="center"/>
    </xf>
    <xf numFmtId="175" fontId="18" fillId="0" borderId="8" xfId="0" applyNumberFormat="1" applyFont="1" applyBorder="1" applyAlignment="1">
      <alignment vertical="center"/>
    </xf>
    <xf numFmtId="9" fontId="26" fillId="0" borderId="8" xfId="0" applyNumberFormat="1" applyFont="1" applyBorder="1" applyAlignment="1">
      <alignment vertical="center"/>
    </xf>
    <xf numFmtId="9" fontId="26" fillId="0" borderId="5" xfId="0" applyNumberFormat="1" applyFont="1" applyBorder="1" applyAlignment="1">
      <alignment vertical="center"/>
    </xf>
    <xf numFmtId="9" fontId="19" fillId="0" borderId="8" xfId="0" applyNumberFormat="1" applyFont="1" applyBorder="1" applyAlignment="1">
      <alignment vertical="center"/>
    </xf>
    <xf numFmtId="9" fontId="19" fillId="0" borderId="5" xfId="0" applyNumberFormat="1" applyFont="1" applyBorder="1" applyAlignment="1">
      <alignment vertical="center"/>
    </xf>
    <xf numFmtId="9" fontId="19" fillId="0" borderId="7" xfId="0" applyNumberFormat="1" applyFont="1" applyBorder="1" applyAlignment="1">
      <alignment vertical="center"/>
    </xf>
    <xf numFmtId="9" fontId="19" fillId="0" borderId="4" xfId="0" applyNumberFormat="1" applyFont="1" applyBorder="1" applyAlignment="1">
      <alignment vertical="center"/>
    </xf>
    <xf numFmtId="39" fontId="19" fillId="0" borderId="5" xfId="0" applyNumberFormat="1" applyFont="1" applyBorder="1" applyAlignment="1">
      <alignment vertical="center"/>
    </xf>
    <xf numFmtId="37" fontId="18" fillId="0" borderId="8" xfId="0" applyNumberFormat="1" applyFont="1" applyBorder="1" applyAlignment="1">
      <alignment vertical="center"/>
    </xf>
    <xf numFmtId="37" fontId="0" fillId="0" borderId="0" xfId="0" quotePrefix="1" applyNumberFormat="1"/>
    <xf numFmtId="0" fontId="17" fillId="7" borderId="3" xfId="0" applyFont="1" applyFill="1" applyBorder="1" applyAlignment="1">
      <alignment vertical="center"/>
    </xf>
    <xf numFmtId="0" fontId="18" fillId="7" borderId="4" xfId="0" applyFont="1" applyFill="1" applyBorder="1" applyAlignment="1">
      <alignment vertical="center"/>
    </xf>
    <xf numFmtId="0" fontId="17" fillId="0" borderId="3" xfId="0" applyFont="1" applyBorder="1" applyAlignment="1">
      <alignment horizontal="center" vertical="center"/>
    </xf>
    <xf numFmtId="176" fontId="19" fillId="0" borderId="4" xfId="0" applyNumberFormat="1" applyFont="1" applyBorder="1" applyAlignment="1">
      <alignment horizontal="center" vertical="center"/>
    </xf>
    <xf numFmtId="176" fontId="19" fillId="0" borderId="5" xfId="0" applyNumberFormat="1" applyFont="1" applyBorder="1" applyAlignment="1">
      <alignment horizontal="center" vertical="center"/>
    </xf>
    <xf numFmtId="3" fontId="18" fillId="0" borderId="5" xfId="0" applyNumberFormat="1" applyFont="1" applyBorder="1" applyAlignment="1">
      <alignment vertical="center"/>
    </xf>
    <xf numFmtId="3" fontId="19" fillId="0" borderId="5" xfId="0" applyNumberFormat="1" applyFont="1" applyBorder="1" applyAlignment="1">
      <alignment vertical="center"/>
    </xf>
    <xf numFmtId="9" fontId="18" fillId="0" borderId="5" xfId="0" applyNumberFormat="1" applyFont="1" applyBorder="1" applyAlignment="1">
      <alignment vertical="center"/>
    </xf>
    <xf numFmtId="3" fontId="19" fillId="0" borderId="4" xfId="0" applyNumberFormat="1" applyFont="1" applyBorder="1" applyAlignment="1">
      <alignment vertical="center"/>
    </xf>
    <xf numFmtId="3" fontId="17" fillId="7" borderId="3" xfId="0" applyNumberFormat="1" applyFont="1" applyFill="1" applyBorder="1" applyAlignment="1">
      <alignment vertical="center"/>
    </xf>
    <xf numFmtId="3" fontId="18" fillId="7" borderId="4" xfId="0" applyNumberFormat="1" applyFont="1" applyFill="1" applyBorder="1" applyAlignment="1">
      <alignment vertical="center"/>
    </xf>
    <xf numFmtId="3" fontId="18" fillId="7" borderId="5" xfId="0" applyNumberFormat="1" applyFont="1" applyFill="1" applyBorder="1" applyAlignment="1">
      <alignment vertical="center"/>
    </xf>
    <xf numFmtId="3" fontId="17" fillId="0" borderId="3" xfId="0" applyNumberFormat="1" applyFont="1" applyBorder="1" applyAlignment="1">
      <alignment horizontal="right" vertical="center"/>
    </xf>
    <xf numFmtId="37" fontId="17" fillId="0" borderId="6" xfId="0" applyNumberFormat="1" applyFont="1" applyBorder="1" applyAlignment="1">
      <alignment horizontal="right" vertical="center"/>
    </xf>
    <xf numFmtId="9" fontId="0" fillId="0" borderId="0" xfId="0" applyNumberFormat="1"/>
    <xf numFmtId="174" fontId="0" fillId="0" borderId="0" xfId="10" applyNumberFormat="1" applyFont="1"/>
    <xf numFmtId="0" fontId="28" fillId="0" borderId="0" xfId="0" applyFont="1"/>
    <xf numFmtId="0" fontId="0" fillId="0" borderId="0" xfId="0" quotePrefix="1"/>
    <xf numFmtId="165" fontId="0" fillId="0" borderId="0" xfId="10" applyFont="1"/>
    <xf numFmtId="0" fontId="0" fillId="0" borderId="9" xfId="0" applyBorder="1"/>
    <xf numFmtId="165" fontId="0" fillId="0" borderId="10" xfId="10" applyFont="1" applyBorder="1"/>
    <xf numFmtId="9" fontId="0" fillId="0" borderId="0" xfId="10" applyNumberFormat="1" applyFont="1"/>
    <xf numFmtId="0" fontId="29" fillId="0" borderId="0" xfId="0" applyFont="1"/>
    <xf numFmtId="0" fontId="30" fillId="0" borderId="0" xfId="0" applyFont="1"/>
    <xf numFmtId="174" fontId="0" fillId="0" borderId="0" xfId="10" quotePrefix="1" applyNumberFormat="1" applyFont="1" applyAlignment="1">
      <alignment horizontal="right"/>
    </xf>
    <xf numFmtId="167" fontId="0" fillId="0" borderId="0" xfId="1" applyNumberFormat="1" applyFont="1"/>
    <xf numFmtId="174" fontId="0" fillId="0" borderId="0" xfId="10" applyNumberFormat="1" applyFont="1" applyBorder="1"/>
    <xf numFmtId="9" fontId="2" fillId="3" borderId="0" xfId="0" applyNumberFormat="1" applyFont="1" applyFill="1" applyAlignment="1">
      <alignment horizontal="right" vertical="center"/>
    </xf>
    <xf numFmtId="9" fontId="2" fillId="3" borderId="0" xfId="7" applyFont="1" applyFill="1"/>
    <xf numFmtId="3" fontId="1" fillId="3" borderId="1" xfId="0" applyNumberFormat="1" applyFont="1" applyFill="1" applyBorder="1" applyAlignment="1">
      <alignment horizontal="right"/>
    </xf>
    <xf numFmtId="3" fontId="1" fillId="3" borderId="1" xfId="0" applyNumberFormat="1" applyFont="1" applyFill="1" applyBorder="1" applyAlignment="1">
      <alignment horizontal="right" wrapText="1"/>
    </xf>
    <xf numFmtId="3" fontId="1" fillId="3" borderId="0" xfId="0" applyNumberFormat="1" applyFont="1" applyFill="1" applyAlignment="1">
      <alignment horizontal="right"/>
    </xf>
    <xf numFmtId="4" fontId="2" fillId="3" borderId="0" xfId="0" applyNumberFormat="1" applyFont="1" applyFill="1" applyAlignment="1">
      <alignment horizontal="right"/>
    </xf>
    <xf numFmtId="171" fontId="11" fillId="9" borderId="0" xfId="5" applyNumberFormat="1" applyFont="1" applyFill="1" applyAlignment="1">
      <alignment horizontal="right"/>
    </xf>
    <xf numFmtId="171" fontId="2" fillId="3" borderId="0" xfId="0" applyNumberFormat="1" applyFont="1" applyFill="1" applyAlignment="1">
      <alignment horizontal="right"/>
    </xf>
    <xf numFmtId="0" fontId="2" fillId="0" borderId="0" xfId="0" applyFont="1" applyAlignment="1">
      <alignment horizontal="right"/>
    </xf>
    <xf numFmtId="3" fontId="2" fillId="0" borderId="0" xfId="0" applyNumberFormat="1" applyFont="1" applyAlignment="1">
      <alignment horizontal="right"/>
    </xf>
    <xf numFmtId="0" fontId="1" fillId="0" borderId="0" xfId="0" applyFont="1" applyAlignment="1">
      <alignment horizontal="right"/>
    </xf>
    <xf numFmtId="3" fontId="1" fillId="0" borderId="0" xfId="0" applyNumberFormat="1" applyFont="1" applyAlignment="1">
      <alignment horizontal="right"/>
    </xf>
    <xf numFmtId="167" fontId="1" fillId="0" borderId="0" xfId="1" applyNumberFormat="1" applyFont="1"/>
    <xf numFmtId="167" fontId="2" fillId="0" borderId="0" xfId="1" applyNumberFormat="1" applyFont="1" applyAlignment="1">
      <alignment horizontal="right"/>
    </xf>
    <xf numFmtId="167" fontId="2" fillId="0" borderId="0" xfId="1" applyNumberFormat="1" applyFont="1"/>
    <xf numFmtId="37" fontId="1" fillId="0" borderId="0" xfId="5" applyNumberFormat="1" applyFont="1" applyAlignment="1">
      <alignment horizontal="right"/>
    </xf>
    <xf numFmtId="0" fontId="2" fillId="0" borderId="0" xfId="0" applyFont="1" applyAlignment="1">
      <alignment horizontal="centerContinuous"/>
    </xf>
    <xf numFmtId="3" fontId="1" fillId="0" borderId="11" xfId="0" applyNumberFormat="1" applyFont="1" applyBorder="1" applyAlignment="1">
      <alignment horizontal="centerContinuous"/>
    </xf>
    <xf numFmtId="37" fontId="1" fillId="0" borderId="11" xfId="5" applyNumberFormat="1" applyFont="1" applyBorder="1" applyAlignment="1">
      <alignment horizontal="right"/>
    </xf>
    <xf numFmtId="167" fontId="2" fillId="0" borderId="11" xfId="1" applyNumberFormat="1" applyFont="1" applyBorder="1" applyAlignment="1">
      <alignment horizontal="right"/>
    </xf>
    <xf numFmtId="167" fontId="11" fillId="0" borderId="0" xfId="1" applyNumberFormat="1" applyFont="1" applyFill="1" applyAlignment="1">
      <alignment horizontal="left"/>
    </xf>
    <xf numFmtId="3" fontId="6" fillId="3" borderId="0" xfId="0" applyNumberFormat="1" applyFont="1" applyFill="1"/>
    <xf numFmtId="37" fontId="31" fillId="3" borderId="12" xfId="0" applyNumberFormat="1" applyFont="1" applyFill="1" applyBorder="1"/>
    <xf numFmtId="37" fontId="1" fillId="3" borderId="0" xfId="0" applyNumberFormat="1" applyFont="1" applyFill="1" applyAlignment="1">
      <alignment horizontal="left"/>
    </xf>
    <xf numFmtId="37" fontId="2" fillId="3" borderId="0" xfId="0" applyNumberFormat="1" applyFont="1" applyFill="1" applyAlignment="1">
      <alignment horizontal="left" indent="1"/>
    </xf>
    <xf numFmtId="37" fontId="31" fillId="3" borderId="0" xfId="0" applyNumberFormat="1" applyFont="1" applyFill="1" applyAlignment="1">
      <alignment horizontal="left"/>
    </xf>
    <xf numFmtId="37" fontId="2" fillId="3" borderId="0" xfId="0" applyNumberFormat="1" applyFont="1" applyFill="1" applyAlignment="1">
      <alignment horizontal="left"/>
    </xf>
    <xf numFmtId="37" fontId="8" fillId="3" borderId="0" xfId="0" applyNumberFormat="1" applyFont="1" applyFill="1" applyAlignment="1">
      <alignment horizontal="left"/>
    </xf>
    <xf numFmtId="37" fontId="31" fillId="3" borderId="12" xfId="0" applyNumberFormat="1" applyFont="1" applyFill="1" applyBorder="1" applyAlignment="1">
      <alignment horizontal="right"/>
    </xf>
    <xf numFmtId="3" fontId="1" fillId="4" borderId="1" xfId="0" applyNumberFormat="1" applyFont="1" applyFill="1" applyBorder="1" applyAlignment="1">
      <alignment horizontal="right"/>
    </xf>
    <xf numFmtId="37" fontId="31" fillId="4" borderId="12" xfId="0" applyNumberFormat="1" applyFont="1" applyFill="1" applyBorder="1" applyAlignment="1">
      <alignment horizontal="right"/>
    </xf>
    <xf numFmtId="3" fontId="6" fillId="4" borderId="0" xfId="0" applyNumberFormat="1" applyFont="1" applyFill="1"/>
    <xf numFmtId="177" fontId="2" fillId="3" borderId="0" xfId="0" applyNumberFormat="1" applyFont="1" applyFill="1"/>
    <xf numFmtId="177" fontId="2" fillId="4" borderId="0" xfId="0" applyNumberFormat="1" applyFont="1" applyFill="1"/>
    <xf numFmtId="3" fontId="1" fillId="8" borderId="1" xfId="0" applyNumberFormat="1" applyFont="1" applyFill="1" applyBorder="1" applyAlignment="1">
      <alignment horizontal="right" vertical="center"/>
    </xf>
    <xf numFmtId="3" fontId="2" fillId="8" borderId="0" xfId="0" applyNumberFormat="1" applyFont="1" applyFill="1" applyAlignment="1">
      <alignment horizontal="right" vertical="center"/>
    </xf>
    <xf numFmtId="9" fontId="3" fillId="8" borderId="0" xfId="0" applyNumberFormat="1" applyFont="1" applyFill="1" applyAlignment="1">
      <alignment horizontal="right" vertical="center"/>
    </xf>
    <xf numFmtId="3" fontId="1" fillId="8" borderId="0" xfId="0" applyNumberFormat="1" applyFont="1" applyFill="1" applyAlignment="1">
      <alignment horizontal="right" vertical="center"/>
    </xf>
    <xf numFmtId="9" fontId="15" fillId="8" borderId="0" xfId="4" applyNumberFormat="1" applyFont="1" applyFill="1" applyAlignment="1">
      <alignment horizontal="right"/>
    </xf>
    <xf numFmtId="172" fontId="15" fillId="8" borderId="0" xfId="4" applyNumberFormat="1" applyFont="1" applyFill="1" applyAlignment="1">
      <alignment horizontal="right"/>
    </xf>
    <xf numFmtId="3" fontId="3" fillId="8" borderId="0" xfId="0" applyNumberFormat="1" applyFont="1" applyFill="1" applyAlignment="1">
      <alignment horizontal="right" vertical="center"/>
    </xf>
    <xf numFmtId="167" fontId="11" fillId="8" borderId="0" xfId="1" applyNumberFormat="1" applyFont="1" applyFill="1" applyAlignment="1">
      <alignment horizontal="right"/>
    </xf>
    <xf numFmtId="3" fontId="6" fillId="8" borderId="0" xfId="0" applyNumberFormat="1" applyFont="1" applyFill="1" applyAlignment="1">
      <alignment horizontal="right" vertical="center"/>
    </xf>
    <xf numFmtId="3" fontId="2" fillId="8" borderId="0" xfId="0" applyNumberFormat="1" applyFont="1" applyFill="1"/>
    <xf numFmtId="3" fontId="1" fillId="8" borderId="0" xfId="0" applyNumberFormat="1" applyFont="1" applyFill="1" applyAlignment="1">
      <alignment horizontal="right"/>
    </xf>
    <xf numFmtId="3" fontId="1" fillId="8" borderId="0" xfId="0" applyNumberFormat="1" applyFont="1" applyFill="1"/>
    <xf numFmtId="37" fontId="31" fillId="8" borderId="0" xfId="0" applyNumberFormat="1" applyFont="1" applyFill="1" applyAlignment="1">
      <alignment horizontal="right"/>
    </xf>
    <xf numFmtId="3" fontId="6" fillId="8" borderId="0" xfId="0" applyNumberFormat="1" applyFont="1" applyFill="1"/>
    <xf numFmtId="37" fontId="13" fillId="8" borderId="0" xfId="4" applyNumberFormat="1" applyFont="1" applyFill="1" applyAlignment="1">
      <alignment horizontal="right"/>
    </xf>
    <xf numFmtId="37" fontId="11" fillId="8" borderId="0" xfId="4" applyNumberFormat="1" applyFont="1" applyFill="1" applyAlignment="1">
      <alignment horizontal="right"/>
    </xf>
    <xf numFmtId="9" fontId="1" fillId="8" borderId="0" xfId="7" applyFont="1" applyFill="1" applyAlignment="1">
      <alignment horizontal="right" vertical="center"/>
    </xf>
    <xf numFmtId="9" fontId="32" fillId="8" borderId="0" xfId="0" applyNumberFormat="1" applyFont="1" applyFill="1" applyAlignment="1">
      <alignment horizontal="right" vertical="center"/>
    </xf>
    <xf numFmtId="10" fontId="2" fillId="0" borderId="0" xfId="7" applyNumberFormat="1" applyFont="1"/>
    <xf numFmtId="165" fontId="2" fillId="0" borderId="0" xfId="0" applyNumberFormat="1" applyFont="1"/>
    <xf numFmtId="37" fontId="1" fillId="4" borderId="1" xfId="0" applyNumberFormat="1" applyFont="1" applyFill="1" applyBorder="1"/>
    <xf numFmtId="37" fontId="1" fillId="4" borderId="1" xfId="0" applyNumberFormat="1" applyFont="1" applyFill="1" applyBorder="1" applyAlignment="1">
      <alignment horizontal="right"/>
    </xf>
    <xf numFmtId="37" fontId="2" fillId="4" borderId="0" xfId="0" applyNumberFormat="1" applyFont="1" applyFill="1"/>
    <xf numFmtId="37" fontId="2" fillId="4" borderId="0" xfId="0" applyNumberFormat="1" applyFont="1" applyFill="1" applyAlignment="1">
      <alignment horizontal="right"/>
    </xf>
    <xf numFmtId="37" fontId="1" fillId="4" borderId="0" xfId="0" applyNumberFormat="1" applyFont="1" applyFill="1"/>
    <xf numFmtId="37" fontId="1" fillId="4" borderId="0" xfId="0" applyNumberFormat="1" applyFont="1" applyFill="1" applyAlignment="1">
      <alignment horizontal="right"/>
    </xf>
    <xf numFmtId="37" fontId="2" fillId="4" borderId="0" xfId="0" applyNumberFormat="1" applyFont="1" applyFill="1" applyAlignment="1">
      <alignment horizontal="left" indent="1"/>
    </xf>
    <xf numFmtId="37" fontId="1" fillId="3" borderId="1" xfId="4" applyNumberFormat="1" applyFont="1" applyFill="1" applyBorder="1" applyAlignment="1">
      <alignment vertical="center"/>
    </xf>
    <xf numFmtId="170" fontId="2" fillId="3" borderId="1" xfId="4" applyFont="1" applyFill="1" applyBorder="1"/>
    <xf numFmtId="37" fontId="1" fillId="3" borderId="1" xfId="4" applyNumberFormat="1" applyFont="1" applyFill="1" applyBorder="1" applyAlignment="1">
      <alignment horizontal="right" vertical="center"/>
    </xf>
    <xf numFmtId="37" fontId="2" fillId="3" borderId="0" xfId="4" applyNumberFormat="1" applyFont="1" applyFill="1" applyAlignment="1">
      <alignment vertical="center"/>
    </xf>
    <xf numFmtId="37" fontId="2" fillId="3" borderId="0" xfId="4" applyNumberFormat="1" applyFont="1" applyFill="1" applyAlignment="1">
      <alignment horizontal="right" vertical="center"/>
    </xf>
    <xf numFmtId="37" fontId="1" fillId="3" borderId="0" xfId="4" applyNumberFormat="1" applyFont="1" applyFill="1" applyAlignment="1">
      <alignment vertical="center"/>
    </xf>
    <xf numFmtId="37" fontId="1" fillId="3" borderId="0" xfId="4" applyNumberFormat="1" applyFont="1" applyFill="1" applyAlignment="1">
      <alignment horizontal="right" vertical="center"/>
    </xf>
    <xf numFmtId="9" fontId="3" fillId="3" borderId="0" xfId="4" applyNumberFormat="1" applyFont="1" applyFill="1" applyAlignment="1">
      <alignment vertical="center"/>
    </xf>
    <xf numFmtId="9" fontId="3" fillId="3" borderId="0" xfId="4" applyNumberFormat="1" applyFont="1" applyFill="1" applyAlignment="1">
      <alignment horizontal="right" vertical="center"/>
    </xf>
    <xf numFmtId="172" fontId="3" fillId="3" borderId="0" xfId="4" applyNumberFormat="1" applyFont="1" applyFill="1" applyAlignment="1">
      <alignment vertical="center"/>
    </xf>
    <xf numFmtId="172" fontId="3" fillId="3" borderId="0" xfId="4" applyNumberFormat="1" applyFont="1" applyFill="1" applyAlignment="1">
      <alignment horizontal="right" vertical="center"/>
    </xf>
    <xf numFmtId="178" fontId="1" fillId="3" borderId="0" xfId="0" applyNumberFormat="1" applyFont="1" applyFill="1"/>
    <xf numFmtId="178" fontId="2" fillId="3" borderId="0" xfId="0" applyNumberFormat="1" applyFont="1" applyFill="1"/>
    <xf numFmtId="37" fontId="3" fillId="3" borderId="0" xfId="4" applyNumberFormat="1" applyFont="1" applyFill="1" applyAlignment="1">
      <alignment vertical="center"/>
    </xf>
    <xf numFmtId="175" fontId="1" fillId="3" borderId="0" xfId="4" applyNumberFormat="1" applyFont="1" applyFill="1" applyAlignment="1">
      <alignment horizontal="right" vertical="center"/>
    </xf>
    <xf numFmtId="9" fontId="1" fillId="3" borderId="0" xfId="4" applyNumberFormat="1" applyFont="1" applyFill="1" applyAlignment="1">
      <alignment horizontal="right" vertical="center"/>
    </xf>
    <xf numFmtId="0" fontId="34" fillId="10" borderId="13" xfId="2" applyFont="1" applyFill="1" applyBorder="1"/>
    <xf numFmtId="0" fontId="34" fillId="10" borderId="13" xfId="2" applyFont="1" applyFill="1" applyBorder="1" applyAlignment="1">
      <alignment horizontal="right"/>
    </xf>
    <xf numFmtId="0" fontId="35" fillId="0" borderId="13" xfId="2" applyFont="1" applyBorder="1"/>
    <xf numFmtId="37" fontId="35" fillId="0" borderId="13" xfId="2" applyNumberFormat="1" applyFont="1" applyBorder="1"/>
    <xf numFmtId="9" fontId="35" fillId="0" borderId="13" xfId="2" applyNumberFormat="1" applyFont="1" applyBorder="1"/>
    <xf numFmtId="0" fontId="34" fillId="2" borderId="13" xfId="8" applyFont="1" applyFill="1" applyBorder="1"/>
    <xf numFmtId="37" fontId="34" fillId="2" borderId="13" xfId="8" applyNumberFormat="1" applyFont="1" applyFill="1" applyBorder="1"/>
    <xf numFmtId="9" fontId="2" fillId="0" borderId="13" xfId="11" applyNumberFormat="1" applyFont="1" applyBorder="1"/>
    <xf numFmtId="179" fontId="8" fillId="0" borderId="13" xfId="11" applyFont="1" applyBorder="1"/>
    <xf numFmtId="9" fontId="8" fillId="0" borderId="13" xfId="11" applyNumberFormat="1" applyFont="1" applyBorder="1"/>
    <xf numFmtId="180" fontId="32" fillId="0" borderId="13" xfId="9" applyNumberFormat="1" applyFont="1" applyFill="1" applyBorder="1" applyAlignment="1">
      <alignment horizontal="right" vertical="center"/>
    </xf>
    <xf numFmtId="0" fontId="35" fillId="0" borderId="13" xfId="8" applyFont="1" applyBorder="1"/>
    <xf numFmtId="0" fontId="34" fillId="2" borderId="13" xfId="2" applyFont="1" applyFill="1" applyBorder="1"/>
    <xf numFmtId="37" fontId="34" fillId="2" borderId="13" xfId="2" applyNumberFormat="1" applyFont="1" applyFill="1" applyBorder="1"/>
    <xf numFmtId="174" fontId="35" fillId="0" borderId="13" xfId="12" applyNumberFormat="1" applyFont="1" applyFill="1" applyBorder="1"/>
    <xf numFmtId="165" fontId="35" fillId="0" borderId="13" xfId="12" applyFont="1" applyFill="1" applyBorder="1"/>
    <xf numFmtId="1" fontId="35" fillId="0" borderId="13" xfId="2" applyNumberFormat="1" applyFont="1" applyBorder="1"/>
    <xf numFmtId="0" fontId="34" fillId="0" borderId="13" xfId="2" applyFont="1" applyBorder="1"/>
    <xf numFmtId="174" fontId="34" fillId="0" borderId="13" xfId="12" applyNumberFormat="1" applyFont="1" applyFill="1" applyBorder="1" applyAlignment="1">
      <alignment horizontal="right"/>
    </xf>
    <xf numFmtId="181" fontId="34" fillId="0" borderId="13" xfId="12" applyNumberFormat="1" applyFont="1" applyFill="1" applyBorder="1" applyAlignment="1">
      <alignment horizontal="right"/>
    </xf>
    <xf numFmtId="37" fontId="2" fillId="3" borderId="0" xfId="4" applyNumberFormat="1" applyFont="1" applyFill="1" applyAlignment="1">
      <alignment horizontal="left" vertical="center" indent="1"/>
    </xf>
    <xf numFmtId="37" fontId="1" fillId="3" borderId="0" xfId="4" applyNumberFormat="1" applyFont="1" applyFill="1" applyAlignment="1">
      <alignment horizontal="left" vertical="center"/>
    </xf>
    <xf numFmtId="37" fontId="34" fillId="10" borderId="13" xfId="2" applyNumberFormat="1" applyFont="1" applyFill="1" applyBorder="1" applyAlignment="1">
      <alignment horizontal="right"/>
    </xf>
    <xf numFmtId="0" fontId="13" fillId="2" borderId="13" xfId="8" applyFont="1" applyFill="1" applyBorder="1" applyAlignment="1">
      <alignment wrapText="1"/>
    </xf>
    <xf numFmtId="37" fontId="1" fillId="2" borderId="13" xfId="13" applyNumberFormat="1" applyFont="1" applyFill="1" applyBorder="1" applyAlignment="1">
      <alignment horizontal="center" vertical="center"/>
    </xf>
    <xf numFmtId="0" fontId="16" fillId="0" borderId="13" xfId="13" applyFont="1" applyBorder="1" applyAlignment="1">
      <alignment wrapText="1"/>
    </xf>
    <xf numFmtId="167" fontId="2" fillId="0" borderId="13" xfId="14" applyNumberFormat="1" applyFont="1" applyFill="1" applyBorder="1" applyAlignment="1">
      <alignment horizontal="right"/>
    </xf>
    <xf numFmtId="0" fontId="16" fillId="0" borderId="13" xfId="13" applyFont="1" applyBorder="1"/>
    <xf numFmtId="0" fontId="16" fillId="0" borderId="0" xfId="13" applyFont="1"/>
    <xf numFmtId="165" fontId="2" fillId="0" borderId="0" xfId="14" applyFont="1" applyFill="1" applyBorder="1"/>
    <xf numFmtId="0" fontId="13" fillId="2" borderId="13" xfId="13" applyFont="1" applyFill="1" applyBorder="1" applyAlignment="1">
      <alignment wrapText="1"/>
    </xf>
    <xf numFmtId="0" fontId="1" fillId="2" borderId="13" xfId="13" applyFont="1" applyFill="1" applyBorder="1" applyAlignment="1">
      <alignment horizontal="center" vertical="center"/>
    </xf>
    <xf numFmtId="167" fontId="2" fillId="0" borderId="13" xfId="14" applyNumberFormat="1" applyFont="1" applyFill="1" applyBorder="1"/>
    <xf numFmtId="3" fontId="6" fillId="3" borderId="0" xfId="0" applyNumberFormat="1" applyFont="1" applyFill="1" applyAlignment="1">
      <alignment horizontal="right"/>
    </xf>
    <xf numFmtId="4" fontId="6" fillId="3" borderId="0" xfId="0" applyNumberFormat="1" applyFont="1" applyFill="1" applyAlignment="1">
      <alignment horizontal="right"/>
    </xf>
    <xf numFmtId="171" fontId="6" fillId="3" borderId="0" xfId="0" applyNumberFormat="1" applyFont="1" applyFill="1" applyAlignment="1">
      <alignment horizontal="right"/>
    </xf>
    <xf numFmtId="3" fontId="6" fillId="2" borderId="0" xfId="0" applyNumberFormat="1" applyFont="1" applyFill="1"/>
    <xf numFmtId="3" fontId="6" fillId="2" borderId="0" xfId="0" applyNumberFormat="1" applyFont="1" applyFill="1" applyAlignment="1">
      <alignment horizontal="right"/>
    </xf>
    <xf numFmtId="4" fontId="6" fillId="2" borderId="0" xfId="0" applyNumberFormat="1" applyFont="1" applyFill="1" applyAlignment="1">
      <alignment horizontal="right"/>
    </xf>
    <xf numFmtId="171" fontId="6" fillId="2" borderId="0" xfId="0" applyNumberFormat="1" applyFont="1" applyFill="1" applyAlignment="1">
      <alignment horizontal="right"/>
    </xf>
    <xf numFmtId="17" fontId="2" fillId="0" borderId="0" xfId="0" applyNumberFormat="1" applyFont="1"/>
    <xf numFmtId="3" fontId="1" fillId="0" borderId="1" xfId="0" applyNumberFormat="1" applyFont="1" applyBorder="1"/>
    <xf numFmtId="3" fontId="1" fillId="0" borderId="1" xfId="0" applyNumberFormat="1" applyFont="1" applyBorder="1" applyAlignment="1">
      <alignment horizontal="right"/>
    </xf>
    <xf numFmtId="3" fontId="1" fillId="4" borderId="1" xfId="0" applyNumberFormat="1" applyFont="1" applyFill="1" applyBorder="1"/>
    <xf numFmtId="3" fontId="2" fillId="0" borderId="0" xfId="0" applyNumberFormat="1" applyFont="1" applyAlignment="1">
      <alignment wrapText="1"/>
    </xf>
    <xf numFmtId="3" fontId="8" fillId="4" borderId="0" xfId="0" applyNumberFormat="1" applyFont="1" applyFill="1"/>
    <xf numFmtId="9" fontId="6" fillId="0" borderId="0" xfId="0" applyNumberFormat="1" applyFont="1"/>
    <xf numFmtId="1" fontId="0" fillId="0" borderId="0" xfId="0" applyNumberFormat="1"/>
    <xf numFmtId="3" fontId="0" fillId="0" borderId="0" xfId="0" applyNumberFormat="1"/>
    <xf numFmtId="17" fontId="6" fillId="0" borderId="0" xfId="0" applyNumberFormat="1" applyFont="1"/>
    <xf numFmtId="171" fontId="37" fillId="3" borderId="0" xfId="5" applyNumberFormat="1" applyFont="1" applyFill="1" applyAlignment="1">
      <alignment horizontal="right"/>
    </xf>
    <xf numFmtId="9" fontId="11" fillId="0" borderId="0" xfId="1" applyNumberFormat="1" applyFont="1" applyAlignment="1">
      <alignment horizontal="right"/>
    </xf>
    <xf numFmtId="1" fontId="2" fillId="3" borderId="0" xfId="1" applyNumberFormat="1" applyFont="1" applyFill="1"/>
    <xf numFmtId="9" fontId="13" fillId="3" borderId="0" xfId="5" applyNumberFormat="1" applyFont="1" applyFill="1"/>
    <xf numFmtId="9" fontId="2" fillId="3" borderId="0" xfId="0" applyNumberFormat="1" applyFont="1" applyFill="1"/>
    <xf numFmtId="9" fontId="38" fillId="4" borderId="0" xfId="0" applyNumberFormat="1" applyFont="1" applyFill="1"/>
    <xf numFmtId="9" fontId="2" fillId="4" borderId="0" xfId="0" applyNumberFormat="1" applyFont="1" applyFill="1"/>
    <xf numFmtId="172" fontId="2" fillId="0" borderId="0" xfId="7" applyNumberFormat="1" applyFont="1"/>
    <xf numFmtId="167" fontId="39" fillId="2" borderId="0" xfId="1" applyNumberFormat="1" applyFont="1" applyFill="1"/>
    <xf numFmtId="37" fontId="28" fillId="0" borderId="0" xfId="0" applyNumberFormat="1" applyFont="1"/>
    <xf numFmtId="0" fontId="28" fillId="0" borderId="0" xfId="0" applyFont="1" applyAlignment="1">
      <alignment horizontal="right"/>
    </xf>
    <xf numFmtId="177" fontId="0" fillId="0" borderId="0" xfId="0" applyNumberFormat="1"/>
    <xf numFmtId="37" fontId="28" fillId="0" borderId="0" xfId="0" applyNumberFormat="1" applyFont="1" applyAlignment="1">
      <alignment horizontal="right"/>
    </xf>
    <xf numFmtId="37" fontId="40" fillId="0" borderId="14" xfId="0" applyNumberFormat="1" applyFont="1" applyBorder="1"/>
    <xf numFmtId="37" fontId="40" fillId="0" borderId="14" xfId="0" applyNumberFormat="1" applyFont="1" applyBorder="1" applyAlignment="1">
      <alignment horizontal="right"/>
    </xf>
    <xf numFmtId="37" fontId="40" fillId="11" borderId="14" xfId="0" applyNumberFormat="1" applyFont="1" applyFill="1" applyBorder="1" applyAlignment="1">
      <alignment horizontal="right"/>
    </xf>
    <xf numFmtId="37" fontId="41" fillId="0" borderId="0" xfId="0" applyNumberFormat="1" applyFont="1" applyAlignment="1">
      <alignment horizontal="left"/>
    </xf>
    <xf numFmtId="37" fontId="16" fillId="0" borderId="0" xfId="0" applyNumberFormat="1" applyFont="1"/>
    <xf numFmtId="37" fontId="16" fillId="11" borderId="0" xfId="0" applyNumberFormat="1" applyFont="1" applyFill="1"/>
    <xf numFmtId="37" fontId="42" fillId="0" borderId="15" xfId="0" applyNumberFormat="1" applyFont="1" applyBorder="1" applyAlignment="1">
      <alignment horizontal="left" indent="1"/>
    </xf>
    <xf numFmtId="182" fontId="16" fillId="0" borderId="15" xfId="0" applyNumberFormat="1" applyFont="1" applyBorder="1"/>
    <xf numFmtId="37" fontId="16" fillId="11" borderId="15" xfId="0" applyNumberFormat="1" applyFont="1" applyFill="1" applyBorder="1"/>
    <xf numFmtId="37" fontId="41" fillId="0" borderId="15" xfId="0" applyNumberFormat="1" applyFont="1" applyBorder="1" applyAlignment="1">
      <alignment horizontal="left"/>
    </xf>
    <xf numFmtId="182" fontId="13" fillId="0" borderId="15" xfId="0" applyNumberFormat="1" applyFont="1" applyBorder="1"/>
    <xf numFmtId="37" fontId="13" fillId="11" borderId="15" xfId="0" applyNumberFormat="1" applyFont="1" applyFill="1" applyBorder="1"/>
    <xf numFmtId="1" fontId="0" fillId="0" borderId="15" xfId="0" applyNumberFormat="1" applyBorder="1"/>
    <xf numFmtId="182" fontId="0" fillId="0" borderId="15" xfId="0" applyNumberFormat="1" applyBorder="1"/>
    <xf numFmtId="37" fontId="42" fillId="0" borderId="15" xfId="0" applyNumberFormat="1" applyFont="1" applyBorder="1" applyAlignment="1">
      <alignment horizontal="left"/>
    </xf>
    <xf numFmtId="37" fontId="42" fillId="0" borderId="16" xfId="0" applyNumberFormat="1" applyFont="1" applyBorder="1" applyAlignment="1">
      <alignment horizontal="left" indent="1"/>
    </xf>
    <xf numFmtId="182" fontId="16" fillId="0" borderId="16" xfId="0" applyNumberFormat="1" applyFont="1" applyBorder="1"/>
    <xf numFmtId="37" fontId="16" fillId="11" borderId="16" xfId="0" applyNumberFormat="1" applyFont="1" applyFill="1" applyBorder="1"/>
    <xf numFmtId="37" fontId="42" fillId="0" borderId="0" xfId="0" applyNumberFormat="1" applyFont="1" applyAlignment="1">
      <alignment horizontal="left" indent="1"/>
    </xf>
    <xf numFmtId="182" fontId="16" fillId="0" borderId="0" xfId="0" applyNumberFormat="1" applyFont="1"/>
    <xf numFmtId="37" fontId="41" fillId="0" borderId="16" xfId="0" applyNumberFormat="1" applyFont="1" applyBorder="1" applyAlignment="1">
      <alignment horizontal="left"/>
    </xf>
    <xf numFmtId="182" fontId="13" fillId="0" borderId="16" xfId="0" applyNumberFormat="1" applyFont="1" applyBorder="1"/>
    <xf numFmtId="37" fontId="13" fillId="11" borderId="16" xfId="0" applyNumberFormat="1" applyFont="1" applyFill="1" applyBorder="1"/>
    <xf numFmtId="182" fontId="13" fillId="8" borderId="16" xfId="0" applyNumberFormat="1" applyFont="1" applyFill="1" applyBorder="1"/>
    <xf numFmtId="167" fontId="28" fillId="0" borderId="0" xfId="1" applyNumberFormat="1" applyFont="1"/>
    <xf numFmtId="9" fontId="28" fillId="0" borderId="0" xfId="1" applyNumberFormat="1" applyFont="1"/>
    <xf numFmtId="167" fontId="0" fillId="0" borderId="0" xfId="0" applyNumberFormat="1"/>
    <xf numFmtId="37" fontId="2" fillId="5" borderId="0" xfId="0" applyNumberFormat="1" applyFont="1" applyFill="1"/>
    <xf numFmtId="9" fontId="2" fillId="3" borderId="0" xfId="4" applyNumberFormat="1" applyFont="1" applyFill="1" applyAlignment="1">
      <alignment horizontal="right" vertical="center"/>
    </xf>
    <xf numFmtId="172" fontId="8" fillId="0" borderId="13" xfId="11" applyNumberFormat="1" applyFont="1" applyBorder="1"/>
    <xf numFmtId="37" fontId="43" fillId="0" borderId="0" xfId="0" applyNumberFormat="1" applyFont="1"/>
    <xf numFmtId="175" fontId="18" fillId="0" borderId="8" xfId="0" applyNumberFormat="1" applyFont="1" applyBorder="1" applyAlignment="1">
      <alignment horizontal="center" vertical="center"/>
    </xf>
    <xf numFmtId="175" fontId="18" fillId="0" borderId="5" xfId="0" applyNumberFormat="1" applyFont="1" applyBorder="1" applyAlignment="1">
      <alignment horizontal="center" vertical="center"/>
    </xf>
    <xf numFmtId="0" fontId="44" fillId="12" borderId="0" xfId="0" applyFont="1" applyFill="1"/>
    <xf numFmtId="0" fontId="23" fillId="13" borderId="1" xfId="0" applyFont="1" applyFill="1" applyBorder="1" applyAlignment="1">
      <alignment horizontal="center"/>
    </xf>
    <xf numFmtId="0" fontId="23" fillId="13" borderId="1" xfId="0" applyFont="1" applyFill="1" applyBorder="1" applyAlignment="1">
      <alignment horizontal="center" wrapText="1"/>
    </xf>
    <xf numFmtId="183" fontId="0" fillId="0" borderId="0" xfId="0" applyNumberFormat="1"/>
    <xf numFmtId="0" fontId="22" fillId="0" borderId="0" xfId="0" applyFont="1"/>
    <xf numFmtId="183" fontId="22" fillId="0" borderId="0" xfId="0" applyNumberFormat="1" applyFont="1" applyAlignment="1">
      <alignment horizontal="center"/>
    </xf>
    <xf numFmtId="0" fontId="22" fillId="0" borderId="0" xfId="0" applyFont="1" applyAlignment="1">
      <alignment horizontal="center"/>
    </xf>
    <xf numFmtId="1" fontId="22" fillId="0" borderId="0" xfId="0" applyNumberFormat="1" applyFont="1" applyAlignment="1">
      <alignment horizontal="center"/>
    </xf>
    <xf numFmtId="0" fontId="45" fillId="0" borderId="0" xfId="0" applyFont="1"/>
    <xf numFmtId="183" fontId="46" fillId="0" borderId="0" xfId="0" applyNumberFormat="1" applyFont="1"/>
    <xf numFmtId="17" fontId="46" fillId="0" borderId="0" xfId="0" applyNumberFormat="1" applyFont="1" applyAlignment="1">
      <alignment horizontal="center"/>
    </xf>
    <xf numFmtId="0" fontId="28" fillId="0" borderId="17" xfId="0" applyFont="1" applyBorder="1"/>
    <xf numFmtId="183" fontId="28" fillId="0" borderId="17" xfId="0" applyNumberFormat="1" applyFont="1" applyBorder="1"/>
    <xf numFmtId="185" fontId="28" fillId="0" borderId="17" xfId="0" applyNumberFormat="1" applyFont="1" applyBorder="1"/>
    <xf numFmtId="0" fontId="23" fillId="0" borderId="2" xfId="0" applyFont="1" applyBorder="1"/>
    <xf numFmtId="0" fontId="49" fillId="0" borderId="0" xfId="0" applyFont="1"/>
    <xf numFmtId="0" fontId="23" fillId="13" borderId="17" xfId="0" applyFont="1" applyFill="1" applyBorder="1"/>
    <xf numFmtId="183" fontId="22" fillId="0" borderId="0" xfId="0" applyNumberFormat="1" applyFont="1" applyAlignment="1">
      <alignment horizontal="right"/>
    </xf>
    <xf numFmtId="183" fontId="23" fillId="0" borderId="2" xfId="0" applyNumberFormat="1" applyFont="1" applyBorder="1" applyAlignment="1">
      <alignment horizontal="right"/>
    </xf>
    <xf numFmtId="183" fontId="23" fillId="13" borderId="17" xfId="0" applyNumberFormat="1" applyFont="1" applyFill="1" applyBorder="1" applyAlignment="1">
      <alignment horizontal="right"/>
    </xf>
    <xf numFmtId="0" fontId="45" fillId="0" borderId="0" xfId="0" applyFont="1" applyAlignment="1">
      <alignment horizontal="center"/>
    </xf>
    <xf numFmtId="17" fontId="51" fillId="0" borderId="0" xfId="0" applyNumberFormat="1" applyFont="1" applyAlignment="1">
      <alignment horizontal="center"/>
    </xf>
    <xf numFmtId="0" fontId="48" fillId="13" borderId="1" xfId="0" applyFont="1" applyFill="1" applyBorder="1" applyAlignment="1">
      <alignment horizontal="center" wrapText="1"/>
    </xf>
    <xf numFmtId="171" fontId="13" fillId="3" borderId="0" xfId="5" applyNumberFormat="1" applyFont="1" applyFill="1" applyBorder="1"/>
    <xf numFmtId="3" fontId="11" fillId="4" borderId="0" xfId="0" applyNumberFormat="1" applyFont="1" applyFill="1"/>
    <xf numFmtId="177" fontId="11" fillId="3" borderId="0" xfId="1" applyNumberFormat="1" applyFont="1" applyFill="1" applyAlignment="1">
      <alignment horizontal="right"/>
    </xf>
    <xf numFmtId="184" fontId="11" fillId="3" borderId="0" xfId="5" applyNumberFormat="1" applyFont="1" applyFill="1" applyAlignment="1">
      <alignment horizontal="center"/>
    </xf>
    <xf numFmtId="1" fontId="42" fillId="3" borderId="0" xfId="5" applyNumberFormat="1" applyFont="1" applyFill="1" applyAlignment="1">
      <alignment horizontal="center"/>
    </xf>
    <xf numFmtId="183" fontId="42" fillId="3" borderId="0" xfId="1" applyNumberFormat="1" applyFont="1" applyFill="1" applyAlignment="1">
      <alignment horizontal="right"/>
    </xf>
    <xf numFmtId="183" fontId="1" fillId="3" borderId="0" xfId="0" applyNumberFormat="1" applyFont="1" applyFill="1"/>
    <xf numFmtId="37" fontId="1" fillId="3" borderId="0" xfId="5" applyNumberFormat="1" applyFont="1" applyFill="1" applyAlignment="1">
      <alignment horizontal="right"/>
    </xf>
    <xf numFmtId="167" fontId="37" fillId="3" borderId="0" xfId="1" applyNumberFormat="1" applyFont="1" applyFill="1" applyAlignment="1">
      <alignment horizontal="right"/>
    </xf>
    <xf numFmtId="183" fontId="37" fillId="3" borderId="0" xfId="1" applyNumberFormat="1" applyFont="1" applyFill="1" applyAlignment="1">
      <alignment horizontal="right"/>
    </xf>
    <xf numFmtId="0" fontId="1" fillId="3" borderId="2" xfId="0" applyFont="1" applyFill="1" applyBorder="1"/>
    <xf numFmtId="3" fontId="1" fillId="3" borderId="2" xfId="0" applyNumberFormat="1" applyFont="1" applyFill="1" applyBorder="1"/>
    <xf numFmtId="183" fontId="1" fillId="3" borderId="2" xfId="0" applyNumberFormat="1" applyFont="1" applyFill="1" applyBorder="1"/>
    <xf numFmtId="171" fontId="37" fillId="3" borderId="2" xfId="5" applyNumberFormat="1" applyFont="1" applyFill="1" applyBorder="1" applyAlignment="1">
      <alignment horizontal="right"/>
    </xf>
    <xf numFmtId="37" fontId="1" fillId="3" borderId="2" xfId="5" applyNumberFormat="1" applyFont="1" applyFill="1" applyBorder="1" applyAlignment="1">
      <alignment horizontal="right"/>
    </xf>
    <xf numFmtId="167" fontId="37" fillId="3" borderId="2" xfId="1" applyNumberFormat="1" applyFont="1" applyFill="1" applyBorder="1" applyAlignment="1">
      <alignment horizontal="right"/>
    </xf>
    <xf numFmtId="183" fontId="37" fillId="3" borderId="2" xfId="1" applyNumberFormat="1" applyFont="1" applyFill="1" applyBorder="1" applyAlignment="1">
      <alignment horizontal="right"/>
    </xf>
    <xf numFmtId="0" fontId="11" fillId="0" borderId="0" xfId="0" applyFont="1"/>
    <xf numFmtId="0" fontId="2" fillId="0" borderId="2" xfId="0" applyFont="1" applyBorder="1"/>
    <xf numFmtId="0" fontId="2" fillId="0" borderId="0" xfId="0" applyFont="1" applyBorder="1"/>
    <xf numFmtId="4" fontId="11" fillId="0" borderId="0" xfId="0" applyNumberFormat="1" applyFont="1"/>
    <xf numFmtId="3" fontId="11" fillId="0" borderId="0" xfId="0" applyNumberFormat="1" applyFont="1"/>
    <xf numFmtId="1" fontId="11" fillId="0" borderId="0" xfId="0" applyNumberFormat="1" applyFont="1"/>
    <xf numFmtId="9" fontId="11" fillId="0" borderId="0" xfId="0" applyNumberFormat="1" applyFont="1"/>
    <xf numFmtId="0" fontId="2" fillId="3" borderId="0" xfId="0" applyFont="1" applyFill="1" applyBorder="1" applyAlignment="1">
      <alignment horizontal="left"/>
    </xf>
    <xf numFmtId="0" fontId="53" fillId="14" borderId="0" xfId="0" applyFont="1" applyFill="1"/>
    <xf numFmtId="4" fontId="37" fillId="0" borderId="2" xfId="0" applyNumberFormat="1" applyFont="1" applyBorder="1"/>
    <xf numFmtId="0" fontId="52" fillId="14" borderId="0" xfId="0" applyFont="1" applyFill="1"/>
    <xf numFmtId="3" fontId="42" fillId="3" borderId="0" xfId="0" applyNumberFormat="1" applyFont="1" applyFill="1" applyAlignment="1">
      <alignment horizontal="left" vertical="center"/>
    </xf>
    <xf numFmtId="0" fontId="42" fillId="3" borderId="0" xfId="0" applyFont="1" applyFill="1"/>
    <xf numFmtId="3" fontId="42" fillId="3" borderId="0" xfId="0" applyNumberFormat="1" applyFont="1" applyFill="1" applyAlignment="1">
      <alignment horizontal="left"/>
    </xf>
    <xf numFmtId="0" fontId="42" fillId="3" borderId="0" xfId="0" applyFont="1" applyFill="1" applyAlignment="1">
      <alignment horizontal="left"/>
    </xf>
    <xf numFmtId="183" fontId="42" fillId="3" borderId="0" xfId="0" applyNumberFormat="1" applyFont="1" applyFill="1"/>
    <xf numFmtId="17" fontId="42" fillId="3" borderId="0" xfId="0" applyNumberFormat="1" applyFont="1" applyFill="1" applyAlignment="1">
      <alignment horizontal="center"/>
    </xf>
    <xf numFmtId="17" fontId="42" fillId="3" borderId="0" xfId="5" applyNumberFormat="1" applyFont="1" applyFill="1" applyAlignment="1">
      <alignment horizontal="center"/>
    </xf>
    <xf numFmtId="0" fontId="41" fillId="3" borderId="0" xfId="0" applyFont="1" applyFill="1" applyAlignment="1">
      <alignment horizontal="left" vertical="center"/>
    </xf>
    <xf numFmtId="17" fontId="41" fillId="3" borderId="0" xfId="5" applyNumberFormat="1" applyFont="1" applyFill="1" applyAlignment="1">
      <alignment horizontal="center"/>
    </xf>
    <xf numFmtId="0" fontId="42" fillId="3" borderId="0" xfId="0" applyFont="1" applyFill="1" applyAlignment="1">
      <alignment horizontal="left" vertical="center"/>
    </xf>
    <xf numFmtId="185" fontId="42" fillId="3" borderId="0" xfId="0" applyNumberFormat="1" applyFont="1" applyFill="1"/>
    <xf numFmtId="185" fontId="42" fillId="3" borderId="0" xfId="1" applyNumberFormat="1" applyFont="1" applyFill="1" applyAlignment="1"/>
    <xf numFmtId="0" fontId="41" fillId="15" borderId="0" xfId="0" applyFont="1" applyFill="1" applyBorder="1" applyAlignment="1">
      <alignment horizontal="left" wrapText="1"/>
    </xf>
    <xf numFmtId="0" fontId="41" fillId="15" borderId="0" xfId="0" applyFont="1" applyFill="1" applyBorder="1" applyAlignment="1">
      <alignment horizontal="center" wrapText="1"/>
    </xf>
    <xf numFmtId="0" fontId="48" fillId="15" borderId="0" xfId="0" applyFont="1" applyFill="1" applyBorder="1" applyAlignment="1">
      <alignment horizontal="center" wrapText="1"/>
    </xf>
    <xf numFmtId="0" fontId="41" fillId="15" borderId="1" xfId="0" applyFont="1" applyFill="1" applyBorder="1" applyAlignment="1">
      <alignment horizontal="left" wrapText="1"/>
    </xf>
    <xf numFmtId="0" fontId="41" fillId="15" borderId="1" xfId="0" applyFont="1" applyFill="1" applyBorder="1" applyAlignment="1">
      <alignment horizontal="center" wrapText="1"/>
    </xf>
    <xf numFmtId="0" fontId="48" fillId="15" borderId="1" xfId="0" applyFont="1" applyFill="1" applyBorder="1" applyAlignment="1">
      <alignment horizontal="center" wrapText="1"/>
    </xf>
    <xf numFmtId="0" fontId="56" fillId="3" borderId="1" xfId="0" applyFont="1" applyFill="1" applyBorder="1"/>
    <xf numFmtId="0" fontId="58" fillId="3" borderId="0" xfId="0" applyFont="1" applyFill="1" applyAlignment="1">
      <alignment horizontal="left"/>
    </xf>
    <xf numFmtId="0" fontId="58" fillId="3" borderId="0" xfId="0" applyFont="1" applyFill="1"/>
    <xf numFmtId="0" fontId="59" fillId="3" borderId="0" xfId="0" applyFont="1" applyFill="1" applyAlignment="1">
      <alignment indent="1"/>
    </xf>
    <xf numFmtId="0" fontId="22" fillId="3" borderId="0" xfId="0" applyFont="1" applyFill="1" applyAlignment="1">
      <alignment horizontal="left"/>
    </xf>
    <xf numFmtId="183" fontId="59" fillId="3" borderId="0" xfId="0" applyNumberFormat="1" applyFont="1" applyFill="1"/>
    <xf numFmtId="0" fontId="58" fillId="3" borderId="2" xfId="0" applyFont="1" applyFill="1" applyBorder="1"/>
    <xf numFmtId="0" fontId="23" fillId="3" borderId="2" xfId="0" applyFont="1" applyFill="1" applyBorder="1" applyAlignment="1">
      <alignment horizontal="left"/>
    </xf>
    <xf numFmtId="183" fontId="58" fillId="3" borderId="2" xfId="0" applyNumberFormat="1" applyFont="1" applyFill="1" applyBorder="1"/>
    <xf numFmtId="184" fontId="59" fillId="3" borderId="0" xfId="0" applyNumberFormat="1" applyFont="1" applyFill="1"/>
    <xf numFmtId="0" fontId="60" fillId="3" borderId="0" xfId="0" applyFont="1" applyFill="1" applyAlignment="1"/>
    <xf numFmtId="0" fontId="60" fillId="3" borderId="0" xfId="0" applyFont="1" applyFill="1" applyAlignment="1">
      <alignment horizontal="left"/>
    </xf>
    <xf numFmtId="1" fontId="60" fillId="3" borderId="0" xfId="0" applyNumberFormat="1" applyFont="1" applyFill="1"/>
    <xf numFmtId="0" fontId="59" fillId="3" borderId="0" xfId="0" applyFont="1" applyFill="1" applyAlignment="1">
      <alignment indent="2"/>
    </xf>
    <xf numFmtId="0" fontId="59" fillId="3" borderId="0" xfId="0" applyFont="1" applyFill="1"/>
    <xf numFmtId="0" fontId="58" fillId="4" borderId="0" xfId="0" applyFont="1" applyFill="1"/>
    <xf numFmtId="183" fontId="59" fillId="4" borderId="0" xfId="0" applyNumberFormat="1" applyFont="1" applyFill="1"/>
    <xf numFmtId="183" fontId="58" fillId="4" borderId="2" xfId="0" applyNumberFormat="1" applyFont="1" applyFill="1" applyBorder="1"/>
    <xf numFmtId="184" fontId="59" fillId="4" borderId="0" xfId="0" applyNumberFormat="1" applyFont="1" applyFill="1"/>
    <xf numFmtId="1" fontId="60" fillId="4" borderId="0" xfId="0" applyNumberFormat="1" applyFont="1" applyFill="1"/>
    <xf numFmtId="0" fontId="59" fillId="4" borderId="0" xfId="0" applyFont="1" applyFill="1"/>
    <xf numFmtId="183" fontId="59" fillId="4" borderId="0" xfId="0" applyNumberFormat="1" applyFont="1" applyFill="1" applyAlignment="1"/>
    <xf numFmtId="0" fontId="58" fillId="3" borderId="0" xfId="0" applyFont="1" applyFill="1" applyAlignment="1">
      <alignment horizontal="right"/>
    </xf>
    <xf numFmtId="0" fontId="58" fillId="4" borderId="0" xfId="0" applyFont="1" applyFill="1" applyAlignment="1">
      <alignment horizontal="right"/>
    </xf>
    <xf numFmtId="4" fontId="37" fillId="0" borderId="0" xfId="0" applyNumberFormat="1" applyFont="1" applyBorder="1"/>
    <xf numFmtId="0" fontId="0" fillId="3" borderId="1" xfId="0" applyFill="1" applyBorder="1"/>
    <xf numFmtId="0" fontId="58" fillId="0" borderId="0" xfId="0" applyFont="1" applyFill="1" applyAlignment="1">
      <alignment horizontal="left"/>
    </xf>
    <xf numFmtId="0" fontId="58" fillId="0" borderId="0" xfId="0" applyFont="1" applyFill="1" applyAlignment="1">
      <alignment horizontal="center"/>
    </xf>
    <xf numFmtId="0" fontId="58" fillId="0" borderId="0" xfId="0" applyFont="1" applyFill="1" applyAlignment="1">
      <alignment horizontal="right"/>
    </xf>
    <xf numFmtId="0" fontId="2" fillId="0" borderId="0" xfId="0" applyFont="1" applyFill="1"/>
    <xf numFmtId="0" fontId="1" fillId="0" borderId="0" xfId="0" applyFont="1" applyFill="1"/>
    <xf numFmtId="0" fontId="2" fillId="0" borderId="0" xfId="0" applyFont="1" applyFill="1" applyBorder="1"/>
    <xf numFmtId="171" fontId="13" fillId="0" borderId="0" xfId="5" applyNumberFormat="1" applyFont="1" applyFill="1" applyBorder="1"/>
    <xf numFmtId="37" fontId="2" fillId="0" borderId="0" xfId="5" applyNumberFormat="1" applyFont="1" applyFill="1" applyBorder="1" applyAlignment="1">
      <alignment horizontal="right"/>
    </xf>
    <xf numFmtId="4" fontId="41" fillId="0" borderId="0" xfId="0" applyNumberFormat="1" applyFont="1"/>
    <xf numFmtId="9" fontId="41" fillId="0" borderId="2" xfId="0" applyNumberFormat="1" applyFont="1" applyBorder="1"/>
    <xf numFmtId="0" fontId="61" fillId="3" borderId="0" xfId="0" applyFont="1" applyFill="1" applyAlignment="1">
      <alignment indent="1"/>
    </xf>
    <xf numFmtId="0" fontId="24" fillId="3" borderId="0" xfId="0" applyFont="1" applyFill="1" applyAlignment="1">
      <alignment horizontal="left"/>
    </xf>
    <xf numFmtId="184" fontId="61" fillId="3" borderId="0" xfId="0" applyNumberFormat="1" applyFont="1" applyFill="1"/>
    <xf numFmtId="184" fontId="61" fillId="4" borderId="0" xfId="0" applyNumberFormat="1" applyFont="1" applyFill="1"/>
    <xf numFmtId="0" fontId="62" fillId="3" borderId="0" xfId="0" applyFont="1" applyFill="1"/>
    <xf numFmtId="0" fontId="62" fillId="3" borderId="0" xfId="0" applyFont="1" applyFill="1" applyAlignment="1">
      <alignment horizontal="left"/>
    </xf>
    <xf numFmtId="1" fontId="62" fillId="3" borderId="0" xfId="0" applyNumberFormat="1" applyFont="1" applyFill="1"/>
    <xf numFmtId="1" fontId="62" fillId="4" borderId="0" xfId="0" applyNumberFormat="1" applyFont="1" applyFill="1"/>
    <xf numFmtId="3" fontId="42" fillId="3" borderId="0" xfId="0" applyNumberFormat="1" applyFont="1" applyFill="1" applyAlignment="1">
      <alignment horizontal="right" vertical="center"/>
    </xf>
    <xf numFmtId="183" fontId="63" fillId="3" borderId="0" xfId="0" applyNumberFormat="1" applyFont="1" applyFill="1"/>
    <xf numFmtId="183" fontId="47" fillId="0" borderId="0" xfId="0" applyNumberFormat="1" applyFont="1"/>
    <xf numFmtId="185" fontId="47" fillId="0" borderId="0" xfId="0" applyNumberFormat="1" applyFont="1"/>
    <xf numFmtId="17" fontId="47" fillId="0" borderId="0" xfId="0" applyNumberFormat="1" applyFont="1" applyAlignment="1">
      <alignment horizontal="center"/>
    </xf>
    <xf numFmtId="3" fontId="42" fillId="0" borderId="0" xfId="0" applyNumberFormat="1" applyFont="1"/>
    <xf numFmtId="172" fontId="11" fillId="0" borderId="0" xfId="0" applyNumberFormat="1" applyFont="1"/>
    <xf numFmtId="184" fontId="2" fillId="0" borderId="0" xfId="0" applyNumberFormat="1" applyFont="1"/>
    <xf numFmtId="9" fontId="2" fillId="0" borderId="0" xfId="7" applyFont="1" applyFill="1"/>
    <xf numFmtId="3" fontId="42" fillId="4" borderId="0" xfId="0" applyNumberFormat="1" applyFont="1" applyFill="1" applyAlignment="1">
      <alignment horizontal="right" vertical="center"/>
    </xf>
    <xf numFmtId="3" fontId="42" fillId="3" borderId="0" xfId="0" applyNumberFormat="1" applyFont="1" applyFill="1"/>
    <xf numFmtId="3" fontId="33" fillId="0" borderId="0" xfId="0" applyNumberFormat="1" applyFont="1"/>
    <xf numFmtId="0" fontId="58" fillId="3" borderId="0" xfId="0" applyFont="1" applyFill="1" applyBorder="1"/>
    <xf numFmtId="0" fontId="23" fillId="3" borderId="0" xfId="0" applyFont="1" applyFill="1" applyBorder="1" applyAlignment="1">
      <alignment horizontal="left"/>
    </xf>
    <xf numFmtId="183" fontId="58" fillId="3" borderId="0" xfId="0" applyNumberFormat="1" applyFont="1" applyFill="1" applyBorder="1"/>
    <xf numFmtId="183" fontId="58" fillId="4" borderId="0" xfId="0" applyNumberFormat="1" applyFont="1" applyFill="1" applyBorder="1"/>
    <xf numFmtId="0" fontId="64" fillId="15" borderId="0" xfId="0" applyFont="1" applyFill="1" applyBorder="1"/>
    <xf numFmtId="183" fontId="64" fillId="15" borderId="0" xfId="0" applyNumberFormat="1" applyFont="1" applyFill="1" applyBorder="1"/>
    <xf numFmtId="0" fontId="64" fillId="15" borderId="0" xfId="0" applyFont="1" applyFill="1" applyBorder="1" applyAlignment="1">
      <alignment horizontal="left"/>
    </xf>
    <xf numFmtId="0" fontId="58" fillId="3" borderId="0" xfId="0" applyFont="1" applyFill="1" applyBorder="1" applyAlignment="1">
      <alignment indent="1"/>
    </xf>
    <xf numFmtId="0" fontId="65" fillId="3" borderId="0" xfId="0" applyFont="1" applyFill="1" applyBorder="1" applyAlignment="1">
      <alignment horizontal="left"/>
    </xf>
    <xf numFmtId="0" fontId="65" fillId="3" borderId="2" xfId="0" applyFont="1" applyFill="1" applyBorder="1" applyAlignment="1">
      <alignment horizontal="left"/>
    </xf>
    <xf numFmtId="183" fontId="64" fillId="3" borderId="0" xfId="0" applyNumberFormat="1" applyFont="1" applyFill="1" applyBorder="1"/>
    <xf numFmtId="183" fontId="64" fillId="4" borderId="0" xfId="0" applyNumberFormat="1" applyFont="1" applyFill="1" applyBorder="1"/>
    <xf numFmtId="183" fontId="64" fillId="3" borderId="2" xfId="0" applyNumberFormat="1" applyFont="1" applyFill="1" applyBorder="1"/>
    <xf numFmtId="183" fontId="64" fillId="4" borderId="2" xfId="0" applyNumberFormat="1" applyFont="1" applyFill="1" applyBorder="1"/>
    <xf numFmtId="188" fontId="64" fillId="3" borderId="0" xfId="0" applyNumberFormat="1" applyFont="1" applyFill="1" applyBorder="1"/>
    <xf numFmtId="188" fontId="64" fillId="4" borderId="0" xfId="0" applyNumberFormat="1" applyFont="1" applyFill="1" applyBorder="1"/>
    <xf numFmtId="3" fontId="41" fillId="4" borderId="0" xfId="0" applyNumberFormat="1" applyFont="1" applyFill="1" applyAlignment="1">
      <alignment horizontal="right" vertical="center"/>
    </xf>
    <xf numFmtId="9" fontId="67" fillId="4" borderId="0" xfId="4" applyNumberFormat="1" applyFont="1" applyFill="1" applyAlignment="1">
      <alignment horizontal="right"/>
    </xf>
    <xf numFmtId="183" fontId="66" fillId="3" borderId="0" xfId="0" applyNumberFormat="1" applyFont="1" applyFill="1" applyBorder="1"/>
    <xf numFmtId="183" fontId="66" fillId="4" borderId="0" xfId="0" applyNumberFormat="1" applyFont="1" applyFill="1" applyBorder="1"/>
    <xf numFmtId="188" fontId="0" fillId="0" borderId="0" xfId="0" applyNumberFormat="1"/>
    <xf numFmtId="0" fontId="0" fillId="0" borderId="0" xfId="0" applyAlignment="1">
      <alignment indent="1"/>
    </xf>
    <xf numFmtId="0" fontId="55" fillId="3" borderId="0" xfId="0" applyFont="1" applyFill="1" applyBorder="1" applyAlignment="1">
      <alignment horizontal="left" indent="2"/>
    </xf>
    <xf numFmtId="0" fontId="55" fillId="3" borderId="0" xfId="0" applyFont="1" applyFill="1" applyBorder="1" applyAlignment="1">
      <alignment indent="2"/>
    </xf>
    <xf numFmtId="2" fontId="55" fillId="3" borderId="0" xfId="0" applyNumberFormat="1" applyFont="1" applyFill="1" applyBorder="1" applyAlignment="1">
      <alignment indent="2"/>
    </xf>
    <xf numFmtId="189" fontId="55" fillId="3" borderId="0" xfId="0" applyNumberFormat="1" applyFont="1" applyFill="1" applyBorder="1" applyAlignment="1">
      <alignment indent="2"/>
    </xf>
    <xf numFmtId="189" fontId="55" fillId="4" borderId="0" xfId="0" applyNumberFormat="1" applyFont="1" applyFill="1" applyBorder="1" applyAlignment="1">
      <alignment indent="2"/>
    </xf>
    <xf numFmtId="0" fontId="55" fillId="3" borderId="2" xfId="0" applyFont="1" applyFill="1" applyBorder="1" applyAlignment="1">
      <alignment horizontal="left" indent="2"/>
    </xf>
    <xf numFmtId="0" fontId="55" fillId="3" borderId="2" xfId="0" applyFont="1" applyFill="1" applyBorder="1" applyAlignment="1">
      <alignment indent="2"/>
    </xf>
    <xf numFmtId="189" fontId="55" fillId="3" borderId="2" xfId="0" applyNumberFormat="1" applyFont="1" applyFill="1" applyBorder="1" applyAlignment="1">
      <alignment indent="2"/>
    </xf>
    <xf numFmtId="189" fontId="55" fillId="4" borderId="2" xfId="0" applyNumberFormat="1" applyFont="1" applyFill="1" applyBorder="1" applyAlignment="1">
      <alignment indent="2"/>
    </xf>
    <xf numFmtId="0" fontId="58" fillId="3" borderId="2" xfId="0" applyFont="1" applyFill="1" applyBorder="1" applyAlignment="1">
      <alignment indent="1"/>
    </xf>
    <xf numFmtId="2" fontId="68" fillId="3" borderId="0" xfId="0" applyNumberFormat="1" applyFont="1" applyFill="1" applyBorder="1" applyAlignment="1">
      <alignment indent="2"/>
    </xf>
    <xf numFmtId="2" fontId="68" fillId="4" borderId="0" xfId="0" applyNumberFormat="1" applyFont="1" applyFill="1" applyBorder="1" applyAlignment="1">
      <alignment indent="2"/>
    </xf>
    <xf numFmtId="189" fontId="68" fillId="3" borderId="0" xfId="0" applyNumberFormat="1" applyFont="1" applyFill="1" applyBorder="1" applyAlignment="1">
      <alignment indent="2"/>
    </xf>
    <xf numFmtId="189" fontId="68" fillId="3" borderId="2" xfId="0" applyNumberFormat="1" applyFont="1" applyFill="1" applyBorder="1" applyAlignment="1">
      <alignment indent="2"/>
    </xf>
    <xf numFmtId="0" fontId="50" fillId="0" borderId="0" xfId="0" applyFont="1"/>
    <xf numFmtId="183" fontId="1" fillId="3" borderId="1" xfId="0" applyNumberFormat="1" applyFont="1" applyFill="1" applyBorder="1"/>
    <xf numFmtId="183" fontId="1" fillId="3" borderId="1" xfId="0" applyNumberFormat="1" applyFont="1" applyFill="1" applyBorder="1" applyAlignment="1">
      <alignment horizontal="center" wrapText="1"/>
    </xf>
    <xf numFmtId="183" fontId="2" fillId="3" borderId="1" xfId="0" applyNumberFormat="1" applyFont="1" applyFill="1" applyBorder="1"/>
    <xf numFmtId="169" fontId="42" fillId="3" borderId="0" xfId="0" applyNumberFormat="1" applyFont="1" applyFill="1"/>
    <xf numFmtId="183" fontId="2" fillId="4" borderId="1" xfId="0" applyNumberFormat="1" applyFont="1" applyFill="1" applyBorder="1"/>
    <xf numFmtId="172" fontId="11" fillId="4" borderId="0" xfId="4" applyNumberFormat="1" applyFont="1" applyFill="1" applyAlignment="1">
      <alignment horizontal="right"/>
    </xf>
    <xf numFmtId="3" fontId="57" fillId="3" borderId="1" xfId="0" applyNumberFormat="1" applyFont="1" applyFill="1" applyBorder="1"/>
    <xf numFmtId="3" fontId="54" fillId="3" borderId="0" xfId="0" applyNumberFormat="1" applyFont="1" applyFill="1" applyAlignment="1">
      <alignment horizontal="left" indent="1"/>
    </xf>
    <xf numFmtId="172" fontId="11" fillId="3" borderId="0" xfId="0" applyNumberFormat="1" applyFont="1" applyFill="1"/>
    <xf numFmtId="167" fontId="11" fillId="3" borderId="0" xfId="0" applyNumberFormat="1" applyFont="1" applyFill="1"/>
    <xf numFmtId="2" fontId="46" fillId="0" borderId="0" xfId="0" applyNumberFormat="1" applyFont="1"/>
    <xf numFmtId="9" fontId="3" fillId="4" borderId="0" xfId="4" applyNumberFormat="1" applyFont="1" applyFill="1" applyAlignment="1">
      <alignment horizontal="right"/>
    </xf>
    <xf numFmtId="3" fontId="2" fillId="0" borderId="18" xfId="0" applyNumberFormat="1" applyFont="1" applyBorder="1"/>
    <xf numFmtId="9" fontId="6" fillId="0" borderId="19" xfId="0" applyNumberFormat="1" applyFont="1" applyBorder="1"/>
    <xf numFmtId="9" fontId="6" fillId="0" borderId="20" xfId="0" applyNumberFormat="1" applyFont="1" applyBorder="1"/>
    <xf numFmtId="3" fontId="2" fillId="0" borderId="21" xfId="0" applyNumberFormat="1" applyFont="1" applyBorder="1"/>
    <xf numFmtId="9" fontId="6" fillId="0" borderId="0" xfId="0" applyNumberFormat="1" applyFont="1" applyBorder="1"/>
    <xf numFmtId="9" fontId="6" fillId="0" borderId="22" xfId="0" applyNumberFormat="1" applyFont="1" applyBorder="1"/>
    <xf numFmtId="3" fontId="2" fillId="0" borderId="23" xfId="0" applyNumberFormat="1" applyFont="1" applyBorder="1"/>
    <xf numFmtId="9" fontId="6" fillId="0" borderId="24" xfId="0" applyNumberFormat="1" applyFont="1" applyBorder="1"/>
    <xf numFmtId="9" fontId="6" fillId="0" borderId="25" xfId="0" applyNumberFormat="1" applyFont="1" applyBorder="1"/>
    <xf numFmtId="3" fontId="42" fillId="4" borderId="0" xfId="0" applyNumberFormat="1" applyFont="1" applyFill="1"/>
    <xf numFmtId="37" fontId="44" fillId="14" borderId="0" xfId="0" applyNumberFormat="1" applyFont="1" applyFill="1"/>
    <xf numFmtId="3" fontId="19" fillId="0" borderId="5" xfId="0" applyNumberFormat="1" applyFont="1" applyFill="1" applyBorder="1" applyAlignment="1">
      <alignment vertical="center"/>
    </xf>
    <xf numFmtId="3" fontId="18" fillId="0" borderId="5" xfId="0" applyNumberFormat="1" applyFont="1" applyFill="1" applyBorder="1" applyAlignment="1">
      <alignment vertical="center"/>
    </xf>
    <xf numFmtId="37" fontId="17" fillId="0" borderId="3" xfId="0" applyNumberFormat="1" applyFont="1" applyFill="1" applyBorder="1" applyAlignment="1">
      <alignment vertical="center"/>
    </xf>
    <xf numFmtId="37" fontId="19" fillId="7" borderId="5" xfId="0" applyNumberFormat="1" applyFont="1" applyFill="1" applyBorder="1" applyAlignment="1">
      <alignment vertical="center"/>
    </xf>
    <xf numFmtId="183" fontId="2" fillId="3" borderId="0" xfId="4" applyNumberFormat="1" applyFont="1" applyFill="1" applyAlignment="1">
      <alignment horizontal="right" vertical="center"/>
    </xf>
    <xf numFmtId="183" fontId="1" fillId="3" borderId="0" xfId="4" applyNumberFormat="1" applyFont="1" applyFill="1" applyAlignment="1">
      <alignment horizontal="right" vertical="center"/>
    </xf>
    <xf numFmtId="184" fontId="2" fillId="3" borderId="0" xfId="4" applyNumberFormat="1" applyFont="1" applyFill="1" applyAlignment="1">
      <alignment horizontal="right" vertical="center"/>
    </xf>
    <xf numFmtId="185" fontId="2" fillId="3" borderId="0" xfId="4" applyNumberFormat="1" applyFont="1" applyFill="1" applyAlignment="1">
      <alignment horizontal="right" vertical="center"/>
    </xf>
    <xf numFmtId="183" fontId="2" fillId="3" borderId="0" xfId="0" applyNumberFormat="1" applyFont="1" applyFill="1" applyAlignment="1">
      <alignment horizontal="right" vertical="center"/>
    </xf>
    <xf numFmtId="183" fontId="1" fillId="3" borderId="0" xfId="0" applyNumberFormat="1" applyFont="1" applyFill="1" applyAlignment="1">
      <alignment horizontal="right" vertical="center"/>
    </xf>
    <xf numFmtId="183" fontId="2" fillId="3" borderId="0" xfId="0" applyNumberFormat="1" applyFont="1" applyFill="1"/>
    <xf numFmtId="183" fontId="2" fillId="3" borderId="0" xfId="0" applyNumberFormat="1" applyFont="1" applyFill="1"/>
    <xf numFmtId="183" fontId="2" fillId="3" borderId="0" xfId="0" applyNumberFormat="1" applyFont="1" applyFill="1"/>
  </cellXfs>
  <cellStyles count="15">
    <cellStyle name="Comma" xfId="1" builtinId="3"/>
    <cellStyle name="Comma 11 3 2 2" xfId="9" xr:uid="{EE83A9DC-12EE-4661-980F-A76B6173066D}"/>
    <cellStyle name="Comma 12" xfId="10" xr:uid="{E0DD491E-1A06-41E1-BB8B-120D50891755}"/>
    <cellStyle name="Comma 2" xfId="12" xr:uid="{1D0600F3-0F4A-4750-A36F-E32C799A36D4}"/>
    <cellStyle name="Comma 2 2" xfId="14" xr:uid="{97BB83B7-CC81-45E9-B891-EC981EF8369E}"/>
    <cellStyle name="Normal" xfId="0" builtinId="0"/>
    <cellStyle name="Normal 2" xfId="4" xr:uid="{675B0886-A1E6-4BE1-AC02-CF81817F4A3F}"/>
    <cellStyle name="Normal 2 3 2" xfId="13" xr:uid="{1188EDFE-7842-44D6-97EB-748AAAB4D110}"/>
    <cellStyle name="Normal 21 2" xfId="5" xr:uid="{E30576BD-7EC9-4FAD-A26C-0D691B4429F3}"/>
    <cellStyle name="Normal 4" xfId="2" xr:uid="{C4146C26-4697-4EBF-981C-5E7421F22D36}"/>
    <cellStyle name="Normal 4 2" xfId="3" xr:uid="{6415330A-7970-4869-8D7D-97DC74E88910}"/>
    <cellStyle name="Normal 4 2 2 2" xfId="11" xr:uid="{13846D0C-C92C-4924-817C-BC4AAF0337EF}"/>
    <cellStyle name="Normal 4 2 2 2 2" xfId="8" xr:uid="{238452CA-70FD-4E30-915A-5C300B9A73E7}"/>
    <cellStyle name="Percent" xfId="7" builtinId="5"/>
    <cellStyle name="Percent 2 4" xfId="6" xr:uid="{6CCFF5A5-BE55-485A-B39F-6CCD6B0D555E}"/>
  </cellStyles>
  <dxfs count="0"/>
  <tableStyles count="0" defaultTableStyle="TableStyleMedium2" defaultPivotStyle="PivotStyleLight16"/>
  <colors>
    <mruColors>
      <color rgb="FF3366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6" Type="http://schemas.openxmlformats.org/officeDocument/2006/relationships/externalLink" Target="externalLinks/externalLink3.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53" Type="http://schemas.openxmlformats.org/officeDocument/2006/relationships/externalLink" Target="externalLinks/externalLink40.xml"/><Relationship Id="rId58" Type="http://schemas.openxmlformats.org/officeDocument/2006/relationships/externalLink" Target="externalLinks/externalLink45.xml"/><Relationship Id="rId74" Type="http://schemas.openxmlformats.org/officeDocument/2006/relationships/externalLink" Target="externalLinks/externalLink61.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28" Type="http://schemas.openxmlformats.org/officeDocument/2006/relationships/sheetMetadata" Target="metadata.xml"/><Relationship Id="rId5" Type="http://schemas.openxmlformats.org/officeDocument/2006/relationships/worksheet" Target="worksheets/sheet5.xml"/><Relationship Id="rId90" Type="http://schemas.openxmlformats.org/officeDocument/2006/relationships/externalLink" Target="externalLinks/externalLink77.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microsoft.com/office/2017/06/relationships/rdRichValueTypes" Target="richData/rdRichValueTypes.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microsoft.com/office/2017/06/relationships/rdRichValue" Target="richData/rdrichvalue.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microsoft.com/office/2017/06/relationships/rdRichValueStructure" Target="richData/rdrichvaluestructure.xml"/><Relationship Id="rId135" Type="http://schemas.microsoft.com/office/2017/10/relationships/person" Target="persons/person.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microsoft.com/office/2017/06/relationships/richStyles" Target="richData/richStyles.xml"/><Relationship Id="rId136" Type="http://schemas.openxmlformats.org/officeDocument/2006/relationships/calcChain" Target="calcChain.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microsoft.com/office/2017/06/relationships/rdSupportingPropertyBagStructure" Target="richData/rdsupportingpropertybagstructure.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microsoft.com/office/2017/06/relationships/rdSupportingPropertyBag" Target="richData/rdsupportingpropertybag.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Acme Solar - Installed Capacity, MW</a:t>
            </a:r>
          </a:p>
        </c:rich>
      </c:tx>
      <c:overlay val="0"/>
    </c:title>
    <c:autoTitleDeleted val="0"/>
    <c:plotArea>
      <c:layout/>
      <c:barChart>
        <c:barDir val="col"/>
        <c:grouping val="stacked"/>
        <c:varyColors val="0"/>
        <c:ser>
          <c:idx val="0"/>
          <c:order val="0"/>
          <c:tx>
            <c:strRef>
              <c:f>Charts!$B$3</c:f>
              <c:strCache>
                <c:ptCount val="1"/>
                <c:pt idx="0">
                  <c:v>Solar</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Charts!$C$3:$F$3</c:f>
              <c:numCache>
                <c:formatCode>_ * #,##0_ ;_ * \-#,##0_ ;_ * "-"??_ ;_ @_ </c:formatCode>
                <c:ptCount val="4"/>
                <c:pt idx="0">
                  <c:v>2540</c:v>
                </c:pt>
                <c:pt idx="1">
                  <c:v>2840</c:v>
                </c:pt>
                <c:pt idx="2">
                  <c:v>2840</c:v>
                </c:pt>
                <c:pt idx="3">
                  <c:v>2840</c:v>
                </c:pt>
              </c:numCache>
            </c:numRef>
          </c:val>
          <c:extLst>
            <c:ext xmlns:c16="http://schemas.microsoft.com/office/drawing/2014/chart" uri="{C3380CC4-5D6E-409C-BE32-E72D297353CC}">
              <c16:uniqueId val="{00000000-7E53-4EAB-A249-CA87300CDD98}"/>
            </c:ext>
          </c:extLst>
        </c:ser>
        <c:ser>
          <c:idx val="1"/>
          <c:order val="1"/>
          <c:tx>
            <c:strRef>
              <c:f>Charts!$B$4</c:f>
              <c:strCache>
                <c:ptCount val="1"/>
                <c:pt idx="0">
                  <c:v>Wind</c:v>
                </c:pt>
              </c:strCache>
            </c:strRef>
          </c:tx>
          <c:invertIfNegative val="0"/>
          <c:dLbls>
            <c:delete val="1"/>
          </c:dLbls>
          <c:cat>
            <c:strRef>
              <c:f>Charts!$C$2:$F$2</c:f>
              <c:strCache>
                <c:ptCount val="4"/>
                <c:pt idx="0">
                  <c:v>FY25A</c:v>
                </c:pt>
                <c:pt idx="1">
                  <c:v>FY26A</c:v>
                </c:pt>
                <c:pt idx="2">
                  <c:v>FY27E</c:v>
                </c:pt>
                <c:pt idx="3">
                  <c:v>FY28E</c:v>
                </c:pt>
              </c:strCache>
            </c:strRef>
          </c:cat>
          <c:val>
            <c:numRef>
              <c:f>Charts!$C$4:$F$4</c:f>
              <c:numCache>
                <c:formatCode>_ * #,##0_ ;_ * \-#,##0_ ;_ * "-"??_ ;_ @_ </c:formatCode>
                <c:ptCount val="4"/>
                <c:pt idx="0">
                  <c:v>0</c:v>
                </c:pt>
                <c:pt idx="1">
                  <c:v>150</c:v>
                </c:pt>
                <c:pt idx="2">
                  <c:v>150</c:v>
                </c:pt>
                <c:pt idx="3">
                  <c:v>150</c:v>
                </c:pt>
              </c:numCache>
            </c:numRef>
          </c:val>
          <c:extLst>
            <c:ext xmlns:c16="http://schemas.microsoft.com/office/drawing/2014/chart" uri="{C3380CC4-5D6E-409C-BE32-E72D297353CC}">
              <c16:uniqueId val="{00000001-7E53-4EAB-A249-CA87300CDD98}"/>
            </c:ext>
          </c:extLst>
        </c:ser>
        <c:ser>
          <c:idx val="2"/>
          <c:order val="2"/>
          <c:tx>
            <c:strRef>
              <c:f>Charts!$B$5</c:f>
              <c:strCache>
                <c:ptCount val="1"/>
                <c:pt idx="0">
                  <c:v>BESS</c:v>
                </c:pt>
              </c:strCache>
            </c:strRef>
          </c:tx>
          <c:invertIfNegative val="0"/>
          <c:dLbls>
            <c:delete val="1"/>
          </c:dLbls>
          <c:cat>
            <c:strRef>
              <c:f>Charts!$C$2:$F$2</c:f>
              <c:strCache>
                <c:ptCount val="4"/>
                <c:pt idx="0">
                  <c:v>FY25A</c:v>
                </c:pt>
                <c:pt idx="1">
                  <c:v>FY26A</c:v>
                </c:pt>
                <c:pt idx="2">
                  <c:v>FY27E</c:v>
                </c:pt>
                <c:pt idx="3">
                  <c:v>FY28E</c:v>
                </c:pt>
              </c:strCache>
            </c:strRef>
          </c:cat>
          <c:val>
            <c:numRef>
              <c:f>Charts!$C$5:$F$5</c:f>
              <c:numCache>
                <c:formatCode>_ * #,##0_ ;_ * \-#,##0_ ;_ * "-"??_ ;_ @_ </c:formatCode>
                <c:ptCount val="4"/>
                <c:pt idx="0">
                  <c:v>0</c:v>
                </c:pt>
                <c:pt idx="1">
                  <c:v>0</c:v>
                </c:pt>
                <c:pt idx="2">
                  <c:v>275</c:v>
                </c:pt>
                <c:pt idx="3">
                  <c:v>275</c:v>
                </c:pt>
              </c:numCache>
            </c:numRef>
          </c:val>
          <c:extLst>
            <c:ext xmlns:c16="http://schemas.microsoft.com/office/drawing/2014/chart" uri="{C3380CC4-5D6E-409C-BE32-E72D297353CC}">
              <c16:uniqueId val="{00000002-7E53-4EAB-A249-CA87300CDD98}"/>
            </c:ext>
          </c:extLst>
        </c:ser>
        <c:ser>
          <c:idx val="3"/>
          <c:order val="3"/>
          <c:tx>
            <c:strRef>
              <c:f>Charts!$B$6</c:f>
              <c:strCache>
                <c:ptCount val="1"/>
                <c:pt idx="0">
                  <c:v>Hybrid</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8-7E53-4EAB-A249-CA87300CDD98}"/>
                </c:ext>
              </c:extLst>
            </c:dLbl>
            <c:dLbl>
              <c:idx val="1"/>
              <c:delete val="1"/>
              <c:extLst>
                <c:ext xmlns:c15="http://schemas.microsoft.com/office/drawing/2012/chart" uri="{CE6537A1-D6FC-4f65-9D91-7224C49458BB}"/>
                <c:ext xmlns:c16="http://schemas.microsoft.com/office/drawing/2014/chart" uri="{C3380CC4-5D6E-409C-BE32-E72D297353CC}">
                  <c16:uniqueId val="{00000009-7E53-4EAB-A249-CA87300CDD98}"/>
                </c:ext>
              </c:extLst>
            </c:dLbl>
            <c:dLbl>
              <c:idx val="2"/>
              <c:delete val="1"/>
              <c:extLst>
                <c:ext xmlns:c15="http://schemas.microsoft.com/office/drawing/2012/chart" uri="{CE6537A1-D6FC-4f65-9D91-7224C49458BB}"/>
                <c:ext xmlns:c16="http://schemas.microsoft.com/office/drawing/2014/chart" uri="{C3380CC4-5D6E-409C-BE32-E72D297353CC}">
                  <c16:uniqueId val="{0000000A-7E53-4EAB-A249-CA87300CDD98}"/>
                </c:ext>
              </c:extLst>
            </c:dLbl>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Charts!$C$6:$F$6</c:f>
              <c:numCache>
                <c:formatCode>_ * #,##0_ ;_ * \-#,##0_ ;_ * "-"??_ ;_ @_ </c:formatCode>
                <c:ptCount val="4"/>
                <c:pt idx="0">
                  <c:v>0</c:v>
                </c:pt>
                <c:pt idx="1">
                  <c:v>0</c:v>
                </c:pt>
                <c:pt idx="2">
                  <c:v>0</c:v>
                </c:pt>
                <c:pt idx="3">
                  <c:v>300</c:v>
                </c:pt>
              </c:numCache>
            </c:numRef>
          </c:val>
          <c:extLst>
            <c:ext xmlns:c16="http://schemas.microsoft.com/office/drawing/2014/chart" uri="{C3380CC4-5D6E-409C-BE32-E72D297353CC}">
              <c16:uniqueId val="{00000003-7E53-4EAB-A249-CA87300CDD98}"/>
            </c:ext>
          </c:extLst>
        </c:ser>
        <c:ser>
          <c:idx val="4"/>
          <c:order val="4"/>
          <c:tx>
            <c:strRef>
              <c:f>Charts!$B$7</c:f>
              <c:strCache>
                <c:ptCount val="1"/>
                <c:pt idx="0">
                  <c:v>FDRE</c:v>
                </c:pt>
              </c:strCache>
            </c:strRef>
          </c:tx>
          <c:spPr>
            <a:solidFill>
              <a:schemeClr val="accent2">
                <a:lumMod val="20000"/>
                <a:lumOff val="80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6-7E53-4EAB-A249-CA87300CDD98}"/>
                </c:ext>
              </c:extLst>
            </c:dLbl>
            <c:dLbl>
              <c:idx val="1"/>
              <c:delete val="1"/>
              <c:extLst>
                <c:ext xmlns:c15="http://schemas.microsoft.com/office/drawing/2012/chart" uri="{CE6537A1-D6FC-4f65-9D91-7224C49458BB}"/>
                <c:ext xmlns:c16="http://schemas.microsoft.com/office/drawing/2014/chart" uri="{C3380CC4-5D6E-409C-BE32-E72D297353CC}">
                  <c16:uniqueId val="{00000007-7E53-4EAB-A249-CA87300CDD98}"/>
                </c:ext>
              </c:extLst>
            </c:dLbl>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Charts!$C$7:$F$7</c:f>
              <c:numCache>
                <c:formatCode>_ * #,##0_ ;_ * \-#,##0_ ;_ * "-"??_ ;_ @_ </c:formatCode>
                <c:ptCount val="4"/>
                <c:pt idx="0">
                  <c:v>0</c:v>
                </c:pt>
                <c:pt idx="1">
                  <c:v>0</c:v>
                </c:pt>
                <c:pt idx="2">
                  <c:v>1580</c:v>
                </c:pt>
                <c:pt idx="3">
                  <c:v>2280</c:v>
                </c:pt>
              </c:numCache>
            </c:numRef>
          </c:val>
          <c:extLst>
            <c:ext xmlns:c16="http://schemas.microsoft.com/office/drawing/2014/chart" uri="{C3380CC4-5D6E-409C-BE32-E72D297353CC}">
              <c16:uniqueId val="{00000004-7E53-4EAB-A249-CA87300CDD98}"/>
            </c:ext>
          </c:extLst>
        </c:ser>
        <c:ser>
          <c:idx val="5"/>
          <c:order val="5"/>
          <c:tx>
            <c:strRef>
              <c:f>Charts!$B$8</c:f>
              <c:strCache>
                <c:ptCount val="1"/>
                <c:pt idx="0">
                  <c:v>Total</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Charts!$C$8:$F$8</c:f>
              <c:numCache>
                <c:formatCode>_ * #,##0_ ;_ * \-#,##0_ ;_ * "-"??_ ;_ @_ </c:formatCode>
                <c:ptCount val="4"/>
                <c:pt idx="0">
                  <c:v>2540</c:v>
                </c:pt>
                <c:pt idx="1">
                  <c:v>2990</c:v>
                </c:pt>
                <c:pt idx="2">
                  <c:v>4845</c:v>
                </c:pt>
                <c:pt idx="3">
                  <c:v>5845</c:v>
                </c:pt>
              </c:numCache>
            </c:numRef>
          </c:val>
          <c:extLst>
            <c:ext xmlns:c16="http://schemas.microsoft.com/office/drawing/2014/chart" uri="{C3380CC4-5D6E-409C-BE32-E72D297353CC}">
              <c16:uniqueId val="{00000005-7E53-4EAB-A249-CA87300CDD98}"/>
            </c:ext>
          </c:extLst>
        </c:ser>
        <c:dLbls>
          <c:dLblPos val="ctr"/>
          <c:showLegendKey val="0"/>
          <c:showVal val="1"/>
          <c:showCatName val="0"/>
          <c:showSerName val="0"/>
          <c:showPercent val="0"/>
          <c:showBubbleSize val="0"/>
        </c:dLbls>
        <c:gapWidth val="30"/>
        <c:overlap val="100"/>
        <c:axId val="1388011280"/>
        <c:axId val="1388013200"/>
      </c:barChart>
      <c:catAx>
        <c:axId val="1388011280"/>
        <c:scaling>
          <c:orientation val="minMax"/>
        </c:scaling>
        <c:delete val="0"/>
        <c:axPos val="b"/>
        <c:numFmt formatCode="General" sourceLinked="1"/>
        <c:majorTickMark val="none"/>
        <c:minorTickMark val="none"/>
        <c:tickLblPos val="nextTo"/>
        <c:crossAx val="1388013200"/>
        <c:crosses val="autoZero"/>
        <c:auto val="1"/>
        <c:lblAlgn val="ctr"/>
        <c:lblOffset val="100"/>
        <c:noMultiLvlLbl val="0"/>
      </c:catAx>
      <c:valAx>
        <c:axId val="1388013200"/>
        <c:scaling>
          <c:orientation val="minMax"/>
          <c:max val="10000"/>
        </c:scaling>
        <c:delete val="1"/>
        <c:axPos val="l"/>
        <c:numFmt formatCode="_ * #,##0_ ;_ * \-#,##0_ ;_ * &quot;-&quot;??_ ;_ @_ " sourceLinked="1"/>
        <c:majorTickMark val="out"/>
        <c:minorTickMark val="none"/>
        <c:tickLblPos val="nextTo"/>
        <c:crossAx val="1388011280"/>
        <c:crosses val="autoZero"/>
        <c:crossBetween val="between"/>
      </c:valAx>
      <c:spPr>
        <a:noFill/>
      </c:spPr>
    </c:plotArea>
    <c:legend>
      <c:legendPos val="b"/>
      <c:legendEntry>
        <c:idx val="5"/>
        <c:delete val="1"/>
      </c:legendEntry>
      <c:overlay val="0"/>
    </c:legend>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Acme Solar - Capacity Addition, MW</a:t>
            </a:r>
          </a:p>
        </c:rich>
      </c:tx>
      <c:overlay val="0"/>
    </c:title>
    <c:autoTitleDeleted val="0"/>
    <c:plotArea>
      <c:layout/>
      <c:barChart>
        <c:barDir val="col"/>
        <c:grouping val="stacked"/>
        <c:varyColors val="0"/>
        <c:ser>
          <c:idx val="0"/>
          <c:order val="0"/>
          <c:tx>
            <c:strRef>
              <c:f>Charts!$B$12</c:f>
              <c:strCache>
                <c:ptCount val="1"/>
                <c:pt idx="0">
                  <c:v>Solar</c:v>
                </c:pt>
              </c:strCache>
            </c:strRef>
          </c:tx>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B-DCC5-403C-9A82-B02359C5167B}"/>
                </c:ext>
              </c:extLst>
            </c:dLbl>
            <c:dLbl>
              <c:idx val="3"/>
              <c:delete val="1"/>
              <c:extLst>
                <c:ext xmlns:c15="http://schemas.microsoft.com/office/drawing/2012/chart" uri="{CE6537A1-D6FC-4f65-9D91-7224C49458BB}"/>
                <c:ext xmlns:c16="http://schemas.microsoft.com/office/drawing/2014/chart" uri="{C3380CC4-5D6E-409C-BE32-E72D297353CC}">
                  <c16:uniqueId val="{0000000C-DCC5-403C-9A82-B02359C5167B}"/>
                </c:ext>
              </c:extLst>
            </c:dLbl>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Charts!$C$12:$F$12</c:f>
              <c:numCache>
                <c:formatCode>_ * #,##0_ ;_ * \-#,##0_ ;_ * "-"??_ ;_ @_ </c:formatCode>
                <c:ptCount val="4"/>
                <c:pt idx="0">
                  <c:v>1200</c:v>
                </c:pt>
                <c:pt idx="1">
                  <c:v>300</c:v>
                </c:pt>
                <c:pt idx="2">
                  <c:v>0</c:v>
                </c:pt>
                <c:pt idx="3">
                  <c:v>300</c:v>
                </c:pt>
              </c:numCache>
            </c:numRef>
          </c:val>
          <c:extLst>
            <c:ext xmlns:c16="http://schemas.microsoft.com/office/drawing/2014/chart" uri="{C3380CC4-5D6E-409C-BE32-E72D297353CC}">
              <c16:uniqueId val="{00000000-DCC5-403C-9A82-B02359C5167B}"/>
            </c:ext>
          </c:extLst>
        </c:ser>
        <c:ser>
          <c:idx val="1"/>
          <c:order val="1"/>
          <c:tx>
            <c:strRef>
              <c:f>Charts!$B$13</c:f>
              <c:strCache>
                <c:ptCount val="1"/>
                <c:pt idx="0">
                  <c:v>Wind</c:v>
                </c:pt>
              </c:strCache>
            </c:strRef>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CC5-403C-9A82-B02359C5167B}"/>
                </c:ext>
              </c:extLst>
            </c:dLbl>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Charts!$C$13:$F$13</c:f>
              <c:numCache>
                <c:formatCode>_ * #,##0_ ;_ * \-#,##0_ ;_ * "-"??_ ;_ @_ </c:formatCode>
                <c:ptCount val="4"/>
                <c:pt idx="0">
                  <c:v>0</c:v>
                </c:pt>
                <c:pt idx="1">
                  <c:v>142</c:v>
                </c:pt>
                <c:pt idx="2">
                  <c:v>8</c:v>
                </c:pt>
                <c:pt idx="3">
                  <c:v>0</c:v>
                </c:pt>
              </c:numCache>
            </c:numRef>
          </c:val>
          <c:extLst>
            <c:ext xmlns:c16="http://schemas.microsoft.com/office/drawing/2014/chart" uri="{C3380CC4-5D6E-409C-BE32-E72D297353CC}">
              <c16:uniqueId val="{00000001-DCC5-403C-9A82-B02359C5167B}"/>
            </c:ext>
          </c:extLst>
        </c:ser>
        <c:ser>
          <c:idx val="2"/>
          <c:order val="2"/>
          <c:tx>
            <c:strRef>
              <c:f>Charts!$B$14</c:f>
              <c:strCache>
                <c:ptCount val="1"/>
                <c:pt idx="0">
                  <c:v>BESS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4-DCC5-403C-9A82-B02359C5167B}"/>
                </c:ext>
              </c:extLst>
            </c:dLbl>
            <c:dLbl>
              <c:idx val="1"/>
              <c:delete val="1"/>
              <c:extLst>
                <c:ext xmlns:c15="http://schemas.microsoft.com/office/drawing/2012/chart" uri="{CE6537A1-D6FC-4f65-9D91-7224C49458BB}"/>
                <c:ext xmlns:c16="http://schemas.microsoft.com/office/drawing/2014/chart" uri="{C3380CC4-5D6E-409C-BE32-E72D297353CC}">
                  <c16:uniqueId val="{00000010-DCC5-403C-9A82-B02359C5167B}"/>
                </c:ext>
              </c:extLst>
            </c:dLbl>
            <c:dLbl>
              <c:idx val="2"/>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F-DCC5-403C-9A82-B02359C5167B}"/>
                </c:ext>
              </c:extLst>
            </c:dLbl>
            <c:dLbl>
              <c:idx val="3"/>
              <c:delete val="1"/>
              <c:extLst>
                <c:ext xmlns:c15="http://schemas.microsoft.com/office/drawing/2012/chart" uri="{CE6537A1-D6FC-4f65-9D91-7224C49458BB}"/>
                <c:ext xmlns:c16="http://schemas.microsoft.com/office/drawing/2014/chart" uri="{C3380CC4-5D6E-409C-BE32-E72D297353CC}">
                  <c16:uniqueId val="{00000012-DCC5-403C-9A82-B02359C5167B}"/>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Charts!$C$14:$F$14</c:f>
              <c:numCache>
                <c:formatCode>_ * #,##0_ ;_ * \-#,##0_ ;_ * "-"??_ ;_ @_ </c:formatCode>
                <c:ptCount val="4"/>
                <c:pt idx="0">
                  <c:v>0</c:v>
                </c:pt>
                <c:pt idx="1">
                  <c:v>1324</c:v>
                </c:pt>
                <c:pt idx="2">
                  <c:v>10184</c:v>
                </c:pt>
                <c:pt idx="3">
                  <c:v>5000</c:v>
                </c:pt>
              </c:numCache>
            </c:numRef>
          </c:val>
          <c:extLst>
            <c:ext xmlns:c16="http://schemas.microsoft.com/office/drawing/2014/chart" uri="{C3380CC4-5D6E-409C-BE32-E72D297353CC}">
              <c16:uniqueId val="{00000002-DCC5-403C-9A82-B02359C5167B}"/>
            </c:ext>
          </c:extLst>
        </c:ser>
        <c:ser>
          <c:idx val="3"/>
          <c:order val="3"/>
          <c:tx>
            <c:strRef>
              <c:f>Charts!$B$15</c:f>
              <c:strCache>
                <c:ptCount val="1"/>
                <c:pt idx="0">
                  <c:v>Hybrid</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DCC5-403C-9A82-B02359C5167B}"/>
                </c:ext>
              </c:extLst>
            </c:dLbl>
            <c:dLbl>
              <c:idx val="1"/>
              <c:delete val="1"/>
              <c:extLst>
                <c:ext xmlns:c15="http://schemas.microsoft.com/office/drawing/2012/chart" uri="{CE6537A1-D6FC-4f65-9D91-7224C49458BB}"/>
                <c:ext xmlns:c16="http://schemas.microsoft.com/office/drawing/2014/chart" uri="{C3380CC4-5D6E-409C-BE32-E72D297353CC}">
                  <c16:uniqueId val="{00000004-DCC5-403C-9A82-B02359C5167B}"/>
                </c:ext>
              </c:extLst>
            </c:dLbl>
            <c:dLbl>
              <c:idx val="2"/>
              <c:delete val="1"/>
              <c:extLst>
                <c:ext xmlns:c15="http://schemas.microsoft.com/office/drawing/2012/chart" uri="{CE6537A1-D6FC-4f65-9D91-7224C49458BB}"/>
                <c:ext xmlns:c16="http://schemas.microsoft.com/office/drawing/2014/chart" uri="{C3380CC4-5D6E-409C-BE32-E72D297353CC}">
                  <c16:uniqueId val="{00000005-DCC5-403C-9A82-B02359C5167B}"/>
                </c:ext>
              </c:extLst>
            </c:dLbl>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Charts!$C$15:$F$15</c:f>
              <c:numCache>
                <c:formatCode>_ * #,##0_ ;_ * \-#,##0_ ;_ * "-"??_ ;_ @_ </c:formatCode>
                <c:ptCount val="4"/>
                <c:pt idx="0">
                  <c:v>0</c:v>
                </c:pt>
                <c:pt idx="1">
                  <c:v>0</c:v>
                </c:pt>
                <c:pt idx="2">
                  <c:v>0</c:v>
                </c:pt>
                <c:pt idx="3">
                  <c:v>300</c:v>
                </c:pt>
              </c:numCache>
            </c:numRef>
          </c:val>
          <c:extLst>
            <c:ext xmlns:c16="http://schemas.microsoft.com/office/drawing/2014/chart" uri="{C3380CC4-5D6E-409C-BE32-E72D297353CC}">
              <c16:uniqueId val="{00000006-DCC5-403C-9A82-B02359C5167B}"/>
            </c:ext>
          </c:extLst>
        </c:ser>
        <c:ser>
          <c:idx val="4"/>
          <c:order val="4"/>
          <c:tx>
            <c:strRef>
              <c:f>Charts!$B$16</c:f>
              <c:strCache>
                <c:ptCount val="1"/>
                <c:pt idx="0">
                  <c:v>FDRE</c:v>
                </c:pt>
              </c:strCache>
            </c:strRef>
          </c:tx>
          <c:spPr>
            <a:solidFill>
              <a:schemeClr val="accent3">
                <a:lumMod val="20000"/>
                <a:lumOff val="80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DCC5-403C-9A82-B02359C5167B}"/>
                </c:ext>
              </c:extLst>
            </c:dLbl>
            <c:dLbl>
              <c:idx val="1"/>
              <c:delete val="1"/>
              <c:extLst>
                <c:ext xmlns:c15="http://schemas.microsoft.com/office/drawing/2012/chart" uri="{CE6537A1-D6FC-4f65-9D91-7224C49458BB}"/>
                <c:ext xmlns:c16="http://schemas.microsoft.com/office/drawing/2014/chart" uri="{C3380CC4-5D6E-409C-BE32-E72D297353CC}">
                  <c16:uniqueId val="{00000008-DCC5-403C-9A82-B02359C5167B}"/>
                </c:ext>
              </c:extLst>
            </c:dLbl>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Charts!$C$16:$F$16</c:f>
              <c:numCache>
                <c:formatCode>_ * #,##0_ ;_ * \-#,##0_ ;_ * "-"??_ ;_ @_ </c:formatCode>
                <c:ptCount val="4"/>
                <c:pt idx="0">
                  <c:v>0</c:v>
                </c:pt>
                <c:pt idx="1">
                  <c:v>0</c:v>
                </c:pt>
                <c:pt idx="2">
                  <c:v>1030</c:v>
                </c:pt>
                <c:pt idx="3">
                  <c:v>1250</c:v>
                </c:pt>
              </c:numCache>
            </c:numRef>
          </c:val>
          <c:extLst>
            <c:ext xmlns:c16="http://schemas.microsoft.com/office/drawing/2014/chart" uri="{C3380CC4-5D6E-409C-BE32-E72D297353CC}">
              <c16:uniqueId val="{00000009-DCC5-403C-9A82-B02359C5167B}"/>
            </c:ext>
          </c:extLst>
        </c:ser>
        <c:ser>
          <c:idx val="5"/>
          <c:order val="5"/>
          <c:tx>
            <c:strRef>
              <c:f>Charts!$B$17</c:f>
              <c:strCache>
                <c:ptCount val="1"/>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Charts!$C$2:$F$2</c:f>
              <c:strCache>
                <c:ptCount val="4"/>
                <c:pt idx="0">
                  <c:v>FY25A</c:v>
                </c:pt>
                <c:pt idx="1">
                  <c:v>FY26A</c:v>
                </c:pt>
                <c:pt idx="2">
                  <c:v>FY27E</c:v>
                </c:pt>
                <c:pt idx="3">
                  <c:v>FY28E</c:v>
                </c:pt>
              </c:strCache>
            </c:strRef>
          </c:cat>
          <c:val>
            <c:numRef>
              <c:f>Charts!$C$17:$F$17</c:f>
              <c:numCache>
                <c:formatCode>_ * #,##0_ ;_ * \-#,##0_ ;_ * "-"??_ ;_ @_ </c:formatCode>
                <c:ptCount val="4"/>
                <c:pt idx="0">
                  <c:v>1200</c:v>
                </c:pt>
                <c:pt idx="1">
                  <c:v>1766</c:v>
                </c:pt>
                <c:pt idx="2">
                  <c:v>11222</c:v>
                </c:pt>
                <c:pt idx="3">
                  <c:v>6850</c:v>
                </c:pt>
              </c:numCache>
            </c:numRef>
          </c:val>
          <c:extLst>
            <c:ext xmlns:c16="http://schemas.microsoft.com/office/drawing/2014/chart" uri="{C3380CC4-5D6E-409C-BE32-E72D297353CC}">
              <c16:uniqueId val="{0000000A-DCC5-403C-9A82-B02359C5167B}"/>
            </c:ext>
          </c:extLst>
        </c:ser>
        <c:dLbls>
          <c:dLblPos val="ctr"/>
          <c:showLegendKey val="0"/>
          <c:showVal val="1"/>
          <c:showCatName val="0"/>
          <c:showSerName val="0"/>
          <c:showPercent val="0"/>
          <c:showBubbleSize val="0"/>
        </c:dLbls>
        <c:gapWidth val="30"/>
        <c:overlap val="100"/>
        <c:axId val="1388011280"/>
        <c:axId val="1388013200"/>
      </c:barChart>
      <c:catAx>
        <c:axId val="1388011280"/>
        <c:scaling>
          <c:orientation val="minMax"/>
        </c:scaling>
        <c:delete val="0"/>
        <c:axPos val="b"/>
        <c:numFmt formatCode="General" sourceLinked="1"/>
        <c:majorTickMark val="none"/>
        <c:minorTickMark val="none"/>
        <c:tickLblPos val="nextTo"/>
        <c:crossAx val="1388013200"/>
        <c:crosses val="autoZero"/>
        <c:auto val="1"/>
        <c:lblAlgn val="ctr"/>
        <c:lblOffset val="100"/>
        <c:noMultiLvlLbl val="0"/>
      </c:catAx>
      <c:valAx>
        <c:axId val="1388013200"/>
        <c:scaling>
          <c:orientation val="minMax"/>
          <c:max val="2000"/>
        </c:scaling>
        <c:delete val="1"/>
        <c:axPos val="l"/>
        <c:numFmt formatCode="_ * #,##0_ ;_ * \-#,##0_ ;_ * &quot;-&quot;??_ ;_ @_ " sourceLinked="1"/>
        <c:majorTickMark val="out"/>
        <c:minorTickMark val="none"/>
        <c:tickLblPos val="nextTo"/>
        <c:crossAx val="1388011280"/>
        <c:crosses val="autoZero"/>
        <c:crossBetween val="between"/>
      </c:valAx>
      <c:spPr>
        <a:noFill/>
      </c:spPr>
    </c:plotArea>
    <c:legend>
      <c:legendPos val="b"/>
      <c:legendEntry>
        <c:idx val="5"/>
        <c:delete val="1"/>
      </c:legendEntry>
      <c:overlay val="0"/>
    </c:legend>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Acme Solar - Revenue, Rs. bn</a:t>
            </a:r>
          </a:p>
        </c:rich>
      </c:tx>
      <c:overlay val="0"/>
    </c:title>
    <c:autoTitleDeleted val="0"/>
    <c:plotArea>
      <c:layout/>
      <c:barChart>
        <c:barDir val="col"/>
        <c:grouping val="clustered"/>
        <c:varyColors val="0"/>
        <c:ser>
          <c:idx val="0"/>
          <c:order val="0"/>
          <c:tx>
            <c:strRef>
              <c:f>Charts!$B$20</c:f>
              <c:strCache>
                <c:ptCount val="1"/>
                <c:pt idx="0">
                  <c:v>Revenue, Rs. bn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Charts!$C$19:$F$19</c:f>
              <c:strCache>
                <c:ptCount val="4"/>
                <c:pt idx="0">
                  <c:v>FY25A</c:v>
                </c:pt>
                <c:pt idx="1">
                  <c:v>FY26A</c:v>
                </c:pt>
                <c:pt idx="2">
                  <c:v>FY27E</c:v>
                </c:pt>
                <c:pt idx="3">
                  <c:v>FY28E</c:v>
                </c:pt>
              </c:strCache>
            </c:strRef>
          </c:cat>
          <c:val>
            <c:numRef>
              <c:f>Charts!$C$20:$F$20</c:f>
              <c:numCache>
                <c:formatCode>#,##0</c:formatCode>
                <c:ptCount val="4"/>
                <c:pt idx="0">
                  <c:v>14.051309999999999</c:v>
                </c:pt>
                <c:pt idx="1">
                  <c:v>20.233790000000003</c:v>
                </c:pt>
                <c:pt idx="2">
                  <c:v>40.060234925230688</c:v>
                </c:pt>
                <c:pt idx="3">
                  <c:v>69.18715995147123</c:v>
                </c:pt>
              </c:numCache>
            </c:numRef>
          </c:val>
          <c:extLst>
            <c:ext xmlns:c16="http://schemas.microsoft.com/office/drawing/2014/chart" uri="{C3380CC4-5D6E-409C-BE32-E72D297353CC}">
              <c16:uniqueId val="{00000000-9C57-4264-9849-7744E6F90E4B}"/>
            </c:ext>
          </c:extLst>
        </c:ser>
        <c:dLbls>
          <c:dLblPos val="outEnd"/>
          <c:showLegendKey val="0"/>
          <c:showVal val="1"/>
          <c:showCatName val="0"/>
          <c:showSerName val="0"/>
          <c:showPercent val="0"/>
          <c:showBubbleSize val="0"/>
        </c:dLbls>
        <c:gapWidth val="30"/>
        <c:overlap val="-27"/>
        <c:axId val="1771997183"/>
        <c:axId val="1771998143"/>
      </c:barChart>
      <c:catAx>
        <c:axId val="1771997183"/>
        <c:scaling>
          <c:orientation val="minMax"/>
        </c:scaling>
        <c:delete val="0"/>
        <c:axPos val="b"/>
        <c:numFmt formatCode="General" sourceLinked="1"/>
        <c:majorTickMark val="none"/>
        <c:minorTickMark val="none"/>
        <c:tickLblPos val="nextTo"/>
        <c:crossAx val="1771998143"/>
        <c:crosses val="autoZero"/>
        <c:auto val="1"/>
        <c:lblAlgn val="ctr"/>
        <c:lblOffset val="100"/>
        <c:noMultiLvlLbl val="0"/>
      </c:catAx>
      <c:valAx>
        <c:axId val="1771998143"/>
        <c:scaling>
          <c:orientation val="minMax"/>
        </c:scaling>
        <c:delete val="1"/>
        <c:axPos val="l"/>
        <c:numFmt formatCode="#,##0" sourceLinked="1"/>
        <c:majorTickMark val="none"/>
        <c:minorTickMark val="none"/>
        <c:tickLblPos val="nextTo"/>
        <c:crossAx val="1771997183"/>
        <c:crosses val="autoZero"/>
        <c:crossBetween val="between"/>
      </c:valAx>
      <c:spPr>
        <a:noFill/>
      </c:spPr>
    </c:plotArea>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Acme Solar - EBITDA, Rs.</a:t>
            </a:r>
            <a:r>
              <a:rPr lang="en-IN" baseline="0"/>
              <a:t> bn</a:t>
            </a:r>
            <a:endParaRPr lang="en-IN"/>
          </a:p>
        </c:rich>
      </c:tx>
      <c:overlay val="0"/>
    </c:title>
    <c:autoTitleDeleted val="0"/>
    <c:plotArea>
      <c:layout/>
      <c:barChart>
        <c:barDir val="col"/>
        <c:grouping val="clustered"/>
        <c:varyColors val="0"/>
        <c:ser>
          <c:idx val="0"/>
          <c:order val="0"/>
          <c:tx>
            <c:strRef>
              <c:f>Charts!$B$21</c:f>
              <c:strCache>
                <c:ptCount val="1"/>
                <c:pt idx="0">
                  <c:v>EBITDA, Rs. bn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Charts!$C$19:$F$19</c:f>
              <c:strCache>
                <c:ptCount val="4"/>
                <c:pt idx="0">
                  <c:v>FY25A</c:v>
                </c:pt>
                <c:pt idx="1">
                  <c:v>FY26A</c:v>
                </c:pt>
                <c:pt idx="2">
                  <c:v>FY27E</c:v>
                </c:pt>
                <c:pt idx="3">
                  <c:v>FY28E</c:v>
                </c:pt>
              </c:strCache>
            </c:strRef>
          </c:cat>
          <c:val>
            <c:numRef>
              <c:f>Charts!$C$21:$F$21</c:f>
              <c:numCache>
                <c:formatCode>#,##0</c:formatCode>
                <c:ptCount val="4"/>
                <c:pt idx="0">
                  <c:v>12.353999999999999</c:v>
                </c:pt>
                <c:pt idx="1">
                  <c:v>17.813359999999999</c:v>
                </c:pt>
                <c:pt idx="2">
                  <c:v>32.975922456311736</c:v>
                </c:pt>
                <c:pt idx="3">
                  <c:v>60.816343049445059</c:v>
                </c:pt>
              </c:numCache>
            </c:numRef>
          </c:val>
          <c:extLst>
            <c:ext xmlns:c16="http://schemas.microsoft.com/office/drawing/2014/chart" uri="{C3380CC4-5D6E-409C-BE32-E72D297353CC}">
              <c16:uniqueId val="{00000000-D7A3-4435-947D-7EEE51049671}"/>
            </c:ext>
          </c:extLst>
        </c:ser>
        <c:dLbls>
          <c:dLblPos val="outEnd"/>
          <c:showLegendKey val="0"/>
          <c:showVal val="1"/>
          <c:showCatName val="0"/>
          <c:showSerName val="0"/>
          <c:showPercent val="0"/>
          <c:showBubbleSize val="0"/>
        </c:dLbls>
        <c:gapWidth val="30"/>
        <c:axId val="1771997183"/>
        <c:axId val="1771998143"/>
      </c:barChart>
      <c:lineChart>
        <c:grouping val="standard"/>
        <c:varyColors val="0"/>
        <c:ser>
          <c:idx val="1"/>
          <c:order val="1"/>
          <c:tx>
            <c:strRef>
              <c:f>Charts!$B$22</c:f>
              <c:strCache>
                <c:ptCount val="1"/>
                <c:pt idx="0">
                  <c:v>Margin %</c:v>
                </c:pt>
              </c:strCache>
            </c:strRef>
          </c:tx>
          <c:spPr>
            <a:ln w="38100"/>
          </c:spPr>
          <c:marker>
            <c:symbol val="none"/>
          </c:marker>
          <c:dLbls>
            <c:spPr>
              <a:solidFill>
                <a:schemeClr val="accent2"/>
              </a:solidFill>
              <a:ln>
                <a:noFill/>
              </a:ln>
              <a:effectLst/>
            </c:spPr>
            <c:txPr>
              <a:bodyPr wrap="square" lIns="38100" tIns="19050" rIns="38100" bIns="19050" anchor="ctr">
                <a:spAutoFit/>
              </a:bodyPr>
              <a:lstStyle/>
              <a:p>
                <a:pPr>
                  <a:defRPr b="1">
                    <a:solidFill>
                      <a:schemeClr val="bg1"/>
                    </a:solidFil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Charts!$C$19:$F$19</c:f>
              <c:strCache>
                <c:ptCount val="4"/>
                <c:pt idx="0">
                  <c:v>FY25A</c:v>
                </c:pt>
                <c:pt idx="1">
                  <c:v>FY26A</c:v>
                </c:pt>
                <c:pt idx="2">
                  <c:v>FY27E</c:v>
                </c:pt>
                <c:pt idx="3">
                  <c:v>FY28E</c:v>
                </c:pt>
              </c:strCache>
            </c:strRef>
          </c:cat>
          <c:val>
            <c:numRef>
              <c:f>Charts!$C$22:$F$22</c:f>
              <c:numCache>
                <c:formatCode>0%</c:formatCode>
                <c:ptCount val="4"/>
                <c:pt idx="0">
                  <c:v>0.87920628041086557</c:v>
                </c:pt>
                <c:pt idx="1">
                  <c:v>0.88037683498741448</c:v>
                </c:pt>
                <c:pt idx="2">
                  <c:v>0.8231584891566095</c:v>
                </c:pt>
                <c:pt idx="3">
                  <c:v>0.87901198852651896</c:v>
                </c:pt>
              </c:numCache>
            </c:numRef>
          </c:val>
          <c:smooth val="1"/>
          <c:extLst>
            <c:ext xmlns:c16="http://schemas.microsoft.com/office/drawing/2014/chart" uri="{C3380CC4-5D6E-409C-BE32-E72D297353CC}">
              <c16:uniqueId val="{00000001-D7A3-4435-947D-7EEE51049671}"/>
            </c:ext>
          </c:extLst>
        </c:ser>
        <c:dLbls>
          <c:showLegendKey val="0"/>
          <c:showVal val="0"/>
          <c:showCatName val="0"/>
          <c:showSerName val="0"/>
          <c:showPercent val="0"/>
          <c:showBubbleSize val="0"/>
        </c:dLbls>
        <c:marker val="1"/>
        <c:smooth val="0"/>
        <c:axId val="1776373167"/>
        <c:axId val="1776372207"/>
      </c:lineChart>
      <c:catAx>
        <c:axId val="1771997183"/>
        <c:scaling>
          <c:orientation val="minMax"/>
        </c:scaling>
        <c:delete val="0"/>
        <c:axPos val="b"/>
        <c:numFmt formatCode="General" sourceLinked="1"/>
        <c:majorTickMark val="none"/>
        <c:minorTickMark val="none"/>
        <c:tickLblPos val="nextTo"/>
        <c:crossAx val="1771998143"/>
        <c:crosses val="autoZero"/>
        <c:auto val="1"/>
        <c:lblAlgn val="ctr"/>
        <c:lblOffset val="100"/>
        <c:noMultiLvlLbl val="0"/>
      </c:catAx>
      <c:valAx>
        <c:axId val="1771998143"/>
        <c:scaling>
          <c:orientation val="minMax"/>
        </c:scaling>
        <c:delete val="0"/>
        <c:axPos val="l"/>
        <c:numFmt formatCode="#,##0" sourceLinked="1"/>
        <c:majorTickMark val="out"/>
        <c:minorTickMark val="none"/>
        <c:tickLblPos val="none"/>
        <c:spPr>
          <a:ln>
            <a:noFill/>
          </a:ln>
        </c:spPr>
        <c:crossAx val="1771997183"/>
        <c:crosses val="autoZero"/>
        <c:crossBetween val="between"/>
      </c:valAx>
      <c:valAx>
        <c:axId val="1776372207"/>
        <c:scaling>
          <c:orientation val="minMax"/>
        </c:scaling>
        <c:delete val="0"/>
        <c:axPos val="r"/>
        <c:numFmt formatCode="0%" sourceLinked="1"/>
        <c:majorTickMark val="out"/>
        <c:minorTickMark val="none"/>
        <c:tickLblPos val="none"/>
        <c:spPr>
          <a:ln>
            <a:noFill/>
          </a:ln>
        </c:spPr>
        <c:crossAx val="1776373167"/>
        <c:crosses val="max"/>
        <c:crossBetween val="between"/>
      </c:valAx>
      <c:catAx>
        <c:axId val="1776373167"/>
        <c:scaling>
          <c:orientation val="minMax"/>
        </c:scaling>
        <c:delete val="1"/>
        <c:axPos val="b"/>
        <c:numFmt formatCode="General" sourceLinked="1"/>
        <c:majorTickMark val="out"/>
        <c:minorTickMark val="none"/>
        <c:tickLblPos val="nextTo"/>
        <c:crossAx val="1776372207"/>
        <c:crosses val="autoZero"/>
        <c:auto val="1"/>
        <c:lblAlgn val="ctr"/>
        <c:lblOffset val="100"/>
        <c:noMultiLvlLbl val="0"/>
      </c:catAx>
      <c:spPr>
        <a:noFill/>
      </c:spPr>
    </c:plotArea>
    <c:legend>
      <c:legendPos val="b"/>
      <c:overlay val="0"/>
    </c:legend>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Acme Solar - PAT, Rs. bn</a:t>
            </a:r>
          </a:p>
        </c:rich>
      </c:tx>
      <c:overlay val="0"/>
    </c:title>
    <c:autoTitleDeleted val="0"/>
    <c:plotArea>
      <c:layout/>
      <c:barChart>
        <c:barDir val="col"/>
        <c:grouping val="clustered"/>
        <c:varyColors val="0"/>
        <c:ser>
          <c:idx val="0"/>
          <c:order val="0"/>
          <c:tx>
            <c:strRef>
              <c:f>Charts!$B$23</c:f>
              <c:strCache>
                <c:ptCount val="1"/>
                <c:pt idx="0">
                  <c:v>PAT, Rs. bn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Charts!$C$19:$F$19</c:f>
              <c:strCache>
                <c:ptCount val="4"/>
                <c:pt idx="0">
                  <c:v>FY25A</c:v>
                </c:pt>
                <c:pt idx="1">
                  <c:v>FY26A</c:v>
                </c:pt>
                <c:pt idx="2">
                  <c:v>FY27E</c:v>
                </c:pt>
                <c:pt idx="3">
                  <c:v>FY28E</c:v>
                </c:pt>
              </c:strCache>
            </c:strRef>
          </c:cat>
          <c:val>
            <c:numRef>
              <c:f>Charts!$C$23:$F$23</c:f>
              <c:numCache>
                <c:formatCode>#,##0</c:formatCode>
                <c:ptCount val="4"/>
                <c:pt idx="0">
                  <c:v>2.5207800000000011</c:v>
                </c:pt>
                <c:pt idx="1">
                  <c:v>4.989150000000004</c:v>
                </c:pt>
                <c:pt idx="2">
                  <c:v>8.8913066932589278</c:v>
                </c:pt>
                <c:pt idx="3">
                  <c:v>16.962059607111179</c:v>
                </c:pt>
              </c:numCache>
            </c:numRef>
          </c:val>
          <c:extLst>
            <c:ext xmlns:c16="http://schemas.microsoft.com/office/drawing/2014/chart" uri="{C3380CC4-5D6E-409C-BE32-E72D297353CC}">
              <c16:uniqueId val="{00000000-8E80-4ED7-A647-7899D6987770}"/>
            </c:ext>
          </c:extLst>
        </c:ser>
        <c:dLbls>
          <c:dLblPos val="outEnd"/>
          <c:showLegendKey val="0"/>
          <c:showVal val="1"/>
          <c:showCatName val="0"/>
          <c:showSerName val="0"/>
          <c:showPercent val="0"/>
          <c:showBubbleSize val="0"/>
        </c:dLbls>
        <c:gapWidth val="30"/>
        <c:overlap val="-27"/>
        <c:axId val="1771997183"/>
        <c:axId val="1771998143"/>
      </c:barChart>
      <c:catAx>
        <c:axId val="1771997183"/>
        <c:scaling>
          <c:orientation val="minMax"/>
        </c:scaling>
        <c:delete val="0"/>
        <c:axPos val="b"/>
        <c:numFmt formatCode="General" sourceLinked="1"/>
        <c:majorTickMark val="none"/>
        <c:minorTickMark val="none"/>
        <c:tickLblPos val="nextTo"/>
        <c:crossAx val="1771998143"/>
        <c:crosses val="autoZero"/>
        <c:auto val="1"/>
        <c:lblAlgn val="ctr"/>
        <c:lblOffset val="100"/>
        <c:noMultiLvlLbl val="0"/>
      </c:catAx>
      <c:valAx>
        <c:axId val="1771998143"/>
        <c:scaling>
          <c:orientation val="minMax"/>
        </c:scaling>
        <c:delete val="1"/>
        <c:axPos val="l"/>
        <c:numFmt formatCode="#,##0" sourceLinked="1"/>
        <c:majorTickMark val="none"/>
        <c:minorTickMark val="none"/>
        <c:tickLblPos val="nextTo"/>
        <c:crossAx val="1771997183"/>
        <c:crosses val="autoZero"/>
        <c:crossBetween val="between"/>
      </c:valAx>
      <c:spPr>
        <a:noFill/>
      </c:spPr>
    </c:plotArea>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Acme Solar - Return</a:t>
            </a:r>
            <a:r>
              <a:rPr lang="en-IN" baseline="0"/>
              <a:t> Metrics</a:t>
            </a:r>
            <a:endParaRPr lang="en-IN"/>
          </a:p>
        </c:rich>
      </c:tx>
      <c:overlay val="0"/>
    </c:title>
    <c:autoTitleDeleted val="0"/>
    <c:plotArea>
      <c:layout/>
      <c:lineChart>
        <c:grouping val="standard"/>
        <c:varyColors val="0"/>
        <c:ser>
          <c:idx val="0"/>
          <c:order val="0"/>
          <c:tx>
            <c:strRef>
              <c:f>Charts!$B$25</c:f>
              <c:strCache>
                <c:ptCount val="1"/>
                <c:pt idx="0">
                  <c:v>ROE</c:v>
                </c:pt>
              </c:strCache>
            </c:strRef>
          </c:tx>
          <c:spPr>
            <a:ln w="38100"/>
          </c:spPr>
          <c:marker>
            <c:symbol val="none"/>
          </c:marker>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36-4F41-9F0D-DD9FEC11FF4F}"/>
                </c:ext>
              </c:extLst>
            </c:dLbl>
            <c:spPr>
              <a:solidFill>
                <a:schemeClr val="accent1"/>
              </a:solidFill>
              <a:ln>
                <a:noFill/>
              </a:ln>
              <a:effectLst/>
            </c:spPr>
            <c:txPr>
              <a:bodyPr wrap="square" lIns="38100" tIns="19050" rIns="38100" bIns="19050" anchor="ctr">
                <a:spAutoFit/>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Charts!$C$19:$H$19</c:f>
              <c:strCache>
                <c:ptCount val="6"/>
                <c:pt idx="0">
                  <c:v>FY25A</c:v>
                </c:pt>
                <c:pt idx="1">
                  <c:v>FY26A</c:v>
                </c:pt>
                <c:pt idx="2">
                  <c:v>FY27E</c:v>
                </c:pt>
                <c:pt idx="3">
                  <c:v>FY28E</c:v>
                </c:pt>
                <c:pt idx="4">
                  <c:v>FY29E</c:v>
                </c:pt>
                <c:pt idx="5">
                  <c:v>FY30E</c:v>
                </c:pt>
              </c:strCache>
            </c:strRef>
          </c:cat>
          <c:val>
            <c:numRef>
              <c:f>Charts!$C$25:$H$25</c:f>
              <c:numCache>
                <c:formatCode>0%</c:formatCode>
                <c:ptCount val="6"/>
                <c:pt idx="0">
                  <c:v>0</c:v>
                </c:pt>
                <c:pt idx="1">
                  <c:v>0</c:v>
                </c:pt>
                <c:pt idx="2">
                  <c:v>0</c:v>
                </c:pt>
                <c:pt idx="3">
                  <c:v>0</c:v>
                </c:pt>
                <c:pt idx="4">
                  <c:v>0</c:v>
                </c:pt>
                <c:pt idx="5">
                  <c:v>0</c:v>
                </c:pt>
              </c:numCache>
            </c:numRef>
          </c:val>
          <c:smooth val="1"/>
          <c:extLst>
            <c:ext xmlns:c16="http://schemas.microsoft.com/office/drawing/2014/chart" uri="{C3380CC4-5D6E-409C-BE32-E72D297353CC}">
              <c16:uniqueId val="{00000000-AA36-4F41-9F0D-DD9FEC11FF4F}"/>
            </c:ext>
          </c:extLst>
        </c:ser>
        <c:ser>
          <c:idx val="1"/>
          <c:order val="1"/>
          <c:tx>
            <c:strRef>
              <c:f>Charts!$B$26</c:f>
              <c:strCache>
                <c:ptCount val="1"/>
                <c:pt idx="0">
                  <c:v>ROCE</c:v>
                </c:pt>
              </c:strCache>
            </c:strRef>
          </c:tx>
          <c:spPr>
            <a:ln w="38100"/>
          </c:spPr>
          <c:marker>
            <c:symbol val="none"/>
          </c:marker>
          <c:dLbls>
            <c:spPr>
              <a:solidFill>
                <a:schemeClr val="accent2"/>
              </a:solidFill>
              <a:ln>
                <a:noFill/>
              </a:ln>
              <a:effectLst/>
            </c:spPr>
            <c:txPr>
              <a:bodyPr wrap="square" lIns="38100" tIns="19050" rIns="38100" bIns="19050" anchor="ctr">
                <a:spAutoFit/>
              </a:bodyPr>
              <a:lstStyle/>
              <a:p>
                <a:pPr>
                  <a:defRPr b="1">
                    <a:solidFill>
                      <a:schemeClr val="bg1"/>
                    </a:solidFil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Charts!$C$19:$H$19</c:f>
              <c:strCache>
                <c:ptCount val="6"/>
                <c:pt idx="0">
                  <c:v>FY25A</c:v>
                </c:pt>
                <c:pt idx="1">
                  <c:v>FY26A</c:v>
                </c:pt>
                <c:pt idx="2">
                  <c:v>FY27E</c:v>
                </c:pt>
                <c:pt idx="3">
                  <c:v>FY28E</c:v>
                </c:pt>
                <c:pt idx="4">
                  <c:v>FY29E</c:v>
                </c:pt>
                <c:pt idx="5">
                  <c:v>FY30E</c:v>
                </c:pt>
              </c:strCache>
            </c:strRef>
          </c:cat>
          <c:val>
            <c:numRef>
              <c:f>Charts!$C$26:$H$26</c:f>
              <c:numCache>
                <c:formatCode>0%</c:formatCode>
                <c:ptCount val="6"/>
                <c:pt idx="0">
                  <c:v>0</c:v>
                </c:pt>
                <c:pt idx="1">
                  <c:v>0</c:v>
                </c:pt>
                <c:pt idx="2">
                  <c:v>0</c:v>
                </c:pt>
                <c:pt idx="3">
                  <c:v>0</c:v>
                </c:pt>
                <c:pt idx="4">
                  <c:v>0</c:v>
                </c:pt>
                <c:pt idx="5">
                  <c:v>0</c:v>
                </c:pt>
              </c:numCache>
            </c:numRef>
          </c:val>
          <c:smooth val="1"/>
          <c:extLst>
            <c:ext xmlns:c16="http://schemas.microsoft.com/office/drawing/2014/chart" uri="{C3380CC4-5D6E-409C-BE32-E72D297353CC}">
              <c16:uniqueId val="{00000001-AA36-4F41-9F0D-DD9FEC11FF4F}"/>
            </c:ext>
          </c:extLst>
        </c:ser>
        <c:dLbls>
          <c:dLblPos val="t"/>
          <c:showLegendKey val="0"/>
          <c:showVal val="1"/>
          <c:showCatName val="0"/>
          <c:showSerName val="0"/>
          <c:showPercent val="0"/>
          <c:showBubbleSize val="0"/>
        </c:dLbls>
        <c:smooth val="0"/>
        <c:axId val="1737739583"/>
        <c:axId val="1737740063"/>
      </c:lineChart>
      <c:catAx>
        <c:axId val="1737739583"/>
        <c:scaling>
          <c:orientation val="minMax"/>
        </c:scaling>
        <c:delete val="0"/>
        <c:axPos val="b"/>
        <c:numFmt formatCode="General" sourceLinked="1"/>
        <c:majorTickMark val="none"/>
        <c:minorTickMark val="none"/>
        <c:tickLblPos val="nextTo"/>
        <c:crossAx val="1737740063"/>
        <c:crosses val="autoZero"/>
        <c:auto val="1"/>
        <c:lblAlgn val="ctr"/>
        <c:lblOffset val="100"/>
        <c:noMultiLvlLbl val="0"/>
      </c:catAx>
      <c:valAx>
        <c:axId val="1737740063"/>
        <c:scaling>
          <c:orientation val="minMax"/>
        </c:scaling>
        <c:delete val="1"/>
        <c:axPos val="l"/>
        <c:numFmt formatCode="0%" sourceLinked="1"/>
        <c:majorTickMark val="out"/>
        <c:minorTickMark val="none"/>
        <c:tickLblPos val="nextTo"/>
        <c:crossAx val="1737739583"/>
        <c:crosses val="autoZero"/>
        <c:crossBetween val="between"/>
      </c:valAx>
      <c:spPr>
        <a:noFill/>
      </c:spPr>
    </c:plotArea>
    <c:legend>
      <c:legendPos val="b"/>
      <c:overlay val="0"/>
    </c:legend>
    <c:plotVisOnly val="1"/>
    <c:dispBlanksAs val="gap"/>
    <c:showDLblsOverMax val="0"/>
  </c:chart>
  <c:spPr>
    <a:noFill/>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Acme Solar - Net Debt/EBITDA</a:t>
            </a:r>
          </a:p>
        </c:rich>
      </c:tx>
      <c:overlay val="0"/>
    </c:title>
    <c:autoTitleDeleted val="0"/>
    <c:plotArea>
      <c:layout/>
      <c:lineChart>
        <c:grouping val="standard"/>
        <c:varyColors val="0"/>
        <c:ser>
          <c:idx val="0"/>
          <c:order val="0"/>
          <c:tx>
            <c:strRef>
              <c:f>Charts!$B$28</c:f>
              <c:strCache>
                <c:ptCount val="1"/>
                <c:pt idx="0">
                  <c:v>Net Debt/ EBITDA</c:v>
                </c:pt>
              </c:strCache>
            </c:strRef>
          </c:tx>
          <c:spPr>
            <a:ln w="38100"/>
          </c:spPr>
          <c:marker>
            <c:symbol val="none"/>
          </c:marker>
          <c:dLbls>
            <c:spPr>
              <a:solidFill>
                <a:schemeClr val="accent1"/>
              </a:solidFill>
              <a:ln>
                <a:noFill/>
              </a:ln>
              <a:effectLst/>
            </c:spPr>
            <c:txPr>
              <a:bodyPr wrap="square" lIns="38100" tIns="19050" rIns="38100" bIns="19050" anchor="ctr">
                <a:spAutoFit/>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Charts!$C$19:$H$19</c:f>
              <c:strCache>
                <c:ptCount val="6"/>
                <c:pt idx="0">
                  <c:v>FY25A</c:v>
                </c:pt>
                <c:pt idx="1">
                  <c:v>FY26A</c:v>
                </c:pt>
                <c:pt idx="2">
                  <c:v>FY27E</c:v>
                </c:pt>
                <c:pt idx="3">
                  <c:v>FY28E</c:v>
                </c:pt>
                <c:pt idx="4">
                  <c:v>FY29E</c:v>
                </c:pt>
                <c:pt idx="5">
                  <c:v>FY30E</c:v>
                </c:pt>
              </c:strCache>
            </c:strRef>
          </c:cat>
          <c:val>
            <c:numRef>
              <c:f>Charts!$C$28:$H$28</c:f>
              <c:numCache>
                <c:formatCode>#,##0.0</c:formatCode>
                <c:ptCount val="6"/>
                <c:pt idx="0">
                  <c:v>0</c:v>
                </c:pt>
                <c:pt idx="1">
                  <c:v>0</c:v>
                </c:pt>
                <c:pt idx="2">
                  <c:v>0</c:v>
                </c:pt>
                <c:pt idx="3">
                  <c:v>0</c:v>
                </c:pt>
                <c:pt idx="4">
                  <c:v>0</c:v>
                </c:pt>
                <c:pt idx="5">
                  <c:v>0</c:v>
                </c:pt>
              </c:numCache>
            </c:numRef>
          </c:val>
          <c:smooth val="1"/>
          <c:extLst>
            <c:ext xmlns:c16="http://schemas.microsoft.com/office/drawing/2014/chart" uri="{C3380CC4-5D6E-409C-BE32-E72D297353CC}">
              <c16:uniqueId val="{00000000-E547-43F8-B96E-ACD8D3C77987}"/>
            </c:ext>
          </c:extLst>
        </c:ser>
        <c:dLbls>
          <c:dLblPos val="t"/>
          <c:showLegendKey val="0"/>
          <c:showVal val="1"/>
          <c:showCatName val="0"/>
          <c:showSerName val="0"/>
          <c:showPercent val="0"/>
          <c:showBubbleSize val="0"/>
        </c:dLbls>
        <c:smooth val="0"/>
        <c:axId val="1737739583"/>
        <c:axId val="1737740063"/>
      </c:lineChart>
      <c:catAx>
        <c:axId val="1737739583"/>
        <c:scaling>
          <c:orientation val="minMax"/>
        </c:scaling>
        <c:delete val="0"/>
        <c:axPos val="b"/>
        <c:numFmt formatCode="General" sourceLinked="1"/>
        <c:majorTickMark val="none"/>
        <c:minorTickMark val="none"/>
        <c:tickLblPos val="nextTo"/>
        <c:crossAx val="1737740063"/>
        <c:crosses val="autoZero"/>
        <c:auto val="1"/>
        <c:lblAlgn val="ctr"/>
        <c:lblOffset val="100"/>
        <c:noMultiLvlLbl val="0"/>
      </c:catAx>
      <c:valAx>
        <c:axId val="1737740063"/>
        <c:scaling>
          <c:orientation val="minMax"/>
        </c:scaling>
        <c:delete val="1"/>
        <c:axPos val="l"/>
        <c:numFmt formatCode="#,##0.0" sourceLinked="1"/>
        <c:majorTickMark val="out"/>
        <c:minorTickMark val="none"/>
        <c:tickLblPos val="nextTo"/>
        <c:crossAx val="1737739583"/>
        <c:crosses val="autoZero"/>
        <c:crossBetween val="between"/>
      </c:valAx>
      <c:spPr>
        <a:noFill/>
      </c:spPr>
    </c:plotArea>
    <c:plotVisOnly val="1"/>
    <c:dispBlanksAs val="gap"/>
    <c:showDLblsOverMax val="0"/>
  </c:chart>
  <c:spPr>
    <a:noFill/>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Acme Solar - Total Debt, Rs. bn</a:t>
            </a:r>
          </a:p>
        </c:rich>
      </c:tx>
      <c:overlay val="0"/>
    </c:title>
    <c:autoTitleDeleted val="0"/>
    <c:plotArea>
      <c:layout/>
      <c:barChart>
        <c:barDir val="col"/>
        <c:grouping val="clustered"/>
        <c:varyColors val="0"/>
        <c:ser>
          <c:idx val="0"/>
          <c:order val="0"/>
          <c:tx>
            <c:strRef>
              <c:f>Charts!$B$29</c:f>
              <c:strCache>
                <c:ptCount val="1"/>
                <c:pt idx="0">
                  <c:v>Total Debt</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Charts!$C$19:$F$19</c:f>
              <c:strCache>
                <c:ptCount val="4"/>
                <c:pt idx="0">
                  <c:v>FY25A</c:v>
                </c:pt>
                <c:pt idx="1">
                  <c:v>FY26A</c:v>
                </c:pt>
                <c:pt idx="2">
                  <c:v>FY27E</c:v>
                </c:pt>
                <c:pt idx="3">
                  <c:v>FY28E</c:v>
                </c:pt>
              </c:strCache>
            </c:strRef>
          </c:cat>
          <c:val>
            <c:numRef>
              <c:f>Charts!$C$29:$F$29</c:f>
              <c:numCache>
                <c:formatCode>#,##0</c:formatCode>
                <c:ptCount val="4"/>
                <c:pt idx="0">
                  <c:v>104.22700999999999</c:v>
                </c:pt>
                <c:pt idx="1">
                  <c:v>189.88049000000001</c:v>
                </c:pt>
                <c:pt idx="2">
                  <c:v>310.81027026296385</c:v>
                </c:pt>
                <c:pt idx="3">
                  <c:v>476.75518901802263</c:v>
                </c:pt>
              </c:numCache>
            </c:numRef>
          </c:val>
          <c:extLst>
            <c:ext xmlns:c16="http://schemas.microsoft.com/office/drawing/2014/chart" uri="{C3380CC4-5D6E-409C-BE32-E72D297353CC}">
              <c16:uniqueId val="{00000000-A5F7-4191-AD5C-6451FEF1D2A4}"/>
            </c:ext>
          </c:extLst>
        </c:ser>
        <c:dLbls>
          <c:dLblPos val="outEnd"/>
          <c:showLegendKey val="0"/>
          <c:showVal val="1"/>
          <c:showCatName val="0"/>
          <c:showSerName val="0"/>
          <c:showPercent val="0"/>
          <c:showBubbleSize val="0"/>
        </c:dLbls>
        <c:gapWidth val="30"/>
        <c:overlap val="-27"/>
        <c:axId val="1771997183"/>
        <c:axId val="1771998143"/>
      </c:barChart>
      <c:catAx>
        <c:axId val="1771997183"/>
        <c:scaling>
          <c:orientation val="minMax"/>
        </c:scaling>
        <c:delete val="0"/>
        <c:axPos val="b"/>
        <c:numFmt formatCode="General" sourceLinked="1"/>
        <c:majorTickMark val="none"/>
        <c:minorTickMark val="none"/>
        <c:tickLblPos val="nextTo"/>
        <c:crossAx val="1771998143"/>
        <c:crosses val="autoZero"/>
        <c:auto val="1"/>
        <c:lblAlgn val="ctr"/>
        <c:lblOffset val="100"/>
        <c:noMultiLvlLbl val="0"/>
      </c:catAx>
      <c:valAx>
        <c:axId val="1771998143"/>
        <c:scaling>
          <c:orientation val="minMax"/>
        </c:scaling>
        <c:delete val="1"/>
        <c:axPos val="l"/>
        <c:numFmt formatCode="#,##0" sourceLinked="1"/>
        <c:majorTickMark val="none"/>
        <c:minorTickMark val="none"/>
        <c:tickLblPos val="nextTo"/>
        <c:crossAx val="1771997183"/>
        <c:crosses val="autoZero"/>
        <c:crossBetween val="between"/>
      </c:valAx>
      <c:spPr>
        <a:noFill/>
      </c:spPr>
    </c:plotArea>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Acme Solar - Capex, Rs. bn</a:t>
            </a:r>
          </a:p>
        </c:rich>
      </c:tx>
      <c:overlay val="0"/>
    </c:title>
    <c:autoTitleDeleted val="0"/>
    <c:plotArea>
      <c:layout/>
      <c:barChart>
        <c:barDir val="col"/>
        <c:grouping val="clustered"/>
        <c:varyColors val="0"/>
        <c:ser>
          <c:idx val="0"/>
          <c:order val="0"/>
          <c:tx>
            <c:strRef>
              <c:f>Charts!$B$31</c:f>
              <c:strCache>
                <c:ptCount val="1"/>
                <c:pt idx="0">
                  <c:v>Capex</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Charts!$C$19:$F$19</c:f>
              <c:strCache>
                <c:ptCount val="4"/>
                <c:pt idx="0">
                  <c:v>FY25A</c:v>
                </c:pt>
                <c:pt idx="1">
                  <c:v>FY26A</c:v>
                </c:pt>
                <c:pt idx="2">
                  <c:v>FY27E</c:v>
                </c:pt>
                <c:pt idx="3">
                  <c:v>FY28E</c:v>
                </c:pt>
              </c:strCache>
            </c:strRef>
          </c:cat>
          <c:val>
            <c:numRef>
              <c:f>Charts!$C$31:$F$31</c:f>
              <c:numCache>
                <c:formatCode>#,##0</c:formatCode>
                <c:ptCount val="4"/>
                <c:pt idx="0">
                  <c:v>32.620660000000001</c:v>
                </c:pt>
                <c:pt idx="1">
                  <c:v>53.191629999999996</c:v>
                </c:pt>
                <c:pt idx="2">
                  <c:v>197.10733117313961</c:v>
                </c:pt>
                <c:pt idx="3">
                  <c:v>218.62894844382342</c:v>
                </c:pt>
              </c:numCache>
            </c:numRef>
          </c:val>
          <c:extLst>
            <c:ext xmlns:c16="http://schemas.microsoft.com/office/drawing/2014/chart" uri="{C3380CC4-5D6E-409C-BE32-E72D297353CC}">
              <c16:uniqueId val="{00000000-061A-4E19-873E-49846F2B8CFF}"/>
            </c:ext>
          </c:extLst>
        </c:ser>
        <c:dLbls>
          <c:dLblPos val="outEnd"/>
          <c:showLegendKey val="0"/>
          <c:showVal val="1"/>
          <c:showCatName val="0"/>
          <c:showSerName val="0"/>
          <c:showPercent val="0"/>
          <c:showBubbleSize val="0"/>
        </c:dLbls>
        <c:gapWidth val="30"/>
        <c:overlap val="-27"/>
        <c:axId val="1771997183"/>
        <c:axId val="1771998143"/>
      </c:barChart>
      <c:catAx>
        <c:axId val="1771997183"/>
        <c:scaling>
          <c:orientation val="minMax"/>
        </c:scaling>
        <c:delete val="0"/>
        <c:axPos val="b"/>
        <c:numFmt formatCode="General" sourceLinked="1"/>
        <c:majorTickMark val="none"/>
        <c:minorTickMark val="none"/>
        <c:tickLblPos val="nextTo"/>
        <c:crossAx val="1771998143"/>
        <c:crosses val="autoZero"/>
        <c:auto val="1"/>
        <c:lblAlgn val="ctr"/>
        <c:lblOffset val="100"/>
        <c:noMultiLvlLbl val="0"/>
      </c:catAx>
      <c:valAx>
        <c:axId val="1771998143"/>
        <c:scaling>
          <c:orientation val="minMax"/>
        </c:scaling>
        <c:delete val="1"/>
        <c:axPos val="l"/>
        <c:numFmt formatCode="#,##0" sourceLinked="1"/>
        <c:majorTickMark val="none"/>
        <c:minorTickMark val="none"/>
        <c:tickLblPos val="nextTo"/>
        <c:crossAx val="1771997183"/>
        <c:crosses val="autoZero"/>
        <c:crossBetween val="between"/>
      </c:valAx>
      <c:spPr>
        <a:noFill/>
      </c:spPr>
    </c:plotArea>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Charts!$G$30</c:f>
              <c:strCache>
                <c:ptCount val="1"/>
                <c:pt idx="0">
                  <c:v>Cumulative (FY26-28E)</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Charts!$G$30</c:f>
              <c:strCache>
                <c:ptCount val="1"/>
                <c:pt idx="0">
                  <c:v>Cumulative (FY26-28E)</c:v>
                </c:pt>
              </c:strCache>
            </c:strRef>
          </c:cat>
          <c:val>
            <c:numRef>
              <c:f>Charts!$G$31</c:f>
              <c:numCache>
                <c:formatCode>#,##0</c:formatCode>
                <c:ptCount val="1"/>
                <c:pt idx="0">
                  <c:v>468.92790961696301</c:v>
                </c:pt>
              </c:numCache>
            </c:numRef>
          </c:val>
          <c:extLst>
            <c:ext xmlns:c16="http://schemas.microsoft.com/office/drawing/2014/chart" uri="{C3380CC4-5D6E-409C-BE32-E72D297353CC}">
              <c16:uniqueId val="{00000000-0725-4419-8144-B289F6023C24}"/>
            </c:ext>
          </c:extLst>
        </c:ser>
        <c:dLbls>
          <c:dLblPos val="outEnd"/>
          <c:showLegendKey val="0"/>
          <c:showVal val="1"/>
          <c:showCatName val="0"/>
          <c:showSerName val="0"/>
          <c:showPercent val="0"/>
          <c:showBubbleSize val="0"/>
        </c:dLbls>
        <c:gapWidth val="219"/>
        <c:overlap val="-27"/>
        <c:axId val="1209513279"/>
        <c:axId val="1209513759"/>
      </c:barChart>
      <c:catAx>
        <c:axId val="1209513279"/>
        <c:scaling>
          <c:orientation val="minMax"/>
        </c:scaling>
        <c:delete val="0"/>
        <c:axPos val="b"/>
        <c:numFmt formatCode="General" sourceLinked="1"/>
        <c:majorTickMark val="none"/>
        <c:minorTickMark val="none"/>
        <c:tickLblPos val="nextTo"/>
        <c:crossAx val="1209513759"/>
        <c:crosses val="autoZero"/>
        <c:auto val="1"/>
        <c:lblAlgn val="ctr"/>
        <c:lblOffset val="100"/>
        <c:noMultiLvlLbl val="0"/>
      </c:catAx>
      <c:valAx>
        <c:axId val="1209513759"/>
        <c:scaling>
          <c:orientation val="minMax"/>
        </c:scaling>
        <c:delete val="1"/>
        <c:axPos val="l"/>
        <c:numFmt formatCode="#,##0" sourceLinked="1"/>
        <c:majorTickMark val="none"/>
        <c:minorTickMark val="none"/>
        <c:tickLblPos val="nextTo"/>
        <c:crossAx val="1209513279"/>
        <c:crosses val="autoZero"/>
        <c:crossBetween val="between"/>
      </c:valAx>
      <c:spPr>
        <a:noFill/>
      </c:spPr>
    </c:plotArea>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216692</xdr:colOff>
      <xdr:row>0</xdr:row>
      <xdr:rowOff>147637</xdr:rowOff>
    </xdr:from>
    <xdr:to>
      <xdr:col>18</xdr:col>
      <xdr:colOff>340517</xdr:colOff>
      <xdr:row>15</xdr:row>
      <xdr:rowOff>185737</xdr:rowOff>
    </xdr:to>
    <xdr:graphicFrame macro="">
      <xdr:nvGraphicFramePr>
        <xdr:cNvPr id="2" name="Chart 1">
          <a:extLst>
            <a:ext uri="{FF2B5EF4-FFF2-40B4-BE49-F238E27FC236}">
              <a16:creationId xmlns:a16="http://schemas.microsoft.com/office/drawing/2014/main" id="{AEA02E7E-D1CF-EA70-60EC-51EB6D74F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247650</xdr:colOff>
      <xdr:row>1</xdr:row>
      <xdr:rowOff>57150</xdr:rowOff>
    </xdr:from>
    <xdr:to>
      <xdr:col>30</xdr:col>
      <xdr:colOff>171450</xdr:colOff>
      <xdr:row>16</xdr:row>
      <xdr:rowOff>85725</xdr:rowOff>
    </xdr:to>
    <xdr:graphicFrame macro="">
      <xdr:nvGraphicFramePr>
        <xdr:cNvPr id="3" name="Chart 2">
          <a:extLst>
            <a:ext uri="{FF2B5EF4-FFF2-40B4-BE49-F238E27FC236}">
              <a16:creationId xmlns:a16="http://schemas.microsoft.com/office/drawing/2014/main" id="{6052BE67-3DEF-45F1-A869-8DC858F87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388142</xdr:colOff>
      <xdr:row>16</xdr:row>
      <xdr:rowOff>147638</xdr:rowOff>
    </xdr:from>
    <xdr:to>
      <xdr:col>19</xdr:col>
      <xdr:colOff>511967</xdr:colOff>
      <xdr:row>31</xdr:row>
      <xdr:rowOff>176213</xdr:rowOff>
    </xdr:to>
    <xdr:graphicFrame macro="">
      <xdr:nvGraphicFramePr>
        <xdr:cNvPr id="4" name="Chart 3">
          <a:extLst>
            <a:ext uri="{FF2B5EF4-FFF2-40B4-BE49-F238E27FC236}">
              <a16:creationId xmlns:a16="http://schemas.microsoft.com/office/drawing/2014/main" id="{99407AC3-F21C-DFFE-7C48-C0F052611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16</xdr:row>
      <xdr:rowOff>0</xdr:rowOff>
    </xdr:from>
    <xdr:to>
      <xdr:col>26</xdr:col>
      <xdr:colOff>533400</xdr:colOff>
      <xdr:row>31</xdr:row>
      <xdr:rowOff>28575</xdr:rowOff>
    </xdr:to>
    <xdr:graphicFrame macro="">
      <xdr:nvGraphicFramePr>
        <xdr:cNvPr id="5" name="Chart 4">
          <a:extLst>
            <a:ext uri="{FF2B5EF4-FFF2-40B4-BE49-F238E27FC236}">
              <a16:creationId xmlns:a16="http://schemas.microsoft.com/office/drawing/2014/main" id="{AA09CAB3-86D6-4AC4-921F-F78CA55E0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33</xdr:row>
      <xdr:rowOff>0</xdr:rowOff>
    </xdr:from>
    <xdr:to>
      <xdr:col>15</xdr:col>
      <xdr:colOff>533400</xdr:colOff>
      <xdr:row>48</xdr:row>
      <xdr:rowOff>28575</xdr:rowOff>
    </xdr:to>
    <xdr:graphicFrame macro="">
      <xdr:nvGraphicFramePr>
        <xdr:cNvPr id="6" name="Chart 5">
          <a:extLst>
            <a:ext uri="{FF2B5EF4-FFF2-40B4-BE49-F238E27FC236}">
              <a16:creationId xmlns:a16="http://schemas.microsoft.com/office/drawing/2014/main" id="{DDC9EEFF-6B8B-4A32-849C-E222B189B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211930</xdr:colOff>
      <xdr:row>32</xdr:row>
      <xdr:rowOff>109537</xdr:rowOff>
    </xdr:from>
    <xdr:to>
      <xdr:col>27</xdr:col>
      <xdr:colOff>97630</xdr:colOff>
      <xdr:row>47</xdr:row>
      <xdr:rowOff>138112</xdr:rowOff>
    </xdr:to>
    <xdr:graphicFrame macro="">
      <xdr:nvGraphicFramePr>
        <xdr:cNvPr id="7" name="Chart 6">
          <a:extLst>
            <a:ext uri="{FF2B5EF4-FFF2-40B4-BE49-F238E27FC236}">
              <a16:creationId xmlns:a16="http://schemas.microsoft.com/office/drawing/2014/main" id="{48B8901F-C122-AD58-8A24-2FCE71C56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0</xdr:colOff>
      <xdr:row>33</xdr:row>
      <xdr:rowOff>0</xdr:rowOff>
    </xdr:from>
    <xdr:to>
      <xdr:col>34</xdr:col>
      <xdr:colOff>533400</xdr:colOff>
      <xdr:row>48</xdr:row>
      <xdr:rowOff>28575</xdr:rowOff>
    </xdr:to>
    <xdr:graphicFrame macro="">
      <xdr:nvGraphicFramePr>
        <xdr:cNvPr id="9" name="Chart 8">
          <a:extLst>
            <a:ext uri="{FF2B5EF4-FFF2-40B4-BE49-F238E27FC236}">
              <a16:creationId xmlns:a16="http://schemas.microsoft.com/office/drawing/2014/main" id="{EFCB856F-C138-406E-B9CA-CE5A451E4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49</xdr:row>
      <xdr:rowOff>0</xdr:rowOff>
    </xdr:from>
    <xdr:to>
      <xdr:col>17</xdr:col>
      <xdr:colOff>533400</xdr:colOff>
      <xdr:row>64</xdr:row>
      <xdr:rowOff>28575</xdr:rowOff>
    </xdr:to>
    <xdr:graphicFrame macro="">
      <xdr:nvGraphicFramePr>
        <xdr:cNvPr id="11" name="Chart 10">
          <a:extLst>
            <a:ext uri="{FF2B5EF4-FFF2-40B4-BE49-F238E27FC236}">
              <a16:creationId xmlns:a16="http://schemas.microsoft.com/office/drawing/2014/main" id="{1989DEBB-1515-4A9B-9633-7D09C1998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0</xdr:colOff>
      <xdr:row>50</xdr:row>
      <xdr:rowOff>0</xdr:rowOff>
    </xdr:from>
    <xdr:to>
      <xdr:col>27</xdr:col>
      <xdr:colOff>533400</xdr:colOff>
      <xdr:row>65</xdr:row>
      <xdr:rowOff>28575</xdr:rowOff>
    </xdr:to>
    <xdr:graphicFrame macro="">
      <xdr:nvGraphicFramePr>
        <xdr:cNvPr id="13" name="Chart 12">
          <a:extLst>
            <a:ext uri="{FF2B5EF4-FFF2-40B4-BE49-F238E27FC236}">
              <a16:creationId xmlns:a16="http://schemas.microsoft.com/office/drawing/2014/main" id="{0A52D21A-C2A6-44A1-BC96-749EDE674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733425</xdr:colOff>
      <xdr:row>22</xdr:row>
      <xdr:rowOff>47625</xdr:rowOff>
    </xdr:from>
    <xdr:to>
      <xdr:col>10</xdr:col>
      <xdr:colOff>590550</xdr:colOff>
      <xdr:row>36</xdr:row>
      <xdr:rowOff>85725</xdr:rowOff>
    </xdr:to>
    <xdr:graphicFrame macro="">
      <xdr:nvGraphicFramePr>
        <xdr:cNvPr id="8" name="Chart 7">
          <a:extLst>
            <a:ext uri="{FF2B5EF4-FFF2-40B4-BE49-F238E27FC236}">
              <a16:creationId xmlns:a16="http://schemas.microsoft.com/office/drawing/2014/main" id="{F2517D0B-C5A6-475C-A4BA-54FDD2A51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20.12\spark%20nas\SPARKNAS\Users\research\abhijeetn\Metals\Tisco\Models\Blan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deltech-my.sharepoint.com/Power%20&amp;%20Capital%20Goods/d/kawaljeet/infosys/infy-em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sntbombkh03\users\Users\research\PRASAD\pras1\ENERGY\GENERAL\Energy_breaku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2k3bombkh03\users\Ksinst\kotakval\Kotakv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Documents%20and%20Settings\Administrator\Desktop\Anuual%20Accounts\Cemen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ocuments%20and%20Settings\pitkasal\Desktop\OSHIWARA\COST\Lee\CM\PROJ\TIC\Alex%20Hargreaves\13.08.09\Meeting%20in%20London\New%20Template%20WIP\Example\New%20Template%20WIP\cashflow%20TEST%20Ver%2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S2K3BOMBKH03\users\Users\research\rashi\Autos\Bajaj\Models\bajaj%20Auto%20Lt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ocuments%20and%20Settings\Administrator\Desktop\Anuual%20Accounts\Prefa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Documents%20and%20Settings\Administrator\Desktop\Anuual%20Accounts\Board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My%20Documents\70%25%20stak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Public\My%20Documents\70%25%20stak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cott\Database\kawaljeet\infosys\chart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quirusindia-my.sharepoint.com/Documents%20and%20Settings/askannan/Local%20Settings/Temporary%20Internet%20Files/temp/1Q99TD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24.31\Public\My%20Documents\70%25%20stak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gdataserver\Research\Common\Pawan\sugar\Pharma\Lupin%20ltd\sachin%20wagh\Software%20Companies\Infosys\IBM%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equirusindia-my.sharepoint.com/Documents%20and%20Settings/askannan/Local%20Settings/Temporary%20Internet%20Files/Datasemi/models_mkt/Foundry/!foundry-master.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Craig\Global%20Product\Valuation%20Project\Full%20Service%20graph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Models\Bls\BL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EMP\Global%20Comps%20-%20Test%20-%20Databox%20-%2014%20Jan%2020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edeltech-my.sharepoint.com/Infra&amp;Power/Models/BHEL_Model.xlsm" TargetMode="External"/></Relationships>
</file>

<file path=xl/externalLinks/_rels/externalLink21.xml.rels><?xml version="1.0" encoding="UTF-8" standalone="yes"?>
<Relationships xmlns="http://schemas.openxmlformats.org/package/2006/relationships"><Relationship Id="rId3" Type="http://schemas.openxmlformats.org/officeDocument/2006/relationships/externalLinkPath" Target="../../Bharani/Seetharaman/Models/To%20Clients/Aniket%20Mittal/PWGR_Nov'23_updated.xlsx" TargetMode="External"/><Relationship Id="rId2" Type="http://schemas.openxmlformats.org/officeDocument/2006/relationships/externalLinkPath" Target="file:///\\192.168.20.12\spark%20nas\Broking\9%20Broking\Bharani\Seetharaman\Models\To%20Clients\Aniket%20Mittal\PWGR_Nov'23_updated.xlsx" TargetMode="External"/><Relationship Id="rId1" Type="http://schemas.openxmlformats.org/officeDocument/2006/relationships/externalLinkPath" Target="/9%20Broking/Bharani/Seetharaman/Models/To%20Clients/Aniket%20Mittal/PWGR_Nov'23_updated.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20.12\spark%20nas\sparknas\broking\Broking\USERS\NEELESH\TELECOM\VSNL\VSN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Models\Fon\sprintep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S2K3BOMBKH03\users\old%20research\Research\Telco\Tata%20Engineering.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Sale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Client%20Requests\Ranbaxy%20Sch.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cott\Database\DOCUME~1\desoer\LOCALS~1\Temp\WIPR_Mode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Meenal\Copy%20of%20Deepak%20Fertiliser%20ok.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edeltech-my.sharepoint.com/Research/Sectors%20&amp;%20Companies/Z%20-%20Others/amit%20shah/new%20uploader/Done_New%20Uploader/Uploader%20V4.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edeltech-my.sharepoint.com/Users/Puneet/Downloads/AXIS%20CAPITAL_PWGR_Copy.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secfile01\eq_rsch\EQUITY\EQ_RSCH\RAJESH\CIPLA-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Ksiesr00001\Users\RES\NARAYAN\FMCG\ITC\ITC.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bomafsrsh.aja\rshdgrp\Common\RESEARCH\varmaraj\HDFC%20Bank\HDFC%20Bank-EM-Jun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cott\Database\gg\tools\ESO\ESO%20Example%20and%20Templat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cott\Database\DOCUME~1\desoer\LOCALS~1\Temp\models-old\INFY_mode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92.168.20.12\spark%20nas\sparknas\broking\RES\NARAYAN\FMCG\ITC\ITC.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equirusindia-my.sharepoint.com/Documents%20and%20Settings/askannan/Local%20Settings/Temporary%20Internet%20Files/Datasemi/models-co/TSMC/2330_master.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K:\Pharma%20Models\New%20Models\Ranbaxy.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TIEND\RESEARCH\COMPANY\2300\2336\23362PG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edeltech-my.sharepoint.com/Anupam/Models/VOLT%20IN%20-%20Copy.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TEMP\US%20-%20Comps%20-%205%20Nov%201999.XLS"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http://f1mail.rediff.com/cgi-bin/gold/download.cgi/tisco-model_Jun03.xls?login=taherb&amp;session_id=1K1KAKrtn1CAjrlbujkbAT7fOs90&amp;formname=download&amp;filetype=application/WINNT\Profiles\taherb\Temporary%20Internet%20Files\OLK1\dkbw1.xls?D7B076D5" TargetMode="External"/><Relationship Id="rId1" Type="http://schemas.openxmlformats.org/officeDocument/2006/relationships/externalLinkPath" Target="file:///\\D7B076D5\dkbw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Vijaykumar\c\Audit\DEC%202006\WIP_Bl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equirusindia-my.sharepoint.com/Documents%20and%20Settings/askannan/Local%20Settings/Temporary%20Internet%20Files/Craig/Global%20Product/Capex%20Intensity%20-%20Draf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Fgdataserver\Research\Common\rupesh\Tata%20Standalone%20main%20June_30th.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equirusindia-my.sharepoint.com/Documents%20and%20Settings/NBKFNNM/My%20Documents/BHEL_3101201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edeltech-my.sharepoint.com/Users/nalinbhatt/AppData/Roaming/Microsoft/Excel/Power%20Grid%20other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Vijaykumar\c\Audit\DEC%202006\WIP_Chn_Dec06.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heyledan\NB_data_since_Jul_30_1999\!%20A-DAN\-MKTSHR\ms-98\Final%201998%20Market%20Share%20Rank%20Macro%2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cott\Database\Oil\NEW_TEAM\Company%20models\BPA_ARCOwip.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ISEC-EM\SUNPHAR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92.168.20.12\spark%20nas\spark%20nas\Users\Tejash\Google%20Drive\Professional\Models-Master%20Copy\KKCL-23rd-JULY-14.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RESEARCH\PXARSH\BANKS\TPBANK.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Users\research\sujay\SUJAY\Kotak%20Comps\ASP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ott\Database\gg\tools\ESO\ESO%20Backup.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scott\Database\gg\tools\ESO\ESO.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ccounts5\d\Audit\Sep%202006\WIP\Sep06\WIP\WIP%20Other%20wok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FINANCIAL\Segments\Repull_12_28\ResSegQ97_9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RESEARCH\EVERYONE\COMPENDI\QRST\TPBANK.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Nt4\G\FMCG\company%20sb\sb%20askrj.xls" TargetMode="External"/></Relationships>
</file>

<file path=xl/externalLinks/_rels/externalLink61.xml.rels><?xml version="1.0" encoding="UTF-8" standalone="yes"?>
<Relationships xmlns="http://schemas.openxmlformats.org/package/2006/relationships"><Relationship Id="rId2" Type="http://schemas.microsoft.com/office/2019/04/relationships/externalLinkLongPath" Target="file:///\\SPARK-ADS\sparknas\broking\Broking\Documents%20and%20Settings\Vijaykumar.SPARK\Local%20Settings\Temporary%20Internet%20Files\Content.Outlook\Q9V5DUET\Companies\GVKPIL\gvk%20jaipur%20kishengarh%20D\Jaipur-Kishengarh%20Expressway%20Model_10May07%20version.xls?D1FC80EF" TargetMode="External"/><Relationship Id="rId1" Type="http://schemas.openxmlformats.org/officeDocument/2006/relationships/externalLinkPath" Target="file:///\\D1FC80EF\Jaipur-Kishengarh%20Expressway%20Model_10May07%20version.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Ks2k3bombkh03\users\Users\research\abhijeetn\Metals\Tisco\Models\Blank.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Spark-ads\spark%20nas\Users\1586\Evernote\Databases\Attachments\Kotak_Crompton%20consumer%20model.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Models\Usw\USW%20model.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Library" Target="DDIC.XLS"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Detai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S:\Craig\Global%20Product\Valuation%20Project\Comps(JT).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edeltech-my.sharepoint.com/Sectors%20&amp;%20Companies/Utilities/CESC/CESC-em%20Final.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Spark-ads\spark%20nas\USERS\NEELESH\TELECOM\VSNL\VSN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MUMINFAPP01\infobase\DOCSOPEN\PROGS\DOCS\ISDLIB5\0020445.01"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JOSHI\MY%20DOCUMENTS\WINDOWS\Desktop\Manoj%20Gandhi\WINDOWS\DEPR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edeltech-my.sharepoint.com/Documents%20and%20Settings/askannan/Local%20Settings/Temporary%20Internet%20Files/Book1.xls" TargetMode="External"/></Relationships>
</file>

<file path=xl/externalLinks/_rels/externalLink73.xml.rels><?xml version="1.0" encoding="UTF-8" standalone="yes"?>
<Relationships xmlns="http://schemas.openxmlformats.org/package/2006/relationships"><Relationship Id="rId1" Type="http://schemas.microsoft.com/office/2006/relationships/xlExternalLinkPath/xlPathMissing" Target="GAEL-12mach_68cr_24INSTALLMENT.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server\Public\manishk\karwa\banking\financials\new%20model\utiba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ott\Database\My%20Documents\Excel\aeds.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park-ads\spark%20nas\WINNT\Profiles\arun\Desktop\bhelfinal.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92.168.20.12\spark%20nas\sparknas\Users\tejash.SPARK\AppData\Roaming\Microsoft\Excel\Z-Midas\Master%20Copies\Carry%20Fwd\Prof\Spark\TS\Result%20Analysis\Tejash\Sheets\NEW-Elecon%20Eng.xls"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Moscow"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edeltech-my.sharepoint.com/sites/Equity/Shared%20Documents/General/Valuation%20Models/Consumer%20Discretionary/Consumer%20Durables/DIXON%20IN.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iotbox\krutik\Documents%20and%20Settings\sunny\Local%20Settings\Temporary%20Internet%20Files\Content.IE5\4XEJ0PAF\SILOS.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ksntbombkh03\users\Users\research\FLASH\REPORTS\Strategy\strat_figta_july02.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G:\RESEARCH\OILNGAS\Phillips\Companies\CHK\Houston%20Equity\Equity_Research\Dead_link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ksntbombkh03\users\Users\research\Strategy\bse-30\bse3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ksntbombkh03\users\Users\research\PRASAD\pras1\ENERGY\Companies\HPCL\MODELS\hpc_master.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iresko01d\PROJECTS\Mazzaferro\My%20Data%20Sheets\Data%20I.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erver\Public\Research\Textiles\GOKLADAS%20MOSL.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edeltech-my.sharepoint.com/Common/RESEARCH/varmaraj/Insurance/Company%20wise%20P%20&amp;L%20Final.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equirusindia-my.sharepoint.com/Documents%20and%20Settings/NBKFNNM/My%20Documents/BHEL_1712201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edeltech-my.sharepoint.com/Common/RESEARCH/varmaraj/ICICI%20Bank/ICICI%20Bk-EM.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accounts5\d\Documents%20and%20Settings\Administrator\Desktop\WIP_300906.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B:\WINDOWS\DEPRE.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_BNPSEC\USERS\SUJAY\CND\NONFOOD\HLLBBLIL\HLL.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92.168.20.12\spark%20nas\sparknas\broking\Broking\analysts\shilpakrishnan\shilpa\my%20files\capital%20goods\cummins\Cummins.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Dataserver\Broking\COMPANY\do%20not%20delete\missli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edeltech-my.sharepoint.com/RESEARCH/SOFTWARE/APTH-MM.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192.168.20.12\spark%20nas\SPARKNAS\Users\research\shilpa\capital%20goods\Electrical%20Equipment\BHEL\BHEL%20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192.168.51.5\common\inst-common\Pritesh\MHE%20Template\Elecon.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92.168.20.12\spark%20nas\sparknas\broking\broking\01_All%20files\Coverage_Infrastructure%20theme\Companies\02_CCCL\Quarterlies\1QFY10\CCCL%20Financial%20Model%20-%204th%20Aug%2009%20version.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192.168.20.12\spark%20nas\sparknas\broking\broking\Documents%20and%20Settings\Rajeshwari\Desktop\Companies\coverage\Construction\CCCL\latest%20model\CCCL-28apr'10-latest%20model.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192.168.20.12\spark%20nas\sparknas\broking\broking\Documents%20and%20Settings\Rajeshwari\Desktop\Companies\coverage\Construction\BGR%20ENERGY\latest_model\Financial%20model%20-%2022Apr'1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TIEND\RESEARCH\COMPANY\2300\2317\2317TEMP.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s2k3bombkh03\users\Users\research\PRASAD\pras1\ENERGY\Companies\IOCL\models\IOC%20master.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scott\Database\Documents%20and%20Settings\hitesh\Desktop\rupesh\Tata%20Standalone%20main%20June_30th.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server\Public\Dhartikumar\Dharti\Real%20Estate\My%20Documents\70%25%20stak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S:\Models\Bel\bel.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spark-ads\Industrials\Models\ELEQ.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92.168.51.5\common\ShanbhagA\TARUN1\HOECHST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F:\DOCUME~1\SIDHAR~1\LOCALS~1\Temp\notes758E9C\Pendrive\Textiles\welspunmoti.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BNPEQU\RESEARCH\1MATHUR\STEEL\TISCO\RYMD.XLS" TargetMode="External"/></Relationships>
</file>

<file path=xl/externalLinks/_rels/externalLink110.xml.rels><?xml version="1.0" encoding="UTF-8" standalone="yes"?>
<Relationships xmlns="http://schemas.openxmlformats.org/package/2006/relationships"><Relationship Id="rId3" Type="http://schemas.openxmlformats.org/officeDocument/2006/relationships/externalLinkPath" Target="../../Bharani/Seetharaman/Models/NTPC%20Green.xlsx" TargetMode="External"/><Relationship Id="rId2" Type="http://schemas.openxmlformats.org/officeDocument/2006/relationships/externalLinkPath" Target="file:///\\192.168.20.12\Broking\9%20Broking\Bharani\Seetharaman\Models\NTPC%20Green.xlsx" TargetMode="External"/><Relationship Id="rId1" Type="http://schemas.openxmlformats.org/officeDocument/2006/relationships/externalLinkPath" Target="/9%20Broking/Bharani/Seetharaman/Models/NTPC%20Green.xlsx" TargetMode="External"/></Relationships>
</file>

<file path=xl/externalLinks/_rels/externalLink111.xml.rels><?xml version="1.0" encoding="UTF-8" standalone="yes"?>
<Relationships xmlns="http://schemas.openxmlformats.org/package/2006/relationships"><Relationship Id="rId2" Type="http://schemas.openxmlformats.org/officeDocument/2006/relationships/externalLinkPath" Target="file:///\\192.168.20.12\Broking\9%20Broking\Dheeraj\Acme%20Solar%20Model\Acme%20Solar_Bloomberg%20Model.xlsx" TargetMode="External"/><Relationship Id="rId1" Type="http://schemas.openxmlformats.org/officeDocument/2006/relationships/externalLinkPath" Target="Acme%20Solar_Bloomberg%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sheetName val="Calculation (2)"/>
      <sheetName val="Macro1"/>
      <sheetName val="EVA1"/>
      <sheetName val="#REF"/>
      <sheetName val="bajaj_copeland"/>
      <sheetName val="InQuart"/>
      <sheetName val="Financials"/>
      <sheetName val="Mico"/>
      <sheetName val="Charts"/>
      <sheetName val="Sheet1"/>
      <sheetName val="Standalone"/>
      <sheetName val="Sheet2"/>
      <sheetName val="Sheet3"/>
      <sheetName val="P&amp;L"/>
      <sheetName val="DCF1"/>
      <sheetName val="Profile"/>
      <sheetName val="Input"/>
      <sheetName val="Debt"/>
      <sheetName val="QuanOP"/>
      <sheetName val="Tax"/>
      <sheetName val="CapEx"/>
      <sheetName val="Capital"/>
      <sheetName val="Formats"/>
      <sheetName val="VarName"/>
      <sheetName val="BS"/>
      <sheetName val="H2"/>
      <sheetName val="K-format"/>
      <sheetName val="Key Nos"/>
      <sheetName val="Ranbaxy"/>
      <sheetName val="NPL datasheet"/>
      <sheetName val="Consolidated P&amp;L 03-04"/>
      <sheetName val="Sheet10"/>
      <sheetName val="Sheet9"/>
      <sheetName val="Template"/>
      <sheetName val="DCFModel"/>
      <sheetName val="Chartdata"/>
      <sheetName val="Earnings model"/>
      <sheetName val="DCF"/>
      <sheetName val="Halfyear"/>
      <sheetName val="VALUE2_5"/>
      <sheetName val="MTNL"/>
      <sheetName val="Ignore"/>
      <sheetName val="q"/>
      <sheetName val="SML"/>
      <sheetName val="QtrFY 01"/>
      <sheetName val="P&amp;L, BS, CF, DCF"/>
      <sheetName val="amforge"/>
      <sheetName val="MSSL"/>
      <sheetName val="co-details"/>
      <sheetName val="plc"/>
      <sheetName val="Aladdin Macro1"/>
      <sheetName val="statistic"/>
      <sheetName val="Settings"/>
      <sheetName val="Lists"/>
      <sheetName val="ListMaster"/>
      <sheetName val="ABG"/>
      <sheetName val="Variables"/>
      <sheetName val="Corrupt SSCI"/>
      <sheetName val="Monthly Ship+Prod"/>
      <sheetName val="Perform"/>
      <sheetName val="P"/>
      <sheetName val="Key"/>
      <sheetName val="co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qtr"/>
      <sheetName val="Update"/>
      <sheetName val="Earnings Model"/>
      <sheetName val="PL"/>
      <sheetName val="clients"/>
      <sheetName val="q-usd"/>
      <sheetName val="q"/>
      <sheetName val="sensitivity"/>
      <sheetName val="annual_parameters"/>
      <sheetName val="qtr_bs"/>
      <sheetName val="BS"/>
      <sheetName val="qtr_cf"/>
      <sheetName val="CF"/>
      <sheetName val="DCF"/>
      <sheetName val="esops"/>
      <sheetName val="depreciation"/>
      <sheetName val="repeat business"/>
      <sheetName val="loans"/>
      <sheetName val="news"/>
      <sheetName val="holding"/>
      <sheetName val="rev-breakup"/>
      <sheetName val="facilities"/>
      <sheetName val="Investments"/>
      <sheetName val="Comparison"/>
      <sheetName val="weeklystockprice"/>
      <sheetName val="questions"/>
      <sheetName val="PE band"/>
      <sheetName val="infy-em5"/>
      <sheetName val="#REF"/>
      <sheetName val="eva"/>
      <sheetName val="teo model"/>
      <sheetName val="Summary Page_VDF"/>
      <sheetName val="Invested capital_VDF"/>
      <sheetName val="NOPAT_VDF"/>
      <sheetName val="WACC_VDF"/>
      <sheetName val="DCF_VDF"/>
      <sheetName val="PV of Op Leases_VDF"/>
      <sheetName val="DDETABLE "/>
      <sheetName val="F-DCF"/>
      <sheetName val="GS_DCF"/>
      <sheetName val="Rev sum"/>
      <sheetName val="Dem-HH"/>
      <sheetName val="Quarterly "/>
      <sheetName val="EVA1"/>
      <sheetName val="Calculation (2)"/>
      <sheetName val="old"/>
      <sheetName val="Fin"/>
    </sheetNames>
    <sheetDataSet>
      <sheetData sheetId="0" refreshError="1">
        <row r="2">
          <cell r="E2" t="str">
            <v>YEAR</v>
          </cell>
          <cell r="F2" t="str">
            <v>NET SALES</v>
          </cell>
          <cell r="G2" t="str">
            <v>PAT</v>
          </cell>
          <cell r="H2" t="str">
            <v>EPS</v>
          </cell>
          <cell r="I2" t="str">
            <v>EPS</v>
          </cell>
          <cell r="J2" t="str">
            <v>P/E</v>
          </cell>
          <cell r="K2" t="str">
            <v>PEG</v>
          </cell>
          <cell r="L2" t="str">
            <v>ROE</v>
          </cell>
          <cell r="M2" t="str">
            <v>ROCE</v>
          </cell>
          <cell r="N2" t="str">
            <v>EV/</v>
          </cell>
          <cell r="O2" t="str">
            <v>EV/</v>
          </cell>
        </row>
        <row r="3">
          <cell r="E3" t="str">
            <v>END</v>
          </cell>
          <cell r="F3" t="str">
            <v>(RS M)</v>
          </cell>
          <cell r="G3" t="str">
            <v>(RS M)</v>
          </cell>
          <cell r="H3" t="str">
            <v>(RS)</v>
          </cell>
          <cell r="I3" t="str">
            <v>GROWTH (%)</v>
          </cell>
          <cell r="J3" t="str">
            <v>(X)</v>
          </cell>
          <cell r="K3" t="str">
            <v>(X)</v>
          </cell>
          <cell r="L3" t="str">
            <v>(%)</v>
          </cell>
          <cell r="M3" t="str">
            <v>(%)</v>
          </cell>
          <cell r="N3" t="str">
            <v>SALES</v>
          </cell>
          <cell r="O3" t="str">
            <v>EBITDA</v>
          </cell>
        </row>
        <row r="4">
          <cell r="E4" t="str">
            <v>3/03A</v>
          </cell>
          <cell r="F4">
            <v>36226.800000000003</v>
          </cell>
          <cell r="G4">
            <v>9578.9000000000033</v>
          </cell>
          <cell r="H4">
            <v>144.60899758454113</v>
          </cell>
          <cell r="I4">
            <v>18.558710952174586</v>
          </cell>
          <cell r="J4">
            <v>20.157805175959652</v>
          </cell>
          <cell r="K4" t="str">
            <v>-</v>
          </cell>
          <cell r="L4">
            <v>38.773207723008063</v>
          </cell>
          <cell r="M4">
            <v>46.909230389832665</v>
          </cell>
          <cell r="N4">
            <v>4.8777286428831683</v>
          </cell>
          <cell r="O4">
            <v>14.156405470145721</v>
          </cell>
        </row>
        <row r="5">
          <cell r="E5" t="str">
            <v>3/04E</v>
          </cell>
          <cell r="F5">
            <v>47020.29118160715</v>
          </cell>
          <cell r="G5">
            <v>11727.759698012629</v>
          </cell>
          <cell r="H5">
            <v>177.15649090653517</v>
          </cell>
          <cell r="I5">
            <v>22.433261627249745</v>
          </cell>
          <cell r="J5">
            <v>16.454378753403429</v>
          </cell>
          <cell r="K5" t="str">
            <v>-</v>
          </cell>
          <cell r="L5">
            <v>35.720591972352729</v>
          </cell>
          <cell r="M5">
            <v>42.463320062831436</v>
          </cell>
          <cell r="N5">
            <v>3.6808197495860999</v>
          </cell>
          <cell r="O5">
            <v>11.497582503362056</v>
          </cell>
        </row>
        <row r="6">
          <cell r="E6" t="str">
            <v>3/05E</v>
          </cell>
          <cell r="F6">
            <v>58076.449242857314</v>
          </cell>
          <cell r="G6">
            <v>13486.008353004054</v>
          </cell>
          <cell r="H6">
            <v>203.7161382629011</v>
          </cell>
          <cell r="I6">
            <v>14.992195442829326</v>
          </cell>
          <cell r="J6">
            <v>14.3091265368388</v>
          </cell>
          <cell r="K6" t="str">
            <v>-</v>
          </cell>
          <cell r="L6">
            <v>32.142368996676176</v>
          </cell>
          <cell r="M6">
            <v>39.143207512694758</v>
          </cell>
          <cell r="N6">
            <v>2.8678364745507925</v>
          </cell>
          <cell r="O6">
            <v>9.517047649659947</v>
          </cell>
        </row>
      </sheetData>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gy_breakup"/>
      <sheetName val="cap_add_Asia"/>
      <sheetName val="Sheet1"/>
      <sheetName val="cs1997"/>
      <sheetName val="Summary model"/>
      <sheetName val="model by field"/>
      <sheetName val="Crude oil"/>
      <sheetName val="Corridor"/>
      <sheetName val="Block A"/>
      <sheetName val="W Natuna"/>
      <sheetName val="Valuation (F)"/>
      <sheetName val="Book1"/>
      <sheetName val="Adjusted data"/>
      <sheetName val="Charts"/>
      <sheetName val="IEA_02-99"/>
      <sheetName val="WRLD EXPN"/>
      <sheetName val="JetFuel"/>
      <sheetName val="#REF"/>
      <sheetName val="Figures"/>
      <sheetName val="Projections"/>
      <sheetName val="eval"/>
      <sheetName val="chems"/>
      <sheetName val="groupE&amp;P"/>
      <sheetName val="Italy"/>
      <sheetName val="North Africa"/>
      <sheetName val="North Sea"/>
      <sheetName val="RoW"/>
      <sheetName val="SNAM"/>
      <sheetName val="West Africa"/>
      <sheetName val="R&amp;M"/>
      <sheetName val="assms"/>
      <sheetName val="debt"/>
      <sheetName val="Oilservice"/>
      <sheetName val="Other"/>
      <sheetName val="Accounting"/>
      <sheetName val="GAS"/>
      <sheetName val="group E&amp;P"/>
      <sheetName val="LatAm"/>
      <sheetName val="LPG"/>
      <sheetName val="NAf, MEast"/>
      <sheetName val="Annual"/>
      <sheetName val="QoQ Forecast"/>
      <sheetName val="Broadway"/>
      <sheetName val="Rev sum"/>
      <sheetName val="Dem-HH"/>
      <sheetName val="teo model"/>
      <sheetName val="PetroChina"/>
      <sheetName val="Invested capital_VDF"/>
      <sheetName val="NOPAT_VDF"/>
      <sheetName val="eva"/>
      <sheetName val="EVA1"/>
      <sheetName val="Quarterly "/>
      <sheetName val="Income Statement_VDF"/>
      <sheetName val="Summary Page_VDF"/>
      <sheetName val="WACC_VDF"/>
      <sheetName val="DCF_VDF"/>
      <sheetName val="PV of Op Leases_VDF"/>
      <sheetName val="Calculation (2)"/>
      <sheetName val="PetroConsultants"/>
      <sheetName val="africa"/>
      <sheetName val="chem"/>
      <sheetName val="euro"/>
      <sheetName val="health"/>
      <sheetName val="Table (F)"/>
      <sheetName val="cap_add_Asia-14"/>
      <sheetName val="Sheet2"/>
      <sheetName val="Sheet3"/>
      <sheetName val="Ratios"/>
      <sheetName val="GDP estimates"/>
      <sheetName val="model"/>
      <sheetName val="US"/>
      <sheetName val="Qtrly-Format"/>
      <sheetName val="finstats"/>
      <sheetName val="Sheet3 (2)"/>
      <sheetName val="earnings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3)"/>
      <sheetName val="AFOSHEET"/>
      <sheetName val="Top-10_aug09"/>
      <sheetName val="Top-10_Jun09"/>
      <sheetName val="Top-10_May09"/>
      <sheetName val="Top-10_Mar09"/>
      <sheetName val="Top-10_Jan09"/>
      <sheetName val="Top-10_dec08"/>
      <sheetName val="Top-10_oct08"/>
      <sheetName val="Top-10_sep08"/>
      <sheetName val="Top-10_Aug08"/>
      <sheetName val="Top-10_Jun08"/>
      <sheetName val="Top-10_may08"/>
      <sheetName val="Top-10_mar08"/>
      <sheetName val="Top-10_feb08"/>
      <sheetName val="Top-10_Jan08"/>
      <sheetName val="Top-10_Dec07"/>
      <sheetName val="Top-10_Nov07"/>
      <sheetName val="Top-10_Oct07"/>
      <sheetName val="Top-10_Aug07"/>
      <sheetName val="Top-10_Dec06"/>
      <sheetName val="Top-10 New"/>
      <sheetName val="summary_new"/>
      <sheetName val="Sectoral Parameters"/>
      <sheetName val="Sectoral Perf"/>
      <sheetName val="Sectoral Summary"/>
      <sheetName val="summary"/>
      <sheetName val="performance"/>
      <sheetName val="Hi_low"/>
      <sheetName val="operating_stats"/>
      <sheetName val="all_dump"/>
      <sheetName val="Top-10"/>
      <sheetName val="Sheet1"/>
      <sheetName val="dump"/>
      <sheetName val="IBES"/>
      <sheetName val="KS vs Consensus"/>
      <sheetName val="Mid cap universe"/>
      <sheetName val="Mid cap"/>
      <sheetName val="ADRs"/>
      <sheetName val="Tech"/>
      <sheetName val="Consumers"/>
      <sheetName val="Pharma"/>
      <sheetName val="Pharma_mids"/>
      <sheetName val="Chem_Energy"/>
      <sheetName val="Banks"/>
      <sheetName val="Auto"/>
      <sheetName val="Telecom"/>
      <sheetName val="Cement"/>
      <sheetName val="Media"/>
      <sheetName val="Metals"/>
      <sheetName val="Hotels"/>
      <sheetName val="summary_09E"/>
      <sheetName val="control"/>
      <sheetName val="check"/>
      <sheetName val="Portfolio"/>
      <sheetName val="Rating_dist"/>
      <sheetName val="JCF"/>
      <sheetName val="Bloomberg"/>
      <sheetName val="GS"/>
      <sheetName val="IBES_o"/>
      <sheetName val="IBES06"/>
      <sheetName val="IBES02-03"/>
      <sheetName val="summary08"/>
      <sheetName val="Sectoral Summary (2)"/>
      <sheetName val="Temp"/>
      <sheetName val="summary (Report)"/>
      <sheetName val="summary (2)"/>
      <sheetName val="Fundamental Ranks"/>
      <sheetName val="Top GainersLosers"/>
      <sheetName val="Top-10 New (2)"/>
      <sheetName val="summary (REP)"/>
      <sheetName val="kotakval"/>
      <sheetName val="other_prices"/>
      <sheetName val="Sectoral Performance"/>
      <sheetName val="summary 08"/>
      <sheetName val="IBES (2)"/>
      <sheetName val="summary_15jan"/>
      <sheetName val="summAUy"/>
      <sheetName val="Top-10_Apr09"/>
      <sheetName val="HKGAS"/>
      <sheetName val="Database"/>
      <sheetName val="internet"/>
      <sheetName val="CV Financials"/>
      <sheetName val="rm"/>
      <sheetName val="main"/>
      <sheetName val="bs_related"/>
      <sheetName val="fg"/>
      <sheetName val="res 2002"/>
      <sheetName val="sales"/>
      <sheetName val="Inc Mod cigs"/>
      <sheetName val="Financials(O)"/>
      <sheetName val="Financials"/>
      <sheetName val="Introdu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3">
          <cell r="A3" t="str">
            <v>As on</v>
          </cell>
        </row>
        <row r="6">
          <cell r="A6" t="str">
            <v>TCS</v>
          </cell>
        </row>
        <row r="7">
          <cell r="A7" t="str">
            <v>Bajaj Auto</v>
          </cell>
        </row>
        <row r="8">
          <cell r="A8" t="str">
            <v>Tata Motors</v>
          </cell>
        </row>
        <row r="9">
          <cell r="A9" t="str">
            <v>Maruti Suzuki</v>
          </cell>
        </row>
        <row r="10">
          <cell r="A10" t="str">
            <v xml:space="preserve">Mahindra &amp; Mahindra </v>
          </cell>
        </row>
        <row r="11">
          <cell r="A11" t="str">
            <v>Ashok Leyland</v>
          </cell>
        </row>
        <row r="12">
          <cell r="A12" t="str">
            <v>Punjab Tractors</v>
          </cell>
        </row>
        <row r="13">
          <cell r="A13" t="str">
            <v>TVS Motor Co</v>
          </cell>
        </row>
        <row r="14">
          <cell r="A14" t="str">
            <v>Bharat Forge</v>
          </cell>
        </row>
        <row r="15">
          <cell r="A15" t="str">
            <v>Mphasis BFL</v>
          </cell>
        </row>
        <row r="16">
          <cell r="A16" t="str">
            <v>Auto Ancillaries</v>
          </cell>
        </row>
        <row r="17">
          <cell r="A17" t="str">
            <v>Motherson Sumi</v>
          </cell>
        </row>
        <row r="18">
          <cell r="A18" t="str">
            <v>Rico Auto</v>
          </cell>
        </row>
        <row r="19">
          <cell r="A19" t="str">
            <v>MICO</v>
          </cell>
        </row>
        <row r="20">
          <cell r="A20" t="str">
            <v>Consumer Products</v>
          </cell>
        </row>
        <row r="21">
          <cell r="A21" t="str">
            <v>Banks/Financial Institutions</v>
          </cell>
        </row>
        <row r="22">
          <cell r="A22" t="str">
            <v>State Bank of India</v>
          </cell>
        </row>
        <row r="23">
          <cell r="A23" t="str">
            <v>HDFC</v>
          </cell>
        </row>
        <row r="24">
          <cell r="A24" t="str">
            <v>HDFC Bank</v>
          </cell>
        </row>
        <row r="25">
          <cell r="A25" t="str">
            <v>ICICI Bank</v>
          </cell>
        </row>
        <row r="26">
          <cell r="A26" t="str">
            <v>IDFC</v>
          </cell>
        </row>
        <row r="27">
          <cell r="A27" t="str">
            <v>Corporation Bank</v>
          </cell>
        </row>
        <row r="28">
          <cell r="A28" t="str">
            <v>Bank of Baroda</v>
          </cell>
        </row>
        <row r="29">
          <cell r="A29" t="str">
            <v>Punjab National Bank</v>
          </cell>
        </row>
        <row r="30">
          <cell r="A30" t="str">
            <v>Oriental Bank of Commerce</v>
          </cell>
        </row>
        <row r="31">
          <cell r="A31" t="str">
            <v>Canara Bank</v>
          </cell>
        </row>
        <row r="32">
          <cell r="A32" t="str">
            <v>LIC Housing Finance</v>
          </cell>
        </row>
        <row r="33">
          <cell r="A33" t="str">
            <v>Axis Bank</v>
          </cell>
        </row>
        <row r="34">
          <cell r="A34" t="str">
            <v>MMFSL</v>
          </cell>
        </row>
        <row r="35">
          <cell r="A35" t="str">
            <v>Shriram Transport</v>
          </cell>
        </row>
        <row r="36">
          <cell r="A36" t="str">
            <v>SREI</v>
          </cell>
        </row>
        <row r="37">
          <cell r="A37" t="str">
            <v>Andhra Bank</v>
          </cell>
        </row>
        <row r="38">
          <cell r="A38" t="str">
            <v>Indian Overseas Bank</v>
          </cell>
        </row>
        <row r="39">
          <cell r="A39" t="str">
            <v>PFC</v>
          </cell>
        </row>
        <row r="40">
          <cell r="A40" t="str">
            <v>Centurion Bank of Punjab</v>
          </cell>
        </row>
        <row r="41">
          <cell r="A41" t="str">
            <v>Federal Bank</v>
          </cell>
        </row>
        <row r="42">
          <cell r="A42" t="str">
            <v>J&amp;K Bank</v>
          </cell>
        </row>
        <row r="43">
          <cell r="A43" t="str">
            <v>Union Bank</v>
          </cell>
        </row>
        <row r="44">
          <cell r="A44" t="str">
            <v>India Infoline</v>
          </cell>
        </row>
        <row r="45">
          <cell r="A45" t="str">
            <v>Indian Bank</v>
          </cell>
        </row>
        <row r="46">
          <cell r="A46" t="str">
            <v>Abbott India</v>
          </cell>
        </row>
        <row r="47">
          <cell r="A47" t="str">
            <v>Cement</v>
          </cell>
        </row>
        <row r="48">
          <cell r="A48" t="str">
            <v>Ambuja Cements</v>
          </cell>
        </row>
        <row r="49">
          <cell r="A49" t="str">
            <v>ACC</v>
          </cell>
        </row>
        <row r="50">
          <cell r="A50" t="str">
            <v>Grasim Industries</v>
          </cell>
        </row>
        <row r="51">
          <cell r="A51" t="str">
            <v>UltraTech Cement</v>
          </cell>
        </row>
        <row r="52">
          <cell r="A52" t="str">
            <v>India Cements</v>
          </cell>
        </row>
        <row r="53">
          <cell r="A53" t="str">
            <v>Madras Cements</v>
          </cell>
        </row>
        <row r="54">
          <cell r="A54" t="str">
            <v>Shree Cement</v>
          </cell>
        </row>
        <row r="55">
          <cell r="A55" t="str">
            <v xml:space="preserve">Reliance Industries </v>
          </cell>
        </row>
        <row r="56">
          <cell r="A56" t="str">
            <v>Construction</v>
          </cell>
        </row>
        <row r="57">
          <cell r="A57" t="str">
            <v>Punj</v>
          </cell>
        </row>
        <row r="58">
          <cell r="A58" t="str">
            <v>Nagarjuna Construction Co.</v>
          </cell>
        </row>
        <row r="59">
          <cell r="A59" t="str">
            <v>IVRCL</v>
          </cell>
        </row>
        <row r="60">
          <cell r="A60" t="str">
            <v>Sadbhav Engineering</v>
          </cell>
        </row>
        <row r="61">
          <cell r="A61" t="str">
            <v>Hindustan Petroleum</v>
          </cell>
        </row>
        <row r="62">
          <cell r="A62" t="str">
            <v>Consumer Products</v>
          </cell>
        </row>
        <row r="63">
          <cell r="A63" t="str">
            <v>Hindustan Unilever</v>
          </cell>
        </row>
        <row r="64">
          <cell r="A64" t="str">
            <v>ITC</v>
          </cell>
        </row>
        <row r="65">
          <cell r="A65" t="str">
            <v>Nestle India</v>
          </cell>
        </row>
        <row r="66">
          <cell r="A66" t="str">
            <v>Colgate-Palmolive (India)</v>
          </cell>
        </row>
        <row r="67">
          <cell r="A67" t="str">
            <v>Glaxo SmithKline Consumer</v>
          </cell>
        </row>
        <row r="68">
          <cell r="A68" t="str">
            <v>Asian Paints</v>
          </cell>
        </row>
        <row r="69">
          <cell r="A69" t="str">
            <v>Godrej Consumer Products</v>
          </cell>
        </row>
        <row r="70">
          <cell r="A70" t="str">
            <v>Lakshmi</v>
          </cell>
        </row>
        <row r="71">
          <cell r="A71" t="str">
            <v>Tata Tea</v>
          </cell>
        </row>
        <row r="72">
          <cell r="A72" t="str">
            <v>HDFC Bank</v>
          </cell>
        </row>
        <row r="73">
          <cell r="A73" t="str">
            <v>Diversified</v>
          </cell>
        </row>
        <row r="74">
          <cell r="A74" t="str">
            <v>Sintex</v>
          </cell>
        </row>
        <row r="75">
          <cell r="A75" t="str">
            <v>Aditya Birla Nuvo</v>
          </cell>
        </row>
        <row r="76">
          <cell r="A76" t="str">
            <v>Monnet Ispat</v>
          </cell>
        </row>
        <row r="131">
          <cell r="D131">
            <v>242.55</v>
          </cell>
        </row>
        <row r="132">
          <cell r="D132">
            <v>70.75</v>
          </cell>
        </row>
        <row r="133">
          <cell r="D133">
            <v>228.2</v>
          </cell>
        </row>
        <row r="134">
          <cell r="D134">
            <v>175.2</v>
          </cell>
        </row>
        <row r="135">
          <cell r="D135">
            <v>73.849999999999994</v>
          </cell>
        </row>
        <row r="136">
          <cell r="D136">
            <v>507.2</v>
          </cell>
        </row>
        <row r="137">
          <cell r="D137">
            <v>599.95000000000005</v>
          </cell>
        </row>
        <row r="138">
          <cell r="D138">
            <v>445.75</v>
          </cell>
        </row>
        <row r="139">
          <cell r="D139">
            <v>227.25</v>
          </cell>
        </row>
        <row r="140">
          <cell r="D140">
            <v>207.25</v>
          </cell>
        </row>
        <row r="141">
          <cell r="D141">
            <v>1259.2</v>
          </cell>
        </row>
        <row r="142">
          <cell r="D142">
            <v>446.3</v>
          </cell>
        </row>
        <row r="143">
          <cell r="D143">
            <v>1109.4000000000001</v>
          </cell>
        </row>
        <row r="144">
          <cell r="D144">
            <v>313.89999999999998</v>
          </cell>
        </row>
        <row r="145">
          <cell r="D145">
            <v>942.3</v>
          </cell>
        </row>
        <row r="146">
          <cell r="D146">
            <v>332.45</v>
          </cell>
        </row>
        <row r="147">
          <cell r="D147">
            <v>253.15</v>
          </cell>
        </row>
        <row r="148">
          <cell r="D148">
            <v>274.14999999999998</v>
          </cell>
        </row>
        <row r="149">
          <cell r="D149">
            <v>1383.95</v>
          </cell>
        </row>
        <row r="150">
          <cell r="D150">
            <v>304.85000000000002</v>
          </cell>
        </row>
        <row r="151">
          <cell r="D151">
            <v>291.39999999999998</v>
          </cell>
        </row>
        <row r="152">
          <cell r="D152">
            <v>357.6</v>
          </cell>
        </row>
        <row r="153">
          <cell r="D153">
            <v>625.4</v>
          </cell>
        </row>
        <row r="154">
          <cell r="D154">
            <v>555.6</v>
          </cell>
        </row>
        <row r="155">
          <cell r="D155">
            <v>676.9</v>
          </cell>
        </row>
        <row r="156">
          <cell r="D156">
            <v>157.69999999999999</v>
          </cell>
        </row>
        <row r="157">
          <cell r="D157">
            <v>62.3</v>
          </cell>
        </row>
        <row r="158">
          <cell r="D158">
            <v>356.75</v>
          </cell>
        </row>
        <row r="159">
          <cell r="D159">
            <v>879.55</v>
          </cell>
        </row>
        <row r="160">
          <cell r="D160">
            <v>375.15</v>
          </cell>
        </row>
        <row r="161">
          <cell r="D161">
            <v>440.45</v>
          </cell>
        </row>
        <row r="162">
          <cell r="D162">
            <v>48.8</v>
          </cell>
        </row>
        <row r="163">
          <cell r="D163">
            <v>1896.6</v>
          </cell>
        </row>
        <row r="164">
          <cell r="D164">
            <v>780.55</v>
          </cell>
        </row>
        <row r="165">
          <cell r="D165">
            <v>856.35</v>
          </cell>
        </row>
        <row r="166">
          <cell r="D166">
            <v>249.2</v>
          </cell>
        </row>
        <row r="167">
          <cell r="D167">
            <v>570.5</v>
          </cell>
        </row>
        <row r="168">
          <cell r="D168">
            <v>849</v>
          </cell>
        </row>
        <row r="169">
          <cell r="D169">
            <v>359.25</v>
          </cell>
        </row>
        <row r="170">
          <cell r="D170">
            <v>58</v>
          </cell>
        </row>
        <row r="171">
          <cell r="D171">
            <v>528.35</v>
          </cell>
        </row>
        <row r="172">
          <cell r="D172">
            <v>117.85</v>
          </cell>
        </row>
        <row r="173">
          <cell r="D173">
            <v>615</v>
          </cell>
        </row>
        <row r="174">
          <cell r="D174">
            <v>566.9</v>
          </cell>
        </row>
        <row r="175">
          <cell r="D175">
            <v>688.35</v>
          </cell>
        </row>
        <row r="176">
          <cell r="D176">
            <v>174.3</v>
          </cell>
        </row>
        <row r="177">
          <cell r="D177">
            <v>1886.85</v>
          </cell>
        </row>
        <row r="178">
          <cell r="D178">
            <v>874.3</v>
          </cell>
        </row>
        <row r="179">
          <cell r="D179">
            <v>434.65</v>
          </cell>
        </row>
        <row r="180">
          <cell r="D180">
            <v>1546.85</v>
          </cell>
        </row>
        <row r="181">
          <cell r="D181">
            <v>434.15</v>
          </cell>
        </row>
        <row r="182">
          <cell r="D182">
            <v>277.60000000000002</v>
          </cell>
        </row>
        <row r="183">
          <cell r="D183">
            <v>1075.4000000000001</v>
          </cell>
        </row>
        <row r="184">
          <cell r="D184">
            <v>74.5</v>
          </cell>
        </row>
        <row r="185">
          <cell r="D185">
            <v>88.8</v>
          </cell>
        </row>
        <row r="186">
          <cell r="D186">
            <v>688.1</v>
          </cell>
        </row>
        <row r="187">
          <cell r="D187">
            <v>350</v>
          </cell>
        </row>
        <row r="188">
          <cell r="D188">
            <v>1461.3</v>
          </cell>
        </row>
        <row r="189">
          <cell r="D189">
            <v>404.2</v>
          </cell>
        </row>
        <row r="190">
          <cell r="D190">
            <v>241.15</v>
          </cell>
        </row>
        <row r="191">
          <cell r="D191">
            <v>185.65</v>
          </cell>
        </row>
        <row r="192">
          <cell r="D192">
            <v>342.15</v>
          </cell>
        </row>
        <row r="193">
          <cell r="D193">
            <v>118.4</v>
          </cell>
        </row>
        <row r="194">
          <cell r="D194">
            <v>825.6</v>
          </cell>
        </row>
        <row r="195">
          <cell r="D195">
            <v>574.75</v>
          </cell>
        </row>
        <row r="196">
          <cell r="D196">
            <v>508.45</v>
          </cell>
        </row>
        <row r="197">
          <cell r="D197">
            <v>110.15</v>
          </cell>
        </row>
        <row r="198">
          <cell r="D198">
            <v>241.65</v>
          </cell>
        </row>
        <row r="199">
          <cell r="D199">
            <v>329.45</v>
          </cell>
        </row>
        <row r="200">
          <cell r="D200">
            <v>118.65</v>
          </cell>
        </row>
        <row r="201">
          <cell r="D201">
            <v>326.95</v>
          </cell>
        </row>
        <row r="202">
          <cell r="D202">
            <v>633.20000000000005</v>
          </cell>
        </row>
        <row r="203">
          <cell r="D203">
            <v>728.4</v>
          </cell>
        </row>
        <row r="204">
          <cell r="D204">
            <v>1244.05</v>
          </cell>
        </row>
        <row r="205">
          <cell r="D205">
            <v>205.75</v>
          </cell>
        </row>
        <row r="206">
          <cell r="D206">
            <v>3464.2</v>
          </cell>
        </row>
        <row r="207">
          <cell r="D207">
            <v>393.65</v>
          </cell>
        </row>
        <row r="208">
          <cell r="D208">
            <v>314.95</v>
          </cell>
        </row>
        <row r="209">
          <cell r="D209">
            <v>1756.15</v>
          </cell>
        </row>
        <row r="210">
          <cell r="D210">
            <v>416.75</v>
          </cell>
        </row>
        <row r="211">
          <cell r="D211">
            <v>109.7</v>
          </cell>
        </row>
        <row r="212">
          <cell r="D212">
            <v>737.35</v>
          </cell>
        </row>
        <row r="213">
          <cell r="D213">
            <v>436.55</v>
          </cell>
        </row>
        <row r="214">
          <cell r="D214">
            <v>473.6</v>
          </cell>
        </row>
        <row r="215">
          <cell r="D215">
            <v>1567.75</v>
          </cell>
        </row>
        <row r="216">
          <cell r="D216">
            <v>1401.1</v>
          </cell>
        </row>
        <row r="217">
          <cell r="D217">
            <v>201.75</v>
          </cell>
        </row>
        <row r="218">
          <cell r="D218">
            <v>533.45000000000005</v>
          </cell>
        </row>
        <row r="219">
          <cell r="D219">
            <v>50.2</v>
          </cell>
        </row>
        <row r="220">
          <cell r="D220">
            <v>475.2</v>
          </cell>
        </row>
        <row r="221">
          <cell r="D221">
            <v>466.5</v>
          </cell>
        </row>
        <row r="222">
          <cell r="D222">
            <v>41.8</v>
          </cell>
        </row>
        <row r="223">
          <cell r="D223">
            <v>1150.45</v>
          </cell>
        </row>
        <row r="224">
          <cell r="D224">
            <v>1133.95</v>
          </cell>
        </row>
        <row r="225">
          <cell r="D225">
            <v>186.55</v>
          </cell>
        </row>
        <row r="226">
          <cell r="D226">
            <v>400.25</v>
          </cell>
        </row>
        <row r="227">
          <cell r="D227">
            <v>39.15</v>
          </cell>
        </row>
        <row r="228">
          <cell r="D228">
            <v>414.65</v>
          </cell>
        </row>
        <row r="229">
          <cell r="D229">
            <v>161.30000000000001</v>
          </cell>
        </row>
        <row r="230">
          <cell r="D230">
            <v>380.6</v>
          </cell>
        </row>
        <row r="231">
          <cell r="D231">
            <v>32.6</v>
          </cell>
        </row>
        <row r="232">
          <cell r="D232">
            <v>282.8</v>
          </cell>
        </row>
        <row r="233">
          <cell r="D233">
            <v>186.4</v>
          </cell>
        </row>
        <row r="234">
          <cell r="D234">
            <v>356.25</v>
          </cell>
        </row>
        <row r="235">
          <cell r="D235">
            <v>42.1</v>
          </cell>
        </row>
        <row r="236">
          <cell r="D236">
            <v>324.7</v>
          </cell>
        </row>
        <row r="237">
          <cell r="D237">
            <v>536.4</v>
          </cell>
        </row>
        <row r="238">
          <cell r="D238">
            <v>206.15</v>
          </cell>
        </row>
        <row r="239">
          <cell r="D239">
            <v>400.1</v>
          </cell>
        </row>
        <row r="240">
          <cell r="D240">
            <v>62.5</v>
          </cell>
        </row>
        <row r="244">
          <cell r="D244">
            <v>436.35</v>
          </cell>
        </row>
        <row r="245">
          <cell r="D245">
            <v>593.45000000000005</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row r="3">
          <cell r="A3" t="str">
            <v>As on</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BS"/>
      <sheetName val="CEMVAR"/>
      <sheetName val="TB"/>
      <sheetName val="Inventory"/>
      <sheetName val="Fixed Assets"/>
      <sheetName val="Dep Wor"/>
      <sheetName val="Groupings"/>
      <sheetName val="Avg Rates"/>
      <sheetName val="ireda"/>
      <sheetName val="T_ME_TP_HVAC_BQ"/>
      <sheetName val="SPT vs PHI"/>
      <sheetName val="sheet6"/>
      <sheetName val="office"/>
      <sheetName val="Lab"/>
      <sheetName val="upa"/>
      <sheetName val="Material List "/>
      <sheetName val="M-Book for Conc"/>
      <sheetName val="M-Book for FW"/>
      <sheetName val="hist&amp;proj"/>
      <sheetName val="Names&amp;Cases"/>
      <sheetName val="CASHFLOWS"/>
      <sheetName val="Cost Summary"/>
      <sheetName val="Cost Details "/>
      <sheetName val="CP-T-18,25"/>
      <sheetName val="CP-T-19,24"/>
      <sheetName val="CP-T-20,23"/>
      <sheetName val="CP-T-21"/>
      <sheetName val="CP-T-22"/>
      <sheetName val="CP-T-NTA"/>
      <sheetName val="RA-Doors"/>
      <sheetName val="E-Lobby Summary"/>
      <sheetName val="RA-Finishes Work"/>
      <sheetName val="MS work"/>
      <sheetName val="CIVIL RA"/>
      <sheetName val="T18 &amp; T25-Summary"/>
      <sheetName val="T19 &amp; T24-Summary"/>
      <sheetName val="T20 &amp; T23-Summary"/>
      <sheetName val="T21- Summary"/>
      <sheetName val="T22-Summary"/>
      <sheetName val="NTA- Summary"/>
      <sheetName val="NTA Towerwise Sum"/>
      <sheetName val="Flatwise Cost-Finishing"/>
      <sheetName val="Non tower door schedule "/>
      <sheetName val="MB EXC"/>
      <sheetName val="Gypsum Boxing"/>
      <sheetName val="Summary (M)"/>
      <sheetName val="Summary MEP TA"/>
      <sheetName val="Electrical TA"/>
      <sheetName val="Plumbing TA"/>
      <sheetName val="Fire Fighting TA"/>
      <sheetName val="SHAFT"/>
      <sheetName val="Elevator TA"/>
      <sheetName val="HVAC &amp; Solar TA"/>
      <sheetName val="Summary MEP NTA"/>
      <sheetName val="Electrical NTA"/>
      <sheetName val="Plumbing NTA"/>
      <sheetName val="Fire NTA"/>
      <sheetName val="DG &amp; Ventliation NTA"/>
      <sheetName val="Working-MEP"/>
      <sheetName val="Ele-Working"/>
      <sheetName val="Area &amp; Perimeter L&amp;T-Ele"/>
      <sheetName val="FLAT MATRIX_Total (M)"/>
      <sheetName val="Typology &amp; Total Flats(M)"/>
      <sheetName val="Flat Matrix_T18,T25 (M)"/>
      <sheetName val="Flat Matrix_T19,T24 (M)"/>
      <sheetName val="Flat Matrix_T20,T23 (M)"/>
      <sheetName val="Flat Matrix_T21 (M)"/>
      <sheetName val="Flat Matrix_T22(M)"/>
      <sheetName val="BUA towerwise"/>
      <sheetName val="Client-AREA"/>
      <sheetName val="BUA"/>
      <sheetName val="BUA working"/>
      <sheetName val="Miscellaneous"/>
      <sheetName val="Concrete Working"/>
      <sheetName val="DOOR "/>
      <sheetName val="WINDOWS"/>
      <sheetName val="Area &amp; Perimeter L&amp;T"/>
      <sheetName val="Flooring_Typ"/>
      <sheetName val="Ceiling Typ"/>
      <sheetName val="Skirting_Typ"/>
      <sheetName val="Wall finish_Typ"/>
      <sheetName val="notes"/>
      <sheetName val="Sheet1"/>
      <sheetName val="FLOORING-CA"/>
      <sheetName val="SKIRTING-CA"/>
      <sheetName val="WALL-CA"/>
      <sheetName val="CEILING-CA"/>
      <sheetName val="Corr,Connecting Terr Railing"/>
      <sheetName val="Balcony Railing with Granite"/>
      <sheetName val="Staircase Railing-TA"/>
      <sheetName val="Toilet"/>
      <sheetName val="Balcony, Kitchen, Utility"/>
      <sheetName val="Balcony, Kitchen, Utility-Sunk"/>
      <sheetName val="MB WP"/>
      <sheetName val="EXT.PAINT-T18 &amp; T25"/>
      <sheetName val="EXT.PAINT-T19 &amp; T24"/>
      <sheetName val="EXT.PAINT-20"/>
      <sheetName val="Tower No-21"/>
      <sheetName val="EXT.PAINT-22"/>
      <sheetName val="NTA-WALL FIN"/>
      <sheetName val="NTA-CEILING"/>
      <sheetName val="NTA-FLOOR"/>
      <sheetName val="NTA-SKIRT"/>
      <sheetName val="Misc-NTA"/>
      <sheetName val="NTA STAIR"/>
      <sheetName val="TA-STAIR Basement"/>
      <sheetName val="Assumption list"/>
      <sheetName val="Blockwork"/>
      <sheetName val="NTA-WP"/>
      <sheetName val="External Development"/>
      <sheetName val="Filling"/>
      <sheetName val="WP Plaster"/>
      <sheetName val="PCC &amp; GSB"/>
      <sheetName val="Screed &amp; Floor Finish"/>
      <sheetName val="Misc Item"/>
      <sheetName val="E-lobby Flooring"/>
      <sheetName val="E-Lobby Cladding"/>
      <sheetName val="E-Lobby Concrete"/>
      <sheetName val="E-Lobby Rubble Solling"/>
      <sheetName val="E-Lobby Ply backing"/>
      <sheetName val="E-Lobby Ramp rail  "/>
      <sheetName val="FitOutConfCentre"/>
      <sheetName val="beam-reinft-machine rm"/>
      <sheetName val="concrete"/>
      <sheetName val="analysis"/>
      <sheetName val="PCC"/>
      <sheetName val="B1"/>
      <sheetName val="s"/>
      <sheetName val="Sheet2"/>
      <sheetName val="labour rates"/>
      <sheetName val="Material "/>
      <sheetName val="BHANDUP"/>
      <sheetName val="SC Cost FEB 03"/>
      <sheetName val="Materials Cost(PCC)"/>
      <sheetName val="200205C"/>
      <sheetName val="final abstract"/>
      <sheetName val="MG"/>
      <sheetName val="1"/>
      <sheetName val="girder"/>
      <sheetName val="Estimation"/>
      <sheetName val="P.O VS Actual"/>
      <sheetName val="core data"/>
      <sheetName val="Wall"/>
      <sheetName val="ABB"/>
      <sheetName val="GE"/>
      <sheetName val="Risk Heads"/>
      <sheetName val="Sump"/>
      <sheetName val="Labor abs-NMR"/>
      <sheetName val="col-reinft1"/>
      <sheetName val="foot-slab reinft"/>
      <sheetName val="Pg 2. Content page"/>
      <sheetName val="PRECAST lightconc-II"/>
      <sheetName val="Meas.-Hotel Part"/>
      <sheetName val="Rate Analysis"/>
      <sheetName val="입찰내역 발주처 양식"/>
      <sheetName val="Headings"/>
      <sheetName val="Data sheet"/>
      <sheetName val="Old"/>
      <sheetName val="Introduction"/>
      <sheetName val="Sheet3"/>
      <sheetName val="Operating Statistics"/>
      <sheetName val="#REF"/>
      <sheetName val="Financials"/>
      <sheetName val="BORDGC"/>
      <sheetName val="Costing-blk-B"/>
      <sheetName val="dlvoid"/>
      <sheetName val="Build-up"/>
      <sheetName val="Settings"/>
      <sheetName val="Inputs"/>
      <sheetName val="AOP13"/>
      <sheetName val="beam-reinft-IIInd floor"/>
      <sheetName val="SP Break Up"/>
      <sheetName val="internet"/>
      <sheetName val="AutoOpen Stub Data"/>
      <sheetName val="Fixed_Assets"/>
      <sheetName val="Dep_Wor"/>
      <sheetName val="Avg_Rates"/>
      <sheetName val="Cost_Summary"/>
      <sheetName val="Cost_Details_"/>
      <sheetName val="E-Lobby_Summary"/>
      <sheetName val="RA-Finishes_Work"/>
      <sheetName val="MS_work"/>
      <sheetName val="CIVIL_RA"/>
      <sheetName val="T18_&amp;_T25-Summary"/>
      <sheetName val="T19_&amp;_T24-Summary"/>
      <sheetName val="T20_&amp;_T23-Summary"/>
      <sheetName val="T21-_Summary"/>
      <sheetName val="NTA-_Summary"/>
      <sheetName val="NTA_Towerwise_Sum"/>
      <sheetName val="Flatwise_Cost-Finishing"/>
      <sheetName val="Non_tower_door_schedule_"/>
      <sheetName val="MB_EXC"/>
      <sheetName val="Gypsum_Boxing"/>
      <sheetName val="Summary_(M)"/>
      <sheetName val="Summary_MEP_TA"/>
      <sheetName val="Electrical_TA"/>
      <sheetName val="Plumbing_TA"/>
      <sheetName val="Fire_Fighting_TA"/>
      <sheetName val="Elevator_TA"/>
      <sheetName val="HVAC_&amp;_Solar_TA"/>
      <sheetName val="Summary_MEP_NTA"/>
      <sheetName val="Electrical_NTA"/>
      <sheetName val="Plumbing_NTA"/>
      <sheetName val="Fire_NTA"/>
      <sheetName val="DG_&amp;_Ventliation_NTA"/>
      <sheetName val="Area_&amp;_Perimeter_L&amp;T-Ele"/>
      <sheetName val="FLAT_MATRIX_Total_(M)"/>
      <sheetName val="Typology_&amp;_Total_Flats(M)"/>
      <sheetName val="Flat_Matrix_T18,T25_(M)"/>
      <sheetName val="Flat_Matrix_T19,T24_(M)"/>
      <sheetName val="Flat_Matrix_T20,T23_(M)"/>
      <sheetName val="Flat_Matrix_T21_(M)"/>
      <sheetName val="Flat_Matrix_T22(M)"/>
      <sheetName val="BUA_towerwise"/>
      <sheetName val="BUA_working"/>
      <sheetName val="Concrete_Working"/>
      <sheetName val="DOOR_"/>
      <sheetName val="Area_&amp;_Perimeter_L&amp;T"/>
      <sheetName val="Ceiling_Typ"/>
      <sheetName val="Wall_finish_Typ"/>
      <sheetName val="Corr,Connecting_Terr_Railing"/>
      <sheetName val="Balcony_Railing_with_Granite"/>
      <sheetName val="Staircase_Railing-TA"/>
      <sheetName val="Balcony,_Kitchen,_Utility"/>
      <sheetName val="Balcony,_Kitchen,_Utility-Sunk"/>
      <sheetName val="MB_WP"/>
      <sheetName val="EXT_PAINT-T18_&amp;_T25"/>
      <sheetName val="EXT_PAINT-T19_&amp;_T24"/>
      <sheetName val="EXT_PAINT-20"/>
      <sheetName val="Tower_No-21"/>
      <sheetName val="EXT_PAINT-22"/>
      <sheetName val="NTA-WALL_FIN"/>
      <sheetName val="NTA_STAIR"/>
      <sheetName val="TA-STAIR_Basement"/>
      <sheetName val="Assumption_list"/>
      <sheetName val="External_Development"/>
      <sheetName val="WP_Plaster"/>
      <sheetName val="PCC_&amp;_GSB"/>
      <sheetName val="Screed_&amp;_Floor_Finish"/>
      <sheetName val="Misc_Item"/>
      <sheetName val="E-lobby_Flooring"/>
      <sheetName val="E-Lobby_Cladding"/>
      <sheetName val="E-Lobby_Concrete"/>
      <sheetName val="E-Lobby_Rubble_Solling"/>
      <sheetName val="E-Lobby_Ply_backing"/>
      <sheetName val="E-Lobby_Ramp_rail__"/>
      <sheetName val="P_O_VS_Actual"/>
      <sheetName val="Material_List_"/>
      <sheetName val="core_data"/>
      <sheetName val="SPT_vs_PHI"/>
      <sheetName val="beam-reinft-machine_rm"/>
      <sheetName val="labour_rates"/>
      <sheetName val="M-Book_for_Conc"/>
      <sheetName val="M-Book_for_FW"/>
    </sheetNames>
    <sheetDataSet>
      <sheetData sheetId="0">
        <row r="7">
          <cell r="D7" t="str">
            <v>Rupees</v>
          </cell>
        </row>
      </sheetData>
      <sheetData sheetId="1" refreshError="1">
        <row r="7">
          <cell r="D7" t="str">
            <v>Rupees</v>
          </cell>
          <cell r="E7" t="str">
            <v>Rupees</v>
          </cell>
        </row>
        <row r="10">
          <cell r="C10">
            <v>1</v>
          </cell>
          <cell r="D10">
            <v>162293400</v>
          </cell>
        </row>
        <row r="11">
          <cell r="C11">
            <v>2</v>
          </cell>
          <cell r="D11">
            <v>92324708.008288652</v>
          </cell>
        </row>
        <row r="12">
          <cell r="D12">
            <v>95633951.317760736</v>
          </cell>
        </row>
        <row r="13">
          <cell r="E13">
            <v>350252059.32604939</v>
          </cell>
        </row>
        <row r="15">
          <cell r="C15">
            <v>3</v>
          </cell>
          <cell r="D15">
            <v>116718960.19</v>
          </cell>
        </row>
        <row r="16">
          <cell r="C16">
            <v>4</v>
          </cell>
          <cell r="D16">
            <v>225652207.5</v>
          </cell>
        </row>
        <row r="17">
          <cell r="E17">
            <v>342371167.69</v>
          </cell>
        </row>
        <row r="19">
          <cell r="E19">
            <v>-335006118.35000002</v>
          </cell>
        </row>
        <row r="20">
          <cell r="C20">
            <v>0</v>
          </cell>
        </row>
        <row r="21">
          <cell r="E21">
            <v>357617108.66604936</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7">
          <cell r="C7" t="str">
            <v>Core &amp; Shell</v>
          </cell>
        </row>
      </sheetData>
      <sheetData sheetId="23">
        <row r="7">
          <cell r="C7" t="str">
            <v>Core &amp; Shell</v>
          </cell>
        </row>
      </sheetData>
      <sheetData sheetId="24"/>
      <sheetData sheetId="25"/>
      <sheetData sheetId="26"/>
      <sheetData sheetId="27">
        <row r="7">
          <cell r="C7" t="str">
            <v>Core &amp; Shell</v>
          </cell>
        </row>
      </sheetData>
      <sheetData sheetId="28"/>
      <sheetData sheetId="29"/>
      <sheetData sheetId="30"/>
      <sheetData sheetId="31"/>
      <sheetData sheetId="32"/>
      <sheetData sheetId="33"/>
      <sheetData sheetId="34"/>
      <sheetData sheetId="35"/>
      <sheetData sheetId="36"/>
      <sheetData sheetId="37"/>
      <sheetData sheetId="38">
        <row r="7">
          <cell r="C7" t="str">
            <v>Core &amp; Shell</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row r="7">
          <cell r="C7" t="str">
            <v>Core &amp; Shell</v>
          </cell>
        </row>
      </sheetData>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Sheet1"/>
      <sheetName val="1"/>
      <sheetName val="AH Cash Flow"/>
      <sheetName val="cashflow TEST Ver 3"/>
      <sheetName val="BS"/>
      <sheetName val="upa"/>
    </sheetNames>
    <sheetDataSet>
      <sheetData sheetId="0" refreshError="1"/>
      <sheetData sheetId="1"/>
      <sheetData sheetId="2">
        <row r="20">
          <cell r="A20">
            <v>1</v>
          </cell>
          <cell r="B20">
            <v>39173</v>
          </cell>
          <cell r="D20">
            <v>71000</v>
          </cell>
          <cell r="I20">
            <v>67400</v>
          </cell>
        </row>
        <row r="21">
          <cell r="B21">
            <v>39203</v>
          </cell>
          <cell r="D21">
            <v>187000</v>
          </cell>
          <cell r="I21">
            <v>110200</v>
          </cell>
        </row>
        <row r="22">
          <cell r="B22">
            <v>39234</v>
          </cell>
          <cell r="D22">
            <v>335000</v>
          </cell>
          <cell r="I22">
            <v>140600</v>
          </cell>
        </row>
        <row r="23">
          <cell r="B23">
            <v>39264</v>
          </cell>
          <cell r="D23">
            <v>503000</v>
          </cell>
          <cell r="I23">
            <v>159600</v>
          </cell>
        </row>
        <row r="24">
          <cell r="B24">
            <v>39295</v>
          </cell>
          <cell r="D24">
            <v>679000</v>
          </cell>
          <cell r="I24">
            <v>167200</v>
          </cell>
        </row>
        <row r="25">
          <cell r="B25">
            <v>39326</v>
          </cell>
          <cell r="D25">
            <v>849000</v>
          </cell>
          <cell r="I25">
            <v>161500</v>
          </cell>
        </row>
        <row r="26">
          <cell r="B26">
            <v>39356</v>
          </cell>
          <cell r="D26">
            <v>1003000</v>
          </cell>
          <cell r="I26">
            <v>146300</v>
          </cell>
        </row>
        <row r="27">
          <cell r="B27">
            <v>39387</v>
          </cell>
          <cell r="D27">
            <v>1126000</v>
          </cell>
          <cell r="I27">
            <v>116900</v>
          </cell>
        </row>
        <row r="28">
          <cell r="B28">
            <v>39417</v>
          </cell>
          <cell r="D28">
            <v>1208000</v>
          </cell>
          <cell r="I28">
            <v>77900</v>
          </cell>
        </row>
        <row r="29">
          <cell r="B29">
            <v>39448</v>
          </cell>
          <cell r="D29">
            <v>1234567</v>
          </cell>
          <cell r="I29">
            <v>56117</v>
          </cell>
        </row>
        <row r="30">
          <cell r="B30">
            <v>39479</v>
          </cell>
          <cell r="D30">
            <v>0</v>
          </cell>
          <cell r="I30">
            <v>0</v>
          </cell>
        </row>
        <row r="31">
          <cell r="B31">
            <v>39508</v>
          </cell>
          <cell r="D31">
            <v>0</v>
          </cell>
          <cell r="I31">
            <v>0</v>
          </cell>
        </row>
        <row r="32">
          <cell r="B32">
            <v>39539</v>
          </cell>
          <cell r="I32">
            <v>0</v>
          </cell>
        </row>
        <row r="33">
          <cell r="B33">
            <v>39569</v>
          </cell>
          <cell r="I33">
            <v>0</v>
          </cell>
        </row>
        <row r="34">
          <cell r="B34">
            <v>39600</v>
          </cell>
          <cell r="I34">
            <v>0</v>
          </cell>
        </row>
        <row r="35">
          <cell r="B35">
            <v>39630</v>
          </cell>
          <cell r="I35">
            <v>0</v>
          </cell>
        </row>
        <row r="36">
          <cell r="B36">
            <v>39661</v>
          </cell>
          <cell r="I36">
            <v>0</v>
          </cell>
        </row>
        <row r="37">
          <cell r="B37">
            <v>39692</v>
          </cell>
          <cell r="I37">
            <v>0</v>
          </cell>
        </row>
        <row r="38">
          <cell r="B38">
            <v>39722</v>
          </cell>
          <cell r="I38">
            <v>0</v>
          </cell>
        </row>
        <row r="39">
          <cell r="B39">
            <v>39753</v>
          </cell>
          <cell r="I39">
            <v>0</v>
          </cell>
        </row>
        <row r="40">
          <cell r="B40">
            <v>39783</v>
          </cell>
          <cell r="I40">
            <v>0</v>
          </cell>
        </row>
        <row r="41">
          <cell r="B41">
            <v>39814</v>
          </cell>
          <cell r="I41">
            <v>30850</v>
          </cell>
        </row>
        <row r="42">
          <cell r="B42">
            <v>39845</v>
          </cell>
          <cell r="I42">
            <v>0</v>
          </cell>
        </row>
        <row r="43">
          <cell r="B43">
            <v>39873</v>
          </cell>
          <cell r="I43">
            <v>0</v>
          </cell>
        </row>
        <row r="44">
          <cell r="B44">
            <v>39904</v>
          </cell>
          <cell r="I44">
            <v>0</v>
          </cell>
        </row>
        <row r="45">
          <cell r="B45">
            <v>39934</v>
          </cell>
          <cell r="I45">
            <v>0</v>
          </cell>
        </row>
        <row r="46">
          <cell r="B46">
            <v>39965</v>
          </cell>
          <cell r="I46">
            <v>0</v>
          </cell>
        </row>
      </sheetData>
      <sheetData sheetId="3"/>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remental analysis"/>
      <sheetName val="Raw Materials "/>
      <sheetName val="Invsetments"/>
      <sheetName val="Financials"/>
      <sheetName val="Productwise break up"/>
      <sheetName val="Monthly (1)"/>
      <sheetName val="Forecast"/>
      <sheetName val="InQuart"/>
      <sheetName val="InqUpdate"/>
      <sheetName val="Header"/>
      <sheetName val="Monthly"/>
      <sheetName val="Chart"/>
      <sheetName val="fins"/>
      <sheetName val="Sheet1"/>
      <sheetName val="RM"/>
      <sheetName val="Dubai"/>
      <sheetName val="bajaj_copeland"/>
      <sheetName val="segment wise"/>
      <sheetName val="BA-HH-TVS"/>
      <sheetName val="graphs"/>
      <sheetName val="Sheet2"/>
      <sheetName val="quarterly"/>
      <sheetName val="Q1FY04"/>
      <sheetName val="Q4FY03"/>
      <sheetName val="Q3FY02"/>
      <sheetName val="share price info"/>
      <sheetName val="WACC"/>
      <sheetName val="formatted"/>
      <sheetName val="Chart3"/>
      <sheetName val="Chart4"/>
      <sheetName val="Chart5"/>
      <sheetName val="Chart6"/>
      <sheetName val="Chart7"/>
      <sheetName val="Chart8"/>
      <sheetName val="Chart9"/>
      <sheetName val="Chart10"/>
      <sheetName val="earnmodel"/>
      <sheetName val="cap_add_Asia"/>
      <sheetName val="Key"/>
      <sheetName val="final 061106"/>
      <sheetName val="Structure"/>
    </sheetNames>
    <sheetDataSet>
      <sheetData sheetId="0" refreshError="1"/>
      <sheetData sheetId="1" refreshError="1"/>
      <sheetData sheetId="2" refreshError="1"/>
      <sheetData sheetId="3" refreshError="1">
        <row r="20">
          <cell r="C20">
            <v>1991</v>
          </cell>
          <cell r="D20" t="str">
            <v>1992</v>
          </cell>
          <cell r="E20" t="str">
            <v>1993</v>
          </cell>
          <cell r="F20" t="str">
            <v>1994</v>
          </cell>
          <cell r="G20" t="str">
            <v>1995</v>
          </cell>
        </row>
        <row r="21">
          <cell r="D21">
            <v>808962</v>
          </cell>
          <cell r="E21">
            <v>768142</v>
          </cell>
          <cell r="F21">
            <v>913622</v>
          </cell>
          <cell r="G21">
            <v>1135637</v>
          </cell>
        </row>
        <row r="22">
          <cell r="D22">
            <v>-5.9841734528207846E-2</v>
          </cell>
          <cell r="E22">
            <v>-5.0459724931455341E-2</v>
          </cell>
          <cell r="F22">
            <v>0.18939206552955046</v>
          </cell>
          <cell r="G22">
            <v>0.24300531291934746</v>
          </cell>
        </row>
        <row r="23">
          <cell r="D23">
            <v>589241</v>
          </cell>
          <cell r="E23">
            <v>538421</v>
          </cell>
          <cell r="F23">
            <v>623890</v>
          </cell>
          <cell r="G23">
            <v>741104</v>
          </cell>
        </row>
        <row r="24">
          <cell r="E24">
            <v>-8.6246544283238968E-2</v>
          </cell>
          <cell r="F24">
            <v>0.15874009371848419</v>
          </cell>
          <cell r="G24">
            <v>0.18787606789658429</v>
          </cell>
        </row>
        <row r="31">
          <cell r="D31">
            <v>808286</v>
          </cell>
          <cell r="E31">
            <v>773313</v>
          </cell>
          <cell r="F31">
            <v>920762</v>
          </cell>
          <cell r="G31">
            <v>1132104</v>
          </cell>
        </row>
        <row r="32">
          <cell r="E32">
            <v>-4.3268100647543051E-2</v>
          </cell>
          <cell r="F32">
            <v>0.19067182369881275</v>
          </cell>
          <cell r="G32">
            <v>0.22952945495144239</v>
          </cell>
        </row>
        <row r="39">
          <cell r="D39">
            <v>30108</v>
          </cell>
          <cell r="E39">
            <v>34672</v>
          </cell>
          <cell r="F39">
            <v>42080</v>
          </cell>
          <cell r="G39">
            <v>75087</v>
          </cell>
        </row>
        <row r="40">
          <cell r="D40">
            <v>-0.37218758471130386</v>
          </cell>
          <cell r="E40">
            <v>0.15158761790886133</v>
          </cell>
          <cell r="F40">
            <v>0.21365943700969092</v>
          </cell>
          <cell r="G40">
            <v>0.78438688212927765</v>
          </cell>
        </row>
        <row r="47">
          <cell r="D47">
            <v>85433</v>
          </cell>
          <cell r="E47">
            <v>75221</v>
          </cell>
          <cell r="F47">
            <v>92023</v>
          </cell>
          <cell r="G47">
            <v>123968</v>
          </cell>
        </row>
        <row r="48">
          <cell r="D48">
            <v>0.14380388796658283</v>
          </cell>
          <cell r="E48">
            <v>-0.11953226504980508</v>
          </cell>
          <cell r="F48">
            <v>0.22336847422927097</v>
          </cell>
          <cell r="G48">
            <v>0.34714147550069008</v>
          </cell>
        </row>
        <row r="55">
          <cell r="D55">
            <v>34574</v>
          </cell>
          <cell r="E55">
            <v>61115</v>
          </cell>
          <cell r="F55">
            <v>68286</v>
          </cell>
          <cell r="G55">
            <v>73882</v>
          </cell>
        </row>
        <row r="56">
          <cell r="D56">
            <v>14.91804788213628</v>
          </cell>
          <cell r="E56">
            <v>0.76765777752068032</v>
          </cell>
          <cell r="F56">
            <v>0.1173361695164854</v>
          </cell>
          <cell r="G56">
            <v>8.1949447910259821E-2</v>
          </cell>
        </row>
        <row r="61">
          <cell r="D61">
            <v>69606</v>
          </cell>
          <cell r="E61">
            <v>58713</v>
          </cell>
          <cell r="F61">
            <v>87343</v>
          </cell>
          <cell r="G61">
            <v>121596</v>
          </cell>
        </row>
        <row r="62">
          <cell r="D62">
            <v>-0.12295247215362126</v>
          </cell>
          <cell r="E62">
            <v>-0.15649512973019564</v>
          </cell>
          <cell r="F62">
            <v>0.48762624972322999</v>
          </cell>
          <cell r="G62">
            <v>0.39216651591999363</v>
          </cell>
        </row>
        <row r="69">
          <cell r="D69">
            <v>531.17700000000002</v>
          </cell>
          <cell r="E69">
            <v>557.05799999999999</v>
          </cell>
          <cell r="F69">
            <v>688.58699999999999</v>
          </cell>
          <cell r="G69">
            <v>1062.5999999999999</v>
          </cell>
        </row>
        <row r="70">
          <cell r="E70">
            <v>4.872387170378234E-2</v>
          </cell>
          <cell r="F70">
            <v>0.23611365423349095</v>
          </cell>
          <cell r="G70">
            <v>0.54316012355737175</v>
          </cell>
        </row>
        <row r="74">
          <cell r="D74">
            <v>388.57301999999999</v>
          </cell>
          <cell r="E74">
            <v>388.27496600000001</v>
          </cell>
          <cell r="F74">
            <v>447.916766</v>
          </cell>
          <cell r="G74">
            <v>559.78139699999997</v>
          </cell>
        </row>
        <row r="75">
          <cell r="E75">
            <v>-7.6704759378298792E-4</v>
          </cell>
          <cell r="F75">
            <v>0.15360712181480163</v>
          </cell>
          <cell r="G75">
            <v>0.24974423707997562</v>
          </cell>
        </row>
        <row r="81">
          <cell r="D81" t="str">
            <v>1992</v>
          </cell>
          <cell r="E81" t="str">
            <v>1993</v>
          </cell>
          <cell r="F81" t="str">
            <v>1994</v>
          </cell>
          <cell r="G81" t="str">
            <v>1995</v>
          </cell>
        </row>
        <row r="84">
          <cell r="D84">
            <v>12121.301301</v>
          </cell>
          <cell r="E84">
            <v>12410.06366</v>
          </cell>
          <cell r="F84">
            <v>15979.746736999999</v>
          </cell>
          <cell r="G84">
            <v>21440.273613000001</v>
          </cell>
        </row>
        <row r="85">
          <cell r="D85">
            <v>2327.7985920000001</v>
          </cell>
          <cell r="E85">
            <v>2344.2822580000002</v>
          </cell>
          <cell r="F85">
            <v>2713.5462560000001</v>
          </cell>
          <cell r="G85">
            <v>3571.271659</v>
          </cell>
        </row>
        <row r="88">
          <cell r="D88">
            <v>9793.5027090000003</v>
          </cell>
          <cell r="E88">
            <v>10065.781402000001</v>
          </cell>
          <cell r="F88">
            <v>13266.200481</v>
          </cell>
          <cell r="G88">
            <v>17869.001953999999</v>
          </cell>
        </row>
        <row r="89">
          <cell r="D89">
            <v>388.57301999999999</v>
          </cell>
          <cell r="E89">
            <v>388.27496600000001</v>
          </cell>
          <cell r="F89">
            <v>447.916766</v>
          </cell>
          <cell r="G89">
            <v>559.78139699999997</v>
          </cell>
        </row>
        <row r="90">
          <cell r="D90">
            <v>-2.7773782849891626E-2</v>
          </cell>
          <cell r="E90">
            <v>-7.6704759378298792E-4</v>
          </cell>
          <cell r="F90">
            <v>0.15360712181480163</v>
          </cell>
          <cell r="G90">
            <v>0.24974423707997562</v>
          </cell>
        </row>
        <row r="91">
          <cell r="D91">
            <v>10182.075729</v>
          </cell>
          <cell r="E91">
            <v>10454.056368000001</v>
          </cell>
          <cell r="F91">
            <v>13714.117247</v>
          </cell>
          <cell r="G91">
            <v>18428.783350999998</v>
          </cell>
        </row>
        <row r="94">
          <cell r="E94">
            <v>79</v>
          </cell>
          <cell r="F94">
            <v>52.78</v>
          </cell>
          <cell r="G94">
            <v>-14.03</v>
          </cell>
        </row>
        <row r="96">
          <cell r="E96">
            <v>10533.056368000001</v>
          </cell>
          <cell r="F96">
            <v>13766.897247000001</v>
          </cell>
          <cell r="G96">
            <v>18414.753350999999</v>
          </cell>
        </row>
        <row r="99">
          <cell r="D99">
            <v>6146.9487280000003</v>
          </cell>
          <cell r="E99">
            <v>6512.0013150000004</v>
          </cell>
          <cell r="F99">
            <v>7753.7512130000005</v>
          </cell>
          <cell r="G99">
            <v>10417.157952000001</v>
          </cell>
        </row>
        <row r="100">
          <cell r="D100">
            <v>118.67894699999999</v>
          </cell>
          <cell r="E100">
            <v>-77</v>
          </cell>
          <cell r="F100">
            <v>81.61</v>
          </cell>
          <cell r="G100">
            <v>6.7496869999999998</v>
          </cell>
        </row>
        <row r="101">
          <cell r="D101">
            <v>6265.6276750000006</v>
          </cell>
          <cell r="E101">
            <v>6435.0013150000004</v>
          </cell>
          <cell r="F101">
            <v>7835.3612130000001</v>
          </cell>
          <cell r="G101">
            <v>10423.907639000001</v>
          </cell>
        </row>
        <row r="103">
          <cell r="D103">
            <v>872.15034300000002</v>
          </cell>
          <cell r="E103">
            <v>996.01015900000004</v>
          </cell>
          <cell r="F103">
            <v>1049.18174</v>
          </cell>
          <cell r="G103">
            <v>1279.200094</v>
          </cell>
        </row>
        <row r="105">
          <cell r="D105">
            <v>888.56516799999997</v>
          </cell>
          <cell r="E105">
            <v>1060.637434</v>
          </cell>
          <cell r="F105">
            <v>1172.000581</v>
          </cell>
          <cell r="G105">
            <v>1502.5856040000001</v>
          </cell>
        </row>
        <row r="106">
          <cell r="D106">
            <v>11.279229000000001</v>
          </cell>
          <cell r="E106">
            <v>10.303694</v>
          </cell>
          <cell r="F106">
            <v>9.6539000000000001</v>
          </cell>
          <cell r="G106">
            <v>13.364953999999999</v>
          </cell>
        </row>
        <row r="107">
          <cell r="D107">
            <v>450.19233300000002</v>
          </cell>
          <cell r="E107">
            <v>471.63548700000001</v>
          </cell>
          <cell r="F107">
            <v>707.15147999999999</v>
          </cell>
          <cell r="G107">
            <v>960.23516600000005</v>
          </cell>
        </row>
        <row r="109">
          <cell r="D109">
            <v>48.892175000000002</v>
          </cell>
          <cell r="E109">
            <v>49.063445000000002</v>
          </cell>
          <cell r="F109">
            <v>73.662903999999997</v>
          </cell>
          <cell r="G109">
            <v>76.715789000000001</v>
          </cell>
        </row>
        <row r="110">
          <cell r="E110">
            <v>8.167160488276802E-2</v>
          </cell>
          <cell r="F110">
            <v>0.23234830252962449</v>
          </cell>
          <cell r="G110">
            <v>5.7947931751721034E-2</v>
          </cell>
        </row>
        <row r="111">
          <cell r="D111">
            <v>8438.9225729999998</v>
          </cell>
          <cell r="E111">
            <v>8924.524644000001</v>
          </cell>
          <cell r="F111">
            <v>10699.686009999999</v>
          </cell>
          <cell r="G111">
            <v>14102.577668000002</v>
          </cell>
        </row>
        <row r="113">
          <cell r="D113">
            <v>1743.1531560000003</v>
          </cell>
          <cell r="E113">
            <v>1608.5317240000004</v>
          </cell>
          <cell r="F113">
            <v>3067.2112370000013</v>
          </cell>
          <cell r="G113">
            <v>4312.1756829999977</v>
          </cell>
        </row>
        <row r="115">
          <cell r="D115">
            <v>215.864867</v>
          </cell>
          <cell r="E115">
            <v>256.19737800000001</v>
          </cell>
          <cell r="F115">
            <v>331.79179899999997</v>
          </cell>
          <cell r="G115">
            <v>704.74375300000008</v>
          </cell>
        </row>
        <row r="116">
          <cell r="D116" t="str">
            <v>NOI/(Inv+Loans)</v>
          </cell>
          <cell r="E116">
            <v>0</v>
          </cell>
          <cell r="F116" t="e">
            <v>#REF!</v>
          </cell>
          <cell r="G116" t="e">
            <v>#REF!</v>
          </cell>
        </row>
        <row r="117">
          <cell r="D117">
            <v>62.38</v>
          </cell>
          <cell r="E117">
            <v>192.87</v>
          </cell>
          <cell r="F117">
            <v>49.030833000000086</v>
          </cell>
          <cell r="G117">
            <v>166.37473499999999</v>
          </cell>
        </row>
        <row r="118">
          <cell r="D118">
            <v>20.712864</v>
          </cell>
          <cell r="E118">
            <v>2.4747669999999999</v>
          </cell>
          <cell r="F118">
            <v>2.1963550000000001</v>
          </cell>
          <cell r="G118">
            <v>9.2413659999999993</v>
          </cell>
        </row>
        <row r="120">
          <cell r="D120">
            <v>330.551939</v>
          </cell>
          <cell r="E120">
            <v>262.74609600000002</v>
          </cell>
          <cell r="F120">
            <v>151.546695</v>
          </cell>
          <cell r="G120">
            <v>114.61515</v>
          </cell>
        </row>
        <row r="121">
          <cell r="D121">
            <v>0.15361664545722983</v>
          </cell>
          <cell r="E121">
            <v>0.14021214253883313</v>
          </cell>
          <cell r="F121">
            <v>8.21981825030631E-2</v>
          </cell>
          <cell r="G121">
            <v>5.6601868003895543E-2</v>
          </cell>
        </row>
        <row r="122">
          <cell r="D122">
            <v>1670.1332200000002</v>
          </cell>
          <cell r="E122">
            <v>1792.3782390000003</v>
          </cell>
          <cell r="F122">
            <v>3294.2908190000016</v>
          </cell>
          <cell r="G122">
            <v>5059.4376549999979</v>
          </cell>
        </row>
        <row r="124">
          <cell r="D124">
            <v>832.72556299999997</v>
          </cell>
          <cell r="E124">
            <v>811.86362899999995</v>
          </cell>
          <cell r="F124">
            <v>664.61281199999996</v>
          </cell>
          <cell r="G124">
            <v>586.63266299999998</v>
          </cell>
        </row>
        <row r="125">
          <cell r="D125">
            <v>0.13026786330190546</v>
          </cell>
          <cell r="E125">
            <v>0.11298135181897004</v>
          </cell>
          <cell r="F125">
            <v>8.6484437665473965E-2</v>
          </cell>
          <cell r="G125">
            <v>6.8917663019596453E-2</v>
          </cell>
        </row>
        <row r="126">
          <cell r="D126">
            <v>837.4076570000002</v>
          </cell>
          <cell r="E126">
            <v>980.5146100000004</v>
          </cell>
          <cell r="F126">
            <v>2629.6780070000018</v>
          </cell>
          <cell r="G126">
            <v>4472.8049919999976</v>
          </cell>
        </row>
        <row r="127">
          <cell r="D127">
            <v>390</v>
          </cell>
          <cell r="E127">
            <v>460</v>
          </cell>
          <cell r="F127">
            <v>1172.5</v>
          </cell>
          <cell r="G127">
            <v>1435</v>
          </cell>
        </row>
        <row r="128">
          <cell r="D128">
            <v>0.46572299254722471</v>
          </cell>
          <cell r="E128">
            <v>0.46914140320662823</v>
          </cell>
          <cell r="F128">
            <v>0.44587207896894399</v>
          </cell>
          <cell r="G128">
            <v>0.32082775854673362</v>
          </cell>
        </row>
        <row r="129">
          <cell r="D129">
            <v>447.4076570000002</v>
          </cell>
          <cell r="E129">
            <v>520.5146100000004</v>
          </cell>
          <cell r="F129">
            <v>1457.1780070000018</v>
          </cell>
          <cell r="G129">
            <v>3037.8049919999976</v>
          </cell>
        </row>
        <row r="130">
          <cell r="D130">
            <v>-0.20586344295199843</v>
          </cell>
          <cell r="E130">
            <v>0.16340121107940764</v>
          </cell>
          <cell r="F130">
            <v>1.7994949209975117</v>
          </cell>
          <cell r="G130">
            <v>1.0847178432607198</v>
          </cell>
        </row>
        <row r="136">
          <cell r="G136" t="str">
            <v>EPS</v>
          </cell>
        </row>
        <row r="137">
          <cell r="G137" t="str">
            <v>RoE</v>
          </cell>
        </row>
        <row r="138">
          <cell r="D138" t="str">
            <v>BALANCE SHEET</v>
          </cell>
          <cell r="E138">
            <v>0</v>
          </cell>
          <cell r="F138">
            <v>0</v>
          </cell>
          <cell r="G138" t="str">
            <v>BV</v>
          </cell>
        </row>
        <row r="141">
          <cell r="D141">
            <v>1992</v>
          </cell>
          <cell r="E141">
            <v>1993</v>
          </cell>
          <cell r="F141">
            <v>1994</v>
          </cell>
          <cell r="G141" t="str">
            <v>1995</v>
          </cell>
        </row>
        <row r="142">
          <cell r="E142">
            <v>0.79599991908056267</v>
          </cell>
          <cell r="F142">
            <v>0.61841892136129983</v>
          </cell>
          <cell r="G142">
            <v>0.48442772936101142</v>
          </cell>
        </row>
        <row r="143">
          <cell r="D143" t="str">
            <v>Ret on Op asets</v>
          </cell>
          <cell r="E143" t="e">
            <v>#REF!</v>
          </cell>
          <cell r="F143" t="e">
            <v>#REF!</v>
          </cell>
          <cell r="G143" t="e">
            <v>#REF!</v>
          </cell>
        </row>
        <row r="146">
          <cell r="D146">
            <v>376.25599999999997</v>
          </cell>
          <cell r="E146">
            <v>376.25599999999997</v>
          </cell>
          <cell r="F146">
            <v>376.25599999999997</v>
          </cell>
          <cell r="G146">
            <v>796</v>
          </cell>
        </row>
        <row r="147">
          <cell r="D147">
            <v>4293.3365280000016</v>
          </cell>
          <cell r="E147">
            <v>1156.1780070000018</v>
          </cell>
          <cell r="F147">
            <v>1181.5116860000003</v>
          </cell>
        </row>
        <row r="148">
          <cell r="D148">
            <v>2799.656896</v>
          </cell>
          <cell r="E148">
            <v>3137.1585209999998</v>
          </cell>
          <cell r="F148">
            <v>4318.6702070000001</v>
          </cell>
          <cell r="G148">
            <v>6460.9900969999999</v>
          </cell>
        </row>
        <row r="150">
          <cell r="D150">
            <v>233.755</v>
          </cell>
          <cell r="E150">
            <v>223.22499999999999</v>
          </cell>
          <cell r="F150">
            <v>202.42500000000001</v>
          </cell>
          <cell r="G150">
            <v>163.5</v>
          </cell>
        </row>
        <row r="151">
          <cell r="D151">
            <v>0</v>
          </cell>
          <cell r="E151">
            <v>0</v>
          </cell>
          <cell r="F151">
            <v>0</v>
          </cell>
          <cell r="G151">
            <v>3290.1033819999998</v>
          </cell>
        </row>
        <row r="153">
          <cell r="D153">
            <v>3033.4118960000001</v>
          </cell>
          <cell r="E153">
            <v>3360.3835209999997</v>
          </cell>
          <cell r="F153">
            <v>4521.0952070000003</v>
          </cell>
          <cell r="G153">
            <v>9914.5934789999992</v>
          </cell>
        </row>
        <row r="154">
          <cell r="D154">
            <v>3409.6678959999999</v>
          </cell>
          <cell r="E154">
            <v>3736.6395209999996</v>
          </cell>
          <cell r="F154">
            <v>4897.3512070000006</v>
          </cell>
          <cell r="G154">
            <v>10710.593478999999</v>
          </cell>
        </row>
        <row r="157">
          <cell r="D157">
            <v>549.53688899999997</v>
          </cell>
          <cell r="E157">
            <v>287.73159800000002</v>
          </cell>
          <cell r="F157">
            <v>129.33698899999999</v>
          </cell>
          <cell r="G157">
            <v>81.755629999999996</v>
          </cell>
        </row>
        <row r="158">
          <cell r="D158">
            <v>102.8366</v>
          </cell>
          <cell r="E158">
            <v>122.033006</v>
          </cell>
          <cell r="F158">
            <v>132.435936</v>
          </cell>
          <cell r="G158">
            <v>142.91200499999999</v>
          </cell>
        </row>
        <row r="159">
          <cell r="D159">
            <v>447.92335700000001</v>
          </cell>
          <cell r="E159">
            <v>210.31267199999999</v>
          </cell>
          <cell r="F159">
            <v>562.22399700000005</v>
          </cell>
          <cell r="G159">
            <v>223.42221900000001</v>
          </cell>
        </row>
        <row r="160">
          <cell r="D160">
            <v>1100.296846</v>
          </cell>
          <cell r="E160">
            <v>620.07727599999998</v>
          </cell>
          <cell r="F160">
            <v>823.99692200000004</v>
          </cell>
          <cell r="G160">
            <v>448.089854</v>
          </cell>
        </row>
        <row r="161">
          <cell r="D161">
            <v>9.265000000000001E-2</v>
          </cell>
          <cell r="E161">
            <v>0</v>
          </cell>
          <cell r="F161">
            <v>0</v>
          </cell>
          <cell r="G161">
            <v>0</v>
          </cell>
        </row>
        <row r="162">
          <cell r="D162">
            <v>1003.155781</v>
          </cell>
          <cell r="E162">
            <v>1024.2139930000001</v>
          </cell>
          <cell r="F162">
            <v>1219.0608569999999</v>
          </cell>
          <cell r="G162">
            <v>1558.724007</v>
          </cell>
        </row>
        <row r="164">
          <cell r="D164">
            <v>2103.5452770000002</v>
          </cell>
          <cell r="E164">
            <v>1644.2912690000001</v>
          </cell>
          <cell r="F164">
            <v>2043.057779</v>
          </cell>
          <cell r="G164">
            <v>2006.8138610000001</v>
          </cell>
        </row>
        <row r="165">
          <cell r="E165">
            <v>-459.25400800000011</v>
          </cell>
        </row>
        <row r="166">
          <cell r="D166">
            <v>5513.2131730000001</v>
          </cell>
          <cell r="E166">
            <v>5380.9307899999994</v>
          </cell>
          <cell r="F166">
            <v>6940.4089860000004</v>
          </cell>
          <cell r="G166">
            <v>12717.40734</v>
          </cell>
        </row>
        <row r="168">
          <cell r="D168">
            <v>6109.8457937000012</v>
          </cell>
        </row>
        <row r="169">
          <cell r="D169">
            <v>905.31237200000078</v>
          </cell>
          <cell r="E169">
            <v>600.74055200000055</v>
          </cell>
          <cell r="F169">
            <v>317.03654899999947</v>
          </cell>
          <cell r="G169">
            <v>1323.8744969999998</v>
          </cell>
        </row>
        <row r="170">
          <cell r="D170">
            <v>6884.1198260000001</v>
          </cell>
          <cell r="E170">
            <v>7487.5196690000002</v>
          </cell>
          <cell r="F170">
            <v>7882.0157049999998</v>
          </cell>
          <cell r="G170">
            <v>9142.1443519999993</v>
          </cell>
        </row>
        <row r="171">
          <cell r="D171">
            <v>3869.2786059999999</v>
          </cell>
          <cell r="E171">
            <v>4660.1338809999997</v>
          </cell>
          <cell r="F171">
            <v>5308.0323680000001</v>
          </cell>
          <cell r="G171">
            <v>5873.8063009999996</v>
          </cell>
        </row>
        <row r="173">
          <cell r="D173">
            <v>3014.8412200000002</v>
          </cell>
          <cell r="E173">
            <v>2827.3857880000005</v>
          </cell>
          <cell r="F173">
            <v>2573.9833369999997</v>
          </cell>
          <cell r="G173">
            <v>3268.3380509999997</v>
          </cell>
        </row>
        <row r="174">
          <cell r="D174">
            <v>3.4201730000000001</v>
          </cell>
          <cell r="E174">
            <v>1.9000969999999999</v>
          </cell>
          <cell r="F174">
            <v>0.38148799999999999</v>
          </cell>
          <cell r="G174">
            <v>0</v>
          </cell>
        </row>
        <row r="175">
          <cell r="D175">
            <v>94.051289999999995</v>
          </cell>
          <cell r="E175">
            <v>91.391998999999998</v>
          </cell>
          <cell r="F175">
            <v>13.932511999999999</v>
          </cell>
          <cell r="G175">
            <v>77.678362000000007</v>
          </cell>
        </row>
        <row r="177">
          <cell r="D177">
            <v>758.54260800000009</v>
          </cell>
          <cell r="E177">
            <v>670.96364199999994</v>
          </cell>
          <cell r="F177">
            <v>2317.6264799999999</v>
          </cell>
          <cell r="G177">
            <v>4402.3985190000003</v>
          </cell>
        </row>
        <row r="178">
          <cell r="D178">
            <v>664.03155100000004</v>
          </cell>
          <cell r="E178">
            <v>477.39493099999999</v>
          </cell>
          <cell r="F178">
            <v>1458.4044670000001</v>
          </cell>
          <cell r="G178">
            <v>2210.978204</v>
          </cell>
        </row>
        <row r="179">
          <cell r="D179">
            <v>0</v>
          </cell>
          <cell r="E179">
            <v>0</v>
          </cell>
          <cell r="F179">
            <v>31.837109999999999</v>
          </cell>
          <cell r="G179">
            <v>240.11561600000002</v>
          </cell>
        </row>
        <row r="180">
          <cell r="D180">
            <v>27.950099999999999</v>
          </cell>
          <cell r="E180">
            <v>39.950099999999999</v>
          </cell>
          <cell r="F180">
            <v>161.9686489999998</v>
          </cell>
          <cell r="G180">
            <v>726.91744700000027</v>
          </cell>
        </row>
        <row r="181">
          <cell r="D181">
            <v>66.560957000000002</v>
          </cell>
          <cell r="E181">
            <v>153.61861100000002</v>
          </cell>
          <cell r="F181">
            <v>665.41625400000009</v>
          </cell>
          <cell r="G181">
            <v>1224.387252</v>
          </cell>
        </row>
        <row r="183">
          <cell r="D183" t="e">
            <v>#REF!</v>
          </cell>
          <cell r="E183" t="e">
            <v>#REF!</v>
          </cell>
          <cell r="F183" t="e">
            <v>#REF!</v>
          </cell>
          <cell r="G183" t="e">
            <v>#REF!</v>
          </cell>
        </row>
        <row r="186">
          <cell r="D186">
            <v>2131.2525569999998</v>
          </cell>
          <cell r="E186">
            <v>1726.852781</v>
          </cell>
          <cell r="F186">
            <v>1613.280133</v>
          </cell>
          <cell r="G186">
            <v>2548.4411279999999</v>
          </cell>
        </row>
        <row r="188">
          <cell r="D188">
            <v>338.358428</v>
          </cell>
          <cell r="E188">
            <v>589.33249999999998</v>
          </cell>
          <cell r="F188">
            <v>721.41789300000005</v>
          </cell>
          <cell r="G188">
            <v>944.79577700000004</v>
          </cell>
        </row>
        <row r="189">
          <cell r="D189" t="e">
            <v>#REF!</v>
          </cell>
          <cell r="E189" t="e">
            <v>#REF!</v>
          </cell>
          <cell r="F189" t="e">
            <v>#REF!</v>
          </cell>
          <cell r="G189" t="e">
            <v>#REF!</v>
          </cell>
        </row>
        <row r="190">
          <cell r="D190" t="e">
            <v>#REF!</v>
          </cell>
          <cell r="E190" t="e">
            <v>#REF!</v>
          </cell>
          <cell r="F190" t="e">
            <v>#REF!</v>
          </cell>
          <cell r="G190" t="e">
            <v>#REF!</v>
          </cell>
        </row>
        <row r="191">
          <cell r="D191">
            <v>18.296713</v>
          </cell>
          <cell r="E191">
            <v>41.757530000000003</v>
          </cell>
          <cell r="F191">
            <v>32.451300000000003</v>
          </cell>
          <cell r="G191">
            <v>98.799239</v>
          </cell>
        </row>
        <row r="193">
          <cell r="D193" t="e">
            <v>#REF!</v>
          </cell>
          <cell r="E193" t="e">
            <v>#REF!</v>
          </cell>
          <cell r="F193" t="e">
            <v>#REF!</v>
          </cell>
          <cell r="G193" t="e">
            <v>#REF!</v>
          </cell>
        </row>
        <row r="196">
          <cell r="D196">
            <v>1135.8706830000001</v>
          </cell>
          <cell r="E196">
            <v>1149.3373300000001</v>
          </cell>
          <cell r="F196">
            <v>1386.2953889999999</v>
          </cell>
          <cell r="G196">
            <v>1896.958257</v>
          </cell>
        </row>
        <row r="197">
          <cell r="D197">
            <v>1298.1279999999999</v>
          </cell>
          <cell r="E197">
            <v>1758.1279999999999</v>
          </cell>
          <cell r="F197">
            <v>2323.5048000000002</v>
          </cell>
          <cell r="G197">
            <v>3628.6917090000002</v>
          </cell>
        </row>
        <row r="198">
          <cell r="D198">
            <v>508.41951999999992</v>
          </cell>
          <cell r="E198">
            <v>244.11416499999996</v>
          </cell>
          <cell r="F198">
            <v>296.44695400000001</v>
          </cell>
          <cell r="G198">
            <v>465.41172900000015</v>
          </cell>
        </row>
        <row r="200">
          <cell r="D200">
            <v>2942.4182029999997</v>
          </cell>
          <cell r="E200">
            <v>3151.579495</v>
          </cell>
          <cell r="F200">
            <v>4006.2471430000001</v>
          </cell>
          <cell r="G200">
            <v>5991.0616950000003</v>
          </cell>
        </row>
        <row r="202">
          <cell r="D202" t="e">
            <v>#REF!</v>
          </cell>
          <cell r="E202" t="e">
            <v>#REF!</v>
          </cell>
          <cell r="F202" t="e">
            <v>#REF!</v>
          </cell>
          <cell r="G202" t="e">
            <v>#REF!</v>
          </cell>
        </row>
        <row r="203">
          <cell r="E203" t="e">
            <v>#REF!</v>
          </cell>
          <cell r="F203" t="e">
            <v>#REF!</v>
          </cell>
          <cell r="G203" t="e">
            <v>#REF!</v>
          </cell>
        </row>
        <row r="207">
          <cell r="D207">
            <v>0</v>
          </cell>
          <cell r="E207">
            <v>0</v>
          </cell>
          <cell r="F207">
            <v>0</v>
          </cell>
          <cell r="G207">
            <v>0</v>
          </cell>
        </row>
        <row r="209">
          <cell r="D209" t="e">
            <v>#REF!</v>
          </cell>
          <cell r="E209" t="e">
            <v>#REF!</v>
          </cell>
          <cell r="F209" t="e">
            <v>#REF!</v>
          </cell>
          <cell r="G209" t="e">
            <v>#REF!</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BS"/>
      <sheetName val="TB"/>
      <sheetName val="Inventory"/>
      <sheetName val="Dep-Work"/>
      <sheetName val="Fixed Assets"/>
      <sheetName val="Groupings"/>
      <sheetName val="FitOutConfCentre"/>
      <sheetName val="1"/>
      <sheetName val="COMPLEXALL"/>
      <sheetName val="Rate Analysis"/>
      <sheetName val="Loads"/>
      <sheetName val="CASHFLOWS"/>
      <sheetName val="Cash Flow Working"/>
      <sheetName val="Field Values"/>
      <sheetName val="girder"/>
      <sheetName val="입찰내역 발주처 양식"/>
      <sheetName val="Insts"/>
      <sheetName val="Staff Acco."/>
      <sheetName val="BASIS -DEC 08"/>
      <sheetName val="BOQ"/>
      <sheetName val="SC Cost FEB 03"/>
      <sheetName val="Internet"/>
      <sheetName val="BORDGC"/>
      <sheetName val="BQMPALOC"/>
      <sheetName val="PRICE COMP"/>
      <sheetName val="Sheet1"/>
      <sheetName val="Set"/>
      <sheetName val="Data"/>
      <sheetName val="HPL"/>
      <sheetName val="general"/>
      <sheetName val="sew4"/>
      <sheetName val="Costing"/>
      <sheetName val="INDEX"/>
      <sheetName val="AREAS"/>
      <sheetName val="Assumptions"/>
      <sheetName val="PPA Summary"/>
      <sheetName val="MASTER_RATE ANALYSIS"/>
      <sheetName val="Risk Heads"/>
      <sheetName val="cover page"/>
      <sheetName val="precast RC element"/>
      <sheetName val="beam-reinft-machine rm"/>
      <sheetName val="D"/>
      <sheetName val="Headings"/>
      <sheetName val="Cost_any"/>
      <sheetName val="sheet6"/>
      <sheetName val="concrete"/>
      <sheetName val="foot-slab reinft"/>
      <sheetName val="INDIGINEOUS ITEMS "/>
      <sheetName val="mn t.b."/>
      <sheetName val="pricesummary"/>
    </sheetNames>
    <sheetDataSet>
      <sheetData sheetId="0"/>
      <sheetData sheetId="1"/>
      <sheetData sheetId="2" refreshError="1">
        <row r="237">
          <cell r="C237" t="str">
            <v>GROUP TOTAL</v>
          </cell>
          <cell r="G237" t="str">
            <v>OK</v>
          </cell>
        </row>
        <row r="239">
          <cell r="C239" t="str">
            <v>LIABILITIES - UNSECURED LOANS</v>
          </cell>
        </row>
        <row r="241">
          <cell r="C241" t="str">
            <v>ASHOK LEYLAND LTD. - DPG</v>
          </cell>
        </row>
        <row r="242">
          <cell r="C242" t="str">
            <v>TELCO - DPG</v>
          </cell>
        </row>
        <row r="243">
          <cell r="C243" t="str">
            <v>IFST LOAN</v>
          </cell>
        </row>
        <row r="244">
          <cell r="C244" t="str">
            <v>LOANS - OTHERS</v>
          </cell>
        </row>
        <row r="245">
          <cell r="C245" t="str">
            <v>FIXED DEPOSIT</v>
          </cell>
        </row>
        <row r="246">
          <cell r="C246" t="str">
            <v>SECURITY DEPOSIT</v>
          </cell>
        </row>
        <row r="247">
          <cell r="C247" t="str">
            <v>DEPOSITS FROM EMPLOYEES</v>
          </cell>
        </row>
        <row r="249">
          <cell r="C249" t="str">
            <v>GROUP TOTAL</v>
          </cell>
          <cell r="G249" t="str">
            <v>OK</v>
          </cell>
        </row>
        <row r="251">
          <cell r="C251" t="str">
            <v>LIABILITIES - CURRENT</v>
          </cell>
        </row>
        <row r="253">
          <cell r="C253" t="str">
            <v>CREDITORS - CAPITAL GOODS - HYD.</v>
          </cell>
        </row>
        <row r="254">
          <cell r="C254" t="str">
            <v>CREDITORS - GOODS - HYDERABAD</v>
          </cell>
          <cell r="G254">
            <v>-3144190.4299999997</v>
          </cell>
        </row>
        <row r="255">
          <cell r="C255" t="str">
            <v>CREDITORS - CAPITAL GOODS - SIMHAPURI</v>
          </cell>
        </row>
        <row r="256">
          <cell r="C256" t="str">
            <v>CREDITORS - GOODS - SIMHAPURI</v>
          </cell>
        </row>
        <row r="257">
          <cell r="C257" t="str">
            <v>INT. &amp; COMM.CHARGES ACCR. &amp; NOT DUE TL</v>
          </cell>
        </row>
        <row r="258">
          <cell r="C258" t="str">
            <v>INT. &amp; COMM.CHARGES ACCR. &amp; NOT DUE FTL</v>
          </cell>
        </row>
        <row r="259">
          <cell r="C259" t="str">
            <v>LIABILITY FOR SALARIES &amp; WAGES</v>
          </cell>
        </row>
        <row r="260">
          <cell r="C260" t="str">
            <v>UNPAID SALARIES &amp; WAGES</v>
          </cell>
        </row>
        <row r="261">
          <cell r="C261" t="str">
            <v>UN CLAIMED DIVIDENDS</v>
          </cell>
        </row>
        <row r="262">
          <cell r="C262" t="str">
            <v>DIRECTORS REMUNDERATION PAYABLE</v>
          </cell>
        </row>
        <row r="263">
          <cell r="C263" t="str">
            <v>LIC - SSS</v>
          </cell>
        </row>
        <row r="264">
          <cell r="C264" t="str">
            <v>PF - EMPLOYEES CONTRIBUTION</v>
          </cell>
        </row>
        <row r="265">
          <cell r="C265" t="str">
            <v>FPS EMPLOYEES CONTRIBUTION</v>
          </cell>
        </row>
        <row r="266">
          <cell r="C266" t="str">
            <v>UNION FUND</v>
          </cell>
        </row>
        <row r="267">
          <cell r="C267" t="str">
            <v>ESI - EMPLOYEES CONTRIBUTION</v>
          </cell>
        </row>
        <row r="268">
          <cell r="C268" t="str">
            <v>MISC. RECOVERIES EMPLOYEES A/C.</v>
          </cell>
        </row>
        <row r="269">
          <cell r="C269" t="str">
            <v>RETENTION MONEY</v>
          </cell>
        </row>
        <row r="270">
          <cell r="C270" t="str">
            <v>PF LOAN</v>
          </cell>
        </row>
        <row r="271">
          <cell r="C271" t="str">
            <v>BANK LOANS - STAFF</v>
          </cell>
        </row>
        <row r="272">
          <cell r="C272" t="str">
            <v>PROFESSIONAL TAX</v>
          </cell>
        </row>
        <row r="273">
          <cell r="C273" t="str">
            <v>VOLUNTARY PROVIDENT FUND</v>
          </cell>
        </row>
        <row r="274">
          <cell r="C274" t="str">
            <v>TDS - SALARIES</v>
          </cell>
        </row>
        <row r="275">
          <cell r="C275" t="str">
            <v>TDS - CONTRACTORS</v>
          </cell>
        </row>
        <row r="276">
          <cell r="C276" t="str">
            <v>TDS - DIVIDENDS</v>
          </cell>
        </row>
        <row r="277">
          <cell r="C277" t="str">
            <v>TDS - COMMISSION</v>
          </cell>
        </row>
        <row r="278">
          <cell r="C278" t="str">
            <v>PROPERTY TAX PAYABLE</v>
          </cell>
        </row>
        <row r="279">
          <cell r="C279" t="str">
            <v>SALES TAX PAYABLE</v>
          </cell>
        </row>
        <row r="280">
          <cell r="C280" t="str">
            <v>TDS OTHERS</v>
          </cell>
        </row>
        <row r="281">
          <cell r="C281" t="str">
            <v xml:space="preserve">LIABILITY FOR EXPENSES </v>
          </cell>
        </row>
        <row r="282">
          <cell r="C282" t="str">
            <v xml:space="preserve">LIABILITY FOR EXPENSES </v>
          </cell>
        </row>
        <row r="283">
          <cell r="C283" t="str">
            <v>INTEREST PAYABLE</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BS"/>
      <sheetName val="BRDVAR"/>
      <sheetName val="TB"/>
      <sheetName val="Inventory"/>
      <sheetName val="Fixed Assets"/>
      <sheetName val="Dep-Work"/>
      <sheetName val="Groupings"/>
      <sheetName val="Boards-Stock"/>
      <sheetName val="1"/>
      <sheetName val="Data"/>
      <sheetName val="FitOutConfCentre"/>
      <sheetName val="COMPLEXALL"/>
      <sheetName val="Key Ratios"/>
      <sheetName val="mfg"/>
      <sheetName val="analysis"/>
      <sheetName val="SCHEDULE"/>
      <sheetName val="Database"/>
      <sheetName val="schedule nos"/>
      <sheetName val="basic rate"/>
      <sheetName val="influences on gm"/>
      <sheetName val="Settings"/>
      <sheetName val="CASHFLOWS"/>
      <sheetName val="mn t.b."/>
      <sheetName val="sheet6"/>
      <sheetName val="PCC"/>
      <sheetName val="PCC NC"/>
      <sheetName val="PCC NT"/>
      <sheetName val="Assumptions"/>
      <sheetName val="PPA Summary"/>
      <sheetName val="Fixed_Assets"/>
      <sheetName val="schedule_nos"/>
      <sheetName val="basic_rate"/>
      <sheetName val="influences_on_gm"/>
    </sheetNames>
    <sheetDataSet>
      <sheetData sheetId="0"/>
      <sheetData sheetId="1"/>
      <sheetData sheetId="2"/>
      <sheetData sheetId="3" refreshError="1">
        <row r="350">
          <cell r="B350" t="str">
            <v>EXPENDITURE - STORES &amp; SPARES CONSUMED</v>
          </cell>
        </row>
        <row r="352">
          <cell r="B352" t="str">
            <v>CONSUMABLE STORES &amp; SPARES</v>
          </cell>
        </row>
        <row r="353">
          <cell r="B353" t="str">
            <v>FREIGHT, COOLY &amp; CARTAGE (STORES)</v>
          </cell>
        </row>
        <row r="354">
          <cell r="B354" t="str">
            <v>DEMMURAGE - STORES</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 val="Review"/>
      <sheetName val="Qtrly Form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 val="Qtrly Format"/>
      <sheetName val="Review"/>
      <sheetName val="Operating_Statistics"/>
      <sheetName val="70%_stake"/>
      <sheetName val="Qtrly_Format"/>
      <sheetName val="Operating_Statistics1"/>
      <sheetName val="70%_stake1"/>
      <sheetName val="Qtrly_Format1"/>
      <sheetName val="1q98"/>
      <sheetName val="Capex"/>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refreshError="1"/>
      <sheetData sheetId="2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REF"/>
      <sheetName val="Invested capital_VDF"/>
      <sheetName val="NOPAT_VDF"/>
      <sheetName val="Rev sum"/>
      <sheetName val="Dem-HH"/>
      <sheetName val="Quarterly "/>
      <sheetName val="EVA1"/>
      <sheetName val="Calculation (2)"/>
      <sheetName val="Invested_capital_VDF"/>
      <sheetName val="Rev_sum"/>
      <sheetName val="Quarterly_"/>
      <sheetName val="Calculation_(2)"/>
      <sheetName val="model"/>
      <sheetName val="foundry "/>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Q97"/>
      <sheetName val="1Q98"/>
      <sheetName val="#REF"/>
    </sheet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 val="MARKET INFO"/>
      <sheetName val="Template"/>
      <sheetName val="CEMENT OPERATIONS"/>
      <sheetName val="Apartments"/>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e"/>
      <sheetName val="Proj"/>
      <sheetName val="Fin"/>
      <sheetName val="Snapshot"/>
      <sheetName val="Raw"/>
      <sheetName val="P&amp;L TWP"/>
      <sheetName val="Sheet2"/>
      <sheetName val="Notes"/>
      <sheetName val="Allowances"/>
      <sheetName val="Qtr-Old"/>
      <sheetName val="Q-Format"/>
      <sheetName val="Qtr-New"/>
      <sheetName val="Pension"/>
      <sheetName val="ESOP"/>
      <sheetName val="ESOP2"/>
      <sheetName val="Regional Distribution"/>
      <sheetName val="Charts"/>
      <sheetName val="All Segments"/>
      <sheetName val="H-W - Tech"/>
      <sheetName val="H-W - Pers. Sys"/>
      <sheetName val="H-W - Enterp. Sys"/>
      <sheetName val="Hardware"/>
      <sheetName val="Global Services"/>
      <sheetName val="Software"/>
      <sheetName val="Global Finacing"/>
      <sheetName val="Enterprise Investments"/>
      <sheetName val="Restructuring"/>
      <sheetName val="1999 Restructuring"/>
      <sheetName val="Equity"/>
      <sheetName val="Equity 2"/>
      <sheetName val="Acquisitions New Format"/>
      <sheetName val="old"/>
    </sheetNames>
    <sheetDataSet>
      <sheetData sheetId="0" refreshError="1"/>
      <sheetData sheetId="1" refreshError="1"/>
      <sheetData sheetId="2">
        <row r="98">
          <cell r="A98" t="str">
            <v>BALANCE SHEET</v>
          </cell>
        </row>
        <row r="395">
          <cell r="A395" t="str">
            <v>Du-Pont</v>
          </cell>
        </row>
        <row r="521">
          <cell r="A521" t="str">
            <v>Assumptions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k-SENSITIVITY"/>
      <sheetName val="INPUT Fabless-Products"/>
      <sheetName val="#Summ-Supply"/>
      <sheetName val="1-Foundry-Demand-Comm-IC"/>
      <sheetName val="#Customers-Japan"/>
      <sheetName val="#Dedicated foundries"/>
      <sheetName val="#Update-Fabless-IBES"/>
      <sheetName val="#Tables-Summ-Demand"/>
      <sheetName val="wk-UPDATE-CUSTOMERS"/>
      <sheetName val="INPUT-M&amp;As"/>
      <sheetName val="delete-ML-qtr-Top Clients"/>
      <sheetName val="Chart-TSMC"/>
      <sheetName val="wk-SUMMARY"/>
      <sheetName val="wk-Inventory"/>
      <sheetName val="wk-chart-Util"/>
      <sheetName val="WW-Qtrly-Fab"/>
      <sheetName val="Sheet6"/>
      <sheetName val="combine with #1-First Call"/>
      <sheetName val="COMPS"/>
      <sheetName val="Comm-Foundry"/>
      <sheetName val="RegDemand"/>
      <sheetName val="ProcessDemand"/>
      <sheetName val="EV"/>
      <sheetName val="TSMC"/>
      <sheetName val="Sheet4"/>
      <sheetName val="cust-detail"/>
      <sheetName val="OutsourcePlans"/>
      <sheetName val="umc data"/>
      <sheetName val="wk-DQ-Industry Assummtions"/>
      <sheetName val="WW silicon fcst"/>
      <sheetName val="foundry "/>
      <sheetName val="Ind. Assum UMC"/>
      <sheetName val="idm foundries"/>
      <sheetName val="dedicated foundry"/>
      <sheetName val="foundry users"/>
      <sheetName val="$ per inch2"/>
      <sheetName val="$ inch product"/>
      <sheetName val="WW scm mkt"/>
      <sheetName val="WW scm demand"/>
      <sheetName val="scmswwmt9901td0015"/>
      <sheetName val="scmswwmt9901td0014"/>
      <sheetName val="scmswwmt9901td0001 (2)"/>
      <sheetName val="scmswwmt9901td0001"/>
      <sheetName val="scmswwmt9901td0003"/>
      <sheetName val="Customers-IDMs"/>
      <sheetName val="sq inch"/>
      <sheetName val="Summ-Demand"/>
      <sheetName val="Summ-Supply"/>
      <sheetName val="#Foundry-Demand"/>
      <sheetName val="2. ML UPDATE-CUSTOMERS"/>
      <sheetName val="#Inventory"/>
      <sheetName val="SUMMARY"/>
      <sheetName val="1. UPDATE-Fabless-IBES"/>
      <sheetName val="chart-Util"/>
      <sheetName val="2B. ML-qtr-Top Clients"/>
      <sheetName val="comm-IC-mark"/>
      <sheetName val="SENSITIVITY"/>
      <sheetName val="Customers-Japan"/>
      <sheetName val="Charts"/>
      <sheetName val="Mkt-Cust.Type"/>
      <sheetName val="CAPEX"/>
      <sheetName val="Mkt-apps"/>
      <sheetName val="Dedicated foundries"/>
      <sheetName val="TSMC FCST"/>
      <sheetName val="Industry Assummtions"/>
      <sheetName val="Foundry Comparables"/>
      <sheetName val="scmswwmt9901td000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ll Service graphs"/>
      <sheetName val="#REF"/>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S"/>
      <sheetName val="Balance Sheet"/>
      <sheetName val="Cash Flow"/>
      <sheetName val="Income Statement"/>
      <sheetName val="Summary IS"/>
      <sheetName val="Summary CF"/>
      <sheetName val="Sum of the Parts"/>
      <sheetName val="Core EV"/>
      <sheetName val="DCF"/>
      <sheetName val="Wireline Communications"/>
      <sheetName val="Domestic Wireless"/>
      <sheetName val="Publishing"/>
      <sheetName val="International"/>
      <sheetName val=" cellular operations"/>
      <sheetName val="Intl Cust_POPs"/>
      <sheetName val="iQ"/>
      <sheetName val="Model Summaries (Tables)"/>
      <sheetName val="Wireless DCF model"/>
      <sheetName val="4Q00"/>
      <sheetName val="Sheet1"/>
      <sheetName val="Summary IS &amp; FCF"/>
      <sheetName val="Consolidated Income Statement"/>
      <sheetName val="Communications"/>
      <sheetName val="wireless"/>
      <sheetName val="Advertising and Publishing"/>
      <sheetName val="Latin America"/>
      <sheetName val="Cash Flow Stmt"/>
      <sheetName val="1Q01"/>
      <sheetName val="iQ_US_CoreIndustrials"/>
      <sheetName val="2Q01"/>
      <sheetName val="SOTP"/>
    </sheetNames>
    <sheetDataSet>
      <sheetData sheetId="0" refreshError="1"/>
      <sheetData sheetId="1" refreshError="1"/>
      <sheetData sheetId="2" refreshError="1"/>
      <sheetData sheetId="3" refreshError="1">
        <row r="32">
          <cell r="K32">
            <v>1.9963465553235908</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s"/>
      <sheetName val="OUTPUT"/>
      <sheetName val="Calculations"/>
      <sheetName val="FX"/>
      <sheetName val="Generic"/>
      <sheetName val="BT"/>
      <sheetName val="CW"/>
      <sheetName val="DT"/>
      <sheetName val="EIR"/>
      <sheetName val="FT"/>
      <sheetName val="KPN"/>
      <sheetName val="PT"/>
      <sheetName val="SON"/>
      <sheetName val="SWCM"/>
      <sheetName val="TLD"/>
      <sheetName val="TI"/>
      <sheetName val="TI1"/>
      <sheetName val="TEF"/>
      <sheetName val="CTHK"/>
      <sheetName val="HKT"/>
      <sheetName val="SingTel"/>
      <sheetName val="TMB"/>
      <sheetName val="TLK"/>
      <sheetName val="MTNL"/>
      <sheetName val="PLDT"/>
      <sheetName val="KT"/>
      <sheetName val="T"/>
      <sheetName val="BEL"/>
      <sheetName val="BLS"/>
      <sheetName val="SBC"/>
      <sheetName val="FON"/>
      <sheetName val="GBLX"/>
      <sheetName val="GTE"/>
      <sheetName val="WCOM"/>
      <sheetName val="QWST"/>
      <sheetName val="USW"/>
      <sheetName val="Telstra"/>
      <sheetName val="Optus"/>
      <sheetName val="TCNZ"/>
      <sheetName val="NTT"/>
      <sheetName val="Telesp Part"/>
      <sheetName val="Tele Norte Leste"/>
      <sheetName val="Tele Centro Sul"/>
      <sheetName val="Embratel"/>
    </sheetNames>
    <sheetDataSet>
      <sheetData sheetId="0" refreshError="1"/>
      <sheetData sheetId="1" refreshError="1"/>
      <sheetData sheetId="2" refreshError="1"/>
      <sheetData sheetId="3" refreshError="1"/>
      <sheetData sheetId="4" refreshError="1"/>
      <sheetData sheetId="5" refreshError="1"/>
      <sheetData sheetId="6" refreshError="1">
        <row r="3">
          <cell r="B3" t="str">
            <v>ACCUM</v>
          </cell>
        </row>
        <row r="4">
          <cell r="B4" t="str">
            <v>B-2-1-7</v>
          </cell>
          <cell r="K4">
            <v>0.25800000000000001</v>
          </cell>
          <cell r="L4">
            <v>0.43</v>
          </cell>
        </row>
        <row r="6">
          <cell r="K6">
            <v>0.28800000000000003</v>
          </cell>
          <cell r="L6">
            <v>0.49</v>
          </cell>
        </row>
        <row r="7">
          <cell r="D7">
            <v>7001</v>
          </cell>
          <cell r="E7">
            <v>8020</v>
          </cell>
          <cell r="F7">
            <v>9486</v>
          </cell>
          <cell r="G7">
            <v>10553</v>
          </cell>
          <cell r="H7">
            <v>11800</v>
          </cell>
        </row>
        <row r="8">
          <cell r="D8">
            <v>1385</v>
          </cell>
          <cell r="E8">
            <v>1608</v>
          </cell>
          <cell r="F8">
            <v>1834</v>
          </cell>
          <cell r="G8">
            <v>2166</v>
          </cell>
          <cell r="H8">
            <v>2500</v>
          </cell>
          <cell r="K8">
            <v>0.26500000000000001</v>
          </cell>
          <cell r="L8">
            <v>0.53</v>
          </cell>
        </row>
        <row r="10">
          <cell r="D10">
            <v>1506</v>
          </cell>
          <cell r="E10">
            <v>1473</v>
          </cell>
          <cell r="F10">
            <v>1615</v>
          </cell>
          <cell r="G10">
            <v>2006</v>
          </cell>
          <cell r="H10">
            <v>2300</v>
          </cell>
          <cell r="K10">
            <v>0.28300000000000003</v>
          </cell>
          <cell r="L10">
            <v>0.56999999999999995</v>
          </cell>
        </row>
        <row r="11">
          <cell r="D11">
            <v>0.28800000000000003</v>
          </cell>
          <cell r="E11">
            <v>0.26500000000000001</v>
          </cell>
          <cell r="F11">
            <v>0.28300000000000003</v>
          </cell>
          <cell r="G11">
            <v>0.36399999999999999</v>
          </cell>
          <cell r="H11">
            <v>0.43</v>
          </cell>
        </row>
        <row r="12">
          <cell r="D12">
            <v>0.122</v>
          </cell>
          <cell r="E12">
            <v>0.126</v>
          </cell>
          <cell r="F12">
            <v>0.126</v>
          </cell>
          <cell r="G12">
            <v>0.14000000000000001</v>
          </cell>
          <cell r="H12">
            <v>0.154</v>
          </cell>
          <cell r="K12">
            <v>0.36399999999999999</v>
          </cell>
          <cell r="L12">
            <v>0.62</v>
          </cell>
        </row>
        <row r="13">
          <cell r="D13">
            <v>0.86599999999999999</v>
          </cell>
          <cell r="E13">
            <v>0.96499999999999997</v>
          </cell>
          <cell r="F13">
            <v>1.006</v>
          </cell>
          <cell r="G13">
            <v>1.2370000000000001</v>
          </cell>
          <cell r="H13">
            <v>1.46</v>
          </cell>
        </row>
        <row r="14">
          <cell r="D14">
            <v>2960</v>
          </cell>
          <cell r="E14">
            <v>3405</v>
          </cell>
          <cell r="F14">
            <v>3042</v>
          </cell>
          <cell r="G14">
            <v>2523</v>
          </cell>
          <cell r="H14">
            <v>2000</v>
          </cell>
        </row>
        <row r="15">
          <cell r="D15">
            <v>3250</v>
          </cell>
          <cell r="E15">
            <v>4000</v>
          </cell>
          <cell r="F15">
            <v>5000</v>
          </cell>
          <cell r="G15">
            <v>6000</v>
          </cell>
          <cell r="H15">
            <v>6600</v>
          </cell>
        </row>
        <row r="16">
          <cell r="D16">
            <v>-290</v>
          </cell>
          <cell r="E16">
            <v>-595</v>
          </cell>
          <cell r="F16">
            <v>-1958</v>
          </cell>
          <cell r="G16">
            <v>-3477</v>
          </cell>
          <cell r="H16">
            <v>-4600</v>
          </cell>
          <cell r="K16">
            <v>1200</v>
          </cell>
          <cell r="L16">
            <v>2500</v>
          </cell>
        </row>
        <row r="18">
          <cell r="K18">
            <v>1385</v>
          </cell>
          <cell r="L18">
            <v>2875</v>
          </cell>
        </row>
        <row r="20">
          <cell r="F20">
            <v>0.15161487085112255</v>
          </cell>
          <cell r="K20">
            <v>1608</v>
          </cell>
          <cell r="L20">
            <v>3277.4999999999995</v>
          </cell>
        </row>
        <row r="22">
          <cell r="K22">
            <v>1834</v>
          </cell>
          <cell r="L22">
            <v>3736.349999999999</v>
          </cell>
        </row>
        <row r="24">
          <cell r="K24">
            <v>2166</v>
          </cell>
          <cell r="L24">
            <v>4109.9849999999997</v>
          </cell>
        </row>
        <row r="31">
          <cell r="D31">
            <v>7.5</v>
          </cell>
        </row>
        <row r="34">
          <cell r="D34">
            <v>1.4</v>
          </cell>
        </row>
      </sheetData>
      <sheetData sheetId="7" refreshError="1">
        <row r="3">
          <cell r="B3" t="str">
            <v>ACCUM</v>
          </cell>
        </row>
        <row r="4">
          <cell r="B4" t="str">
            <v>rstr</v>
          </cell>
          <cell r="K4">
            <v>1.07</v>
          </cell>
          <cell r="L4">
            <v>2</v>
          </cell>
        </row>
        <row r="6">
          <cell r="K6">
            <v>1.47</v>
          </cell>
          <cell r="L6">
            <v>2.4</v>
          </cell>
        </row>
        <row r="7">
          <cell r="D7">
            <v>67552</v>
          </cell>
          <cell r="E7">
            <v>69839</v>
          </cell>
          <cell r="F7">
            <v>68375</v>
          </cell>
          <cell r="G7">
            <v>69215</v>
          </cell>
          <cell r="H7">
            <v>70728</v>
          </cell>
        </row>
        <row r="8">
          <cell r="D8">
            <v>35120</v>
          </cell>
          <cell r="E8">
            <v>34685</v>
          </cell>
          <cell r="F8">
            <v>32642</v>
          </cell>
          <cell r="G8">
            <v>32878</v>
          </cell>
          <cell r="H8">
            <v>33697</v>
          </cell>
          <cell r="K8">
            <v>1.6</v>
          </cell>
          <cell r="L8">
            <v>3.24</v>
          </cell>
        </row>
        <row r="10">
          <cell r="D10">
            <v>7196</v>
          </cell>
          <cell r="E10">
            <v>9976</v>
          </cell>
          <cell r="F10">
            <v>10951</v>
          </cell>
          <cell r="G10">
            <v>14727</v>
          </cell>
          <cell r="H10">
            <v>15295</v>
          </cell>
          <cell r="K10">
            <v>1.6</v>
          </cell>
          <cell r="L10">
            <v>3.2724000000000002</v>
          </cell>
        </row>
        <row r="11">
          <cell r="D11">
            <v>1.47</v>
          </cell>
          <cell r="E11">
            <v>1.6</v>
          </cell>
          <cell r="F11">
            <v>1.6</v>
          </cell>
          <cell r="G11">
            <v>1.7</v>
          </cell>
          <cell r="H11">
            <v>2</v>
          </cell>
        </row>
        <row r="12">
          <cell r="D12">
            <v>1.2</v>
          </cell>
          <cell r="E12">
            <v>1.2</v>
          </cell>
          <cell r="F12">
            <v>1.2</v>
          </cell>
          <cell r="G12">
            <v>1.27</v>
          </cell>
          <cell r="H12">
            <v>1.37</v>
          </cell>
          <cell r="K12">
            <v>1.7</v>
          </cell>
          <cell r="L12">
            <v>3.4032960000000005</v>
          </cell>
        </row>
        <row r="13">
          <cell r="D13">
            <v>7.75</v>
          </cell>
          <cell r="E13">
            <v>8.0399999999999991</v>
          </cell>
          <cell r="F13">
            <v>7.13</v>
          </cell>
          <cell r="G13">
            <v>6.75</v>
          </cell>
          <cell r="H13">
            <v>7</v>
          </cell>
        </row>
        <row r="14">
          <cell r="D14">
            <v>75043</v>
          </cell>
          <cell r="E14">
            <v>65474</v>
          </cell>
          <cell r="F14">
            <v>53592</v>
          </cell>
          <cell r="G14">
            <v>38095</v>
          </cell>
          <cell r="H14">
            <v>18470</v>
          </cell>
        </row>
        <row r="15">
          <cell r="D15">
            <v>20878</v>
          </cell>
          <cell r="E15">
            <v>30000</v>
          </cell>
          <cell r="F15">
            <v>70000</v>
          </cell>
          <cell r="G15">
            <v>70000</v>
          </cell>
          <cell r="H15">
            <v>70000</v>
          </cell>
        </row>
        <row r="16">
          <cell r="D16">
            <v>54165</v>
          </cell>
          <cell r="E16">
            <v>35474</v>
          </cell>
          <cell r="F16">
            <v>-16408</v>
          </cell>
          <cell r="G16">
            <v>-31905</v>
          </cell>
          <cell r="H16">
            <v>-51530</v>
          </cell>
          <cell r="K16">
            <v>31978</v>
          </cell>
          <cell r="L16">
            <v>33697</v>
          </cell>
        </row>
        <row r="18">
          <cell r="K18">
            <v>35120</v>
          </cell>
          <cell r="L18">
            <v>42500</v>
          </cell>
        </row>
        <row r="20">
          <cell r="F20">
            <v>4.2572460149846857E-2</v>
          </cell>
          <cell r="K20">
            <v>34685</v>
          </cell>
          <cell r="L20">
            <v>45500</v>
          </cell>
        </row>
        <row r="22">
          <cell r="K22">
            <v>32642</v>
          </cell>
          <cell r="L22">
            <v>42479</v>
          </cell>
        </row>
        <row r="24">
          <cell r="K24">
            <v>32878</v>
          </cell>
          <cell r="L24">
            <v>42681</v>
          </cell>
        </row>
        <row r="27">
          <cell r="D27">
            <v>46500</v>
          </cell>
        </row>
        <row r="28">
          <cell r="D28">
            <v>6000</v>
          </cell>
        </row>
        <row r="29">
          <cell r="D29">
            <v>83</v>
          </cell>
        </row>
        <row r="31">
          <cell r="D31">
            <v>40</v>
          </cell>
        </row>
        <row r="34">
          <cell r="D34">
            <v>0.55000000000000004</v>
          </cell>
          <cell r="E34">
            <v>0.85</v>
          </cell>
          <cell r="F34">
            <v>1.03</v>
          </cell>
        </row>
        <row r="35">
          <cell r="D35">
            <v>0.69</v>
          </cell>
          <cell r="E35">
            <v>0.68</v>
          </cell>
          <cell r="F35">
            <v>0.68</v>
          </cell>
        </row>
        <row r="36">
          <cell r="D36">
            <v>4.3</v>
          </cell>
          <cell r="E36">
            <v>4.4800000000000004</v>
          </cell>
          <cell r="F36">
            <v>4.5199999999999996</v>
          </cell>
        </row>
      </sheetData>
      <sheetData sheetId="8" refreshError="1"/>
      <sheetData sheetId="9" refreshError="1">
        <row r="3">
          <cell r="B3" t="str">
            <v>ACCUM</v>
          </cell>
        </row>
        <row r="4">
          <cell r="B4" t="str">
            <v>B-2-2-7</v>
          </cell>
          <cell r="K4">
            <v>2.11</v>
          </cell>
          <cell r="L4">
            <v>19.59</v>
          </cell>
        </row>
        <row r="6">
          <cell r="K6">
            <v>14.86</v>
          </cell>
          <cell r="L6">
            <v>23.95</v>
          </cell>
        </row>
        <row r="7">
          <cell r="D7">
            <v>153296</v>
          </cell>
          <cell r="E7">
            <v>160563</v>
          </cell>
          <cell r="F7">
            <v>174797</v>
          </cell>
          <cell r="G7">
            <v>188162</v>
          </cell>
          <cell r="H7">
            <v>195264</v>
          </cell>
        </row>
        <row r="8">
          <cell r="D8">
            <v>55358</v>
          </cell>
          <cell r="E8">
            <v>56626</v>
          </cell>
          <cell r="F8">
            <v>59969</v>
          </cell>
          <cell r="G8">
            <v>68162</v>
          </cell>
          <cell r="H8">
            <v>72566</v>
          </cell>
          <cell r="K8">
            <v>15.12</v>
          </cell>
          <cell r="L8">
            <v>28.65</v>
          </cell>
        </row>
        <row r="10">
          <cell r="D10">
            <v>19880</v>
          </cell>
          <cell r="E10">
            <v>22944</v>
          </cell>
          <cell r="F10">
            <v>25435</v>
          </cell>
          <cell r="G10">
            <v>31519</v>
          </cell>
          <cell r="H10">
            <v>33888</v>
          </cell>
          <cell r="K10">
            <v>15.68</v>
          </cell>
          <cell r="L10">
            <v>33.369999999999997</v>
          </cell>
        </row>
        <row r="11">
          <cell r="D11">
            <v>14.86</v>
          </cell>
          <cell r="E11">
            <v>15.12</v>
          </cell>
          <cell r="F11">
            <v>15.68</v>
          </cell>
          <cell r="G11">
            <v>17.899999999999999</v>
          </cell>
          <cell r="H11">
            <v>19.59</v>
          </cell>
        </row>
        <row r="12">
          <cell r="D12">
            <v>5.95</v>
          </cell>
          <cell r="E12">
            <v>6.35</v>
          </cell>
          <cell r="F12">
            <v>6.9</v>
          </cell>
          <cell r="G12">
            <v>8.06</v>
          </cell>
          <cell r="H12">
            <v>8.82</v>
          </cell>
          <cell r="K12">
            <v>17.899999999999999</v>
          </cell>
          <cell r="L12">
            <v>34.29</v>
          </cell>
        </row>
        <row r="13">
          <cell r="D13">
            <v>39.159999999999997</v>
          </cell>
          <cell r="E13">
            <v>40.07</v>
          </cell>
          <cell r="F13">
            <v>42.29</v>
          </cell>
          <cell r="G13">
            <v>50.78</v>
          </cell>
          <cell r="H13">
            <v>56.04</v>
          </cell>
        </row>
        <row r="14">
          <cell r="D14">
            <v>93187</v>
          </cell>
          <cell r="E14">
            <v>84412</v>
          </cell>
          <cell r="F14">
            <v>86481</v>
          </cell>
          <cell r="G14">
            <v>87852</v>
          </cell>
          <cell r="H14">
            <v>91025</v>
          </cell>
        </row>
        <row r="15">
          <cell r="D15">
            <v>90000</v>
          </cell>
          <cell r="E15">
            <v>90000</v>
          </cell>
          <cell r="F15">
            <v>90000</v>
          </cell>
          <cell r="G15">
            <v>90000</v>
          </cell>
          <cell r="H15">
            <v>90000</v>
          </cell>
        </row>
        <row r="16">
          <cell r="D16">
            <v>3187</v>
          </cell>
          <cell r="E16">
            <v>-5588</v>
          </cell>
          <cell r="F16">
            <v>-3519</v>
          </cell>
          <cell r="G16">
            <v>-2148</v>
          </cell>
          <cell r="H16">
            <v>1025</v>
          </cell>
          <cell r="K16">
            <v>44011</v>
          </cell>
          <cell r="L16">
            <v>72566</v>
          </cell>
        </row>
        <row r="18">
          <cell r="K18">
            <v>55358</v>
          </cell>
          <cell r="L18">
            <v>77030</v>
          </cell>
        </row>
        <row r="20">
          <cell r="F20">
            <v>7.0000000000000007E-2</v>
          </cell>
          <cell r="K20">
            <v>56626</v>
          </cell>
          <cell r="L20">
            <v>80772</v>
          </cell>
        </row>
        <row r="22">
          <cell r="K22">
            <v>59969</v>
          </cell>
          <cell r="L22">
            <v>86000</v>
          </cell>
        </row>
        <row r="24">
          <cell r="K24">
            <v>68162</v>
          </cell>
          <cell r="L24">
            <v>89794</v>
          </cell>
        </row>
        <row r="27">
          <cell r="D27">
            <v>33900</v>
          </cell>
        </row>
        <row r="28">
          <cell r="D28">
            <v>5200</v>
          </cell>
        </row>
        <row r="29">
          <cell r="D29">
            <v>58</v>
          </cell>
        </row>
        <row r="31">
          <cell r="D31">
            <v>90</v>
          </cell>
        </row>
        <row r="34">
          <cell r="D34">
            <v>2.1</v>
          </cell>
          <cell r="E34">
            <v>2.06</v>
          </cell>
          <cell r="F34">
            <v>2.08</v>
          </cell>
        </row>
        <row r="35">
          <cell r="D35">
            <v>0.98</v>
          </cell>
          <cell r="E35">
            <v>1.02</v>
          </cell>
          <cell r="F35">
            <v>1.08</v>
          </cell>
        </row>
        <row r="36">
          <cell r="D36">
            <v>7.23</v>
          </cell>
          <cell r="E36">
            <v>7.15</v>
          </cell>
          <cell r="F36">
            <v>6.85</v>
          </cell>
        </row>
        <row r="37">
          <cell r="D37">
            <v>0.15</v>
          </cell>
        </row>
      </sheetData>
      <sheetData sheetId="10" refreshError="1">
        <row r="3">
          <cell r="B3" t="str">
            <v>NEUTR</v>
          </cell>
        </row>
        <row r="4">
          <cell r="B4" t="str">
            <v>B-3-3-7</v>
          </cell>
          <cell r="K4">
            <v>0</v>
          </cell>
          <cell r="L4">
            <v>5.6</v>
          </cell>
        </row>
        <row r="6">
          <cell r="K6">
            <v>4.12</v>
          </cell>
          <cell r="L6">
            <v>5.5</v>
          </cell>
        </row>
        <row r="7">
          <cell r="D7">
            <v>15780</v>
          </cell>
          <cell r="E7">
            <v>17321</v>
          </cell>
          <cell r="F7">
            <v>17859</v>
          </cell>
          <cell r="G7">
            <v>18027</v>
          </cell>
          <cell r="H7">
            <v>18430</v>
          </cell>
        </row>
        <row r="8">
          <cell r="D8">
            <v>6058</v>
          </cell>
          <cell r="E8">
            <v>6523</v>
          </cell>
          <cell r="F8">
            <v>6883</v>
          </cell>
          <cell r="G8">
            <v>7010</v>
          </cell>
          <cell r="H8">
            <v>7331</v>
          </cell>
          <cell r="K8">
            <v>2.78</v>
          </cell>
          <cell r="L8">
            <v>5.7</v>
          </cell>
        </row>
        <row r="10">
          <cell r="D10">
            <v>2777</v>
          </cell>
          <cell r="E10">
            <v>2061</v>
          </cell>
          <cell r="F10">
            <v>3091</v>
          </cell>
          <cell r="G10">
            <v>3673</v>
          </cell>
          <cell r="H10">
            <v>4000</v>
          </cell>
          <cell r="K10">
            <v>4.24</v>
          </cell>
          <cell r="L10">
            <v>7.1</v>
          </cell>
        </row>
        <row r="11">
          <cell r="D11">
            <v>4.12</v>
          </cell>
          <cell r="E11">
            <v>2.78</v>
          </cell>
          <cell r="F11">
            <v>4.24</v>
          </cell>
          <cell r="G11">
            <v>5.14</v>
          </cell>
          <cell r="H11">
            <v>5.6</v>
          </cell>
        </row>
        <row r="12">
          <cell r="D12">
            <v>2.23</v>
          </cell>
          <cell r="E12">
            <v>2.35</v>
          </cell>
          <cell r="F12">
            <v>2.5</v>
          </cell>
          <cell r="G12">
            <v>2.75</v>
          </cell>
          <cell r="H12">
            <v>3</v>
          </cell>
          <cell r="K12">
            <v>5.14</v>
          </cell>
          <cell r="L12">
            <v>7.5</v>
          </cell>
        </row>
        <row r="13">
          <cell r="D13">
            <v>10.01</v>
          </cell>
          <cell r="E13">
            <v>9.52</v>
          </cell>
          <cell r="F13">
            <v>11.69</v>
          </cell>
          <cell r="G13">
            <v>11.78</v>
          </cell>
          <cell r="H13">
            <v>12.1</v>
          </cell>
        </row>
        <row r="14">
          <cell r="D14">
            <v>4087</v>
          </cell>
          <cell r="E14">
            <v>3739</v>
          </cell>
          <cell r="F14">
            <v>3121</v>
          </cell>
          <cell r="G14">
            <v>1328</v>
          </cell>
          <cell r="H14">
            <v>-947</v>
          </cell>
        </row>
        <row r="15">
          <cell r="D15">
            <v>11000</v>
          </cell>
          <cell r="E15">
            <v>11000</v>
          </cell>
          <cell r="F15">
            <v>11000</v>
          </cell>
          <cell r="G15">
            <v>11000</v>
          </cell>
          <cell r="H15">
            <v>11000</v>
          </cell>
        </row>
        <row r="16">
          <cell r="D16">
            <v>-6913</v>
          </cell>
          <cell r="E16">
            <v>-7261</v>
          </cell>
          <cell r="F16">
            <v>-7879</v>
          </cell>
          <cell r="G16">
            <v>-9672</v>
          </cell>
          <cell r="H16">
            <v>-11947</v>
          </cell>
          <cell r="K16">
            <v>6204</v>
          </cell>
          <cell r="L16">
            <v>7331</v>
          </cell>
        </row>
        <row r="18">
          <cell r="K18">
            <v>6058</v>
          </cell>
          <cell r="L18">
            <v>7500</v>
          </cell>
        </row>
        <row r="20">
          <cell r="F20">
            <v>0.04</v>
          </cell>
          <cell r="K20">
            <v>6523</v>
          </cell>
          <cell r="L20">
            <v>8000</v>
          </cell>
        </row>
        <row r="22">
          <cell r="K22">
            <v>6883</v>
          </cell>
          <cell r="L22">
            <v>8400</v>
          </cell>
        </row>
        <row r="24">
          <cell r="K24">
            <v>7010</v>
          </cell>
          <cell r="L24">
            <v>8700</v>
          </cell>
        </row>
        <row r="27">
          <cell r="D27">
            <v>8672</v>
          </cell>
        </row>
        <row r="28">
          <cell r="D28">
            <v>1249</v>
          </cell>
        </row>
        <row r="29">
          <cell r="D29">
            <v>15.4</v>
          </cell>
        </row>
        <row r="31">
          <cell r="D31">
            <v>50</v>
          </cell>
        </row>
        <row r="34">
          <cell r="D34">
            <v>2.11</v>
          </cell>
          <cell r="E34">
            <v>1.7</v>
          </cell>
          <cell r="F34">
            <v>2.27</v>
          </cell>
        </row>
        <row r="36">
          <cell r="D36">
            <v>5.13</v>
          </cell>
          <cell r="E36">
            <v>4.84</v>
          </cell>
          <cell r="F36">
            <v>5.98</v>
          </cell>
        </row>
        <row r="37">
          <cell r="D37">
            <v>0.1</v>
          </cell>
        </row>
      </sheetData>
      <sheetData sheetId="11" refreshError="1">
        <row r="3">
          <cell r="B3" t="str">
            <v>ACCUM</v>
          </cell>
        </row>
        <row r="4">
          <cell r="B4" t="str">
            <v>B-2-1-7</v>
          </cell>
          <cell r="K4">
            <v>1.6959128500314242</v>
          </cell>
          <cell r="L4">
            <v>2.69</v>
          </cell>
        </row>
        <row r="6">
          <cell r="K6">
            <v>1.84</v>
          </cell>
          <cell r="L6">
            <v>3.08</v>
          </cell>
        </row>
        <row r="7">
          <cell r="D7">
            <v>2696</v>
          </cell>
          <cell r="E7">
            <v>2932.1</v>
          </cell>
          <cell r="F7">
            <v>3151.1</v>
          </cell>
          <cell r="G7">
            <v>3349.3</v>
          </cell>
          <cell r="H7">
            <v>3543.9</v>
          </cell>
        </row>
        <row r="8">
          <cell r="D8">
            <v>1237.8</v>
          </cell>
          <cell r="E8">
            <v>1351.7</v>
          </cell>
          <cell r="F8">
            <v>1436.2</v>
          </cell>
          <cell r="G8">
            <v>1566.4</v>
          </cell>
          <cell r="H8">
            <v>1668.4</v>
          </cell>
          <cell r="K8">
            <v>2.3199999999999998</v>
          </cell>
          <cell r="L8">
            <v>3.53</v>
          </cell>
        </row>
        <row r="9">
          <cell r="D9">
            <v>673.9</v>
          </cell>
          <cell r="E9">
            <v>739.3</v>
          </cell>
          <cell r="F9">
            <v>792.6</v>
          </cell>
          <cell r="G9">
            <v>897.3</v>
          </cell>
          <cell r="H9">
            <v>973.7</v>
          </cell>
        </row>
        <row r="10">
          <cell r="D10">
            <v>592.70000000000005</v>
          </cell>
          <cell r="E10">
            <v>618.79999999999995</v>
          </cell>
          <cell r="F10">
            <v>627.29999999999995</v>
          </cell>
          <cell r="G10">
            <v>795.2</v>
          </cell>
          <cell r="H10">
            <v>906.6</v>
          </cell>
          <cell r="K10">
            <v>2.82</v>
          </cell>
          <cell r="L10">
            <v>4.08</v>
          </cell>
        </row>
        <row r="11">
          <cell r="D11">
            <v>1.84</v>
          </cell>
          <cell r="E11">
            <v>2.3199999999999998</v>
          </cell>
          <cell r="F11">
            <v>2.82</v>
          </cell>
          <cell r="G11">
            <v>2.3199999999999998</v>
          </cell>
          <cell r="H11">
            <v>2.69</v>
          </cell>
        </row>
        <row r="12">
          <cell r="D12">
            <v>0.69</v>
          </cell>
          <cell r="E12">
            <v>0.88</v>
          </cell>
          <cell r="F12">
            <v>1.01</v>
          </cell>
          <cell r="G12">
            <v>1.03</v>
          </cell>
          <cell r="H12">
            <v>1.03</v>
          </cell>
          <cell r="K12">
            <v>2.3199999999999998</v>
          </cell>
          <cell r="L12">
            <v>4.4064000000000005</v>
          </cell>
        </row>
        <row r="13">
          <cell r="D13">
            <v>4.8099999999999996</v>
          </cell>
          <cell r="E13">
            <v>5.54</v>
          </cell>
          <cell r="F13">
            <v>6.05</v>
          </cell>
          <cell r="G13">
            <v>5.52</v>
          </cell>
          <cell r="H13">
            <v>6.01</v>
          </cell>
        </row>
        <row r="14">
          <cell r="D14">
            <v>948.6</v>
          </cell>
          <cell r="E14">
            <v>3641.2</v>
          </cell>
          <cell r="F14">
            <v>2756.6</v>
          </cell>
          <cell r="G14">
            <v>2197.9</v>
          </cell>
          <cell r="H14">
            <v>1401.6</v>
          </cell>
        </row>
        <row r="15">
          <cell r="D15">
            <v>1263.4495049504949</v>
          </cell>
          <cell r="E15">
            <v>1263.4495049504949</v>
          </cell>
          <cell r="F15">
            <v>1263.4495049504949</v>
          </cell>
          <cell r="G15">
            <v>1263.4495049504949</v>
          </cell>
          <cell r="H15">
            <v>1263.4495049504949</v>
          </cell>
        </row>
        <row r="16">
          <cell r="D16">
            <v>-314.84950495049486</v>
          </cell>
          <cell r="E16">
            <v>2377.7504950495049</v>
          </cell>
          <cell r="F16">
            <v>1493.150495049505</v>
          </cell>
          <cell r="G16">
            <v>934.45049504950521</v>
          </cell>
          <cell r="H16">
            <v>138.15049504950503</v>
          </cell>
          <cell r="K16">
            <v>1175.6666433894316</v>
          </cell>
          <cell r="L16">
            <v>1668.4</v>
          </cell>
        </row>
        <row r="18">
          <cell r="K18">
            <v>1237.8</v>
          </cell>
          <cell r="L18">
            <v>1793.7</v>
          </cell>
        </row>
        <row r="20">
          <cell r="F20">
            <v>7.0000000000000007E-2</v>
          </cell>
          <cell r="K20">
            <v>1351.7</v>
          </cell>
          <cell r="L20">
            <v>1937.2</v>
          </cell>
        </row>
        <row r="22">
          <cell r="K22">
            <v>1436.2</v>
          </cell>
          <cell r="L22">
            <v>2114.6999999999998</v>
          </cell>
        </row>
        <row r="24">
          <cell r="K24">
            <v>1566.4</v>
          </cell>
          <cell r="L24">
            <v>2262.7289999999998</v>
          </cell>
        </row>
        <row r="27">
          <cell r="D27">
            <v>4117</v>
          </cell>
        </row>
        <row r="28">
          <cell r="D28">
            <v>1425.7</v>
          </cell>
        </row>
        <row r="29">
          <cell r="D29">
            <v>9.92</v>
          </cell>
        </row>
        <row r="31">
          <cell r="D31">
            <v>53</v>
          </cell>
        </row>
        <row r="34">
          <cell r="D34">
            <v>1.84</v>
          </cell>
          <cell r="E34">
            <v>2.3199999999999998</v>
          </cell>
          <cell r="F34">
            <v>2.82</v>
          </cell>
        </row>
        <row r="35">
          <cell r="D35">
            <v>0.69</v>
          </cell>
          <cell r="E35">
            <v>0.88</v>
          </cell>
          <cell r="F35">
            <v>1.01</v>
          </cell>
        </row>
        <row r="36">
          <cell r="D36">
            <v>4.8099999999999996</v>
          </cell>
          <cell r="E36">
            <v>5.54</v>
          </cell>
          <cell r="F36">
            <v>6.05</v>
          </cell>
        </row>
      </sheetData>
      <sheetData sheetId="12" refreshError="1">
        <row r="3">
          <cell r="B3" t="str">
            <v>BUY</v>
          </cell>
        </row>
        <row r="4">
          <cell r="B4" t="str">
            <v>B-1-1-7</v>
          </cell>
          <cell r="K4">
            <v>0.18</v>
          </cell>
          <cell r="L4">
            <v>0.89</v>
          </cell>
        </row>
        <row r="6">
          <cell r="K6">
            <v>0.3</v>
          </cell>
          <cell r="L6">
            <v>1.02</v>
          </cell>
        </row>
        <row r="7">
          <cell r="D7">
            <v>1353</v>
          </cell>
          <cell r="E7">
            <v>1623</v>
          </cell>
          <cell r="F7">
            <v>1879</v>
          </cell>
          <cell r="G7">
            <v>2116</v>
          </cell>
          <cell r="H7">
            <v>2314</v>
          </cell>
        </row>
        <row r="8">
          <cell r="D8">
            <v>489</v>
          </cell>
          <cell r="E8">
            <v>599</v>
          </cell>
          <cell r="F8">
            <v>667</v>
          </cell>
          <cell r="G8">
            <v>786</v>
          </cell>
          <cell r="H8">
            <v>885</v>
          </cell>
          <cell r="K8">
            <v>0.42</v>
          </cell>
          <cell r="L8">
            <v>1.1729999999999998</v>
          </cell>
        </row>
        <row r="9">
          <cell r="D9">
            <v>285</v>
          </cell>
          <cell r="E9">
            <v>338</v>
          </cell>
          <cell r="F9">
            <v>381</v>
          </cell>
          <cell r="G9">
            <v>466</v>
          </cell>
          <cell r="H9">
            <v>555</v>
          </cell>
        </row>
        <row r="10">
          <cell r="D10">
            <v>308</v>
          </cell>
          <cell r="E10">
            <v>395</v>
          </cell>
          <cell r="F10">
            <v>424</v>
          </cell>
          <cell r="G10">
            <v>601</v>
          </cell>
          <cell r="H10">
            <v>827</v>
          </cell>
          <cell r="K10">
            <v>0.45</v>
          </cell>
          <cell r="L10">
            <v>1.3489499999999996</v>
          </cell>
        </row>
        <row r="11">
          <cell r="D11">
            <v>0.3</v>
          </cell>
          <cell r="E11">
            <v>0.42</v>
          </cell>
          <cell r="F11">
            <v>0.45</v>
          </cell>
          <cell r="G11">
            <v>0.64</v>
          </cell>
          <cell r="H11">
            <v>0.89</v>
          </cell>
        </row>
        <row r="12">
          <cell r="D12">
            <v>0.26</v>
          </cell>
          <cell r="E12">
            <v>0.12</v>
          </cell>
          <cell r="F12">
            <v>0.15</v>
          </cell>
          <cell r="G12">
            <v>0.22</v>
          </cell>
          <cell r="H12">
            <v>0.31</v>
          </cell>
          <cell r="K12">
            <v>0.64</v>
          </cell>
          <cell r="L12">
            <v>1.5512924999999995</v>
          </cell>
        </row>
        <row r="13">
          <cell r="D13">
            <v>0.59</v>
          </cell>
          <cell r="E13">
            <v>0.71</v>
          </cell>
          <cell r="F13">
            <v>0.84</v>
          </cell>
          <cell r="G13">
            <v>1.07</v>
          </cell>
          <cell r="H13">
            <v>1.34</v>
          </cell>
        </row>
        <row r="14">
          <cell r="D14">
            <v>27</v>
          </cell>
          <cell r="E14">
            <v>831</v>
          </cell>
          <cell r="F14">
            <v>896</v>
          </cell>
          <cell r="G14">
            <v>645</v>
          </cell>
          <cell r="H14">
            <v>320</v>
          </cell>
        </row>
        <row r="15">
          <cell r="F15">
            <v>6000</v>
          </cell>
          <cell r="G15">
            <v>6900</v>
          </cell>
          <cell r="H15">
            <v>7934.9999999999991</v>
          </cell>
        </row>
        <row r="16">
          <cell r="D16">
            <v>27</v>
          </cell>
          <cell r="E16">
            <v>831</v>
          </cell>
          <cell r="F16">
            <v>-5104</v>
          </cell>
          <cell r="G16">
            <v>-6255</v>
          </cell>
          <cell r="H16">
            <v>-7614.9999999999991</v>
          </cell>
          <cell r="K16">
            <v>420</v>
          </cell>
          <cell r="L16">
            <v>885</v>
          </cell>
        </row>
        <row r="18">
          <cell r="K18">
            <v>489</v>
          </cell>
          <cell r="L18">
            <v>981</v>
          </cell>
        </row>
        <row r="20">
          <cell r="F20">
            <v>0.14000000000000001</v>
          </cell>
          <cell r="K20">
            <v>599</v>
          </cell>
          <cell r="L20">
            <v>1128.1499999999999</v>
          </cell>
        </row>
        <row r="22">
          <cell r="K22">
            <v>667</v>
          </cell>
          <cell r="L22">
            <v>1297.3724999999997</v>
          </cell>
        </row>
        <row r="24">
          <cell r="K24">
            <v>786</v>
          </cell>
          <cell r="L24">
            <v>1491.9783749999995</v>
          </cell>
        </row>
        <row r="28">
          <cell r="D28">
            <v>1996</v>
          </cell>
        </row>
        <row r="29">
          <cell r="D29">
            <v>5.0999999999999996</v>
          </cell>
        </row>
        <row r="31">
          <cell r="D31">
            <v>27</v>
          </cell>
        </row>
      </sheetData>
      <sheetData sheetId="13" refreshError="1">
        <row r="3">
          <cell r="B3" t="str">
            <v>NR</v>
          </cell>
        </row>
        <row r="4">
          <cell r="B4" t="str">
            <v>NR</v>
          </cell>
          <cell r="K4">
            <v>27.73</v>
          </cell>
          <cell r="L4">
            <v>33.04</v>
          </cell>
        </row>
        <row r="6">
          <cell r="K6">
            <v>21.63</v>
          </cell>
          <cell r="L6">
            <v>39.72</v>
          </cell>
        </row>
        <row r="7">
          <cell r="D7">
            <v>10119</v>
          </cell>
          <cell r="E7">
            <v>10570</v>
          </cell>
          <cell r="F7">
            <v>11860</v>
          </cell>
          <cell r="G7">
            <v>14493</v>
          </cell>
          <cell r="H7">
            <v>15704</v>
          </cell>
        </row>
        <row r="8">
          <cell r="D8">
            <v>3779</v>
          </cell>
          <cell r="E8">
            <v>4472</v>
          </cell>
          <cell r="F8">
            <v>4664</v>
          </cell>
          <cell r="G8">
            <v>4906</v>
          </cell>
          <cell r="H8">
            <v>5210</v>
          </cell>
          <cell r="K8">
            <v>29.65</v>
          </cell>
          <cell r="L8">
            <v>47.1</v>
          </cell>
        </row>
        <row r="9">
          <cell r="D9">
            <v>314</v>
          </cell>
          <cell r="E9">
            <v>2901</v>
          </cell>
          <cell r="F9">
            <v>2484</v>
          </cell>
          <cell r="G9">
            <v>2720</v>
          </cell>
          <cell r="H9">
            <v>2852</v>
          </cell>
        </row>
        <row r="10">
          <cell r="D10">
            <v>-303</v>
          </cell>
          <cell r="E10">
            <v>2375</v>
          </cell>
          <cell r="F10">
            <v>2029</v>
          </cell>
          <cell r="G10">
            <v>2371</v>
          </cell>
          <cell r="H10">
            <v>2639</v>
          </cell>
          <cell r="K10">
            <v>30.77</v>
          </cell>
          <cell r="L10">
            <v>55.46</v>
          </cell>
        </row>
        <row r="11">
          <cell r="D11">
            <v>21.63</v>
          </cell>
          <cell r="E11">
            <v>29.65</v>
          </cell>
          <cell r="F11">
            <v>30.77</v>
          </cell>
          <cell r="G11">
            <v>30.94</v>
          </cell>
          <cell r="H11">
            <v>33.04</v>
          </cell>
        </row>
        <row r="12">
          <cell r="D12">
            <v>17.329999999999998</v>
          </cell>
          <cell r="E12">
            <v>11</v>
          </cell>
          <cell r="F12">
            <v>15.38</v>
          </cell>
          <cell r="G12">
            <v>15.47</v>
          </cell>
          <cell r="H12">
            <v>16.52</v>
          </cell>
          <cell r="K12">
            <v>30.94</v>
          </cell>
          <cell r="L12">
            <v>62.31</v>
          </cell>
        </row>
        <row r="13">
          <cell r="D13">
            <v>20.059999999999999</v>
          </cell>
          <cell r="E13">
            <v>46.78</v>
          </cell>
          <cell r="F13">
            <v>49.84</v>
          </cell>
          <cell r="G13">
            <v>54.67</v>
          </cell>
          <cell r="H13">
            <v>61.81</v>
          </cell>
        </row>
        <row r="14">
          <cell r="D14">
            <v>7510</v>
          </cell>
          <cell r="E14">
            <v>4200</v>
          </cell>
          <cell r="F14">
            <v>6412</v>
          </cell>
          <cell r="G14">
            <v>5330</v>
          </cell>
          <cell r="H14">
            <v>3981</v>
          </cell>
        </row>
        <row r="15">
          <cell r="D15">
            <v>4013</v>
          </cell>
          <cell r="E15">
            <v>4013</v>
          </cell>
          <cell r="F15">
            <v>4013</v>
          </cell>
          <cell r="G15">
            <v>4013</v>
          </cell>
          <cell r="H15">
            <v>4013</v>
          </cell>
        </row>
        <row r="16">
          <cell r="D16">
            <v>3497</v>
          </cell>
          <cell r="E16">
            <v>187</v>
          </cell>
          <cell r="F16">
            <v>2399</v>
          </cell>
          <cell r="G16">
            <v>1317</v>
          </cell>
          <cell r="H16">
            <v>-32</v>
          </cell>
          <cell r="K16">
            <v>4232</v>
          </cell>
          <cell r="L16">
            <v>5210</v>
          </cell>
        </row>
        <row r="18">
          <cell r="K18">
            <v>3779</v>
          </cell>
          <cell r="L18">
            <v>5579</v>
          </cell>
        </row>
        <row r="20">
          <cell r="F20">
            <v>0.05</v>
          </cell>
          <cell r="K20">
            <v>4472</v>
          </cell>
          <cell r="L20">
            <v>5990</v>
          </cell>
        </row>
        <row r="22">
          <cell r="K22">
            <v>4664</v>
          </cell>
          <cell r="L22">
            <v>6461</v>
          </cell>
        </row>
        <row r="24">
          <cell r="K24">
            <v>4906</v>
          </cell>
          <cell r="L24">
            <v>6963</v>
          </cell>
        </row>
        <row r="27">
          <cell r="D27">
            <v>4688</v>
          </cell>
        </row>
        <row r="28">
          <cell r="D28">
            <v>1044</v>
          </cell>
        </row>
        <row r="29">
          <cell r="D29">
            <v>7.1</v>
          </cell>
        </row>
        <row r="31">
          <cell r="D31" t="str">
            <v>n/a</v>
          </cell>
        </row>
      </sheetData>
      <sheetData sheetId="14" refreshError="1">
        <row r="3">
          <cell r="B3" t="str">
            <v>BUY</v>
          </cell>
        </row>
        <row r="4">
          <cell r="B4" t="str">
            <v>B-1-1-7</v>
          </cell>
          <cell r="L4">
            <v>21.81</v>
          </cell>
        </row>
        <row r="6">
          <cell r="K6">
            <v>15.17</v>
          </cell>
          <cell r="L6">
            <v>26.32</v>
          </cell>
        </row>
        <row r="7">
          <cell r="D7">
            <v>30563</v>
          </cell>
          <cell r="E7">
            <v>35681</v>
          </cell>
          <cell r="F7">
            <v>39910</v>
          </cell>
          <cell r="G7">
            <v>43962</v>
          </cell>
          <cell r="H7">
            <v>48489</v>
          </cell>
        </row>
        <row r="8">
          <cell r="D8">
            <v>9397</v>
          </cell>
          <cell r="E8">
            <v>10389</v>
          </cell>
          <cell r="F8">
            <v>11718</v>
          </cell>
          <cell r="G8">
            <v>12811</v>
          </cell>
          <cell r="H8">
            <v>14036</v>
          </cell>
          <cell r="K8">
            <v>13.61</v>
          </cell>
          <cell r="L8">
            <v>31.48</v>
          </cell>
        </row>
        <row r="9">
          <cell r="D9">
            <v>2476</v>
          </cell>
          <cell r="E9">
            <v>5298</v>
          </cell>
          <cell r="F9">
            <v>6299</v>
          </cell>
          <cell r="G9">
            <v>7242</v>
          </cell>
          <cell r="H9">
            <v>8317</v>
          </cell>
        </row>
        <row r="10">
          <cell r="D10">
            <v>2497</v>
          </cell>
          <cell r="E10">
            <v>5889</v>
          </cell>
          <cell r="F10">
            <v>6136</v>
          </cell>
          <cell r="G10">
            <v>6817</v>
          </cell>
          <cell r="H10">
            <v>8005</v>
          </cell>
          <cell r="K10">
            <v>16.16</v>
          </cell>
          <cell r="L10">
            <v>36.201999999999998</v>
          </cell>
        </row>
        <row r="11">
          <cell r="D11">
            <v>15.17</v>
          </cell>
          <cell r="E11">
            <v>13.61</v>
          </cell>
          <cell r="F11">
            <v>16.16</v>
          </cell>
          <cell r="G11">
            <v>18.260000000000002</v>
          </cell>
          <cell r="H11">
            <v>21.81</v>
          </cell>
        </row>
        <row r="12">
          <cell r="D12">
            <v>9</v>
          </cell>
          <cell r="E12">
            <v>9.5</v>
          </cell>
          <cell r="F12">
            <v>10</v>
          </cell>
          <cell r="G12">
            <v>11</v>
          </cell>
          <cell r="H12">
            <v>12.5</v>
          </cell>
          <cell r="K12">
            <v>18.260000000000002</v>
          </cell>
          <cell r="L12">
            <v>41.632299999999994</v>
          </cell>
        </row>
        <row r="13">
          <cell r="D13">
            <v>31.97</v>
          </cell>
          <cell r="E13">
            <v>39.47</v>
          </cell>
          <cell r="F13">
            <v>41.19</v>
          </cell>
          <cell r="G13">
            <v>43.99</v>
          </cell>
          <cell r="H13">
            <v>48.23</v>
          </cell>
        </row>
        <row r="14">
          <cell r="D14">
            <v>-10</v>
          </cell>
          <cell r="E14">
            <v>8581</v>
          </cell>
          <cell r="F14">
            <v>8588</v>
          </cell>
          <cell r="G14">
            <v>6410</v>
          </cell>
          <cell r="H14">
            <v>3347</v>
          </cell>
        </row>
        <row r="15">
          <cell r="E15">
            <v>2024</v>
          </cell>
          <cell r="F15">
            <v>2226.4</v>
          </cell>
          <cell r="G15">
            <v>2449.0400000000004</v>
          </cell>
          <cell r="H15">
            <v>2693.9440000000009</v>
          </cell>
        </row>
        <row r="16">
          <cell r="D16">
            <v>-10</v>
          </cell>
          <cell r="E16">
            <v>6557</v>
          </cell>
          <cell r="F16">
            <v>6361.6</v>
          </cell>
          <cell r="G16">
            <v>3960.9599999999996</v>
          </cell>
          <cell r="H16">
            <v>653.05599999999913</v>
          </cell>
          <cell r="K16">
            <v>6901</v>
          </cell>
          <cell r="L16">
            <v>14036</v>
          </cell>
        </row>
        <row r="18">
          <cell r="K18">
            <v>9397</v>
          </cell>
          <cell r="L18">
            <v>15899</v>
          </cell>
        </row>
        <row r="20">
          <cell r="F20">
            <v>0.11</v>
          </cell>
          <cell r="K20">
            <v>10389</v>
          </cell>
          <cell r="L20">
            <v>17707</v>
          </cell>
        </row>
        <row r="22">
          <cell r="K22">
            <v>11718</v>
          </cell>
          <cell r="L22">
            <v>19701</v>
          </cell>
        </row>
        <row r="24">
          <cell r="K24">
            <v>12811</v>
          </cell>
          <cell r="L24">
            <v>21917</v>
          </cell>
        </row>
        <row r="27">
          <cell r="D27">
            <v>3402</v>
          </cell>
        </row>
        <row r="28">
          <cell r="D28">
            <v>877</v>
          </cell>
        </row>
        <row r="29">
          <cell r="D29">
            <v>5.2</v>
          </cell>
        </row>
        <row r="31">
          <cell r="D31">
            <v>650</v>
          </cell>
        </row>
        <row r="34">
          <cell r="D34">
            <v>0.88</v>
          </cell>
          <cell r="E34">
            <v>2.89</v>
          </cell>
          <cell r="F34">
            <v>2.82</v>
          </cell>
        </row>
        <row r="36">
          <cell r="D36">
            <v>2.84</v>
          </cell>
          <cell r="E36">
            <v>5.25</v>
          </cell>
          <cell r="F36">
            <v>5.25</v>
          </cell>
        </row>
        <row r="37">
          <cell r="D37">
            <v>0.15</v>
          </cell>
        </row>
      </sheetData>
      <sheetData sheetId="15" refreshError="1">
        <row r="3">
          <cell r="B3" t="str">
            <v>ACCUM</v>
          </cell>
        </row>
        <row r="4">
          <cell r="B4" t="str">
            <v>C-2-1-7</v>
          </cell>
          <cell r="K4">
            <v>311</v>
          </cell>
          <cell r="L4">
            <v>816</v>
          </cell>
        </row>
        <row r="6">
          <cell r="K6">
            <v>355.26174777900212</v>
          </cell>
          <cell r="L6">
            <v>775</v>
          </cell>
        </row>
        <row r="7">
          <cell r="D7">
            <v>42816000</v>
          </cell>
          <cell r="E7">
            <v>45465000</v>
          </cell>
          <cell r="F7">
            <v>47834035.200000003</v>
          </cell>
          <cell r="G7">
            <v>50225736.960000001</v>
          </cell>
          <cell r="H7">
            <v>54837023.807999998</v>
          </cell>
        </row>
        <row r="8">
          <cell r="D8">
            <v>20945000</v>
          </cell>
          <cell r="E8">
            <v>22918000</v>
          </cell>
          <cell r="F8">
            <v>23566000</v>
          </cell>
          <cell r="G8">
            <v>25380000</v>
          </cell>
          <cell r="H8">
            <v>27000000</v>
          </cell>
          <cell r="K8">
            <v>522</v>
          </cell>
          <cell r="L8">
            <v>1150</v>
          </cell>
        </row>
        <row r="10">
          <cell r="D10">
            <v>6771000</v>
          </cell>
          <cell r="E10">
            <v>10300608.3981</v>
          </cell>
          <cell r="F10">
            <v>11860627.8910482</v>
          </cell>
          <cell r="G10">
            <v>13671976.229951801</v>
          </cell>
          <cell r="H10">
            <v>16383450.108474299</v>
          </cell>
          <cell r="K10">
            <v>600</v>
          </cell>
          <cell r="L10">
            <v>1300</v>
          </cell>
        </row>
        <row r="11">
          <cell r="D11">
            <v>355.26174777900212</v>
          </cell>
          <cell r="E11">
            <v>522</v>
          </cell>
          <cell r="F11">
            <v>600</v>
          </cell>
          <cell r="G11">
            <v>687</v>
          </cell>
          <cell r="H11">
            <v>816</v>
          </cell>
        </row>
        <row r="12">
          <cell r="D12">
            <v>190</v>
          </cell>
          <cell r="E12">
            <v>280</v>
          </cell>
          <cell r="F12">
            <v>330</v>
          </cell>
          <cell r="G12">
            <v>420</v>
          </cell>
          <cell r="H12">
            <v>500</v>
          </cell>
          <cell r="K12">
            <v>687</v>
          </cell>
          <cell r="L12">
            <v>1500</v>
          </cell>
        </row>
        <row r="13">
          <cell r="D13">
            <v>1895.4555496679607</v>
          </cell>
          <cell r="E13">
            <v>1949</v>
          </cell>
          <cell r="F13">
            <v>2165</v>
          </cell>
          <cell r="G13">
            <v>2275</v>
          </cell>
          <cell r="H13">
            <v>2444</v>
          </cell>
        </row>
        <row r="14">
          <cell r="D14">
            <v>15429000</v>
          </cell>
          <cell r="E14">
            <v>15654000</v>
          </cell>
          <cell r="F14">
            <v>9526000</v>
          </cell>
          <cell r="G14">
            <v>7929000</v>
          </cell>
          <cell r="H14">
            <v>6034000</v>
          </cell>
        </row>
        <row r="15">
          <cell r="D15">
            <v>8300000</v>
          </cell>
          <cell r="E15">
            <v>16500000</v>
          </cell>
          <cell r="F15">
            <v>16500000</v>
          </cell>
          <cell r="G15">
            <v>16500000</v>
          </cell>
          <cell r="H15">
            <v>8300000</v>
          </cell>
        </row>
        <row r="16">
          <cell r="D16">
            <v>7129000</v>
          </cell>
          <cell r="E16">
            <v>-846000</v>
          </cell>
          <cell r="F16">
            <v>-6974000</v>
          </cell>
          <cell r="G16">
            <v>-8571000</v>
          </cell>
          <cell r="H16">
            <v>-2266000</v>
          </cell>
          <cell r="K16">
            <v>19920000</v>
          </cell>
          <cell r="L16">
            <v>27000000</v>
          </cell>
        </row>
        <row r="18">
          <cell r="K18">
            <v>20945000</v>
          </cell>
          <cell r="L18">
            <v>28750000</v>
          </cell>
        </row>
        <row r="20">
          <cell r="F20">
            <v>0.06</v>
          </cell>
          <cell r="K20">
            <v>22918000</v>
          </cell>
          <cell r="L20">
            <v>30000000</v>
          </cell>
        </row>
        <row r="22">
          <cell r="K22">
            <v>23566000</v>
          </cell>
          <cell r="L22">
            <v>32000000</v>
          </cell>
        </row>
        <row r="24">
          <cell r="K24">
            <v>25380000</v>
          </cell>
          <cell r="L24">
            <v>34000000</v>
          </cell>
        </row>
        <row r="27">
          <cell r="D27">
            <v>25698</v>
          </cell>
        </row>
        <row r="28">
          <cell r="D28">
            <v>11623</v>
          </cell>
        </row>
        <row r="29">
          <cell r="D29">
            <v>57.4</v>
          </cell>
        </row>
        <row r="31">
          <cell r="D31">
            <v>11.5</v>
          </cell>
        </row>
        <row r="34">
          <cell r="D34">
            <v>355.26174777900212</v>
          </cell>
          <cell r="E34">
            <v>522</v>
          </cell>
          <cell r="F34">
            <v>600</v>
          </cell>
        </row>
        <row r="35">
          <cell r="D35">
            <v>1.1200000000000001</v>
          </cell>
          <cell r="E35">
            <v>1.34</v>
          </cell>
          <cell r="F35">
            <v>1.54</v>
          </cell>
        </row>
        <row r="36">
          <cell r="D36">
            <v>10.029999999999999</v>
          </cell>
          <cell r="E36">
            <v>11.55</v>
          </cell>
          <cell r="F36">
            <v>11.82</v>
          </cell>
        </row>
        <row r="37">
          <cell r="D37">
            <v>0</v>
          </cell>
          <cell r="E37">
            <v>0</v>
          </cell>
          <cell r="F37">
            <v>0</v>
          </cell>
        </row>
        <row r="39">
          <cell r="D39">
            <v>0</v>
          </cell>
          <cell r="E39">
            <v>0</v>
          </cell>
          <cell r="F39">
            <v>0</v>
          </cell>
        </row>
      </sheetData>
      <sheetData sheetId="16" refreshError="1"/>
      <sheetData sheetId="17" refreshError="1">
        <row r="3">
          <cell r="B3" t="str">
            <v>ACCUM</v>
          </cell>
        </row>
        <row r="4">
          <cell r="B4" t="str">
            <v>B-2-1-8</v>
          </cell>
          <cell r="K4">
            <v>0</v>
          </cell>
          <cell r="L4">
            <v>1.0462140470999151</v>
          </cell>
        </row>
        <row r="6">
          <cell r="K6">
            <v>0.59557631223263996</v>
          </cell>
          <cell r="L6">
            <v>1.2649241741654249</v>
          </cell>
        </row>
        <row r="7">
          <cell r="D7">
            <v>17342.845465910188</v>
          </cell>
          <cell r="E7">
            <v>18329.32854120589</v>
          </cell>
          <cell r="F7">
            <v>18670.824020327447</v>
          </cell>
          <cell r="G7">
            <v>19431.054432512243</v>
          </cell>
          <cell r="H7">
            <v>20140.215298817311</v>
          </cell>
        </row>
        <row r="8">
          <cell r="D8">
            <v>8924.4398499855779</v>
          </cell>
          <cell r="E8">
            <v>9259.9769208577782</v>
          </cell>
          <cell r="F8">
            <v>9569.7999999999993</v>
          </cell>
          <cell r="G8">
            <v>10066</v>
          </cell>
          <cell r="H8">
            <v>10912.073367364696</v>
          </cell>
          <cell r="K8">
            <v>0.62620042307981005</v>
          </cell>
          <cell r="L8">
            <v>1.503782037275635</v>
          </cell>
        </row>
        <row r="10">
          <cell r="D10">
            <v>4743.6953072410815</v>
          </cell>
          <cell r="E10">
            <v>4899.9783633041652</v>
          </cell>
          <cell r="F10">
            <v>4908.1497092855461</v>
          </cell>
          <cell r="G10">
            <v>5424.953662539725</v>
          </cell>
          <cell r="H10">
            <v>6124.0526973157657</v>
          </cell>
          <cell r="K10">
            <v>0.733244088284005</v>
          </cell>
          <cell r="L10">
            <v>1.7293493428669802</v>
          </cell>
        </row>
        <row r="11">
          <cell r="D11">
            <v>0.59557631223263996</v>
          </cell>
          <cell r="E11">
            <v>0.62620042307981005</v>
          </cell>
          <cell r="F11">
            <v>0.733244088284005</v>
          </cell>
          <cell r="G11">
            <v>0.92438468902161497</v>
          </cell>
          <cell r="H11">
            <v>1.0462140470999151</v>
          </cell>
        </row>
        <row r="12">
          <cell r="D12">
            <v>0.306519857678623</v>
          </cell>
          <cell r="E12">
            <v>0</v>
          </cell>
          <cell r="F12">
            <v>0</v>
          </cell>
          <cell r="G12">
            <v>0</v>
          </cell>
          <cell r="H12">
            <v>0</v>
          </cell>
          <cell r="K12">
            <v>0.92438468902161497</v>
          </cell>
          <cell r="L12">
            <v>1.9887517442970271</v>
          </cell>
        </row>
        <row r="13">
          <cell r="D13">
            <v>3.3723357483739749</v>
          </cell>
          <cell r="E13">
            <v>3.0411633753866498</v>
          </cell>
          <cell r="F13">
            <v>3.32716655752666</v>
          </cell>
          <cell r="G13">
            <v>3.6645517797328448</v>
          </cell>
          <cell r="H13">
            <v>3.8842055007608751</v>
          </cell>
        </row>
        <row r="14">
          <cell r="D14">
            <v>14872.044522976694</v>
          </cell>
          <cell r="E14">
            <v>18952.315699638191</v>
          </cell>
          <cell r="F14">
            <v>19547.317682978137</v>
          </cell>
          <cell r="G14">
            <v>21055.858064981428</v>
          </cell>
          <cell r="H14">
            <v>19733.631435337109</v>
          </cell>
        </row>
        <row r="15">
          <cell r="D15">
            <v>1515</v>
          </cell>
          <cell r="E15">
            <v>1515</v>
          </cell>
          <cell r="F15">
            <v>1515</v>
          </cell>
          <cell r="G15">
            <v>1515</v>
          </cell>
          <cell r="H15">
            <v>1515</v>
          </cell>
        </row>
        <row r="16">
          <cell r="D16">
            <v>13357.044522976694</v>
          </cell>
          <cell r="E16">
            <v>17437.315699638191</v>
          </cell>
          <cell r="F16">
            <v>18032.317682978137</v>
          </cell>
          <cell r="G16">
            <v>19540.858064981428</v>
          </cell>
          <cell r="H16">
            <v>18218.631435337109</v>
          </cell>
          <cell r="K16">
            <v>6624.3554145180487</v>
          </cell>
          <cell r="L16">
            <v>10912.073367364696</v>
          </cell>
        </row>
        <row r="18">
          <cell r="K18">
            <v>8924.4398499855779</v>
          </cell>
          <cell r="L18">
            <v>11770.758289132278</v>
          </cell>
        </row>
        <row r="20">
          <cell r="F20">
            <v>0.08</v>
          </cell>
          <cell r="K20">
            <v>9259.9769208577782</v>
          </cell>
          <cell r="L20">
            <v>12670.30297463215</v>
          </cell>
        </row>
        <row r="22">
          <cell r="K22">
            <v>9569.7999999999993</v>
          </cell>
          <cell r="L22">
            <v>13430.521153110079</v>
          </cell>
        </row>
        <row r="24">
          <cell r="K24">
            <v>10066</v>
          </cell>
          <cell r="L24">
            <v>14236.352422296684</v>
          </cell>
        </row>
        <row r="27">
          <cell r="D27">
            <v>17400</v>
          </cell>
        </row>
        <row r="28">
          <cell r="D28">
            <v>4310</v>
          </cell>
        </row>
        <row r="29">
          <cell r="D29">
            <v>39.299999999999997</v>
          </cell>
        </row>
        <row r="31">
          <cell r="D31">
            <v>17.028676290873832</v>
          </cell>
        </row>
        <row r="34">
          <cell r="D34">
            <v>201.2</v>
          </cell>
          <cell r="E34">
            <v>216.4</v>
          </cell>
          <cell r="F34">
            <v>0.733244088284005</v>
          </cell>
        </row>
        <row r="35">
          <cell r="D35">
            <v>2.2004297033641276E-3</v>
          </cell>
          <cell r="E35">
            <v>0</v>
          </cell>
          <cell r="F35">
            <v>0</v>
          </cell>
        </row>
        <row r="36">
          <cell r="D36">
            <v>842.7</v>
          </cell>
          <cell r="E36">
            <v>853.4</v>
          </cell>
          <cell r="F36">
            <v>898.7</v>
          </cell>
        </row>
        <row r="37">
          <cell r="D37">
            <v>0</v>
          </cell>
          <cell r="E37">
            <v>0</v>
          </cell>
          <cell r="F37">
            <v>0</v>
          </cell>
        </row>
        <row r="39">
          <cell r="D39">
            <v>0</v>
          </cell>
          <cell r="E39">
            <v>0</v>
          </cell>
          <cell r="F39">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2)"/>
      <sheetName val="Index"/>
      <sheetName val="SOTP"/>
      <sheetName val="Introduction"/>
      <sheetName val="Presentation"/>
      <sheetName val="BHEL(P)"/>
      <sheetName val="Segment"/>
      <sheetName val="Q(P)"/>
      <sheetName val="RR(P)"/>
      <sheetName val="EE"/>
      <sheetName val="Supercritcal"/>
      <sheetName val="Data"/>
      <sheetName val="Sheet2"/>
      <sheetName val="Charts"/>
      <sheetName val="Order-forecast"/>
      <sheetName val="Receivables Summary"/>
      <sheetName val="Orders"/>
      <sheetName val="Project-wise order book"/>
      <sheetName val="Projects-Model"/>
      <sheetName val="AR analysis"/>
      <sheetName val="JVs_Valuation"/>
      <sheetName val="Client"/>
      <sheetName val="Sensitivity"/>
      <sheetName val="Orders-Power"/>
      <sheetName val="Power-Sector"/>
      <sheetName val="SM-orders"/>
      <sheetName val="Working"/>
      <sheetName val="Commissioned"/>
      <sheetName val="Sheet1"/>
      <sheetName val="Tables"/>
      <sheetName val="Industry"/>
      <sheetName val="dump"/>
      <sheetName val="Data(Q)"/>
      <sheetName val="Market"/>
      <sheetName val="Bulk_tender"/>
      <sheetName val="Bidding"/>
      <sheetName val="BS_CFS"/>
      <sheetName val="Perf_Highlights"/>
      <sheetName val="Sales_table"/>
      <sheetName val="Capacity"/>
      <sheetName val="Comp"/>
      <sheetName val="Rail"/>
      <sheetName val="Project_Commissioned (2)"/>
      <sheetName val="Negotiated"/>
      <sheetName val="XII_Plan_Mkt_shr"/>
      <sheetName val="X_Plan"/>
      <sheetName val="Flow Chart"/>
      <sheetName val="BHELvChinese"/>
      <sheetName val="Growth Rates"/>
      <sheetName val="New Order Pipeline"/>
      <sheetName val="C&amp;T"/>
      <sheetName val="iQ-Check"/>
      <sheetName val="iQ_Measure_Validations_Errors"/>
      <sheetName val="iQ(Parent)"/>
      <sheetName val="TB"/>
      <sheetName val="#REF"/>
      <sheetName val="rev sum"/>
      <sheetName val="Dem-HH"/>
      <sheetName val="nopat_vdf"/>
      <sheetName val="invested capital_vdf"/>
      <sheetName val="foundry "/>
      <sheetName val="Sample Layout"/>
      <sheetName val="Check Sums"/>
      <sheetName val="input_fs(q)"/>
    </sheetNames>
    <sheetDataSet>
      <sheetData sheetId="0" refreshError="1"/>
      <sheetData sheetId="1" refreshError="1"/>
      <sheetData sheetId="2" refreshError="1"/>
      <sheetData sheetId="3" refreshError="1"/>
      <sheetData sheetId="4" refreshError="1">
        <row r="41">
          <cell r="B41" t="str">
            <v>BHEL - Standalone Balance Sheet</v>
          </cell>
        </row>
        <row r="42">
          <cell r="B42" t="str">
            <v>FY ends Mar31, (Rs mn)</v>
          </cell>
          <cell r="C42" t="str">
            <v>Assumptions</v>
          </cell>
          <cell r="D42" t="str">
            <v>FY90</v>
          </cell>
          <cell r="E42" t="str">
            <v>FY91</v>
          </cell>
          <cell r="F42" t="str">
            <v>FY92</v>
          </cell>
          <cell r="G42" t="str">
            <v>FY93</v>
          </cell>
          <cell r="H42" t="str">
            <v>FY94</v>
          </cell>
          <cell r="I42" t="str">
            <v>FY95</v>
          </cell>
          <cell r="J42" t="str">
            <v>FY96</v>
          </cell>
          <cell r="K42" t="str">
            <v>FY97</v>
          </cell>
          <cell r="L42" t="str">
            <v>FY98</v>
          </cell>
          <cell r="M42" t="str">
            <v>FY99</v>
          </cell>
          <cell r="N42" t="str">
            <v>FY00</v>
          </cell>
          <cell r="O42" t="str">
            <v>FY01</v>
          </cell>
          <cell r="P42" t="str">
            <v>FY02</v>
          </cell>
          <cell r="Q42" t="str">
            <v>FY03</v>
          </cell>
          <cell r="R42" t="str">
            <v>FY04</v>
          </cell>
          <cell r="S42" t="str">
            <v>FY05</v>
          </cell>
          <cell r="T42" t="str">
            <v>FY06</v>
          </cell>
          <cell r="U42" t="str">
            <v>FY07</v>
          </cell>
          <cell r="V42" t="str">
            <v>FY08</v>
          </cell>
          <cell r="W42" t="str">
            <v>FY09</v>
          </cell>
          <cell r="X42" t="str">
            <v>FY10</v>
          </cell>
          <cell r="Y42" t="str">
            <v>FY11</v>
          </cell>
          <cell r="Z42" t="str">
            <v>FY12</v>
          </cell>
          <cell r="AA42" t="str">
            <v>FY13</v>
          </cell>
          <cell r="AB42" t="str">
            <v>FY14</v>
          </cell>
        </row>
        <row r="43">
          <cell r="B43" t="str">
            <v>Equity Share Capital</v>
          </cell>
          <cell r="D43">
            <v>0</v>
          </cell>
          <cell r="E43">
            <v>0</v>
          </cell>
          <cell r="F43">
            <v>0</v>
          </cell>
          <cell r="G43">
            <v>2447.6</v>
          </cell>
          <cell r="H43">
            <v>2447.6</v>
          </cell>
          <cell r="I43">
            <v>2447.6</v>
          </cell>
          <cell r="J43">
            <v>2447.6</v>
          </cell>
          <cell r="K43">
            <v>2447.6</v>
          </cell>
          <cell r="L43">
            <v>2447.6</v>
          </cell>
          <cell r="M43">
            <v>2447.6</v>
          </cell>
          <cell r="N43">
            <v>2447.6</v>
          </cell>
          <cell r="O43">
            <v>2447.6</v>
          </cell>
          <cell r="P43">
            <v>2447.6</v>
          </cell>
          <cell r="Q43">
            <v>2447.6</v>
          </cell>
          <cell r="R43">
            <v>2447.6</v>
          </cell>
          <cell r="S43">
            <v>2447.6</v>
          </cell>
          <cell r="T43">
            <v>2447.6</v>
          </cell>
          <cell r="U43">
            <v>2447.6</v>
          </cell>
          <cell r="V43">
            <v>4895.2</v>
          </cell>
          <cell r="W43">
            <v>4895.2</v>
          </cell>
          <cell r="X43">
            <v>4895.2</v>
          </cell>
          <cell r="Y43">
            <v>4895.2</v>
          </cell>
          <cell r="Z43">
            <v>4895.2</v>
          </cell>
          <cell r="AA43">
            <v>4895.2</v>
          </cell>
          <cell r="AB43">
            <v>4895.2</v>
          </cell>
        </row>
        <row r="44">
          <cell r="B44" t="str">
            <v>Share Application Money</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row>
        <row r="45">
          <cell r="B45" t="str">
            <v>Reserves &amp; Surplus</v>
          </cell>
          <cell r="D45">
            <v>0</v>
          </cell>
          <cell r="E45">
            <v>0</v>
          </cell>
          <cell r="F45">
            <v>0</v>
          </cell>
          <cell r="G45">
            <v>6268</v>
          </cell>
          <cell r="H45">
            <v>7654.6170000000002</v>
          </cell>
          <cell r="I45">
            <v>9096.5530000000017</v>
          </cell>
          <cell r="J45">
            <v>12437.353999999999</v>
          </cell>
          <cell r="K45">
            <v>16800.773000000001</v>
          </cell>
          <cell r="L45">
            <v>23502.59</v>
          </cell>
          <cell r="M45">
            <v>28377.048000000003</v>
          </cell>
          <cell r="N45">
            <v>31129.727999999999</v>
          </cell>
          <cell r="O45">
            <v>36262.133000000002</v>
          </cell>
          <cell r="P45">
            <v>39755.681000000004</v>
          </cell>
          <cell r="Q45">
            <v>44634.101000000002</v>
          </cell>
          <cell r="R45">
            <v>50332.593999999997</v>
          </cell>
          <cell r="S45">
            <v>57821.338000000003</v>
          </cell>
          <cell r="T45">
            <v>70566.176000000007</v>
          </cell>
          <cell r="U45">
            <v>85435</v>
          </cell>
          <cell r="V45">
            <v>102846.9</v>
          </cell>
          <cell r="W45">
            <v>124492.90000000001</v>
          </cell>
          <cell r="X45">
            <v>154278.39999999999</v>
          </cell>
          <cell r="Y45">
            <v>196643.20000000001</v>
          </cell>
          <cell r="Z45">
            <v>248836.9</v>
          </cell>
          <cell r="AA45">
            <v>299545.80000000005</v>
          </cell>
          <cell r="AB45">
            <v>325575.3</v>
          </cell>
        </row>
        <row r="46">
          <cell r="B46" t="str">
            <v>Networth</v>
          </cell>
          <cell r="D46">
            <v>0</v>
          </cell>
          <cell r="E46">
            <v>0</v>
          </cell>
          <cell r="F46">
            <v>0</v>
          </cell>
          <cell r="G46">
            <v>8715.6</v>
          </cell>
          <cell r="H46">
            <v>10102.217000000001</v>
          </cell>
          <cell r="I46">
            <v>11544.153000000002</v>
          </cell>
          <cell r="J46">
            <v>14884.954</v>
          </cell>
          <cell r="K46">
            <v>19248.373</v>
          </cell>
          <cell r="L46">
            <v>25950.19</v>
          </cell>
          <cell r="M46">
            <v>30824.648000000001</v>
          </cell>
          <cell r="N46">
            <v>33577.328000000001</v>
          </cell>
          <cell r="O46">
            <v>38709.733</v>
          </cell>
          <cell r="P46">
            <v>42203.281000000003</v>
          </cell>
          <cell r="Q46">
            <v>47081.701000000001</v>
          </cell>
          <cell r="R46">
            <v>52780.193999999996</v>
          </cell>
          <cell r="S46">
            <v>60268.938000000002</v>
          </cell>
          <cell r="T46">
            <v>73013.776000000013</v>
          </cell>
          <cell r="U46">
            <v>87882.6</v>
          </cell>
          <cell r="V46">
            <v>107742.09999999999</v>
          </cell>
          <cell r="W46">
            <v>129388.1</v>
          </cell>
          <cell r="X46">
            <v>159173.6</v>
          </cell>
          <cell r="Y46">
            <v>201538.40000000002</v>
          </cell>
          <cell r="Z46">
            <v>253732.1</v>
          </cell>
          <cell r="AA46">
            <v>304441.00000000006</v>
          </cell>
          <cell r="AB46">
            <v>330470.5</v>
          </cell>
        </row>
        <row r="48">
          <cell r="B48" t="str">
            <v>Long Term Borrowings</v>
          </cell>
          <cell r="D48">
            <v>0</v>
          </cell>
          <cell r="E48">
            <v>0</v>
          </cell>
          <cell r="F48">
            <v>0</v>
          </cell>
          <cell r="G48">
            <v>15077</v>
          </cell>
          <cell r="H48">
            <v>13839.503000000001</v>
          </cell>
          <cell r="I48">
            <v>10760.376</v>
          </cell>
          <cell r="J48">
            <v>10312.442999999999</v>
          </cell>
          <cell r="K48">
            <v>8980.07</v>
          </cell>
          <cell r="L48">
            <v>3894.7840000000001</v>
          </cell>
          <cell r="M48">
            <v>1701.115</v>
          </cell>
          <cell r="N48">
            <v>2407.0050000000006</v>
          </cell>
          <cell r="O48">
            <v>10255.990999999998</v>
          </cell>
          <cell r="P48">
            <v>6657.8419999999987</v>
          </cell>
          <cell r="Q48">
            <v>5310.91</v>
          </cell>
          <cell r="R48">
            <v>5400.2629999999999</v>
          </cell>
          <cell r="S48">
            <v>5369.8289999999997</v>
          </cell>
          <cell r="T48">
            <v>5582.4040000000005</v>
          </cell>
          <cell r="U48">
            <v>893.3</v>
          </cell>
          <cell r="V48">
            <v>951.8</v>
          </cell>
          <cell r="W48">
            <v>1493.7</v>
          </cell>
          <cell r="X48">
            <v>1277.5</v>
          </cell>
          <cell r="Y48">
            <v>1021.4</v>
          </cell>
          <cell r="Z48">
            <v>1234.3</v>
          </cell>
          <cell r="AA48">
            <v>1292</v>
          </cell>
          <cell r="AB48">
            <v>1047.7</v>
          </cell>
        </row>
        <row r="49">
          <cell r="B49" t="str">
            <v>Deferred Tax Liability, Net</v>
          </cell>
          <cell r="D49">
            <v>0</v>
          </cell>
          <cell r="E49">
            <v>0</v>
          </cell>
          <cell r="F49">
            <v>0</v>
          </cell>
          <cell r="G49">
            <v>0</v>
          </cell>
          <cell r="H49">
            <v>0</v>
          </cell>
          <cell r="I49">
            <v>0</v>
          </cell>
          <cell r="J49">
            <v>0</v>
          </cell>
          <cell r="K49">
            <v>0</v>
          </cell>
          <cell r="L49">
            <v>0</v>
          </cell>
          <cell r="M49">
            <v>0</v>
          </cell>
          <cell r="N49">
            <v>0</v>
          </cell>
          <cell r="O49">
            <v>-2692</v>
          </cell>
          <cell r="P49">
            <v>-3046</v>
          </cell>
          <cell r="Q49">
            <v>-4073.9520000000002</v>
          </cell>
          <cell r="R49">
            <v>-4985.1887999999999</v>
          </cell>
          <cell r="S49">
            <v>-5182.79</v>
          </cell>
          <cell r="T49">
            <v>-6737.2039999999997</v>
          </cell>
          <cell r="U49">
            <v>-9351.6</v>
          </cell>
          <cell r="V49">
            <v>-13379.3</v>
          </cell>
          <cell r="W49">
            <v>-18403</v>
          </cell>
          <cell r="X49">
            <v>-15272.3</v>
          </cell>
          <cell r="Y49">
            <v>-21635.5</v>
          </cell>
          <cell r="Z49">
            <v>-15462.4</v>
          </cell>
          <cell r="AA49">
            <v>-15506.9</v>
          </cell>
          <cell r="AB49">
            <v>-19689.5</v>
          </cell>
        </row>
        <row r="50">
          <cell r="B50" t="str">
            <v>Other LT Liabilities &amp; Provisions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140656.29999999999</v>
          </cell>
          <cell r="Z50">
            <v>125642.69999999998</v>
          </cell>
          <cell r="AA50">
            <v>117337</v>
          </cell>
          <cell r="AB50">
            <v>140966</v>
          </cell>
        </row>
        <row r="51">
          <cell r="B51" t="str">
            <v>Non-Current Liabilities</v>
          </cell>
          <cell r="D51">
            <v>0</v>
          </cell>
          <cell r="E51">
            <v>0</v>
          </cell>
          <cell r="F51">
            <v>0</v>
          </cell>
          <cell r="G51">
            <v>15077</v>
          </cell>
          <cell r="H51">
            <v>13839.503000000001</v>
          </cell>
          <cell r="I51">
            <v>10760.376</v>
          </cell>
          <cell r="J51">
            <v>10312.442999999999</v>
          </cell>
          <cell r="K51">
            <v>8980.07</v>
          </cell>
          <cell r="L51">
            <v>3894.7840000000001</v>
          </cell>
          <cell r="M51">
            <v>1701.115</v>
          </cell>
          <cell r="N51">
            <v>2407.0050000000006</v>
          </cell>
          <cell r="O51">
            <v>7563.9909999999982</v>
          </cell>
          <cell r="P51">
            <v>3611.8419999999987</v>
          </cell>
          <cell r="Q51">
            <v>1236.9579999999996</v>
          </cell>
          <cell r="R51">
            <v>415.07420000000002</v>
          </cell>
          <cell r="S51">
            <v>187.03899999999976</v>
          </cell>
          <cell r="T51">
            <v>-1154.7999999999993</v>
          </cell>
          <cell r="U51">
            <v>-8458.3000000000011</v>
          </cell>
          <cell r="V51">
            <v>-12427.5</v>
          </cell>
          <cell r="W51">
            <v>-16909.3</v>
          </cell>
          <cell r="X51">
            <v>-13994.8</v>
          </cell>
          <cell r="Y51">
            <v>120042.2</v>
          </cell>
          <cell r="Z51">
            <v>111414.59999999999</v>
          </cell>
          <cell r="AA51">
            <v>103122.1</v>
          </cell>
          <cell r="AB51">
            <v>122324.2</v>
          </cell>
        </row>
        <row r="52">
          <cell r="B52" t="str">
            <v>Networth &amp; Libailites</v>
          </cell>
          <cell r="D52">
            <v>0</v>
          </cell>
          <cell r="E52">
            <v>0</v>
          </cell>
          <cell r="F52">
            <v>0</v>
          </cell>
          <cell r="G52">
            <v>23792.6</v>
          </cell>
          <cell r="H52">
            <v>23941.72</v>
          </cell>
          <cell r="I52">
            <v>22304.529000000002</v>
          </cell>
          <cell r="J52">
            <v>25197.396999999997</v>
          </cell>
          <cell r="K52">
            <v>28228.442999999999</v>
          </cell>
          <cell r="L52">
            <v>29844.973999999998</v>
          </cell>
          <cell r="M52">
            <v>32525.763000000003</v>
          </cell>
          <cell r="N52">
            <v>35984.332999999999</v>
          </cell>
          <cell r="O52">
            <v>46273.724000000002</v>
          </cell>
          <cell r="P52">
            <v>45815.123</v>
          </cell>
          <cell r="Q52">
            <v>48318.659</v>
          </cell>
          <cell r="R52">
            <v>53195.268199999999</v>
          </cell>
          <cell r="S52">
            <v>60455.976999999999</v>
          </cell>
          <cell r="T52">
            <v>71858.97600000001</v>
          </cell>
          <cell r="U52">
            <v>79424.3</v>
          </cell>
          <cell r="V52">
            <v>95314.599999999991</v>
          </cell>
          <cell r="W52">
            <v>112478.8</v>
          </cell>
          <cell r="X52">
            <v>145178.80000000002</v>
          </cell>
          <cell r="Y52">
            <v>321580.60000000003</v>
          </cell>
          <cell r="Z52">
            <v>365146.7</v>
          </cell>
          <cell r="AA52">
            <v>407563.10000000009</v>
          </cell>
          <cell r="AB52">
            <v>452794.7</v>
          </cell>
        </row>
        <row r="54">
          <cell r="B54" t="str">
            <v>Gross Block</v>
          </cell>
          <cell r="D54">
            <v>0</v>
          </cell>
          <cell r="E54">
            <v>0</v>
          </cell>
          <cell r="F54">
            <v>0</v>
          </cell>
          <cell r="G54">
            <v>16308</v>
          </cell>
          <cell r="H54">
            <v>16385.75</v>
          </cell>
          <cell r="I54">
            <v>17248.02</v>
          </cell>
          <cell r="J54">
            <v>18574.499</v>
          </cell>
          <cell r="K54">
            <v>21053.306999999997</v>
          </cell>
          <cell r="L54">
            <v>24319.174999999999</v>
          </cell>
          <cell r="M54">
            <v>26767.615999999998</v>
          </cell>
          <cell r="N54">
            <v>28428.123</v>
          </cell>
          <cell r="O54">
            <v>30454.188000000002</v>
          </cell>
          <cell r="P54">
            <v>32342.538999999997</v>
          </cell>
          <cell r="Q54">
            <v>34007.809000000001</v>
          </cell>
          <cell r="R54">
            <v>35056.487999999998</v>
          </cell>
          <cell r="S54">
            <v>36635.885999999999</v>
          </cell>
          <cell r="T54">
            <v>38350.410000000003</v>
          </cell>
          <cell r="U54">
            <v>41057.9</v>
          </cell>
          <cell r="V54">
            <v>43843.4</v>
          </cell>
          <cell r="W54">
            <v>51836.5</v>
          </cell>
          <cell r="X54">
            <v>65659.199999999997</v>
          </cell>
          <cell r="Y54">
            <v>80497.399999999994</v>
          </cell>
          <cell r="Z54">
            <v>97066.4</v>
          </cell>
          <cell r="AA54">
            <v>107832.6</v>
          </cell>
          <cell r="AB54">
            <v>120504.9</v>
          </cell>
        </row>
        <row r="55">
          <cell r="B55" t="str">
            <v>Less: Accumulated Depreciation</v>
          </cell>
          <cell r="D55">
            <v>0</v>
          </cell>
          <cell r="E55">
            <v>0</v>
          </cell>
          <cell r="F55">
            <v>0</v>
          </cell>
          <cell r="G55">
            <v>-9771</v>
          </cell>
          <cell r="H55">
            <v>-10626.721</v>
          </cell>
          <cell r="I55">
            <v>-11527.87</v>
          </cell>
          <cell r="J55">
            <v>-12456.027</v>
          </cell>
          <cell r="K55">
            <v>-13514.772000000001</v>
          </cell>
          <cell r="L55">
            <v>-14734.585999999999</v>
          </cell>
          <cell r="M55">
            <v>-16141.793</v>
          </cell>
          <cell r="N55">
            <v>-17550.155999999999</v>
          </cell>
          <cell r="O55">
            <v>-19028.069</v>
          </cell>
          <cell r="P55">
            <v>-20576.846000000001</v>
          </cell>
          <cell r="Q55">
            <v>-22302.796999999999</v>
          </cell>
          <cell r="R55">
            <v>-24115.079000000002</v>
          </cell>
          <cell r="S55">
            <v>-26193.471000000001</v>
          </cell>
          <cell r="T55">
            <v>-28527.645</v>
          </cell>
          <cell r="U55">
            <v>-31170.5</v>
          </cell>
          <cell r="V55">
            <v>-34030.800000000003</v>
          </cell>
          <cell r="W55">
            <v>-37132.5</v>
          </cell>
          <cell r="X55">
            <v>-41505.199999999997</v>
          </cell>
          <cell r="Y55">
            <v>-46488.200000000004</v>
          </cell>
          <cell r="Z55">
            <v>-54098.299999999996</v>
          </cell>
          <cell r="AA55">
            <v>-63247.7</v>
          </cell>
          <cell r="AB55">
            <v>-73575.5</v>
          </cell>
        </row>
        <row r="56">
          <cell r="B56" t="str">
            <v>Net Block</v>
          </cell>
          <cell r="D56">
            <v>0</v>
          </cell>
          <cell r="E56">
            <v>0</v>
          </cell>
          <cell r="F56">
            <v>0</v>
          </cell>
          <cell r="G56">
            <v>6537</v>
          </cell>
          <cell r="H56">
            <v>5759.0290000000005</v>
          </cell>
          <cell r="I56">
            <v>5720.15</v>
          </cell>
          <cell r="J56">
            <v>6118.4719999999998</v>
          </cell>
          <cell r="K56">
            <v>7538.5349999999962</v>
          </cell>
          <cell r="L56">
            <v>9584.5889999999999</v>
          </cell>
          <cell r="M56">
            <v>10625.822999999999</v>
          </cell>
          <cell r="N56">
            <v>10877.967000000001</v>
          </cell>
          <cell r="O56">
            <v>11426.119000000002</v>
          </cell>
          <cell r="P56">
            <v>11765.692999999996</v>
          </cell>
          <cell r="Q56">
            <v>11705.012000000002</v>
          </cell>
          <cell r="R56">
            <v>10941.408999999996</v>
          </cell>
          <cell r="S56">
            <v>10442.414999999997</v>
          </cell>
          <cell r="T56">
            <v>9822.7650000000031</v>
          </cell>
          <cell r="U56">
            <v>9887.4000000000015</v>
          </cell>
          <cell r="V56">
            <v>9812.5999999999985</v>
          </cell>
          <cell r="W56">
            <v>14704</v>
          </cell>
          <cell r="X56">
            <v>24154</v>
          </cell>
          <cell r="Y56">
            <v>34009.19999999999</v>
          </cell>
          <cell r="Z56">
            <v>42968.1</v>
          </cell>
          <cell r="AA56">
            <v>44584.900000000009</v>
          </cell>
          <cell r="AB56">
            <v>46929.399999999994</v>
          </cell>
        </row>
        <row r="57">
          <cell r="B57" t="str">
            <v>CWIP</v>
          </cell>
          <cell r="D57">
            <v>0</v>
          </cell>
          <cell r="E57">
            <v>0</v>
          </cell>
          <cell r="F57">
            <v>0</v>
          </cell>
          <cell r="G57">
            <v>0</v>
          </cell>
          <cell r="H57">
            <v>599.89300000000003</v>
          </cell>
          <cell r="I57">
            <v>740.13900000000001</v>
          </cell>
          <cell r="J57">
            <v>735.96699999999998</v>
          </cell>
          <cell r="K57">
            <v>661.93600000000004</v>
          </cell>
          <cell r="L57">
            <v>634.93700000000001</v>
          </cell>
          <cell r="M57">
            <v>732.86800000000005</v>
          </cell>
          <cell r="N57">
            <v>724.35900000000004</v>
          </cell>
          <cell r="O57">
            <v>611.80399999999997</v>
          </cell>
          <cell r="P57">
            <v>566.69600000000003</v>
          </cell>
          <cell r="Q57">
            <v>586.97500000000002</v>
          </cell>
          <cell r="R57">
            <v>1085.5740000000001</v>
          </cell>
          <cell r="S57">
            <v>953.18</v>
          </cell>
          <cell r="T57">
            <v>1845.7180000000001</v>
          </cell>
          <cell r="U57">
            <v>3025.4</v>
          </cell>
          <cell r="V57">
            <v>6580.3</v>
          </cell>
          <cell r="W57">
            <v>11569.7</v>
          </cell>
          <cell r="X57">
            <v>15295.5</v>
          </cell>
          <cell r="Y57">
            <v>17337.599999999999</v>
          </cell>
          <cell r="Z57">
            <v>13476.099999999999</v>
          </cell>
          <cell r="AA57">
            <v>11715.9</v>
          </cell>
          <cell r="AB57">
            <v>6421.2000000000007</v>
          </cell>
        </row>
        <row r="58">
          <cell r="B58" t="str">
            <v>Net Fixed Assets</v>
          </cell>
          <cell r="D58">
            <v>0</v>
          </cell>
          <cell r="E58">
            <v>0</v>
          </cell>
          <cell r="F58">
            <v>0</v>
          </cell>
          <cell r="G58">
            <v>6537</v>
          </cell>
          <cell r="H58">
            <v>6358.9220000000005</v>
          </cell>
          <cell r="I58">
            <v>6460.2889999999998</v>
          </cell>
          <cell r="J58">
            <v>6854.4389999999994</v>
          </cell>
          <cell r="K58">
            <v>8200.4709999999959</v>
          </cell>
          <cell r="L58">
            <v>10219.526</v>
          </cell>
          <cell r="M58">
            <v>11358.690999999999</v>
          </cell>
          <cell r="N58">
            <v>11602.326000000001</v>
          </cell>
          <cell r="O58">
            <v>12037.923000000003</v>
          </cell>
          <cell r="P58">
            <v>12332.388999999996</v>
          </cell>
          <cell r="Q58">
            <v>12291.987000000003</v>
          </cell>
          <cell r="R58">
            <v>12026.982999999997</v>
          </cell>
          <cell r="S58">
            <v>11395.594999999998</v>
          </cell>
          <cell r="T58">
            <v>11668.483000000004</v>
          </cell>
          <cell r="U58">
            <v>12912.800000000001</v>
          </cell>
          <cell r="V58">
            <v>16392.899999999998</v>
          </cell>
          <cell r="W58">
            <v>26273.7</v>
          </cell>
          <cell r="X58">
            <v>39449.5</v>
          </cell>
          <cell r="Y58">
            <v>51346.799999999988</v>
          </cell>
          <cell r="Z58">
            <v>56444.2</v>
          </cell>
          <cell r="AA58">
            <v>56300.80000000001</v>
          </cell>
          <cell r="AB58">
            <v>53350.599999999991</v>
          </cell>
        </row>
        <row r="60">
          <cell r="B60" t="str">
            <v>Non-current Investments</v>
          </cell>
          <cell r="D60">
            <v>0</v>
          </cell>
          <cell r="E60">
            <v>0</v>
          </cell>
          <cell r="F60">
            <v>0</v>
          </cell>
          <cell r="G60">
            <v>3084</v>
          </cell>
          <cell r="H60">
            <v>3194.0529999999999</v>
          </cell>
          <cell r="I60">
            <v>3370.46</v>
          </cell>
          <cell r="J60">
            <v>3370.46</v>
          </cell>
          <cell r="K60">
            <v>1350.6</v>
          </cell>
          <cell r="L60">
            <v>240.995</v>
          </cell>
          <cell r="M60">
            <v>150.98500000000001</v>
          </cell>
          <cell r="N60">
            <v>103.435</v>
          </cell>
          <cell r="O60">
            <v>103.435</v>
          </cell>
          <cell r="P60">
            <v>103</v>
          </cell>
          <cell r="Q60">
            <v>103.31</v>
          </cell>
          <cell r="R60">
            <v>289.82599999999996</v>
          </cell>
          <cell r="S60">
            <v>89.525999999999996</v>
          </cell>
          <cell r="T60">
            <v>82.926000000000002</v>
          </cell>
          <cell r="U60">
            <v>82.926000000000002</v>
          </cell>
          <cell r="V60">
            <v>82.9</v>
          </cell>
          <cell r="W60">
            <v>523.4</v>
          </cell>
          <cell r="X60">
            <v>798.4</v>
          </cell>
          <cell r="Y60">
            <v>4391.7000000000007</v>
          </cell>
          <cell r="Z60">
            <v>4616.7</v>
          </cell>
          <cell r="AA60">
            <v>4291.7000000000007</v>
          </cell>
          <cell r="AB60">
            <v>4201.7</v>
          </cell>
        </row>
        <row r="61">
          <cell r="B61" t="str">
            <v>LT L&amp;A and other non-current assets</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81340.400000000009</v>
          </cell>
          <cell r="Z61">
            <v>102837.2</v>
          </cell>
          <cell r="AA61">
            <v>115592.59999999999</v>
          </cell>
          <cell r="AB61">
            <v>130482.09999999999</v>
          </cell>
        </row>
        <row r="62">
          <cell r="B62" t="str">
            <v>Non-current Assets</v>
          </cell>
          <cell r="D62">
            <v>0</v>
          </cell>
          <cell r="E62">
            <v>0</v>
          </cell>
          <cell r="F62">
            <v>0</v>
          </cell>
          <cell r="G62">
            <v>9621</v>
          </cell>
          <cell r="H62">
            <v>9552.9750000000004</v>
          </cell>
          <cell r="I62">
            <v>9830.7489999999998</v>
          </cell>
          <cell r="J62">
            <v>10224.898999999999</v>
          </cell>
          <cell r="K62">
            <v>9551.0709999999963</v>
          </cell>
          <cell r="L62">
            <v>10460.521000000001</v>
          </cell>
          <cell r="M62">
            <v>11509.675999999999</v>
          </cell>
          <cell r="N62">
            <v>11705.761</v>
          </cell>
          <cell r="O62">
            <v>12141.358000000002</v>
          </cell>
          <cell r="P62">
            <v>12435.388999999996</v>
          </cell>
          <cell r="Q62">
            <v>12395.297000000002</v>
          </cell>
          <cell r="R62">
            <v>12316.808999999996</v>
          </cell>
          <cell r="S62">
            <v>11485.120999999997</v>
          </cell>
          <cell r="T62">
            <v>11751.409000000003</v>
          </cell>
          <cell r="U62">
            <v>12995.726000000001</v>
          </cell>
          <cell r="V62">
            <v>16475.8</v>
          </cell>
          <cell r="W62">
            <v>26797.100000000002</v>
          </cell>
          <cell r="X62">
            <v>40247.9</v>
          </cell>
          <cell r="Y62">
            <v>137078.9</v>
          </cell>
          <cell r="Z62">
            <v>163898.09999999998</v>
          </cell>
          <cell r="AA62">
            <v>176185.1</v>
          </cell>
          <cell r="AB62">
            <v>188034.39999999997</v>
          </cell>
        </row>
        <row r="64">
          <cell r="B64" t="str">
            <v>Current Investments</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row>
        <row r="65">
          <cell r="B65" t="str">
            <v>Inventories</v>
          </cell>
          <cell r="D65">
            <v>0</v>
          </cell>
          <cell r="E65">
            <v>0</v>
          </cell>
          <cell r="F65">
            <v>0</v>
          </cell>
          <cell r="G65">
            <v>0</v>
          </cell>
          <cell r="H65">
            <v>11993.413</v>
          </cell>
          <cell r="I65">
            <v>14952.255999999999</v>
          </cell>
          <cell r="J65">
            <v>18095.624</v>
          </cell>
          <cell r="K65">
            <v>18765.565333333332</v>
          </cell>
          <cell r="L65">
            <v>17133.413</v>
          </cell>
          <cell r="M65">
            <v>18187.350999999999</v>
          </cell>
          <cell r="N65">
            <v>17662.904000000002</v>
          </cell>
          <cell r="O65">
            <v>20347.419000000002</v>
          </cell>
          <cell r="P65">
            <v>19942.287000000004</v>
          </cell>
          <cell r="Q65">
            <v>20010.560000000001</v>
          </cell>
          <cell r="R65">
            <v>21038.835999999999</v>
          </cell>
          <cell r="S65">
            <v>29161.072999999997</v>
          </cell>
          <cell r="T65">
            <v>37443.705999999998</v>
          </cell>
          <cell r="U65">
            <v>42176.7</v>
          </cell>
          <cell r="V65">
            <v>57364</v>
          </cell>
          <cell r="W65">
            <v>78370.2</v>
          </cell>
          <cell r="X65">
            <v>92354.60000000002</v>
          </cell>
          <cell r="Y65">
            <v>109630.39999999999</v>
          </cell>
          <cell r="Z65">
            <v>135487.30000000002</v>
          </cell>
          <cell r="AA65">
            <v>117638.19999999998</v>
          </cell>
          <cell r="AB65">
            <v>97975.5</v>
          </cell>
        </row>
        <row r="66">
          <cell r="B66" t="str">
            <v>Trade Receivables</v>
          </cell>
          <cell r="D66">
            <v>0</v>
          </cell>
          <cell r="E66">
            <v>0</v>
          </cell>
          <cell r="F66">
            <v>0</v>
          </cell>
          <cell r="G66">
            <v>22265.23</v>
          </cell>
          <cell r="H66">
            <v>25567.03</v>
          </cell>
          <cell r="I66">
            <v>24851.647000000001</v>
          </cell>
          <cell r="J66">
            <v>29621.745999999999</v>
          </cell>
          <cell r="K66">
            <v>32391.058000000001</v>
          </cell>
          <cell r="L66">
            <v>31310.034999999996</v>
          </cell>
          <cell r="M66">
            <v>34369.502</v>
          </cell>
          <cell r="N66">
            <v>40373.001000000004</v>
          </cell>
          <cell r="O66">
            <v>41743.009999999995</v>
          </cell>
          <cell r="P66">
            <v>45841.923000000003</v>
          </cell>
          <cell r="Q66">
            <v>40757.821000000004</v>
          </cell>
          <cell r="R66">
            <v>46084.803999999996</v>
          </cell>
          <cell r="S66">
            <v>59721.421999999999</v>
          </cell>
          <cell r="T66">
            <v>71680.649000000005</v>
          </cell>
          <cell r="U66">
            <v>96958.199999999983</v>
          </cell>
          <cell r="V66">
            <v>119748.69999999998</v>
          </cell>
          <cell r="W66">
            <v>159755</v>
          </cell>
          <cell r="X66">
            <v>206887.5</v>
          </cell>
          <cell r="Y66">
            <v>201035.00000000003</v>
          </cell>
          <cell r="Z66">
            <v>263569.3</v>
          </cell>
          <cell r="AA66">
            <v>292344.90000000002</v>
          </cell>
          <cell r="AB66">
            <v>280719.2</v>
          </cell>
        </row>
        <row r="67">
          <cell r="B67" t="str">
            <v>Cash &amp; Bank Balances</v>
          </cell>
          <cell r="D67">
            <v>0</v>
          </cell>
          <cell r="E67">
            <v>0</v>
          </cell>
          <cell r="F67">
            <v>0</v>
          </cell>
          <cell r="G67">
            <v>20631.77</v>
          </cell>
          <cell r="H67">
            <v>4016.1039999999998</v>
          </cell>
          <cell r="I67">
            <v>4808.8069999999998</v>
          </cell>
          <cell r="J67">
            <v>3448.5390000000002</v>
          </cell>
          <cell r="K67">
            <v>3502.9409999999998</v>
          </cell>
          <cell r="L67">
            <v>4153.0969999999998</v>
          </cell>
          <cell r="M67">
            <v>5374.2969999999996</v>
          </cell>
          <cell r="N67">
            <v>3606.0079999999998</v>
          </cell>
          <cell r="O67">
            <v>3330.3580000000002</v>
          </cell>
          <cell r="P67">
            <v>4765.8919999999998</v>
          </cell>
          <cell r="Q67">
            <v>13209.11</v>
          </cell>
          <cell r="R67">
            <v>26596.388999999999</v>
          </cell>
          <cell r="S67">
            <v>31778.620999999999</v>
          </cell>
          <cell r="T67">
            <v>41339.754000000001</v>
          </cell>
          <cell r="U67">
            <v>58089.1</v>
          </cell>
          <cell r="V67">
            <v>83860.2</v>
          </cell>
          <cell r="W67">
            <v>103146.7</v>
          </cell>
          <cell r="X67">
            <v>97900.800000000003</v>
          </cell>
          <cell r="Y67">
            <v>96301.5</v>
          </cell>
          <cell r="Z67">
            <v>66719.8</v>
          </cell>
          <cell r="AA67">
            <v>77320.5</v>
          </cell>
          <cell r="AB67">
            <v>118729.3</v>
          </cell>
        </row>
        <row r="68">
          <cell r="B68" t="str">
            <v>ST L&amp;A and other current assets</v>
          </cell>
          <cell r="D68">
            <v>0</v>
          </cell>
          <cell r="E68">
            <v>0</v>
          </cell>
          <cell r="F68">
            <v>0</v>
          </cell>
          <cell r="G68">
            <v>0</v>
          </cell>
          <cell r="H68">
            <v>3850.9030000000002</v>
          </cell>
          <cell r="I68">
            <v>6829.1539999999995</v>
          </cell>
          <cell r="J68">
            <v>5931.7750000000005</v>
          </cell>
          <cell r="K68">
            <v>6560.7690000000002</v>
          </cell>
          <cell r="L68">
            <v>7685.2400000000007</v>
          </cell>
          <cell r="M68">
            <v>7452.6360000000004</v>
          </cell>
          <cell r="N68">
            <v>8547.7839999999997</v>
          </cell>
          <cell r="O68">
            <v>10341.201000000001</v>
          </cell>
          <cell r="P68">
            <v>9987.6149999999998</v>
          </cell>
          <cell r="Q68">
            <v>9506.4689999999991</v>
          </cell>
          <cell r="R68">
            <v>10526.964</v>
          </cell>
          <cell r="S68">
            <v>12768.683000000001</v>
          </cell>
          <cell r="T68">
            <v>12843.681</v>
          </cell>
          <cell r="U68">
            <v>13405.7</v>
          </cell>
          <cell r="V68">
            <v>18088.900000000001</v>
          </cell>
          <cell r="W68">
            <v>27738.799999999999</v>
          </cell>
          <cell r="X68">
            <v>32205.200000000001</v>
          </cell>
          <cell r="Y68">
            <v>26921.599999999999</v>
          </cell>
          <cell r="Z68">
            <v>22623.3</v>
          </cell>
          <cell r="AA68">
            <v>22291</v>
          </cell>
          <cell r="AB68">
            <v>22763.8</v>
          </cell>
        </row>
        <row r="69">
          <cell r="B69" t="str">
            <v>Current Assets</v>
          </cell>
          <cell r="D69">
            <v>0</v>
          </cell>
          <cell r="E69">
            <v>0</v>
          </cell>
          <cell r="F69">
            <v>0</v>
          </cell>
          <cell r="G69">
            <v>42897</v>
          </cell>
          <cell r="H69">
            <v>45427.45</v>
          </cell>
          <cell r="I69">
            <v>51441.864000000001</v>
          </cell>
          <cell r="J69">
            <v>57097.683999999994</v>
          </cell>
          <cell r="K69">
            <v>61220.333333333336</v>
          </cell>
          <cell r="L69">
            <v>60281.784999999996</v>
          </cell>
          <cell r="M69">
            <v>65383.786</v>
          </cell>
          <cell r="N69">
            <v>70189.697000000015</v>
          </cell>
          <cell r="O69">
            <v>75761.987999999998</v>
          </cell>
          <cell r="P69">
            <v>80537.717000000019</v>
          </cell>
          <cell r="Q69">
            <v>83483.960000000006</v>
          </cell>
          <cell r="R69">
            <v>104246.99299999999</v>
          </cell>
          <cell r="S69">
            <v>133429.799</v>
          </cell>
          <cell r="T69">
            <v>163307.79</v>
          </cell>
          <cell r="U69">
            <v>210629.69999999998</v>
          </cell>
          <cell r="V69">
            <v>279061.8</v>
          </cell>
          <cell r="W69">
            <v>369010.7</v>
          </cell>
          <cell r="X69">
            <v>429348.10000000003</v>
          </cell>
          <cell r="Y69">
            <v>433888.5</v>
          </cell>
          <cell r="Z69">
            <v>488399.69999999995</v>
          </cell>
          <cell r="AA69">
            <v>509594.6</v>
          </cell>
          <cell r="AB69">
            <v>520187.8</v>
          </cell>
        </row>
        <row r="71">
          <cell r="B71" t="str">
            <v>ST &amp; CM of LT Borrowings</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12860</v>
          </cell>
          <cell r="AB71">
            <v>25500</v>
          </cell>
        </row>
        <row r="72">
          <cell r="B72" t="str">
            <v>Trade Payables</v>
          </cell>
          <cell r="D72">
            <v>0</v>
          </cell>
          <cell r="E72">
            <v>0</v>
          </cell>
          <cell r="F72">
            <v>0</v>
          </cell>
          <cell r="G72">
            <v>0</v>
          </cell>
          <cell r="H72">
            <v>4529.9219999999996</v>
          </cell>
          <cell r="I72">
            <v>5504.6629999999996</v>
          </cell>
          <cell r="J72">
            <v>7458.7060000000001</v>
          </cell>
          <cell r="K72">
            <v>7028.7950000000001</v>
          </cell>
          <cell r="L72">
            <v>10788.154</v>
          </cell>
          <cell r="M72">
            <v>12798.35</v>
          </cell>
          <cell r="N72">
            <v>14542.960999999999</v>
          </cell>
          <cell r="O72">
            <v>16216.387000000001</v>
          </cell>
          <cell r="P72">
            <v>18571.575000000001</v>
          </cell>
          <cell r="Q72">
            <v>18166.66</v>
          </cell>
          <cell r="R72">
            <v>17379.708999999999</v>
          </cell>
          <cell r="S72">
            <v>20996.804</v>
          </cell>
          <cell r="T72">
            <v>28040.87</v>
          </cell>
          <cell r="U72">
            <v>35389.5</v>
          </cell>
          <cell r="V72">
            <v>44240</v>
          </cell>
          <cell r="W72">
            <v>58528.5</v>
          </cell>
          <cell r="X72">
            <v>75798</v>
          </cell>
          <cell r="Y72">
            <v>80525.8</v>
          </cell>
          <cell r="Z72">
            <v>102548.2</v>
          </cell>
          <cell r="AA72">
            <v>96000.5</v>
          </cell>
          <cell r="AB72">
            <v>86446.9</v>
          </cell>
        </row>
        <row r="73">
          <cell r="B73" t="str">
            <v>Other Current Liabilities</v>
          </cell>
          <cell r="D73">
            <v>0</v>
          </cell>
          <cell r="E73">
            <v>0</v>
          </cell>
          <cell r="F73">
            <v>0</v>
          </cell>
          <cell r="G73">
            <v>28725</v>
          </cell>
          <cell r="H73">
            <v>22794.446</v>
          </cell>
          <cell r="I73">
            <v>27991.726999999999</v>
          </cell>
          <cell r="J73">
            <v>29858.279000000002</v>
          </cell>
          <cell r="K73">
            <v>29885.542000000001</v>
          </cell>
          <cell r="L73">
            <v>21602.725000000002</v>
          </cell>
          <cell r="M73">
            <v>21150.166000000001</v>
          </cell>
          <cell r="N73">
            <v>19630.070000000003</v>
          </cell>
          <cell r="O73">
            <v>19358.159</v>
          </cell>
          <cell r="P73">
            <v>22117.198999999997</v>
          </cell>
          <cell r="Q73">
            <v>21329.306</v>
          </cell>
          <cell r="R73">
            <v>34589.398000000001</v>
          </cell>
          <cell r="S73">
            <v>50207.664000000004</v>
          </cell>
          <cell r="T73">
            <v>60036.649999999994</v>
          </cell>
          <cell r="U73">
            <v>83589.2</v>
          </cell>
          <cell r="V73">
            <v>121524.5</v>
          </cell>
          <cell r="W73">
            <v>175044.7</v>
          </cell>
          <cell r="X73">
            <v>204439.40000000002</v>
          </cell>
          <cell r="Y73">
            <v>142127.9</v>
          </cell>
          <cell r="Z73">
            <v>158246</v>
          </cell>
          <cell r="AA73">
            <v>139375</v>
          </cell>
          <cell r="AB73">
            <v>115184.7</v>
          </cell>
        </row>
        <row r="74">
          <cell r="B74" t="str">
            <v>ST Provisions</v>
          </cell>
          <cell r="D74">
            <v>0</v>
          </cell>
          <cell r="E74">
            <v>0</v>
          </cell>
          <cell r="F74">
            <v>0</v>
          </cell>
          <cell r="G74">
            <v>0</v>
          </cell>
          <cell r="H74">
            <v>3714.402</v>
          </cell>
          <cell r="I74">
            <v>5471.8280000000004</v>
          </cell>
          <cell r="J74">
            <v>4808.1909999999998</v>
          </cell>
          <cell r="K74">
            <v>5628.4569999999994</v>
          </cell>
          <cell r="L74">
            <v>8506.5020000000004</v>
          </cell>
          <cell r="M74">
            <v>10419.231</v>
          </cell>
          <cell r="N74">
            <v>11738.01</v>
          </cell>
          <cell r="O74">
            <v>6055.076</v>
          </cell>
          <cell r="P74">
            <v>6469.2139999999999</v>
          </cell>
          <cell r="Q74">
            <v>8064.6290000000008</v>
          </cell>
          <cell r="R74">
            <v>11399.425999999999</v>
          </cell>
          <cell r="S74">
            <v>13254.475</v>
          </cell>
          <cell r="T74">
            <v>15122.7</v>
          </cell>
          <cell r="U74">
            <v>25222.400000000001</v>
          </cell>
          <cell r="V74">
            <v>34458.800000000003</v>
          </cell>
          <cell r="W74">
            <v>49755.8</v>
          </cell>
          <cell r="X74">
            <v>44179.80000000001</v>
          </cell>
          <cell r="Y74">
            <v>26733.1</v>
          </cell>
          <cell r="Z74">
            <v>26356.9</v>
          </cell>
          <cell r="AA74">
            <v>29981.100000000002</v>
          </cell>
          <cell r="AB74">
            <v>28295.9</v>
          </cell>
        </row>
        <row r="75">
          <cell r="B75" t="str">
            <v>Current Liabilities</v>
          </cell>
          <cell r="D75">
            <v>0</v>
          </cell>
          <cell r="E75">
            <v>0</v>
          </cell>
          <cell r="F75">
            <v>0</v>
          </cell>
          <cell r="G75">
            <v>28725</v>
          </cell>
          <cell r="H75">
            <v>31038.769999999997</v>
          </cell>
          <cell r="I75">
            <v>38968.218000000001</v>
          </cell>
          <cell r="J75">
            <v>42125.175999999999</v>
          </cell>
          <cell r="K75">
            <v>42542.794000000002</v>
          </cell>
          <cell r="L75">
            <v>40897.381000000001</v>
          </cell>
          <cell r="M75">
            <v>44367.747000000003</v>
          </cell>
          <cell r="N75">
            <v>45911.041000000005</v>
          </cell>
          <cell r="O75">
            <v>41629.622000000003</v>
          </cell>
          <cell r="P75">
            <v>47157.987999999998</v>
          </cell>
          <cell r="Q75">
            <v>47560.595000000001</v>
          </cell>
          <cell r="R75">
            <v>63368.533000000003</v>
          </cell>
          <cell r="S75">
            <v>84458.943000000014</v>
          </cell>
          <cell r="T75">
            <v>103200.21999999999</v>
          </cell>
          <cell r="U75">
            <v>144201.1</v>
          </cell>
          <cell r="V75">
            <v>200223.3</v>
          </cell>
          <cell r="W75">
            <v>283329</v>
          </cell>
          <cell r="X75">
            <v>324417.2</v>
          </cell>
          <cell r="Y75">
            <v>249386.80000000002</v>
          </cell>
          <cell r="Z75">
            <v>287151.10000000003</v>
          </cell>
          <cell r="AA75">
            <v>278216.59999999998</v>
          </cell>
          <cell r="AB75">
            <v>255427.49999999997</v>
          </cell>
        </row>
        <row r="76">
          <cell r="B76" t="str">
            <v>Net Current Assets</v>
          </cell>
          <cell r="D76">
            <v>0</v>
          </cell>
          <cell r="E76">
            <v>0</v>
          </cell>
          <cell r="F76">
            <v>0</v>
          </cell>
          <cell r="G76">
            <v>14172</v>
          </cell>
          <cell r="H76">
            <v>14388.68</v>
          </cell>
          <cell r="I76">
            <v>12473.646000000001</v>
          </cell>
          <cell r="J76">
            <v>14972.507999999994</v>
          </cell>
          <cell r="K76">
            <v>18677.539333333334</v>
          </cell>
          <cell r="L76">
            <v>19384.403999999995</v>
          </cell>
          <cell r="M76">
            <v>21016.038999999997</v>
          </cell>
          <cell r="N76">
            <v>24278.65600000001</v>
          </cell>
          <cell r="O76">
            <v>34132.365999999995</v>
          </cell>
          <cell r="P76">
            <v>33379.729000000021</v>
          </cell>
          <cell r="Q76">
            <v>35923.365000000005</v>
          </cell>
          <cell r="R76">
            <v>40878.459999999985</v>
          </cell>
          <cell r="S76">
            <v>48970.855999999985</v>
          </cell>
          <cell r="T76">
            <v>60107.570000000022</v>
          </cell>
          <cell r="U76">
            <v>66428.599999999977</v>
          </cell>
          <cell r="V76">
            <v>78838.5</v>
          </cell>
          <cell r="W76">
            <v>85681.700000000012</v>
          </cell>
          <cell r="X76">
            <v>104930.90000000002</v>
          </cell>
          <cell r="Y76">
            <v>184501.69999999998</v>
          </cell>
          <cell r="Z76">
            <v>201248.59999999992</v>
          </cell>
          <cell r="AA76">
            <v>231378</v>
          </cell>
          <cell r="AB76">
            <v>264760.30000000005</v>
          </cell>
        </row>
        <row r="77">
          <cell r="B77" t="str">
            <v>Total Assets</v>
          </cell>
          <cell r="D77">
            <v>0</v>
          </cell>
          <cell r="E77">
            <v>0</v>
          </cell>
          <cell r="F77">
            <v>0</v>
          </cell>
          <cell r="G77">
            <v>23793</v>
          </cell>
          <cell r="H77">
            <v>23941.654999999999</v>
          </cell>
          <cell r="I77">
            <v>22304.395</v>
          </cell>
          <cell r="J77">
            <v>25197.406999999992</v>
          </cell>
          <cell r="K77">
            <v>28228.61033333333</v>
          </cell>
          <cell r="L77">
            <v>29844.924999999996</v>
          </cell>
          <cell r="M77">
            <v>32525.714999999997</v>
          </cell>
          <cell r="N77">
            <v>35984.417000000009</v>
          </cell>
          <cell r="O77">
            <v>46273.723999999995</v>
          </cell>
          <cell r="P77">
            <v>45815.118000000017</v>
          </cell>
          <cell r="Q77">
            <v>48318.662000000011</v>
          </cell>
          <cell r="R77">
            <v>53195.268999999978</v>
          </cell>
          <cell r="S77">
            <v>60455.976999999984</v>
          </cell>
          <cell r="T77">
            <v>71858.979000000021</v>
          </cell>
          <cell r="U77">
            <v>79424.325999999972</v>
          </cell>
          <cell r="V77">
            <v>95314.3</v>
          </cell>
          <cell r="W77">
            <v>112478.80000000002</v>
          </cell>
          <cell r="X77">
            <v>145178.80000000002</v>
          </cell>
          <cell r="Y77">
            <v>321580.59999999998</v>
          </cell>
          <cell r="Z77">
            <v>365146.6999999999</v>
          </cell>
          <cell r="AA77">
            <v>407563.1</v>
          </cell>
          <cell r="AB77">
            <v>452794.7</v>
          </cell>
        </row>
        <row r="78">
          <cell r="B78" t="str">
            <v>Source: Company, BofA Merrill Lynch Global Research</v>
          </cell>
        </row>
        <row r="81">
          <cell r="B81" t="str">
            <v>BHEL - Standalone Cash Flow Statement</v>
          </cell>
        </row>
        <row r="82">
          <cell r="B82" t="str">
            <v>FY ends Mar31, (Rs mn)</v>
          </cell>
          <cell r="C82" t="str">
            <v>Assumptions</v>
          </cell>
          <cell r="D82" t="str">
            <v>FY90</v>
          </cell>
          <cell r="E82" t="str">
            <v>FY91</v>
          </cell>
          <cell r="F82" t="str">
            <v>FY92</v>
          </cell>
          <cell r="G82" t="str">
            <v>FY93</v>
          </cell>
          <cell r="H82" t="str">
            <v>FY94</v>
          </cell>
          <cell r="I82" t="str">
            <v>FY95</v>
          </cell>
          <cell r="J82" t="str">
            <v>FY96</v>
          </cell>
          <cell r="K82" t="str">
            <v>FY97</v>
          </cell>
          <cell r="L82" t="str">
            <v>FY98</v>
          </cell>
          <cell r="M82" t="str">
            <v>FY99</v>
          </cell>
          <cell r="N82" t="str">
            <v>FY00</v>
          </cell>
          <cell r="O82" t="str">
            <v>FY01</v>
          </cell>
          <cell r="P82" t="str">
            <v>FY02</v>
          </cell>
          <cell r="Q82" t="str">
            <v>FY03</v>
          </cell>
          <cell r="R82" t="str">
            <v>FY04</v>
          </cell>
          <cell r="S82" t="str">
            <v>FY05</v>
          </cell>
          <cell r="T82" t="str">
            <v>FY06</v>
          </cell>
          <cell r="U82" t="str">
            <v>FY07</v>
          </cell>
          <cell r="V82" t="str">
            <v>FY08</v>
          </cell>
          <cell r="W82" t="str">
            <v>FY09</v>
          </cell>
          <cell r="X82" t="str">
            <v>FY10</v>
          </cell>
          <cell r="Y82" t="str">
            <v>FY11</v>
          </cell>
          <cell r="Z82" t="str">
            <v>FY12</v>
          </cell>
          <cell r="AA82" t="str">
            <v>FY13</v>
          </cell>
          <cell r="AB82" t="str">
            <v>FY14</v>
          </cell>
        </row>
        <row r="83">
          <cell r="B83" t="str">
            <v>PBT</v>
          </cell>
          <cell r="D83">
            <v>0</v>
          </cell>
          <cell r="E83">
            <v>0</v>
          </cell>
          <cell r="F83">
            <v>0</v>
          </cell>
          <cell r="G83">
            <v>0</v>
          </cell>
          <cell r="H83">
            <v>2604.9410000000034</v>
          </cell>
          <cell r="I83">
            <v>3438.6549999999943</v>
          </cell>
          <cell r="J83">
            <v>5836.6160000000018</v>
          </cell>
          <cell r="K83">
            <v>8168.8789999999899</v>
          </cell>
          <cell r="L83">
            <v>12307.755400000009</v>
          </cell>
          <cell r="M83">
            <v>11875.577000000007</v>
          </cell>
          <cell r="N83">
            <v>10803.102999999994</v>
          </cell>
          <cell r="O83">
            <v>5786.3480000000027</v>
          </cell>
          <cell r="P83">
            <v>8169.3960000000006</v>
          </cell>
          <cell r="Q83">
            <v>9177.843400000007</v>
          </cell>
          <cell r="R83">
            <v>12936.190999999997</v>
          </cell>
          <cell r="S83">
            <v>16335.969999999978</v>
          </cell>
          <cell r="T83">
            <v>25511.299999999996</v>
          </cell>
          <cell r="U83">
            <v>37552.199999999975</v>
          </cell>
          <cell r="V83">
            <v>47591.299999999981</v>
          </cell>
          <cell r="W83">
            <v>59374.399999999994</v>
          </cell>
          <cell r="X83">
            <v>64961.700000000012</v>
          </cell>
          <cell r="Y83">
            <v>81195.48030265441</v>
          </cell>
          <cell r="Z83">
            <v>100417.39999999997</v>
          </cell>
          <cell r="AA83">
            <v>92546.900000000111</v>
          </cell>
          <cell r="AB83">
            <v>43614.599999999991</v>
          </cell>
        </row>
        <row r="84">
          <cell r="B84" t="str">
            <v>Add: Depreciation</v>
          </cell>
          <cell r="D84">
            <v>0</v>
          </cell>
          <cell r="E84">
            <v>0</v>
          </cell>
          <cell r="F84">
            <v>0</v>
          </cell>
          <cell r="G84">
            <v>0</v>
          </cell>
          <cell r="H84">
            <v>901.67700000000002</v>
          </cell>
          <cell r="I84">
            <v>923.24699999999996</v>
          </cell>
          <cell r="J84">
            <v>968.17200000000003</v>
          </cell>
          <cell r="K84">
            <v>1080.2329999999999</v>
          </cell>
          <cell r="L84">
            <v>1241.7840000000001</v>
          </cell>
          <cell r="M84">
            <v>1433.1679999999999</v>
          </cell>
          <cell r="N84">
            <v>1534.9960000000001</v>
          </cell>
          <cell r="O84">
            <v>1577.797</v>
          </cell>
          <cell r="P84">
            <v>1692.0160000000001</v>
          </cell>
          <cell r="Q84">
            <v>1853.5</v>
          </cell>
          <cell r="R84">
            <v>1980.011</v>
          </cell>
          <cell r="S84">
            <v>2188.6559999999999</v>
          </cell>
          <cell r="T84">
            <v>2459.3000000000002</v>
          </cell>
          <cell r="U84">
            <v>2729.7</v>
          </cell>
          <cell r="V84">
            <v>2972.1</v>
          </cell>
          <cell r="W84">
            <v>3342.7</v>
          </cell>
          <cell r="X84">
            <v>4580.1000000000004</v>
          </cell>
          <cell r="Y84">
            <v>5725.8196973455715</v>
          </cell>
          <cell r="Z84">
            <v>8000</v>
          </cell>
          <cell r="AA84">
            <v>9533.9</v>
          </cell>
          <cell r="AB84">
            <v>9829.2000000000007</v>
          </cell>
        </row>
        <row r="85">
          <cell r="B85" t="str">
            <v>Add: Interest Exp</v>
          </cell>
          <cell r="D85">
            <v>0</v>
          </cell>
          <cell r="E85">
            <v>0</v>
          </cell>
          <cell r="F85">
            <v>0</v>
          </cell>
          <cell r="G85">
            <v>0</v>
          </cell>
          <cell r="H85">
            <v>1096.4459999999999</v>
          </cell>
          <cell r="I85">
            <v>1039.028</v>
          </cell>
          <cell r="J85">
            <v>1129.145</v>
          </cell>
          <cell r="K85">
            <v>1591.386</v>
          </cell>
          <cell r="L85">
            <v>620.3420000000001</v>
          </cell>
          <cell r="M85">
            <v>317.90099999999995</v>
          </cell>
          <cell r="N85">
            <v>216.81299999999999</v>
          </cell>
          <cell r="O85">
            <v>437.64100000000002</v>
          </cell>
          <cell r="P85">
            <v>969.75699999999995</v>
          </cell>
          <cell r="Q85">
            <v>547.79999999999995</v>
          </cell>
          <cell r="R85">
            <v>600.79999999999995</v>
          </cell>
          <cell r="S85">
            <v>814.06500000000005</v>
          </cell>
          <cell r="T85">
            <v>587.5</v>
          </cell>
          <cell r="U85">
            <v>433.3</v>
          </cell>
          <cell r="V85">
            <v>354.2</v>
          </cell>
          <cell r="W85">
            <v>307.10000000000002</v>
          </cell>
          <cell r="X85">
            <v>335</v>
          </cell>
          <cell r="Y85">
            <v>547.29999999999995</v>
          </cell>
          <cell r="Z85">
            <v>512.79999999999995</v>
          </cell>
          <cell r="AA85">
            <v>1252.7</v>
          </cell>
          <cell r="AB85">
            <v>1326.3</v>
          </cell>
        </row>
        <row r="86">
          <cell r="B86" t="str">
            <v>Less: Interest &amp; Other Income</v>
          </cell>
          <cell r="D86">
            <v>0</v>
          </cell>
          <cell r="E86">
            <v>0</v>
          </cell>
          <cell r="F86">
            <v>0</v>
          </cell>
          <cell r="G86">
            <v>0</v>
          </cell>
          <cell r="H86">
            <v>-957.63499999999999</v>
          </cell>
          <cell r="I86">
            <v>-1665.9770000000001</v>
          </cell>
          <cell r="J86">
            <v>-1116.828</v>
          </cell>
          <cell r="K86">
            <v>-839.529</v>
          </cell>
          <cell r="L86">
            <v>-1303.5709999999999</v>
          </cell>
          <cell r="M86">
            <v>-2245.317</v>
          </cell>
          <cell r="N86">
            <v>-578.96299999999997</v>
          </cell>
          <cell r="O86">
            <v>-481.53899999999999</v>
          </cell>
          <cell r="P86">
            <v>-569.18599999999992</v>
          </cell>
          <cell r="Q86">
            <v>-713.25599999999997</v>
          </cell>
          <cell r="R86">
            <v>-898.62799999999993</v>
          </cell>
          <cell r="S86">
            <v>-1451.5830000000001</v>
          </cell>
          <cell r="T86">
            <v>-1736.7</v>
          </cell>
          <cell r="U86">
            <v>-3368.1</v>
          </cell>
          <cell r="V86">
            <v>-6532.5</v>
          </cell>
          <cell r="W86">
            <v>-7963.4000000000005</v>
          </cell>
          <cell r="X86">
            <v>-8241.6</v>
          </cell>
          <cell r="Y86">
            <v>-6460.8</v>
          </cell>
          <cell r="Z86">
            <v>-11662.3</v>
          </cell>
          <cell r="AA86">
            <v>-9435.2000000000007</v>
          </cell>
          <cell r="AB86">
            <v>-9571.7999999999993</v>
          </cell>
        </row>
        <row r="87">
          <cell r="B87" t="str">
            <v>Less: Current Tax</v>
          </cell>
          <cell r="D87">
            <v>0</v>
          </cell>
          <cell r="E87">
            <v>0</v>
          </cell>
          <cell r="F87">
            <v>0</v>
          </cell>
          <cell r="G87">
            <v>0</v>
          </cell>
          <cell r="H87">
            <v>-1481.3524602</v>
          </cell>
          <cell r="I87">
            <v>-2111.2955397000001</v>
          </cell>
          <cell r="J87">
            <v>-2325.8644379500001</v>
          </cell>
          <cell r="K87">
            <v>-3791.587552</v>
          </cell>
          <cell r="L87">
            <v>-4369.1300449999999</v>
          </cell>
          <cell r="M87">
            <v>-4978.0626467099992</v>
          </cell>
          <cell r="N87">
            <v>-3696.3615896000001</v>
          </cell>
          <cell r="O87">
            <v>0</v>
          </cell>
          <cell r="P87">
            <v>-2958.4376548</v>
          </cell>
          <cell r="Q87">
            <v>-3864.0754310000002</v>
          </cell>
          <cell r="R87">
            <v>-5540.1430206300001</v>
          </cell>
          <cell r="S87">
            <v>-6561.4097014499994</v>
          </cell>
          <cell r="T87">
            <v>-10151.2732</v>
          </cell>
          <cell r="U87">
            <v>-14286.08295</v>
          </cell>
          <cell r="V87">
            <v>-20795.955999999998</v>
          </cell>
          <cell r="W87">
            <v>-26627.456099999999</v>
          </cell>
          <cell r="X87">
            <v>-20061.400000000001</v>
          </cell>
          <cell r="Y87">
            <v>-21935.395063507814</v>
          </cell>
          <cell r="Z87">
            <v>-34129.309600000001</v>
          </cell>
          <cell r="AA87">
            <v>-30307.2156</v>
          </cell>
          <cell r="AB87">
            <v>-18999.5</v>
          </cell>
        </row>
        <row r="88">
          <cell r="B88" t="str">
            <v>Profit from operations</v>
          </cell>
          <cell r="D88">
            <v>0</v>
          </cell>
          <cell r="E88">
            <v>0</v>
          </cell>
          <cell r="F88">
            <v>0</v>
          </cell>
          <cell r="G88">
            <v>0</v>
          </cell>
          <cell r="H88">
            <v>2164.076539800004</v>
          </cell>
          <cell r="I88">
            <v>1623.6574602999949</v>
          </cell>
          <cell r="J88">
            <v>4491.2405620500031</v>
          </cell>
          <cell r="K88">
            <v>6209.3814479999901</v>
          </cell>
          <cell r="L88">
            <v>8497.1803550000095</v>
          </cell>
          <cell r="M88">
            <v>6403.266353290006</v>
          </cell>
          <cell r="N88">
            <v>8279.5874103999959</v>
          </cell>
          <cell r="O88">
            <v>7320.2470000000021</v>
          </cell>
          <cell r="P88">
            <v>7303.5453452000002</v>
          </cell>
          <cell r="Q88">
            <v>7001.8119690000067</v>
          </cell>
          <cell r="R88">
            <v>9078.2309793699969</v>
          </cell>
          <cell r="S88">
            <v>11325.698298549978</v>
          </cell>
          <cell r="T88">
            <v>16670.126799999995</v>
          </cell>
          <cell r="U88">
            <v>23061.017049999977</v>
          </cell>
          <cell r="V88">
            <v>23589.143999999978</v>
          </cell>
          <cell r="W88">
            <v>28433.343899999989</v>
          </cell>
          <cell r="X88">
            <v>41573.800000000017</v>
          </cell>
          <cell r="Y88">
            <v>59072.404936492174</v>
          </cell>
          <cell r="Z88">
            <v>63138.590399999965</v>
          </cell>
          <cell r="AA88">
            <v>63591.084400000109</v>
          </cell>
          <cell r="AB88">
            <v>26198.799999999988</v>
          </cell>
        </row>
        <row r="90">
          <cell r="B90" t="str">
            <v xml:space="preserve"> - Change in Inventory</v>
          </cell>
          <cell r="D90">
            <v>0</v>
          </cell>
          <cell r="E90">
            <v>0</v>
          </cell>
          <cell r="F90">
            <v>0</v>
          </cell>
          <cell r="G90">
            <v>0</v>
          </cell>
          <cell r="H90">
            <v>-11993.413</v>
          </cell>
          <cell r="I90">
            <v>-2958.8429999999989</v>
          </cell>
          <cell r="J90">
            <v>-3143.3680000000004</v>
          </cell>
          <cell r="K90">
            <v>-669.9413333333323</v>
          </cell>
          <cell r="L90">
            <v>1632.1523333333316</v>
          </cell>
          <cell r="M90">
            <v>-1053.9379999999983</v>
          </cell>
          <cell r="N90">
            <v>524.44699999999648</v>
          </cell>
          <cell r="O90">
            <v>-2684.5149999999994</v>
          </cell>
          <cell r="P90">
            <v>405.13199999999779</v>
          </cell>
          <cell r="Q90">
            <v>-68.27299999999741</v>
          </cell>
          <cell r="R90">
            <v>-1028.275999999998</v>
          </cell>
          <cell r="S90">
            <v>-8122.2369999999974</v>
          </cell>
          <cell r="T90">
            <v>-8282.6330000000016</v>
          </cell>
          <cell r="U90">
            <v>-4732.9939999999988</v>
          </cell>
          <cell r="V90">
            <v>-15187.300000000003</v>
          </cell>
          <cell r="W90">
            <v>-21006.199999999997</v>
          </cell>
          <cell r="X90">
            <v>-13984.400000000023</v>
          </cell>
          <cell r="Y90">
            <v>-17275.799999999974</v>
          </cell>
          <cell r="Z90">
            <v>-25856.900000000023</v>
          </cell>
          <cell r="AA90">
            <v>17849.100000000035</v>
          </cell>
          <cell r="AB90">
            <v>19662.699999999983</v>
          </cell>
        </row>
        <row r="91">
          <cell r="B91" t="str">
            <v xml:space="preserve"> - Change in Trade Receivables</v>
          </cell>
          <cell r="D91">
            <v>0</v>
          </cell>
          <cell r="E91">
            <v>0</v>
          </cell>
          <cell r="F91">
            <v>0</v>
          </cell>
          <cell r="G91">
            <v>0</v>
          </cell>
          <cell r="H91">
            <v>-3301.7999999999993</v>
          </cell>
          <cell r="I91">
            <v>715.38299999999799</v>
          </cell>
          <cell r="J91">
            <v>-4770.0989999999983</v>
          </cell>
          <cell r="K91">
            <v>-2769.3120000000017</v>
          </cell>
          <cell r="L91">
            <v>1081.0230000000047</v>
          </cell>
          <cell r="M91">
            <v>-3059.4670000000042</v>
          </cell>
          <cell r="N91">
            <v>-6003.4990000000034</v>
          </cell>
          <cell r="O91">
            <v>-1370.0089999999909</v>
          </cell>
          <cell r="P91">
            <v>-4098.9130000000077</v>
          </cell>
          <cell r="Q91">
            <v>5084.101999999999</v>
          </cell>
          <cell r="R91">
            <v>-5326.9829999999929</v>
          </cell>
          <cell r="S91">
            <v>-13636.618000000002</v>
          </cell>
          <cell r="T91">
            <v>-11959.227000000006</v>
          </cell>
          <cell r="U91">
            <v>-25277.550999999978</v>
          </cell>
          <cell r="V91">
            <v>-22790.5</v>
          </cell>
          <cell r="W91">
            <v>-40006.300000000017</v>
          </cell>
          <cell r="X91">
            <v>-47132.5</v>
          </cell>
          <cell r="Y91">
            <v>-66658.800000000032</v>
          </cell>
          <cell r="Z91">
            <v>-83859.199999999953</v>
          </cell>
          <cell r="AA91">
            <v>-41476.600000000035</v>
          </cell>
          <cell r="AB91">
            <v>-647.79999999998836</v>
          </cell>
        </row>
        <row r="92">
          <cell r="B92" t="str">
            <v xml:space="preserve"> - Change in Other CA, Loans &amp; Adv</v>
          </cell>
          <cell r="D92">
            <v>0</v>
          </cell>
          <cell r="E92">
            <v>0</v>
          </cell>
          <cell r="F92">
            <v>0</v>
          </cell>
          <cell r="G92">
            <v>0</v>
          </cell>
          <cell r="H92">
            <v>-3850.9030000000002</v>
          </cell>
          <cell r="I92">
            <v>-2978.2509999999997</v>
          </cell>
          <cell r="J92">
            <v>897.37899999999956</v>
          </cell>
          <cell r="K92">
            <v>-628.99399999999946</v>
          </cell>
          <cell r="L92">
            <v>-1124.4710000000007</v>
          </cell>
          <cell r="M92">
            <v>232.60400000000038</v>
          </cell>
          <cell r="N92">
            <v>-1095.1479999999997</v>
          </cell>
          <cell r="O92">
            <v>-1793.4170000000013</v>
          </cell>
          <cell r="P92">
            <v>353.58600000000115</v>
          </cell>
          <cell r="Q92">
            <v>481.14600000000064</v>
          </cell>
          <cell r="R92">
            <v>-1020.4950000000008</v>
          </cell>
          <cell r="S92">
            <v>-2241.719000000001</v>
          </cell>
          <cell r="T92">
            <v>-74.997999999999593</v>
          </cell>
          <cell r="U92">
            <v>-562.01900000000023</v>
          </cell>
          <cell r="V92">
            <v>-4683.1999999999989</v>
          </cell>
          <cell r="W92">
            <v>-9649.9000000000015</v>
          </cell>
          <cell r="X92">
            <v>-4466.3999999999996</v>
          </cell>
          <cell r="Y92">
            <v>5283.6000000000013</v>
          </cell>
          <cell r="Z92">
            <v>4298.2999999999993</v>
          </cell>
          <cell r="AA92">
            <v>332.29999999999995</v>
          </cell>
          <cell r="AB92">
            <v>-472.79999999999745</v>
          </cell>
        </row>
        <row r="93">
          <cell r="B93" t="str">
            <v xml:space="preserve"> - Change in Current Liab. &amp; Provisions</v>
          </cell>
          <cell r="D93">
            <v>0</v>
          </cell>
          <cell r="E93">
            <v>0</v>
          </cell>
          <cell r="F93">
            <v>0</v>
          </cell>
          <cell r="G93">
            <v>0</v>
          </cell>
          <cell r="H93">
            <v>2313.7699999999986</v>
          </cell>
          <cell r="I93">
            <v>7929.4480000000021</v>
          </cell>
          <cell r="J93">
            <v>3156.9580000000033</v>
          </cell>
          <cell r="K93">
            <v>417.61799999999857</v>
          </cell>
          <cell r="L93">
            <v>-1645.4129999999977</v>
          </cell>
          <cell r="M93">
            <v>3470.3659999999982</v>
          </cell>
          <cell r="N93">
            <v>1543.2940000000035</v>
          </cell>
          <cell r="O93">
            <v>-4281.4190000000044</v>
          </cell>
          <cell r="P93">
            <v>5528.3659999999954</v>
          </cell>
          <cell r="Q93">
            <v>402.60700000000361</v>
          </cell>
          <cell r="R93">
            <v>15807.937999999998</v>
          </cell>
          <cell r="S93">
            <v>21090.410000000003</v>
          </cell>
          <cell r="T93">
            <v>18741.27699999998</v>
          </cell>
          <cell r="U93">
            <v>41000.880000000005</v>
          </cell>
          <cell r="V93">
            <v>56022.200000000004</v>
          </cell>
          <cell r="W93">
            <v>83105.700000000012</v>
          </cell>
          <cell r="X93">
            <v>41088.200000000026</v>
          </cell>
          <cell r="Y93">
            <v>-75030.400000000023</v>
          </cell>
          <cell r="Z93">
            <v>37764.300000000003</v>
          </cell>
          <cell r="AA93">
            <v>-21794.500000000011</v>
          </cell>
          <cell r="AB93">
            <v>-35429.100000000006</v>
          </cell>
        </row>
        <row r="94">
          <cell r="B94" t="str">
            <v xml:space="preserve"> - Change in Other non-current assets &amp; liabilities</v>
          </cell>
          <cell r="D94">
            <v>0</v>
          </cell>
          <cell r="E94">
            <v>0</v>
          </cell>
          <cell r="F94">
            <v>0</v>
          </cell>
          <cell r="G94">
            <v>0</v>
          </cell>
          <cell r="H94">
            <v>0</v>
          </cell>
          <cell r="I94">
            <v>0</v>
          </cell>
          <cell r="J94">
            <v>0</v>
          </cell>
          <cell r="K94">
            <v>0</v>
          </cell>
          <cell r="L94">
            <v>0</v>
          </cell>
          <cell r="M94">
            <v>0</v>
          </cell>
          <cell r="N94">
            <v>0</v>
          </cell>
          <cell r="O94">
            <v>-2692</v>
          </cell>
          <cell r="P94">
            <v>0.18000000000000682</v>
          </cell>
          <cell r="Q94">
            <v>-523.09500000000025</v>
          </cell>
          <cell r="R94">
            <v>-7.9999999968549673E-4</v>
          </cell>
          <cell r="S94">
            <v>7.9999999994129212E-4</v>
          </cell>
          <cell r="T94">
            <v>-1.3999999999668944E-2</v>
          </cell>
          <cell r="U94">
            <v>-985.09600000000069</v>
          </cell>
          <cell r="V94">
            <v>9.0949470177292824E-13</v>
          </cell>
          <cell r="W94">
            <v>-9.0949470177292824E-13</v>
          </cell>
          <cell r="X94">
            <v>9.0949470177292824E-13</v>
          </cell>
          <cell r="Y94">
            <v>119290.9</v>
          </cell>
          <cell r="Z94">
            <v>-9083.7000000000098</v>
          </cell>
          <cell r="AA94">
            <v>-6771.9999999999836</v>
          </cell>
          <cell r="AB94">
            <v>19981.400000000001</v>
          </cell>
        </row>
        <row r="95">
          <cell r="B95" t="str">
            <v>Changes in Working Capital</v>
          </cell>
          <cell r="D95">
            <v>0</v>
          </cell>
          <cell r="E95">
            <v>0</v>
          </cell>
          <cell r="F95">
            <v>0</v>
          </cell>
          <cell r="G95">
            <v>0</v>
          </cell>
          <cell r="H95">
            <v>-16832.346000000005</v>
          </cell>
          <cell r="I95">
            <v>2707.737000000001</v>
          </cell>
          <cell r="J95">
            <v>-3859.1299999999956</v>
          </cell>
          <cell r="K95">
            <v>-3650.6293333333351</v>
          </cell>
          <cell r="L95">
            <v>-56.708666666662111</v>
          </cell>
          <cell r="M95">
            <v>-410.43500000000404</v>
          </cell>
          <cell r="N95">
            <v>-5030.9060000000027</v>
          </cell>
          <cell r="O95">
            <v>-12821.359999999997</v>
          </cell>
          <cell r="P95">
            <v>2188.3509999999865</v>
          </cell>
          <cell r="Q95">
            <v>5376.4870000000055</v>
          </cell>
          <cell r="R95">
            <v>8432.1832000000068</v>
          </cell>
          <cell r="S95">
            <v>-2910.1631999999972</v>
          </cell>
          <cell r="T95">
            <v>-1575.5950000000271</v>
          </cell>
          <cell r="U95">
            <v>9443.2200000000266</v>
          </cell>
          <cell r="V95">
            <v>13361.200000000004</v>
          </cell>
          <cell r="W95">
            <v>12443.299999999988</v>
          </cell>
          <cell r="X95">
            <v>-24495.099999999991</v>
          </cell>
          <cell r="Y95">
            <v>-34390.500000000029</v>
          </cell>
          <cell r="Z95">
            <v>-76737.199999999983</v>
          </cell>
          <cell r="AA95">
            <v>-51861.7</v>
          </cell>
          <cell r="AB95">
            <v>3094.3999999999942</v>
          </cell>
        </row>
        <row r="96">
          <cell r="B96" t="str">
            <v>Others</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row>
        <row r="97">
          <cell r="B97" t="str">
            <v>Cash from Operating activities</v>
          </cell>
          <cell r="D97">
            <v>0</v>
          </cell>
          <cell r="E97">
            <v>0</v>
          </cell>
          <cell r="F97">
            <v>0</v>
          </cell>
          <cell r="G97">
            <v>0</v>
          </cell>
          <cell r="H97">
            <v>-14668.269460200001</v>
          </cell>
          <cell r="I97">
            <v>4331.3944602999964</v>
          </cell>
          <cell r="J97">
            <v>632.1105620500075</v>
          </cell>
          <cell r="K97">
            <v>2558.752114666655</v>
          </cell>
          <cell r="L97">
            <v>8440.4716883333476</v>
          </cell>
          <cell r="M97">
            <v>5992.831353290002</v>
          </cell>
          <cell r="N97">
            <v>3248.6814103999932</v>
          </cell>
          <cell r="O97">
            <v>-5501.1129999999948</v>
          </cell>
          <cell r="P97">
            <v>9491.8963451999862</v>
          </cell>
          <cell r="Q97">
            <v>12378.298969000012</v>
          </cell>
          <cell r="R97">
            <v>17510.414179370004</v>
          </cell>
          <cell r="S97">
            <v>8415.5350985499808</v>
          </cell>
          <cell r="T97">
            <v>15094.531799999968</v>
          </cell>
          <cell r="U97">
            <v>32504.237050000003</v>
          </cell>
          <cell r="V97">
            <v>36950.343999999983</v>
          </cell>
          <cell r="W97">
            <v>40876.643899999981</v>
          </cell>
          <cell r="X97">
            <v>17078.700000000026</v>
          </cell>
          <cell r="Y97">
            <v>24681.904936492145</v>
          </cell>
          <cell r="Z97">
            <v>-13598.609600000018</v>
          </cell>
          <cell r="AA97">
            <v>11729.384400000112</v>
          </cell>
          <cell r="AB97">
            <v>29293.199999999983</v>
          </cell>
        </row>
        <row r="99">
          <cell r="B99" t="str">
            <v>Capex</v>
          </cell>
          <cell r="D99">
            <v>0</v>
          </cell>
          <cell r="E99">
            <v>0</v>
          </cell>
          <cell r="F99">
            <v>0</v>
          </cell>
          <cell r="G99">
            <v>0</v>
          </cell>
          <cell r="H99">
            <v>-677.64300000000003</v>
          </cell>
          <cell r="I99">
            <v>-1002.5160000000004</v>
          </cell>
          <cell r="J99">
            <v>-1322.3069999999993</v>
          </cell>
          <cell r="K99">
            <v>-2404.7769999999973</v>
          </cell>
          <cell r="L99">
            <v>-3238.869000000002</v>
          </cell>
          <cell r="M99">
            <v>-2546.3719999999989</v>
          </cell>
          <cell r="N99">
            <v>-1651.9980000000014</v>
          </cell>
          <cell r="O99">
            <v>-1913.5100000000025</v>
          </cell>
          <cell r="P99">
            <v>-1843.2429999999949</v>
          </cell>
          <cell r="Q99">
            <v>-1685.5490000000041</v>
          </cell>
          <cell r="R99">
            <v>-1547.2779999999966</v>
          </cell>
          <cell r="S99">
            <v>-1447.0040000000008</v>
          </cell>
          <cell r="T99">
            <v>-2607.0620000000049</v>
          </cell>
          <cell r="U99">
            <v>-3887.1719999999978</v>
          </cell>
          <cell r="V99">
            <v>-6340.4</v>
          </cell>
          <cell r="W99">
            <v>-12982.5</v>
          </cell>
          <cell r="X99">
            <v>-17548.499999999996</v>
          </cell>
          <cell r="Y99">
            <v>-16880.299999999996</v>
          </cell>
          <cell r="Z99">
            <v>-12707.5</v>
          </cell>
          <cell r="AA99">
            <v>-9006.0000000000127</v>
          </cell>
          <cell r="AB99">
            <v>-7377.5999999999894</v>
          </cell>
        </row>
        <row r="100">
          <cell r="B100" t="str">
            <v>Changes in Investments</v>
          </cell>
          <cell r="D100">
            <v>0</v>
          </cell>
          <cell r="E100">
            <v>0</v>
          </cell>
          <cell r="F100">
            <v>0</v>
          </cell>
          <cell r="G100">
            <v>0</v>
          </cell>
          <cell r="H100">
            <v>-110.05299999999988</v>
          </cell>
          <cell r="I100">
            <v>-176.40700000000015</v>
          </cell>
          <cell r="J100">
            <v>0</v>
          </cell>
          <cell r="K100">
            <v>2019.8600000000001</v>
          </cell>
          <cell r="L100">
            <v>1109.605</v>
          </cell>
          <cell r="M100">
            <v>90.009999999999991</v>
          </cell>
          <cell r="N100">
            <v>47.550000000000011</v>
          </cell>
          <cell r="O100">
            <v>0</v>
          </cell>
          <cell r="P100">
            <v>0.43500000000000227</v>
          </cell>
          <cell r="Q100">
            <v>-0.31000000000000227</v>
          </cell>
          <cell r="R100">
            <v>-186.51599999999996</v>
          </cell>
          <cell r="S100">
            <v>200.29999999999995</v>
          </cell>
          <cell r="T100">
            <v>6.5999999999999943</v>
          </cell>
          <cell r="U100">
            <v>0</v>
          </cell>
          <cell r="V100">
            <v>2.5999999999996248E-2</v>
          </cell>
          <cell r="W100">
            <v>-440.5</v>
          </cell>
          <cell r="X100">
            <v>-275</v>
          </cell>
          <cell r="Y100">
            <v>-3593.3000000000006</v>
          </cell>
          <cell r="Z100">
            <v>-224.99999999999909</v>
          </cell>
          <cell r="AA100">
            <v>324.99999999999909</v>
          </cell>
          <cell r="AB100">
            <v>90.000000000000909</v>
          </cell>
        </row>
        <row r="101">
          <cell r="B101" t="str">
            <v>Interest &amp; Other Income</v>
          </cell>
          <cell r="D101">
            <v>0</v>
          </cell>
          <cell r="E101">
            <v>0</v>
          </cell>
          <cell r="F101">
            <v>0</v>
          </cell>
          <cell r="G101">
            <v>0</v>
          </cell>
          <cell r="H101">
            <v>957.63499999999999</v>
          </cell>
          <cell r="I101">
            <v>1665.9770000000001</v>
          </cell>
          <cell r="J101">
            <v>1116.828</v>
          </cell>
          <cell r="K101">
            <v>839.529</v>
          </cell>
          <cell r="L101">
            <v>1303.5709999999999</v>
          </cell>
          <cell r="M101">
            <v>2245.317</v>
          </cell>
          <cell r="N101">
            <v>578.96299999999997</v>
          </cell>
          <cell r="O101">
            <v>481.53899999999999</v>
          </cell>
          <cell r="P101">
            <v>569.18599999999992</v>
          </cell>
          <cell r="Q101">
            <v>713.25599999999997</v>
          </cell>
          <cell r="R101">
            <v>898.62799999999993</v>
          </cell>
          <cell r="S101">
            <v>1451.5830000000001</v>
          </cell>
          <cell r="T101">
            <v>1736.7</v>
          </cell>
          <cell r="U101">
            <v>3368.1</v>
          </cell>
          <cell r="V101">
            <v>6532.5</v>
          </cell>
          <cell r="W101">
            <v>7963.4000000000005</v>
          </cell>
          <cell r="X101">
            <v>8241.6</v>
          </cell>
          <cell r="Y101">
            <v>6460.8</v>
          </cell>
          <cell r="Z101">
            <v>11662.3</v>
          </cell>
          <cell r="AA101">
            <v>9435.2000000000007</v>
          </cell>
          <cell r="AB101">
            <v>9571.7999999999993</v>
          </cell>
        </row>
        <row r="102">
          <cell r="B102" t="str">
            <v>Others</v>
          </cell>
          <cell r="D102">
            <v>0</v>
          </cell>
          <cell r="E102">
            <v>0</v>
          </cell>
          <cell r="F102">
            <v>0</v>
          </cell>
          <cell r="G102">
            <v>0</v>
          </cell>
          <cell r="H102">
            <v>199.16246019999954</v>
          </cell>
          <cell r="I102">
            <v>59.823539700001305</v>
          </cell>
          <cell r="J102">
            <v>-46.207262050000935</v>
          </cell>
          <cell r="K102">
            <v>233.21455200000088</v>
          </cell>
          <cell r="L102">
            <v>-765.31895500000178</v>
          </cell>
          <cell r="M102">
            <v>-1478.4653532899988</v>
          </cell>
          <cell r="N102">
            <v>-1237.9224104000011</v>
          </cell>
          <cell r="O102">
            <v>-2760.181</v>
          </cell>
          <cell r="P102">
            <v>-1029.9123451999983</v>
          </cell>
          <cell r="Q102">
            <v>-1500.4205690000026</v>
          </cell>
          <cell r="R102">
            <v>-1893.3869793699973</v>
          </cell>
          <cell r="S102">
            <v>-548.37629855000012</v>
          </cell>
          <cell r="T102">
            <v>-247.9528000000011</v>
          </cell>
          <cell r="U102">
            <v>-835.26205000000027</v>
          </cell>
          <cell r="V102">
            <v>-2341.4439999999968</v>
          </cell>
          <cell r="W102">
            <v>-6629.5439000000024</v>
          </cell>
          <cell r="X102">
            <v>1129.3999999999967</v>
          </cell>
          <cell r="Y102">
            <v>6282.0950635078216</v>
          </cell>
          <cell r="Z102">
            <v>3793.0095999999912</v>
          </cell>
          <cell r="AA102">
            <v>1890.5156000000015</v>
          </cell>
          <cell r="AB102">
            <v>7340.300000000002</v>
          </cell>
        </row>
        <row r="103">
          <cell r="B103" t="str">
            <v>Cash from Investing activities</v>
          </cell>
          <cell r="D103">
            <v>0</v>
          </cell>
          <cell r="E103">
            <v>0</v>
          </cell>
          <cell r="F103">
            <v>0</v>
          </cell>
          <cell r="G103">
            <v>0</v>
          </cell>
          <cell r="H103">
            <v>369.10146019999962</v>
          </cell>
          <cell r="I103">
            <v>546.87753970000074</v>
          </cell>
          <cell r="J103">
            <v>-251.68626205000029</v>
          </cell>
          <cell r="K103">
            <v>687.82655200000363</v>
          </cell>
          <cell r="L103">
            <v>-1591.0119550000038</v>
          </cell>
          <cell r="M103">
            <v>-1689.510353289998</v>
          </cell>
          <cell r="N103">
            <v>-2263.4074104000028</v>
          </cell>
          <cell r="O103">
            <v>-4192.1520000000019</v>
          </cell>
          <cell r="P103">
            <v>-2303.5343451999934</v>
          </cell>
          <cell r="Q103">
            <v>-2473.0235690000068</v>
          </cell>
          <cell r="R103">
            <v>-2728.5529793699939</v>
          </cell>
          <cell r="S103">
            <v>-343.49729855000089</v>
          </cell>
          <cell r="T103">
            <v>-1111.7148000000061</v>
          </cell>
          <cell r="U103">
            <v>-1354.3340499999981</v>
          </cell>
          <cell r="V103">
            <v>-2149.3179999999966</v>
          </cell>
          <cell r="W103">
            <v>-12089.143900000003</v>
          </cell>
          <cell r="X103">
            <v>-8452.5</v>
          </cell>
          <cell r="Y103">
            <v>-7730.7049364921741</v>
          </cell>
          <cell r="Z103">
            <v>2522.8095999999905</v>
          </cell>
          <cell r="AA103">
            <v>2644.7155999999877</v>
          </cell>
          <cell r="AB103">
            <v>9624.5000000000127</v>
          </cell>
        </row>
        <row r="105">
          <cell r="B105" t="str">
            <v>Changes in Share Capital</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2447.6</v>
          </cell>
          <cell r="W105">
            <v>0</v>
          </cell>
          <cell r="X105">
            <v>0</v>
          </cell>
          <cell r="Y105">
            <v>0</v>
          </cell>
          <cell r="Z105">
            <v>0</v>
          </cell>
          <cell r="AA105">
            <v>0</v>
          </cell>
          <cell r="AB105">
            <v>0</v>
          </cell>
        </row>
        <row r="106">
          <cell r="B106" t="str">
            <v>Changes in Reserve &amp; Surplus</v>
          </cell>
          <cell r="D106">
            <v>0</v>
          </cell>
          <cell r="E106">
            <v>0</v>
          </cell>
          <cell r="F106">
            <v>0</v>
          </cell>
          <cell r="G106">
            <v>0</v>
          </cell>
          <cell r="H106">
            <v>385.04999999999666</v>
          </cell>
          <cell r="I106">
            <v>399.79500000000735</v>
          </cell>
          <cell r="J106">
            <v>325.76169999999593</v>
          </cell>
          <cell r="K106">
            <v>269.89700000001176</v>
          </cell>
          <cell r="L106">
            <v>179.63059999999041</v>
          </cell>
          <cell r="M106">
            <v>102.5379999999941</v>
          </cell>
          <cell r="N106">
            <v>-2387.7719999999963</v>
          </cell>
          <cell r="O106">
            <v>2815.5310000000004</v>
          </cell>
          <cell r="P106">
            <v>-205.87699999999859</v>
          </cell>
          <cell r="Q106">
            <v>1537.1465999999914</v>
          </cell>
          <cell r="R106">
            <v>775.46699999999873</v>
          </cell>
          <cell r="S106">
            <v>179.20300000002862</v>
          </cell>
          <cell r="T106">
            <v>-6.199999999080319E-2</v>
          </cell>
          <cell r="U106">
            <v>-2353.2759999999798</v>
          </cell>
          <cell r="V106">
            <v>-2447.5999999999913</v>
          </cell>
          <cell r="W106">
            <v>0</v>
          </cell>
          <cell r="X106">
            <v>0</v>
          </cell>
          <cell r="Y106">
            <v>0.20000000004074536</v>
          </cell>
          <cell r="Z106">
            <v>-0.15999999998894054</v>
          </cell>
          <cell r="AA106">
            <v>11.515999999945052</v>
          </cell>
          <cell r="AB106">
            <v>-474.39200000004712</v>
          </cell>
        </row>
        <row r="107">
          <cell r="B107" t="str">
            <v>Changes in Debt</v>
          </cell>
          <cell r="D107">
            <v>0</v>
          </cell>
          <cell r="E107">
            <v>0</v>
          </cell>
          <cell r="F107">
            <v>0</v>
          </cell>
          <cell r="G107">
            <v>0</v>
          </cell>
          <cell r="H107">
            <v>-1237.4969999999994</v>
          </cell>
          <cell r="I107">
            <v>-3079.1270000000004</v>
          </cell>
          <cell r="J107">
            <v>-447.9330000000009</v>
          </cell>
          <cell r="K107">
            <v>-1332.3729999999996</v>
          </cell>
          <cell r="L107">
            <v>-5085.2860000000001</v>
          </cell>
          <cell r="M107">
            <v>-2193.6689999999999</v>
          </cell>
          <cell r="N107">
            <v>705.89000000000055</v>
          </cell>
          <cell r="O107">
            <v>7848.9859999999971</v>
          </cell>
          <cell r="P107">
            <v>-3598.1489999999994</v>
          </cell>
          <cell r="Q107">
            <v>-1346.9319999999989</v>
          </cell>
          <cell r="R107">
            <v>89.353000000000065</v>
          </cell>
          <cell r="S107">
            <v>-30.434000000000196</v>
          </cell>
          <cell r="T107">
            <v>212.57500000000073</v>
          </cell>
          <cell r="U107">
            <v>-4689.1040000000003</v>
          </cell>
          <cell r="V107">
            <v>58.5</v>
          </cell>
          <cell r="W107">
            <v>541.90000000000009</v>
          </cell>
          <cell r="X107">
            <v>-216.20000000000005</v>
          </cell>
          <cell r="Y107">
            <v>-256.10000000000002</v>
          </cell>
          <cell r="Z107">
            <v>212.89999999999998</v>
          </cell>
          <cell r="AA107">
            <v>12917.7</v>
          </cell>
          <cell r="AB107">
            <v>12395.7</v>
          </cell>
        </row>
        <row r="108">
          <cell r="B108" t="str">
            <v>Dividend paid</v>
          </cell>
          <cell r="D108">
            <v>0</v>
          </cell>
          <cell r="E108">
            <v>0</v>
          </cell>
          <cell r="F108">
            <v>0</v>
          </cell>
          <cell r="G108">
            <v>0</v>
          </cell>
          <cell r="H108">
            <v>-367.14</v>
          </cell>
          <cell r="I108">
            <v>-367.14</v>
          </cell>
          <cell r="J108">
            <v>-489.52</v>
          </cell>
          <cell r="K108">
            <v>-538.47199999999998</v>
          </cell>
          <cell r="L108">
            <v>-673.08999999999992</v>
          </cell>
          <cell r="M108">
            <v>-673.08999999999992</v>
          </cell>
          <cell r="N108">
            <v>-855</v>
          </cell>
          <cell r="O108">
            <v>-809.17700000000002</v>
          </cell>
          <cell r="P108">
            <v>-979.04</v>
          </cell>
          <cell r="Q108">
            <v>-1104.48</v>
          </cell>
          <cell r="R108">
            <v>-1658.6</v>
          </cell>
          <cell r="S108">
            <v>-2224.509</v>
          </cell>
          <cell r="T108">
            <v>-4046.7</v>
          </cell>
          <cell r="U108">
            <v>-6924.9000000000005</v>
          </cell>
          <cell r="V108">
            <v>-8733.9</v>
          </cell>
          <cell r="W108">
            <v>-9736.0999999999985</v>
          </cell>
          <cell r="X108">
            <v>-13320.9</v>
          </cell>
          <cell r="Y108">
            <v>-17747.3</v>
          </cell>
          <cell r="Z108">
            <v>-18205.84</v>
          </cell>
          <cell r="AA108">
            <v>-15449.915999999999</v>
          </cell>
          <cell r="AB108">
            <v>-8103.9080000000004</v>
          </cell>
        </row>
        <row r="109">
          <cell r="B109" t="str">
            <v>Interest Exp</v>
          </cell>
          <cell r="D109">
            <v>0</v>
          </cell>
          <cell r="E109">
            <v>0</v>
          </cell>
          <cell r="F109">
            <v>0</v>
          </cell>
          <cell r="G109">
            <v>0</v>
          </cell>
          <cell r="H109">
            <v>-1096.4459999999999</v>
          </cell>
          <cell r="I109">
            <v>-1039.028</v>
          </cell>
          <cell r="J109">
            <v>-1129.145</v>
          </cell>
          <cell r="K109">
            <v>-1591.386</v>
          </cell>
          <cell r="L109">
            <v>-620.3420000000001</v>
          </cell>
          <cell r="M109">
            <v>-317.90099999999995</v>
          </cell>
          <cell r="N109">
            <v>-216.81299999999999</v>
          </cell>
          <cell r="O109">
            <v>-437.64100000000002</v>
          </cell>
          <cell r="P109">
            <v>-969.75699999999995</v>
          </cell>
          <cell r="Q109">
            <v>-547.79999999999995</v>
          </cell>
          <cell r="R109">
            <v>-600.79999999999995</v>
          </cell>
          <cell r="S109">
            <v>-814.06500000000005</v>
          </cell>
          <cell r="T109">
            <v>-587.5</v>
          </cell>
          <cell r="U109">
            <v>-433.3</v>
          </cell>
          <cell r="V109">
            <v>-354.2</v>
          </cell>
          <cell r="W109">
            <v>-307.10000000000002</v>
          </cell>
          <cell r="X109">
            <v>-335</v>
          </cell>
          <cell r="Y109">
            <v>-547.29999999999995</v>
          </cell>
          <cell r="Z109">
            <v>-512.79999999999995</v>
          </cell>
          <cell r="AA109">
            <v>-1252.7</v>
          </cell>
          <cell r="AB109">
            <v>-1326.3</v>
          </cell>
        </row>
        <row r="110">
          <cell r="B110" t="str">
            <v>Others</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row>
        <row r="111">
          <cell r="B111" t="str">
            <v>Cash from Financing activities</v>
          </cell>
          <cell r="D111">
            <v>0</v>
          </cell>
          <cell r="E111">
            <v>0</v>
          </cell>
          <cell r="F111">
            <v>0</v>
          </cell>
          <cell r="G111">
            <v>0</v>
          </cell>
          <cell r="H111">
            <v>-2316.0330000000026</v>
          </cell>
          <cell r="I111">
            <v>-4085.4999999999927</v>
          </cell>
          <cell r="J111">
            <v>-1740.8363000000049</v>
          </cell>
          <cell r="K111">
            <v>-3192.333999999988</v>
          </cell>
          <cell r="L111">
            <v>-6199.0874000000094</v>
          </cell>
          <cell r="M111">
            <v>-3082.1220000000058</v>
          </cell>
          <cell r="N111">
            <v>-2753.6949999999961</v>
          </cell>
          <cell r="O111">
            <v>9417.6989999999987</v>
          </cell>
          <cell r="P111">
            <v>-5752.8229999999976</v>
          </cell>
          <cell r="Q111">
            <v>-1462.0654000000075</v>
          </cell>
          <cell r="R111">
            <v>-1394.5800000000011</v>
          </cell>
          <cell r="S111">
            <v>-2889.8049999999716</v>
          </cell>
          <cell r="T111">
            <v>-4421.6869999999899</v>
          </cell>
          <cell r="U111">
            <v>-14400.57999999998</v>
          </cell>
          <cell r="V111">
            <v>-9029.5999999999913</v>
          </cell>
          <cell r="W111">
            <v>-9501.2999999999993</v>
          </cell>
          <cell r="X111">
            <v>-13872.1</v>
          </cell>
          <cell r="Y111">
            <v>-18550.499999999956</v>
          </cell>
          <cell r="Z111">
            <v>-18505.899999999987</v>
          </cell>
          <cell r="AA111">
            <v>-3773.4000000000533</v>
          </cell>
          <cell r="AB111">
            <v>2491.0999999999531</v>
          </cell>
        </row>
        <row r="113">
          <cell r="B113" t="str">
            <v>Changes in Cash &amp; bank balance</v>
          </cell>
          <cell r="D113">
            <v>0</v>
          </cell>
          <cell r="E113">
            <v>0</v>
          </cell>
          <cell r="F113">
            <v>0</v>
          </cell>
          <cell r="G113">
            <v>0</v>
          </cell>
          <cell r="H113">
            <v>-16615.201000000005</v>
          </cell>
          <cell r="I113">
            <v>792.77200000000448</v>
          </cell>
          <cell r="J113">
            <v>-1360.4119999999978</v>
          </cell>
          <cell r="K113">
            <v>54.244666666670582</v>
          </cell>
          <cell r="L113">
            <v>650.37233333333461</v>
          </cell>
          <cell r="M113">
            <v>1221.1989999999978</v>
          </cell>
          <cell r="N113">
            <v>-1768.4210000000057</v>
          </cell>
          <cell r="O113">
            <v>-275.56599999999708</v>
          </cell>
          <cell r="P113">
            <v>1435.5389999999952</v>
          </cell>
          <cell r="Q113">
            <v>8443.2099999999991</v>
          </cell>
          <cell r="R113">
            <v>13387.281200000009</v>
          </cell>
          <cell r="S113">
            <v>5182.2328000000089</v>
          </cell>
          <cell r="T113">
            <v>9561.1299999999719</v>
          </cell>
          <cell r="U113">
            <v>16749.323000000026</v>
          </cell>
          <cell r="V113">
            <v>25771.425999999992</v>
          </cell>
          <cell r="W113">
            <v>19286.199999999979</v>
          </cell>
          <cell r="X113">
            <v>-5245.8999999999742</v>
          </cell>
          <cell r="Y113">
            <v>-1599.2999999999847</v>
          </cell>
          <cell r="Z113">
            <v>-29581.700000000015</v>
          </cell>
          <cell r="AA113">
            <v>10600.700000000048</v>
          </cell>
          <cell r="AB113">
            <v>41408.799999999952</v>
          </cell>
        </row>
        <row r="114">
          <cell r="B114" t="str">
            <v>Opening Cash &amp; bank balance</v>
          </cell>
          <cell r="D114">
            <v>0</v>
          </cell>
          <cell r="E114">
            <v>0</v>
          </cell>
          <cell r="F114">
            <v>0</v>
          </cell>
          <cell r="G114">
            <v>0</v>
          </cell>
          <cell r="H114">
            <v>20631.77</v>
          </cell>
          <cell r="I114">
            <v>4016.1039999999998</v>
          </cell>
          <cell r="J114">
            <v>4808.8069999999998</v>
          </cell>
          <cell r="K114">
            <v>3448.5390000000002</v>
          </cell>
          <cell r="L114">
            <v>3502.9409999999998</v>
          </cell>
          <cell r="M114">
            <v>4153.0969999999998</v>
          </cell>
          <cell r="N114">
            <v>5374.2969999999996</v>
          </cell>
          <cell r="O114">
            <v>3606.0079999999998</v>
          </cell>
          <cell r="P114">
            <v>3330.3580000000002</v>
          </cell>
          <cell r="Q114">
            <v>4765.8919999999998</v>
          </cell>
          <cell r="R114">
            <v>13209.11</v>
          </cell>
          <cell r="S114">
            <v>26596.388999999999</v>
          </cell>
          <cell r="T114">
            <v>31778.620999999999</v>
          </cell>
          <cell r="U114">
            <v>41339.754000000001</v>
          </cell>
          <cell r="V114">
            <v>58089.1</v>
          </cell>
          <cell r="W114">
            <v>83860.2</v>
          </cell>
          <cell r="X114">
            <v>103146.7</v>
          </cell>
          <cell r="Y114">
            <v>97900.800000000003</v>
          </cell>
          <cell r="Z114">
            <v>96301.5</v>
          </cell>
          <cell r="AA114">
            <v>66719.8</v>
          </cell>
          <cell r="AB114">
            <v>77320.5</v>
          </cell>
        </row>
        <row r="115">
          <cell r="B115" t="str">
            <v>Closing Cash &amp; bank balance</v>
          </cell>
          <cell r="D115">
            <v>0</v>
          </cell>
          <cell r="E115">
            <v>0</v>
          </cell>
          <cell r="F115">
            <v>0</v>
          </cell>
          <cell r="G115">
            <v>0</v>
          </cell>
          <cell r="H115">
            <v>4016.5689999999959</v>
          </cell>
          <cell r="I115">
            <v>4808.8760000000038</v>
          </cell>
          <cell r="J115">
            <v>3448.3950000000023</v>
          </cell>
          <cell r="K115">
            <v>3502.7836666666708</v>
          </cell>
          <cell r="L115">
            <v>4153.3133333333344</v>
          </cell>
          <cell r="M115">
            <v>5374.2959999999975</v>
          </cell>
          <cell r="N115">
            <v>3605.8759999999938</v>
          </cell>
          <cell r="O115">
            <v>3330.4420000000027</v>
          </cell>
          <cell r="P115">
            <v>4765.8969999999954</v>
          </cell>
          <cell r="Q115">
            <v>13209.101999999999</v>
          </cell>
          <cell r="R115">
            <v>26596.391200000009</v>
          </cell>
          <cell r="S115">
            <v>31778.621800000008</v>
          </cell>
          <cell r="T115">
            <v>41339.750999999975</v>
          </cell>
          <cell r="U115">
            <v>58089.077000000027</v>
          </cell>
          <cell r="V115">
            <v>83860.525999999983</v>
          </cell>
          <cell r="W115">
            <v>103146.39999999998</v>
          </cell>
          <cell r="X115">
            <v>97900.800000000017</v>
          </cell>
          <cell r="Y115">
            <v>96301.500000000015</v>
          </cell>
          <cell r="Z115">
            <v>66719.799999999988</v>
          </cell>
          <cell r="AA115">
            <v>77320.500000000058</v>
          </cell>
          <cell r="AB115">
            <v>118729.29999999996</v>
          </cell>
        </row>
        <row r="116">
          <cell r="B116" t="str">
            <v>Source: Company, BofA Merrill Lynch Global Research</v>
          </cell>
        </row>
        <row r="119">
          <cell r="B119" t="str">
            <v>BHEL - Standalone Key Ratios &amp; Valuations</v>
          </cell>
        </row>
        <row r="120">
          <cell r="B120" t="str">
            <v>FY ends Mar31, (Rs mn)</v>
          </cell>
          <cell r="C120" t="str">
            <v>Assumptions</v>
          </cell>
          <cell r="D120" t="str">
            <v>FY90</v>
          </cell>
          <cell r="E120" t="str">
            <v>FY91</v>
          </cell>
          <cell r="F120" t="str">
            <v>FY92</v>
          </cell>
          <cell r="G120" t="str">
            <v>FY93</v>
          </cell>
          <cell r="H120" t="str">
            <v>FY94</v>
          </cell>
          <cell r="I120" t="str">
            <v>FY95</v>
          </cell>
          <cell r="J120" t="str">
            <v>FY96</v>
          </cell>
          <cell r="K120" t="str">
            <v>FY97</v>
          </cell>
          <cell r="L120" t="str">
            <v>FY98</v>
          </cell>
          <cell r="M120" t="str">
            <v>FY99</v>
          </cell>
          <cell r="N120" t="str">
            <v>FY00</v>
          </cell>
          <cell r="O120" t="str">
            <v>FY01</v>
          </cell>
          <cell r="P120" t="str">
            <v>FY02</v>
          </cell>
          <cell r="Q120" t="str">
            <v>FY03</v>
          </cell>
          <cell r="R120" t="str">
            <v>FY04</v>
          </cell>
          <cell r="S120" t="str">
            <v>FY05</v>
          </cell>
          <cell r="T120" t="str">
            <v>FY06</v>
          </cell>
          <cell r="U120" t="str">
            <v>FY07</v>
          </cell>
          <cell r="V120" t="str">
            <v>FY08</v>
          </cell>
          <cell r="W120" t="str">
            <v>FY09</v>
          </cell>
          <cell r="X120" t="str">
            <v>FY10</v>
          </cell>
          <cell r="Y120" t="str">
            <v>FY11</v>
          </cell>
          <cell r="Z120" t="str">
            <v>FY12</v>
          </cell>
          <cell r="AA120" t="str">
            <v>FY13</v>
          </cell>
          <cell r="AB120" t="str">
            <v>FY14</v>
          </cell>
        </row>
        <row r="121">
          <cell r="B121" t="str">
            <v>CMP (Rs)</v>
          </cell>
          <cell r="D121">
            <v>157.55000000000001</v>
          </cell>
          <cell r="E121">
            <v>157.55000000000001</v>
          </cell>
          <cell r="F121">
            <v>157.55000000000001</v>
          </cell>
          <cell r="G121">
            <v>157.55000000000001</v>
          </cell>
          <cell r="H121">
            <v>157.55000000000001</v>
          </cell>
          <cell r="I121">
            <v>157.55000000000001</v>
          </cell>
          <cell r="J121">
            <v>157.55000000000001</v>
          </cell>
          <cell r="K121">
            <v>157.55000000000001</v>
          </cell>
          <cell r="L121">
            <v>157.55000000000001</v>
          </cell>
          <cell r="M121">
            <v>157.55000000000001</v>
          </cell>
          <cell r="N121">
            <v>157.55000000000001</v>
          </cell>
          <cell r="O121">
            <v>157.55000000000001</v>
          </cell>
          <cell r="P121">
            <v>157.55000000000001</v>
          </cell>
          <cell r="Q121">
            <v>157.55000000000001</v>
          </cell>
          <cell r="R121">
            <v>157.55000000000001</v>
          </cell>
          <cell r="S121">
            <v>157.55000000000001</v>
          </cell>
          <cell r="T121">
            <v>157.55000000000001</v>
          </cell>
          <cell r="U121">
            <v>157.55000000000001</v>
          </cell>
          <cell r="V121">
            <v>157.55000000000001</v>
          </cell>
          <cell r="W121">
            <v>157.55000000000001</v>
          </cell>
          <cell r="X121">
            <v>157.55000000000001</v>
          </cell>
          <cell r="Y121">
            <v>157.55000000000001</v>
          </cell>
          <cell r="Z121">
            <v>157.55000000000001</v>
          </cell>
          <cell r="AA121">
            <v>157.55000000000001</v>
          </cell>
          <cell r="AB121">
            <v>157.55000000000001</v>
          </cell>
        </row>
        <row r="122">
          <cell r="B122" t="str">
            <v>Shares O/s (mn)</v>
          </cell>
          <cell r="D122">
            <v>0</v>
          </cell>
          <cell r="E122">
            <v>0</v>
          </cell>
          <cell r="F122">
            <v>0</v>
          </cell>
          <cell r="G122">
            <v>2447.6</v>
          </cell>
          <cell r="H122">
            <v>2447.6</v>
          </cell>
          <cell r="I122">
            <v>2447.6</v>
          </cell>
          <cell r="J122">
            <v>2447.6</v>
          </cell>
          <cell r="K122">
            <v>2447.6</v>
          </cell>
          <cell r="L122">
            <v>2447.6</v>
          </cell>
          <cell r="M122">
            <v>2447.6</v>
          </cell>
          <cell r="N122">
            <v>2447.6</v>
          </cell>
          <cell r="O122">
            <v>2447.6</v>
          </cell>
          <cell r="P122">
            <v>2447.6</v>
          </cell>
          <cell r="Q122">
            <v>2447.6</v>
          </cell>
          <cell r="R122">
            <v>2447.6</v>
          </cell>
          <cell r="S122">
            <v>2447.6</v>
          </cell>
          <cell r="T122">
            <v>2447.6</v>
          </cell>
          <cell r="U122">
            <v>2447.6</v>
          </cell>
          <cell r="V122">
            <v>2447.6</v>
          </cell>
          <cell r="W122">
            <v>2447.6</v>
          </cell>
          <cell r="X122">
            <v>2447.6</v>
          </cell>
          <cell r="Y122">
            <v>2447.6</v>
          </cell>
          <cell r="Z122">
            <v>2447.6</v>
          </cell>
          <cell r="AA122">
            <v>2447.6</v>
          </cell>
          <cell r="AB122">
            <v>2447.6</v>
          </cell>
        </row>
        <row r="123">
          <cell r="B123" t="str">
            <v>Market Capitalization</v>
          </cell>
          <cell r="D123">
            <v>0</v>
          </cell>
          <cell r="E123">
            <v>0</v>
          </cell>
          <cell r="F123">
            <v>0</v>
          </cell>
          <cell r="G123">
            <v>385619.38</v>
          </cell>
          <cell r="H123">
            <v>385619.38</v>
          </cell>
          <cell r="I123">
            <v>385619.38</v>
          </cell>
          <cell r="J123">
            <v>385619.38</v>
          </cell>
          <cell r="K123">
            <v>385619.38</v>
          </cell>
          <cell r="L123">
            <v>385619.38</v>
          </cell>
          <cell r="M123">
            <v>385619.38</v>
          </cell>
          <cell r="N123">
            <v>385619.38</v>
          </cell>
          <cell r="O123">
            <v>385619.38</v>
          </cell>
          <cell r="P123">
            <v>385619.38</v>
          </cell>
          <cell r="Q123">
            <v>385619.38</v>
          </cell>
          <cell r="R123">
            <v>385619.38</v>
          </cell>
          <cell r="S123">
            <v>385619.38</v>
          </cell>
          <cell r="T123">
            <v>385619.38</v>
          </cell>
          <cell r="U123">
            <v>385619.38</v>
          </cell>
          <cell r="V123">
            <v>385619.38</v>
          </cell>
          <cell r="W123">
            <v>385619.38</v>
          </cell>
          <cell r="X123">
            <v>385619.38</v>
          </cell>
          <cell r="Y123">
            <v>385619.38</v>
          </cell>
          <cell r="Z123">
            <v>385619.38</v>
          </cell>
          <cell r="AA123">
            <v>385619.38</v>
          </cell>
          <cell r="AB123">
            <v>385619.38</v>
          </cell>
        </row>
        <row r="125">
          <cell r="B125" t="str">
            <v>Gross Debt</v>
          </cell>
          <cell r="D125">
            <v>0</v>
          </cell>
          <cell r="E125">
            <v>0</v>
          </cell>
          <cell r="F125">
            <v>0</v>
          </cell>
          <cell r="G125">
            <v>15077</v>
          </cell>
          <cell r="H125">
            <v>13839.503000000001</v>
          </cell>
          <cell r="I125">
            <v>10760.376</v>
          </cell>
          <cell r="J125">
            <v>10312.442999999999</v>
          </cell>
          <cell r="K125">
            <v>8980.07</v>
          </cell>
          <cell r="L125">
            <v>3894.7840000000001</v>
          </cell>
          <cell r="M125">
            <v>1701.115</v>
          </cell>
          <cell r="N125">
            <v>2407.0050000000006</v>
          </cell>
          <cell r="O125">
            <v>10255.990999999998</v>
          </cell>
          <cell r="P125">
            <v>6657.8419999999987</v>
          </cell>
          <cell r="Q125">
            <v>5310.91</v>
          </cell>
          <cell r="R125">
            <v>5400.2629999999999</v>
          </cell>
          <cell r="S125">
            <v>5369.8289999999997</v>
          </cell>
          <cell r="T125">
            <v>5582.4040000000005</v>
          </cell>
          <cell r="U125">
            <v>893.3</v>
          </cell>
          <cell r="V125">
            <v>951.8</v>
          </cell>
          <cell r="W125">
            <v>1493.7</v>
          </cell>
          <cell r="X125">
            <v>1277.5</v>
          </cell>
          <cell r="Y125">
            <v>1021.4</v>
          </cell>
          <cell r="Z125">
            <v>1234.3</v>
          </cell>
          <cell r="AA125">
            <v>14152</v>
          </cell>
          <cell r="AB125">
            <v>26547.7</v>
          </cell>
        </row>
        <row r="126">
          <cell r="B126" t="str">
            <v>Cash &amp; Cash Equivalent</v>
          </cell>
          <cell r="D126">
            <v>0</v>
          </cell>
          <cell r="E126">
            <v>0</v>
          </cell>
          <cell r="F126">
            <v>0</v>
          </cell>
          <cell r="G126">
            <v>20631.77</v>
          </cell>
          <cell r="H126">
            <v>4016.1039999999998</v>
          </cell>
          <cell r="I126">
            <v>4808.8069999999998</v>
          </cell>
          <cell r="J126">
            <v>3448.5390000000002</v>
          </cell>
          <cell r="K126">
            <v>3502.9409999999998</v>
          </cell>
          <cell r="L126">
            <v>4153.0969999999998</v>
          </cell>
          <cell r="M126">
            <v>5374.2969999999996</v>
          </cell>
          <cell r="N126">
            <v>3606.0079999999998</v>
          </cell>
          <cell r="O126">
            <v>3330.3580000000002</v>
          </cell>
          <cell r="P126">
            <v>4765.8919999999998</v>
          </cell>
          <cell r="Q126">
            <v>13209.11</v>
          </cell>
          <cell r="R126">
            <v>26596.388999999999</v>
          </cell>
          <cell r="S126">
            <v>31778.620999999999</v>
          </cell>
          <cell r="T126">
            <v>41339.754000000001</v>
          </cell>
          <cell r="U126">
            <v>58089.1</v>
          </cell>
          <cell r="V126">
            <v>83860.2</v>
          </cell>
          <cell r="W126">
            <v>103146.7</v>
          </cell>
          <cell r="X126">
            <v>97900.800000000003</v>
          </cell>
          <cell r="Y126">
            <v>96301.5</v>
          </cell>
          <cell r="Z126">
            <v>66719.8</v>
          </cell>
          <cell r="AA126">
            <v>77320.5</v>
          </cell>
          <cell r="AB126">
            <v>118729.3</v>
          </cell>
        </row>
        <row r="127">
          <cell r="B127" t="str">
            <v>Net Debt</v>
          </cell>
          <cell r="D127">
            <v>0</v>
          </cell>
          <cell r="E127">
            <v>0</v>
          </cell>
          <cell r="F127">
            <v>0</v>
          </cell>
          <cell r="G127">
            <v>-5554.77</v>
          </cell>
          <cell r="H127">
            <v>9823.3990000000013</v>
          </cell>
          <cell r="I127">
            <v>5951.5690000000004</v>
          </cell>
          <cell r="J127">
            <v>6863.9039999999986</v>
          </cell>
          <cell r="K127">
            <v>5477.1289999999999</v>
          </cell>
          <cell r="L127">
            <v>-258.31299999999965</v>
          </cell>
          <cell r="M127">
            <v>-3673.1819999999998</v>
          </cell>
          <cell r="N127">
            <v>-1199.0029999999992</v>
          </cell>
          <cell r="O127">
            <v>6925.632999999998</v>
          </cell>
          <cell r="P127">
            <v>1891.9499999999989</v>
          </cell>
          <cell r="Q127">
            <v>-7898.2000000000007</v>
          </cell>
          <cell r="R127">
            <v>-21196.126</v>
          </cell>
          <cell r="S127">
            <v>-26408.792000000001</v>
          </cell>
          <cell r="T127">
            <v>-35757.35</v>
          </cell>
          <cell r="U127">
            <v>-57195.799999999996</v>
          </cell>
          <cell r="V127">
            <v>-82908.399999999994</v>
          </cell>
          <cell r="W127">
            <v>-101653</v>
          </cell>
          <cell r="X127">
            <v>-96623.3</v>
          </cell>
          <cell r="Y127">
            <v>-95280.1</v>
          </cell>
          <cell r="Z127">
            <v>-65485.5</v>
          </cell>
          <cell r="AA127">
            <v>-63168.5</v>
          </cell>
          <cell r="AB127">
            <v>-92181.6</v>
          </cell>
        </row>
        <row r="128">
          <cell r="B128" t="str">
            <v>Enterprise Value</v>
          </cell>
          <cell r="D128">
            <v>0</v>
          </cell>
          <cell r="E128">
            <v>0</v>
          </cell>
          <cell r="F128">
            <v>0</v>
          </cell>
          <cell r="G128">
            <v>380064.61</v>
          </cell>
          <cell r="H128">
            <v>395442.77899999998</v>
          </cell>
          <cell r="I128">
            <v>391570.94900000002</v>
          </cell>
          <cell r="J128">
            <v>392483.28399999999</v>
          </cell>
          <cell r="K128">
            <v>391096.50900000002</v>
          </cell>
          <cell r="L128">
            <v>385361.06699999998</v>
          </cell>
          <cell r="M128">
            <v>381946.19800000003</v>
          </cell>
          <cell r="N128">
            <v>384420.37699999998</v>
          </cell>
          <cell r="O128">
            <v>392545.01299999998</v>
          </cell>
          <cell r="P128">
            <v>387511.33</v>
          </cell>
          <cell r="Q128">
            <v>377721.18</v>
          </cell>
          <cell r="R128">
            <v>364423.25400000002</v>
          </cell>
          <cell r="S128">
            <v>359210.58799999999</v>
          </cell>
          <cell r="T128">
            <v>349862.03</v>
          </cell>
          <cell r="U128">
            <v>328423.58</v>
          </cell>
          <cell r="V128">
            <v>302710.98</v>
          </cell>
          <cell r="W128">
            <v>283966.38</v>
          </cell>
          <cell r="X128">
            <v>288996.08</v>
          </cell>
          <cell r="Y128">
            <v>290339.28000000003</v>
          </cell>
          <cell r="Z128">
            <v>320133.88</v>
          </cell>
          <cell r="AA128">
            <v>322450.88</v>
          </cell>
          <cell r="AB128">
            <v>293437.78000000003</v>
          </cell>
        </row>
        <row r="129">
          <cell r="B129" t="str">
            <v>Networth</v>
          </cell>
          <cell r="D129">
            <v>0</v>
          </cell>
          <cell r="E129">
            <v>0</v>
          </cell>
          <cell r="F129">
            <v>0</v>
          </cell>
          <cell r="G129">
            <v>8715.6</v>
          </cell>
          <cell r="H129">
            <v>10102.217000000001</v>
          </cell>
          <cell r="I129">
            <v>11544.153000000002</v>
          </cell>
          <cell r="J129">
            <v>14884.954</v>
          </cell>
          <cell r="K129">
            <v>19248.373</v>
          </cell>
          <cell r="L129">
            <v>25950.19</v>
          </cell>
          <cell r="M129">
            <v>30824.648000000001</v>
          </cell>
          <cell r="N129">
            <v>33577.328000000001</v>
          </cell>
          <cell r="O129">
            <v>38709.733</v>
          </cell>
          <cell r="P129">
            <v>42203.281000000003</v>
          </cell>
          <cell r="Q129">
            <v>47081.701000000001</v>
          </cell>
          <cell r="R129">
            <v>52780.193999999996</v>
          </cell>
          <cell r="S129">
            <v>60268.938000000002</v>
          </cell>
          <cell r="T129">
            <v>73013.776000000013</v>
          </cell>
          <cell r="U129">
            <v>87882.6</v>
          </cell>
          <cell r="V129">
            <v>107742.09999999999</v>
          </cell>
          <cell r="W129">
            <v>129388.1</v>
          </cell>
          <cell r="X129">
            <v>159173.6</v>
          </cell>
          <cell r="Y129">
            <v>201538.40000000002</v>
          </cell>
          <cell r="Z129">
            <v>253732.1</v>
          </cell>
          <cell r="AA129">
            <v>304441.00000000006</v>
          </cell>
          <cell r="AB129">
            <v>330470.5</v>
          </cell>
        </row>
        <row r="130">
          <cell r="B130" t="str">
            <v>Capital Employed</v>
          </cell>
          <cell r="D130">
            <v>0</v>
          </cell>
          <cell r="E130">
            <v>0</v>
          </cell>
          <cell r="F130">
            <v>0</v>
          </cell>
          <cell r="G130">
            <v>23792.6</v>
          </cell>
          <cell r="H130">
            <v>23941.72</v>
          </cell>
          <cell r="I130">
            <v>22304.529000000002</v>
          </cell>
          <cell r="J130">
            <v>25197.396999999997</v>
          </cell>
          <cell r="K130">
            <v>28228.442999999999</v>
          </cell>
          <cell r="L130">
            <v>29844.973999999998</v>
          </cell>
          <cell r="M130">
            <v>32525.763000000003</v>
          </cell>
          <cell r="N130">
            <v>35984.332999999999</v>
          </cell>
          <cell r="O130">
            <v>46273.724000000002</v>
          </cell>
          <cell r="P130">
            <v>45815.123</v>
          </cell>
          <cell r="Q130">
            <v>48318.659</v>
          </cell>
          <cell r="R130">
            <v>53195.268199999999</v>
          </cell>
          <cell r="S130">
            <v>60455.976999999999</v>
          </cell>
          <cell r="T130">
            <v>71858.97600000001</v>
          </cell>
          <cell r="U130">
            <v>79424.3</v>
          </cell>
          <cell r="V130">
            <v>95314.599999999991</v>
          </cell>
          <cell r="W130">
            <v>112478.8</v>
          </cell>
          <cell r="X130">
            <v>145178.80000000002</v>
          </cell>
          <cell r="Y130">
            <v>180924.30000000002</v>
          </cell>
          <cell r="Z130">
            <v>239504</v>
          </cell>
          <cell r="AA130">
            <v>303086.10000000003</v>
          </cell>
          <cell r="AB130">
            <v>337328.7</v>
          </cell>
        </row>
        <row r="131">
          <cell r="B131" t="str">
            <v>Free Cash Flow</v>
          </cell>
          <cell r="D131">
            <v>0</v>
          </cell>
          <cell r="E131">
            <v>0</v>
          </cell>
          <cell r="F131">
            <v>0</v>
          </cell>
          <cell r="G131">
            <v>0</v>
          </cell>
          <cell r="H131">
            <v>-15345.912460200001</v>
          </cell>
          <cell r="I131">
            <v>3328.8784602999958</v>
          </cell>
          <cell r="J131">
            <v>-690.19643794999183</v>
          </cell>
          <cell r="K131">
            <v>153.97511466665765</v>
          </cell>
          <cell r="L131">
            <v>5201.6026883333452</v>
          </cell>
          <cell r="M131">
            <v>3446.459353290003</v>
          </cell>
          <cell r="N131">
            <v>1596.6834103999918</v>
          </cell>
          <cell r="O131">
            <v>-7414.6229999999978</v>
          </cell>
          <cell r="P131">
            <v>7648.6533451999912</v>
          </cell>
          <cell r="Q131">
            <v>10692.749969000008</v>
          </cell>
          <cell r="R131">
            <v>15963.136179370007</v>
          </cell>
          <cell r="S131">
            <v>6968.53109854998</v>
          </cell>
          <cell r="T131">
            <v>12487.469799999963</v>
          </cell>
          <cell r="U131">
            <v>28617.065050000005</v>
          </cell>
          <cell r="V131">
            <v>30609.943999999981</v>
          </cell>
          <cell r="W131">
            <v>27894.143899999981</v>
          </cell>
          <cell r="X131">
            <v>-469.79999999997017</v>
          </cell>
          <cell r="Y131">
            <v>7801.6049364921491</v>
          </cell>
          <cell r="Z131">
            <v>-26306.109600000018</v>
          </cell>
          <cell r="AA131">
            <v>2723.384400000099</v>
          </cell>
          <cell r="AB131">
            <v>21915.599999999991</v>
          </cell>
        </row>
        <row r="132">
          <cell r="B132" t="str">
            <v>Per Share (Rs)</v>
          </cell>
        </row>
        <row r="133">
          <cell r="B133" t="str">
            <v>Recurring EPS (Rs)</v>
          </cell>
          <cell r="D133">
            <v>0</v>
          </cell>
          <cell r="E133">
            <v>0</v>
          </cell>
          <cell r="F133">
            <v>0</v>
          </cell>
          <cell r="G133">
            <v>0.54420656970093151</v>
          </cell>
          <cell r="H133">
            <v>0.45905725600588476</v>
          </cell>
          <cell r="I133">
            <v>0.54231061460205687</v>
          </cell>
          <cell r="J133">
            <v>1.434364913404969</v>
          </cell>
          <cell r="K133">
            <v>1.7884014740970706</v>
          </cell>
          <cell r="L133">
            <v>3.2434324869259723</v>
          </cell>
          <cell r="M133">
            <v>2.8180725417919628</v>
          </cell>
          <cell r="N133">
            <v>2.9035550786076132</v>
          </cell>
          <cell r="O133">
            <v>2.3640905376695551</v>
          </cell>
          <cell r="P133">
            <v>2.2737123489132216</v>
          </cell>
          <cell r="Q133">
            <v>2.3772777287955575</v>
          </cell>
          <cell r="R133">
            <v>3.3940529413997371</v>
          </cell>
          <cell r="S133">
            <v>4.0742614391853156</v>
          </cell>
          <cell r="T133">
            <v>6.8370758293838838</v>
          </cell>
          <cell r="U133">
            <v>9.9711623835593954</v>
          </cell>
          <cell r="V133">
            <v>12.48244974669063</v>
          </cell>
          <cell r="W133">
            <v>15.268280723974504</v>
          </cell>
          <cell r="X133">
            <v>17.065533583918945</v>
          </cell>
          <cell r="Y133">
            <v>21.689404003573543</v>
          </cell>
          <cell r="Z133">
            <v>27.053763033175343</v>
          </cell>
          <cell r="AA133">
            <v>26.095883477692478</v>
          </cell>
          <cell r="AB133">
            <v>11.344214740970743</v>
          </cell>
        </row>
        <row r="134">
          <cell r="B134" t="str">
            <v>Reported EPS (Rs)</v>
          </cell>
          <cell r="D134">
            <v>0</v>
          </cell>
          <cell r="E134">
            <v>0</v>
          </cell>
          <cell r="F134">
            <v>0</v>
          </cell>
          <cell r="G134">
            <v>0.54420656970093151</v>
          </cell>
          <cell r="H134">
            <v>0.55920370975649758</v>
          </cell>
          <cell r="I134">
            <v>0.57578076483085239</v>
          </cell>
          <cell r="J134">
            <v>1.4318349812060802</v>
          </cell>
          <cell r="K134">
            <v>1.8924636378493176</v>
          </cell>
          <cell r="L134">
            <v>2.9397272430135679</v>
          </cell>
          <cell r="M134">
            <v>2.2246322928583138</v>
          </cell>
          <cell r="N134">
            <v>2.449522797842782</v>
          </cell>
          <cell r="O134">
            <v>1.277190308874</v>
          </cell>
          <cell r="P134">
            <v>1.9114499918287307</v>
          </cell>
          <cell r="Q134">
            <v>1.8163725281908838</v>
          </cell>
          <cell r="R134">
            <v>2.6890120934793256</v>
          </cell>
          <cell r="S134">
            <v>3.8952647491420076</v>
          </cell>
          <cell r="T134">
            <v>6.8604347115541735</v>
          </cell>
          <cell r="U134">
            <v>9.8655826115378229</v>
          </cell>
          <cell r="V134">
            <v>11.682219316881836</v>
          </cell>
          <cell r="W134">
            <v>12.821580323582284</v>
          </cell>
          <cell r="X134">
            <v>17.611701258375557</v>
          </cell>
          <cell r="Y134">
            <v>24.559527700604665</v>
          </cell>
          <cell r="Z134">
            <v>28.762747180911902</v>
          </cell>
          <cell r="AA134">
            <v>27.025371792776642</v>
          </cell>
          <cell r="AB134">
            <v>14.139483575747667</v>
          </cell>
        </row>
        <row r="135">
          <cell r="B135" t="str">
            <v>CEPS (Rs)</v>
          </cell>
          <cell r="D135">
            <v>0</v>
          </cell>
          <cell r="E135">
            <v>0</v>
          </cell>
          <cell r="F135">
            <v>0</v>
          </cell>
          <cell r="G135">
            <v>0.9106880209184508</v>
          </cell>
          <cell r="H135">
            <v>0.8274495586697187</v>
          </cell>
          <cell r="I135">
            <v>0.91951563176172335</v>
          </cell>
          <cell r="J135">
            <v>1.829924645387319</v>
          </cell>
          <cell r="K135">
            <v>2.2297452394182016</v>
          </cell>
          <cell r="L135">
            <v>3.7507800927439163</v>
          </cell>
          <cell r="M135">
            <v>3.4036126627267556</v>
          </cell>
          <cell r="N135">
            <v>3.5306984026801742</v>
          </cell>
          <cell r="O135">
            <v>3.0087207877104114</v>
          </cell>
          <cell r="P135">
            <v>2.8203032951462661</v>
          </cell>
          <cell r="Q135">
            <v>2.9282840206733156</v>
          </cell>
          <cell r="R135">
            <v>3.830715386243666</v>
          </cell>
          <cell r="S135">
            <v>4.8877334117298483</v>
          </cell>
          <cell r="T135">
            <v>7.2067849321784569</v>
          </cell>
          <cell r="U135">
            <v>10.420745648798814</v>
          </cell>
          <cell r="V135">
            <v>12.051170125837549</v>
          </cell>
          <cell r="W135">
            <v>14.581485495996077</v>
          </cell>
          <cell r="X135">
            <v>20.215884948521001</v>
          </cell>
          <cell r="Y135">
            <v>26.550868171470899</v>
          </cell>
          <cell r="Z135">
            <v>30.351401536198715</v>
          </cell>
          <cell r="AA135">
            <v>29.324066187285545</v>
          </cell>
          <cell r="AB135">
            <v>14.07268344500735</v>
          </cell>
        </row>
        <row r="136">
          <cell r="B136" t="str">
            <v>BVPS (Rs)</v>
          </cell>
          <cell r="D136">
            <v>0</v>
          </cell>
          <cell r="E136">
            <v>0</v>
          </cell>
          <cell r="F136">
            <v>0</v>
          </cell>
          <cell r="G136">
            <v>3.5608759601242035</v>
          </cell>
          <cell r="H136">
            <v>4.127397042000327</v>
          </cell>
          <cell r="I136">
            <v>4.7165194476221615</v>
          </cell>
          <cell r="J136">
            <v>6.0814487661382577</v>
          </cell>
          <cell r="K136">
            <v>7.8641824644549763</v>
          </cell>
          <cell r="L136">
            <v>10.602300212453015</v>
          </cell>
          <cell r="M136">
            <v>12.593825788527537</v>
          </cell>
          <cell r="N136">
            <v>13.718470338290571</v>
          </cell>
          <cell r="O136">
            <v>15.81538364111783</v>
          </cell>
          <cell r="P136">
            <v>17.242719807158036</v>
          </cell>
          <cell r="Q136">
            <v>19.235864111782973</v>
          </cell>
          <cell r="R136">
            <v>21.564060303971235</v>
          </cell>
          <cell r="S136">
            <v>24.623687694067659</v>
          </cell>
          <cell r="T136">
            <v>29.830763196600756</v>
          </cell>
          <cell r="U136">
            <v>35.905621833632949</v>
          </cell>
          <cell r="V136">
            <v>44.019488478509558</v>
          </cell>
          <cell r="W136">
            <v>52.863253799640468</v>
          </cell>
          <cell r="X136">
            <v>65.032521653865018</v>
          </cell>
          <cell r="Y136">
            <v>82.341232227488163</v>
          </cell>
          <cell r="Z136">
            <v>103.6656724955058</v>
          </cell>
          <cell r="AA136">
            <v>124.38347769243343</v>
          </cell>
          <cell r="AB136">
            <v>135.0181810753391</v>
          </cell>
        </row>
        <row r="137">
          <cell r="B137" t="str">
            <v>DPS (Rs)</v>
          </cell>
          <cell r="D137">
            <v>0</v>
          </cell>
          <cell r="E137">
            <v>0</v>
          </cell>
          <cell r="F137">
            <v>0</v>
          </cell>
          <cell r="G137">
            <v>0.15</v>
          </cell>
          <cell r="H137">
            <v>0.15</v>
          </cell>
          <cell r="I137">
            <v>0.15</v>
          </cell>
          <cell r="J137">
            <v>0.2</v>
          </cell>
          <cell r="K137">
            <v>0.2</v>
          </cell>
          <cell r="L137">
            <v>0.25</v>
          </cell>
          <cell r="M137">
            <v>0.25</v>
          </cell>
          <cell r="N137">
            <v>0.29988560222258542</v>
          </cell>
          <cell r="O137">
            <v>0.3</v>
          </cell>
          <cell r="P137">
            <v>0.4</v>
          </cell>
          <cell r="Q137">
            <v>0.4</v>
          </cell>
          <cell r="R137">
            <v>0.6</v>
          </cell>
          <cell r="S137">
            <v>0.8</v>
          </cell>
          <cell r="T137">
            <v>1.4499918287301847</v>
          </cell>
          <cell r="U137">
            <v>2.4499918287301847</v>
          </cell>
          <cell r="V137">
            <v>3.0500081712698153</v>
          </cell>
          <cell r="W137">
            <v>3.399983657460369</v>
          </cell>
          <cell r="X137">
            <v>4.659993462984148</v>
          </cell>
          <cell r="Y137">
            <v>6.2299803889524439</v>
          </cell>
          <cell r="Z137">
            <v>6.4</v>
          </cell>
          <cell r="AA137">
            <v>5.41</v>
          </cell>
          <cell r="AB137">
            <v>2.8300000000000005</v>
          </cell>
        </row>
        <row r="138">
          <cell r="B138" t="str">
            <v>Free Cash Flow per share (Rs)</v>
          </cell>
          <cell r="D138">
            <v>0</v>
          </cell>
          <cell r="E138">
            <v>0</v>
          </cell>
          <cell r="F138">
            <v>0</v>
          </cell>
          <cell r="G138">
            <v>0</v>
          </cell>
          <cell r="H138">
            <v>-6.2697795637359048</v>
          </cell>
          <cell r="I138">
            <v>1.360058204077462</v>
          </cell>
          <cell r="J138">
            <v>-0.2819890660034286</v>
          </cell>
          <cell r="K138">
            <v>6.2908610339376392E-2</v>
          </cell>
          <cell r="L138">
            <v>2.1251849519257009</v>
          </cell>
          <cell r="M138">
            <v>1.4080974641648976</v>
          </cell>
          <cell r="N138">
            <v>0.65234654780192514</v>
          </cell>
          <cell r="O138">
            <v>-3.0293442555973189</v>
          </cell>
          <cell r="P138">
            <v>3.1249605103775093</v>
          </cell>
          <cell r="Q138">
            <v>4.3686672532276551</v>
          </cell>
          <cell r="R138">
            <v>6.5219546410238634</v>
          </cell>
          <cell r="S138">
            <v>2.8470873911382499</v>
          </cell>
          <cell r="T138">
            <v>5.1019242523287964</v>
          </cell>
          <cell r="U138">
            <v>11.691887992319009</v>
          </cell>
          <cell r="V138">
            <v>12.506105572806007</v>
          </cell>
          <cell r="W138">
            <v>11.396528803726092</v>
          </cell>
          <cell r="X138">
            <v>-0.19194312796207313</v>
          </cell>
          <cell r="Y138">
            <v>3.1874509464341187</v>
          </cell>
          <cell r="Z138">
            <v>-10.747715966661227</v>
          </cell>
          <cell r="AA138">
            <v>1.1126754371629757</v>
          </cell>
          <cell r="AB138">
            <v>8.953914038241539</v>
          </cell>
        </row>
        <row r="139">
          <cell r="B139" t="str">
            <v>Valuations</v>
          </cell>
        </row>
        <row r="140">
          <cell r="B140" t="str">
            <v>Recurring P/E (x)</v>
          </cell>
          <cell r="D140">
            <v>0</v>
          </cell>
          <cell r="E140">
            <v>0</v>
          </cell>
          <cell r="F140">
            <v>0</v>
          </cell>
          <cell r="G140">
            <v>289.50403903903907</v>
          </cell>
          <cell r="H140">
            <v>343.2033759160978</v>
          </cell>
          <cell r="I140">
            <v>290.51616501293989</v>
          </cell>
          <cell r="J140">
            <v>109.83955235352191</v>
          </cell>
          <cell r="K140">
            <v>88.095431748368455</v>
          </cell>
          <cell r="L140">
            <v>48.575082304031909</v>
          </cell>
          <cell r="M140">
            <v>55.907006531427591</v>
          </cell>
          <cell r="N140">
            <v>54.261068150824407</v>
          </cell>
          <cell r="O140">
            <v>66.642963748464453</v>
          </cell>
          <cell r="P140">
            <v>69.291966538909378</v>
          </cell>
          <cell r="Q140">
            <v>66.273283130373812</v>
          </cell>
          <cell r="R140">
            <v>46.419429136843405</v>
          </cell>
          <cell r="S140">
            <v>38.669585236902108</v>
          </cell>
          <cell r="T140">
            <v>23.04347705533602</v>
          </cell>
          <cell r="U140">
            <v>15.800565063484559</v>
          </cell>
          <cell r="V140">
            <v>12.621721152273812</v>
          </cell>
          <cell r="W140">
            <v>10.318778050275982</v>
          </cell>
          <cell r="X140">
            <v>9.232058243315711</v>
          </cell>
          <cell r="Y140">
            <v>7.2639155955618744</v>
          </cell>
          <cell r="Z140">
            <v>5.8235891179648629</v>
          </cell>
          <cell r="AA140">
            <v>6.0373506853936689</v>
          </cell>
          <cell r="AB140">
            <v>13.888136252480548</v>
          </cell>
        </row>
        <row r="141">
          <cell r="B141" t="str">
            <v>Reported P/E (x)</v>
          </cell>
          <cell r="D141">
            <v>0</v>
          </cell>
          <cell r="E141">
            <v>0</v>
          </cell>
          <cell r="F141">
            <v>0</v>
          </cell>
          <cell r="G141">
            <v>289.50403903903907</v>
          </cell>
          <cell r="H141">
            <v>281.7399048883355</v>
          </cell>
          <cell r="I141">
            <v>273.6284530906197</v>
          </cell>
          <cell r="J141">
            <v>110.03362962070575</v>
          </cell>
          <cell r="K141">
            <v>83.251269323751472</v>
          </cell>
          <cell r="L141">
            <v>53.593407474937244</v>
          </cell>
          <cell r="M141">
            <v>70.820692707634961</v>
          </cell>
          <cell r="N141">
            <v>64.318650203521017</v>
          </cell>
          <cell r="O141">
            <v>123.35671426985668</v>
          </cell>
          <cell r="P141">
            <v>82.424337897152157</v>
          </cell>
          <cell r="Q141">
            <v>86.73881461801264</v>
          </cell>
          <cell r="R141">
            <v>58.590290605999215</v>
          </cell>
          <cell r="S141">
            <v>40.446544752754697</v>
          </cell>
          <cell r="T141">
            <v>22.965017032325694</v>
          </cell>
          <cell r="U141">
            <v>15.969659999171757</v>
          </cell>
          <cell r="V141">
            <v>13.486307329663498</v>
          </cell>
          <cell r="W141">
            <v>12.287876846992395</v>
          </cell>
          <cell r="X141">
            <v>8.9457570105599142</v>
          </cell>
          <cell r="Y141">
            <v>6.4150256438409059</v>
          </cell>
          <cell r="Z141">
            <v>5.4775713532870194</v>
          </cell>
          <cell r="AA141">
            <v>5.8297070326377556</v>
          </cell>
          <cell r="AB141">
            <v>11.142556880240875</v>
          </cell>
        </row>
        <row r="142">
          <cell r="B142" t="str">
            <v>P/CEPS (x)</v>
          </cell>
          <cell r="D142">
            <v>0</v>
          </cell>
          <cell r="E142">
            <v>0</v>
          </cell>
          <cell r="F142">
            <v>0</v>
          </cell>
          <cell r="G142">
            <v>173.00106774338269</v>
          </cell>
          <cell r="H142">
            <v>190.40435558789997</v>
          </cell>
          <cell r="I142">
            <v>171.34020842924221</v>
          </cell>
          <cell r="J142">
            <v>86.096441401090161</v>
          </cell>
          <cell r="K142">
            <v>70.658296389550273</v>
          </cell>
          <cell r="L142">
            <v>42.004595338657381</v>
          </cell>
          <cell r="M142">
            <v>46.289050962038992</v>
          </cell>
          <cell r="N142">
            <v>44.622899503509807</v>
          </cell>
          <cell r="O142">
            <v>52.364446924931528</v>
          </cell>
          <cell r="P142">
            <v>55.862786201449723</v>
          </cell>
          <cell r="Q142">
            <v>53.802841147824765</v>
          </cell>
          <cell r="R142">
            <v>41.128088128335435</v>
          </cell>
          <cell r="S142">
            <v>32.23375473422977</v>
          </cell>
          <cell r="T142">
            <v>21.861343370541796</v>
          </cell>
          <cell r="U142">
            <v>15.118879714539487</v>
          </cell>
          <cell r="V142">
            <v>13.073419290813504</v>
          </cell>
          <cell r="W142">
            <v>10.804797634867969</v>
          </cell>
          <cell r="X142">
            <v>7.7933763672080261</v>
          </cell>
          <cell r="Y142">
            <v>5.9338925937378058</v>
          </cell>
          <cell r="Z142">
            <v>5.1908640796075725</v>
          </cell>
          <cell r="AA142">
            <v>5.3727201062010703</v>
          </cell>
          <cell r="AB142">
            <v>11.19544830349289</v>
          </cell>
        </row>
        <row r="143">
          <cell r="B143" t="str">
            <v>P/BV (x)</v>
          </cell>
          <cell r="D143">
            <v>0</v>
          </cell>
          <cell r="E143">
            <v>0</v>
          </cell>
          <cell r="F143">
            <v>0</v>
          </cell>
          <cell r="G143">
            <v>44.24473128642893</v>
          </cell>
          <cell r="H143">
            <v>38.171757743869492</v>
          </cell>
          <cell r="I143">
            <v>33.403869474009909</v>
          </cell>
          <cell r="J143">
            <v>25.906655808274586</v>
          </cell>
          <cell r="K143">
            <v>20.033868836602451</v>
          </cell>
          <cell r="L143">
            <v>14.859982913419904</v>
          </cell>
          <cell r="M143">
            <v>12.510098412153807</v>
          </cell>
          <cell r="N143">
            <v>11.484516576184978</v>
          </cell>
          <cell r="O143">
            <v>9.9618196798205769</v>
          </cell>
          <cell r="P143">
            <v>9.1371895943350943</v>
          </cell>
          <cell r="Q143">
            <v>8.1904300781316284</v>
          </cell>
          <cell r="R143">
            <v>7.3061379804704787</v>
          </cell>
          <cell r="S143">
            <v>6.3983105194254462</v>
          </cell>
          <cell r="T143">
            <v>5.2814605835479593</v>
          </cell>
          <cell r="U143">
            <v>4.3878922562600557</v>
          </cell>
          <cell r="V143">
            <v>3.5790965648525512</v>
          </cell>
          <cell r="W143">
            <v>2.9803311123665934</v>
          </cell>
          <cell r="X143">
            <v>2.4226340297637297</v>
          </cell>
          <cell r="Y143">
            <v>1.9133791872913548</v>
          </cell>
          <cell r="Z143">
            <v>1.5197894945101547</v>
          </cell>
          <cell r="AA143">
            <v>1.2666473306814783</v>
          </cell>
          <cell r="AB143">
            <v>1.1668798879173785</v>
          </cell>
        </row>
        <row r="144">
          <cell r="B144" t="str">
            <v>Dividend Yield (%)</v>
          </cell>
          <cell r="D144">
            <v>0</v>
          </cell>
          <cell r="E144">
            <v>0</v>
          </cell>
          <cell r="F144">
            <v>0</v>
          </cell>
          <cell r="G144">
            <v>9.5207870517296091E-4</v>
          </cell>
          <cell r="H144">
            <v>9.5207870517296091E-4</v>
          </cell>
          <cell r="I144">
            <v>9.5207870517296091E-4</v>
          </cell>
          <cell r="J144">
            <v>1.2694382735639479E-3</v>
          </cell>
          <cell r="K144">
            <v>1.2694382735639479E-3</v>
          </cell>
          <cell r="L144">
            <v>1.5867978419549348E-3</v>
          </cell>
          <cell r="M144">
            <v>1.5867978419549348E-3</v>
          </cell>
          <cell r="N144">
            <v>1.9034313057606181E-3</v>
          </cell>
          <cell r="O144">
            <v>1.9041574103459218E-3</v>
          </cell>
          <cell r="P144">
            <v>2.5388765471278957E-3</v>
          </cell>
          <cell r="Q144">
            <v>2.5388765471278957E-3</v>
          </cell>
          <cell r="R144">
            <v>3.8083148206918436E-3</v>
          </cell>
          <cell r="S144">
            <v>5.0777530942557915E-3</v>
          </cell>
          <cell r="T144">
            <v>9.2033756187253866E-3</v>
          </cell>
          <cell r="U144">
            <v>1.5550566986545125E-2</v>
          </cell>
          <cell r="V144">
            <v>1.9358985536463442E-2</v>
          </cell>
          <cell r="W144">
            <v>2.1580346921360641E-2</v>
          </cell>
          <cell r="X144">
            <v>2.9577870282349396E-2</v>
          </cell>
          <cell r="Y144">
            <v>3.9542877746445215E-2</v>
          </cell>
          <cell r="Z144">
            <v>4.0622024754046332E-2</v>
          </cell>
          <cell r="AA144">
            <v>3.4338305299904788E-2</v>
          </cell>
          <cell r="AB144">
            <v>1.7962551570929866E-2</v>
          </cell>
        </row>
        <row r="145">
          <cell r="B145" t="str">
            <v>P/OB (x)</v>
          </cell>
          <cell r="D145">
            <v>0</v>
          </cell>
          <cell r="E145">
            <v>0</v>
          </cell>
          <cell r="F145">
            <v>0</v>
          </cell>
          <cell r="G145" t="str">
            <v>na</v>
          </cell>
          <cell r="H145">
            <v>5.784261778691107</v>
          </cell>
          <cell r="I145">
            <v>5.0739392105263157</v>
          </cell>
          <cell r="J145">
            <v>4.6181961676646708</v>
          </cell>
          <cell r="K145">
            <v>3.6379186792452831</v>
          </cell>
          <cell r="L145">
            <v>3.8180136633663366</v>
          </cell>
          <cell r="M145">
            <v>4.192213231340693</v>
          </cell>
          <cell r="N145">
            <v>3.6725655238095238</v>
          </cell>
          <cell r="O145">
            <v>3.8180136633663366</v>
          </cell>
          <cell r="P145">
            <v>3.0849550400000001</v>
          </cell>
          <cell r="Q145">
            <v>2.4406289873417721</v>
          </cell>
          <cell r="R145">
            <v>1.6305259196617337</v>
          </cell>
          <cell r="S145">
            <v>1.2050605624999999</v>
          </cell>
          <cell r="T145">
            <v>1.0255834574468086</v>
          </cell>
          <cell r="U145">
            <v>0.70112614545454544</v>
          </cell>
          <cell r="V145">
            <v>0.45260490610328641</v>
          </cell>
          <cell r="W145">
            <v>0.32958921367521365</v>
          </cell>
          <cell r="X145">
            <v>0.26723449757449758</v>
          </cell>
          <cell r="Y145">
            <v>0.23492605927685889</v>
          </cell>
          <cell r="Z145">
            <v>0.28632055004046597</v>
          </cell>
          <cell r="AA145">
            <v>0.33479716964750827</v>
          </cell>
          <cell r="AB145">
            <v>0.37977838838661387</v>
          </cell>
        </row>
        <row r="146">
          <cell r="B146" t="str">
            <v>EV/Sales (x)</v>
          </cell>
          <cell r="D146">
            <v>0</v>
          </cell>
          <cell r="E146">
            <v>0</v>
          </cell>
          <cell r="F146">
            <v>0</v>
          </cell>
          <cell r="G146">
            <v>10.833298463643359</v>
          </cell>
          <cell r="H146">
            <v>11.643803153150591</v>
          </cell>
          <cell r="I146">
            <v>10.126454272925606</v>
          </cell>
          <cell r="J146">
            <v>8.7201261083918951</v>
          </cell>
          <cell r="K146">
            <v>7.2554085787818918</v>
          </cell>
          <cell r="L146">
            <v>6.3156935486998096</v>
          </cell>
          <cell r="M146">
            <v>5.9135701940337642</v>
          </cell>
          <cell r="N146">
            <v>5.9835574052131548</v>
          </cell>
          <cell r="O146">
            <v>6.3732693585665725</v>
          </cell>
          <cell r="P146">
            <v>5.5200302651205133</v>
          </cell>
          <cell r="Q146">
            <v>5.2680544596747803</v>
          </cell>
          <cell r="R146">
            <v>4.3168210617479721</v>
          </cell>
          <cell r="S146">
            <v>3.5786230241081403</v>
          </cell>
          <cell r="T146">
            <v>2.5449545655576964</v>
          </cell>
          <cell r="U146">
            <v>1.852958653327526</v>
          </cell>
          <cell r="V146">
            <v>1.5254419060529172</v>
          </cell>
          <cell r="W146">
            <v>1.0562370744422853</v>
          </cell>
          <cell r="X146">
            <v>0.86014936443326406</v>
          </cell>
          <cell r="Y146">
            <v>0.71718000388306746</v>
          </cell>
          <cell r="Z146">
            <v>0.66723902949818148</v>
          </cell>
          <cell r="AA146">
            <v>0.66588169455019286</v>
          </cell>
          <cell r="AB146">
            <v>0.75031081216185713</v>
          </cell>
        </row>
        <row r="147">
          <cell r="B147" t="str">
            <v>EV/EBITDA (x)</v>
          </cell>
          <cell r="D147">
            <v>0</v>
          </cell>
          <cell r="E147">
            <v>0</v>
          </cell>
          <cell r="F147">
            <v>0</v>
          </cell>
          <cell r="G147">
            <v>152.6977139413419</v>
          </cell>
          <cell r="H147">
            <v>108.47633543267462</v>
          </cell>
          <cell r="I147">
            <v>104.83959209125273</v>
          </cell>
          <cell r="J147">
            <v>57.573307731067629</v>
          </cell>
          <cell r="K147">
            <v>39.105861542016619</v>
          </cell>
          <cell r="L147">
            <v>29.95117131637052</v>
          </cell>
          <cell r="M147">
            <v>33.559015647469629</v>
          </cell>
          <cell r="N147">
            <v>32.099366572118853</v>
          </cell>
          <cell r="O147">
            <v>53.624558433615668</v>
          </cell>
          <cell r="P147">
            <v>37.761837064045032</v>
          </cell>
          <cell r="Q147">
            <v>34.762110639946421</v>
          </cell>
          <cell r="R147">
            <v>24.929123717863568</v>
          </cell>
          <cell r="S147">
            <v>20.082094209975164</v>
          </cell>
          <cell r="T147">
            <v>13.04413751705728</v>
          </cell>
          <cell r="U147">
            <v>8.7938174583836553</v>
          </cell>
          <cell r="V147">
            <v>6.8201035933229877</v>
          </cell>
          <cell r="W147">
            <v>5.1573239037573018</v>
          </cell>
          <cell r="X147">
            <v>4.6888154820621972</v>
          </cell>
          <cell r="Y147">
            <v>3.5840904209224305</v>
          </cell>
          <cell r="Z147">
            <v>3.2912592952042772</v>
          </cell>
          <cell r="AA147">
            <v>3.4340438538290856</v>
          </cell>
          <cell r="AB147">
            <v>6.492230459995179</v>
          </cell>
        </row>
        <row r="148">
          <cell r="B148" t="str">
            <v>EV/OB (x)</v>
          </cell>
          <cell r="D148">
            <v>0</v>
          </cell>
          <cell r="E148">
            <v>0</v>
          </cell>
          <cell r="F148">
            <v>0</v>
          </cell>
          <cell r="G148" t="str">
            <v>na</v>
          </cell>
          <cell r="H148">
            <v>5.9316120269398649</v>
          </cell>
          <cell r="I148">
            <v>5.1522493289473683</v>
          </cell>
          <cell r="J148">
            <v>4.7003986107784428</v>
          </cell>
          <cell r="K148">
            <v>3.68958970754717</v>
          </cell>
          <cell r="L148">
            <v>3.8154561089108907</v>
          </cell>
          <cell r="M148">
            <v>4.1522806890978154</v>
          </cell>
          <cell r="N148">
            <v>3.6611464476190476</v>
          </cell>
          <cell r="O148">
            <v>3.8865842871287128</v>
          </cell>
          <cell r="P148">
            <v>3.1000906400000003</v>
          </cell>
          <cell r="Q148">
            <v>2.3906403797468352</v>
          </cell>
          <cell r="R148">
            <v>1.5409017082452432</v>
          </cell>
          <cell r="S148">
            <v>1.1225330874999999</v>
          </cell>
          <cell r="T148">
            <v>0.93048412234042566</v>
          </cell>
          <cell r="U148">
            <v>0.59713378181818189</v>
          </cell>
          <cell r="V148">
            <v>0.35529457746478871</v>
          </cell>
          <cell r="W148">
            <v>0.24270630769230769</v>
          </cell>
          <cell r="X148">
            <v>0.20027448371448373</v>
          </cell>
          <cell r="Y148">
            <v>0.17687975874988579</v>
          </cell>
          <cell r="Z148">
            <v>0.23769787869112941</v>
          </cell>
          <cell r="AA148">
            <v>0.27995388088209761</v>
          </cell>
          <cell r="AB148">
            <v>0.2889930666351514</v>
          </cell>
        </row>
        <row r="149">
          <cell r="B149" t="str">
            <v>Gearing Ratios</v>
          </cell>
        </row>
        <row r="150">
          <cell r="B150" t="str">
            <v>Net Debt / EBITDA (x)</v>
          </cell>
          <cell r="D150">
            <v>0</v>
          </cell>
          <cell r="E150">
            <v>0</v>
          </cell>
          <cell r="F150">
            <v>0</v>
          </cell>
          <cell r="G150">
            <v>-2.2317276014463641</v>
          </cell>
          <cell r="H150">
            <v>2.6947168632278919</v>
          </cell>
          <cell r="I150">
            <v>1.5934789540859042</v>
          </cell>
          <cell r="J150">
            <v>1.0068649375358008</v>
          </cell>
          <cell r="K150">
            <v>0.54765983176230282</v>
          </cell>
          <cell r="L150">
            <v>-2.0076695802395648E-2</v>
          </cell>
          <cell r="M150">
            <v>-0.32273752915850146</v>
          </cell>
          <cell r="N150">
            <v>-0.1001175773210123</v>
          </cell>
          <cell r="O150">
            <v>0.94609280260625017</v>
          </cell>
          <cell r="P150">
            <v>0.18436495168623832</v>
          </cell>
          <cell r="Q150">
            <v>-0.72688034665258872</v>
          </cell>
          <cell r="R150">
            <v>-1.4499646814344747</v>
          </cell>
          <cell r="S150">
            <v>-1.4764148570020392</v>
          </cell>
          <cell r="T150">
            <v>-1.3331649354619821</v>
          </cell>
          <cell r="U150">
            <v>-1.5314656291920934</v>
          </cell>
          <cell r="V150">
            <v>-1.8679331577488851</v>
          </cell>
          <cell r="W150">
            <v>-1.8461954784529107</v>
          </cell>
          <cell r="X150">
            <v>-1.5676642567883285</v>
          </cell>
          <cell r="Y150">
            <v>-1.1761842686753623</v>
          </cell>
          <cell r="Z150">
            <v>-0.67324883132050783</v>
          </cell>
          <cell r="AA150">
            <v>-0.67273315917327503</v>
          </cell>
          <cell r="AB150">
            <v>-2.039492635784975</v>
          </cell>
        </row>
        <row r="151">
          <cell r="B151" t="str">
            <v>Gross Debt / Equity (x)</v>
          </cell>
          <cell r="D151">
            <v>0</v>
          </cell>
          <cell r="E151">
            <v>0</v>
          </cell>
          <cell r="F151">
            <v>0</v>
          </cell>
          <cell r="G151">
            <v>1.7298866400477304</v>
          </cell>
          <cell r="H151">
            <v>1.3699471116092636</v>
          </cell>
          <cell r="I151">
            <v>0.93210614932078584</v>
          </cell>
          <cell r="J151">
            <v>0.69280986693005564</v>
          </cell>
          <cell r="K151">
            <v>0.46653657428604484</v>
          </cell>
          <cell r="L151">
            <v>0.15008691651197931</v>
          </cell>
          <cell r="M151">
            <v>5.5186842685113549E-2</v>
          </cell>
          <cell r="N151">
            <v>7.1685424164781672E-2</v>
          </cell>
          <cell r="O151">
            <v>0.26494605374829111</v>
          </cell>
          <cell r="P151">
            <v>0.15775650239136615</v>
          </cell>
          <cell r="Q151">
            <v>0.11280199923108131</v>
          </cell>
          <cell r="R151">
            <v>0.10231608849334659</v>
          </cell>
          <cell r="S151">
            <v>8.9097786989377509E-2</v>
          </cell>
          <cell r="T151">
            <v>7.6456859319260509E-2</v>
          </cell>
          <cell r="U151">
            <v>1.016469699348904E-2</v>
          </cell>
          <cell r="V151">
            <v>8.8340583671563857E-3</v>
          </cell>
          <cell r="W151">
            <v>1.1544338312410493E-2</v>
          </cell>
          <cell r="X151">
            <v>8.0258284037051375E-3</v>
          </cell>
          <cell r="Y151">
            <v>5.0680168146616219E-3</v>
          </cell>
          <cell r="Z151">
            <v>4.8645796097537518E-3</v>
          </cell>
          <cell r="AA151">
            <v>4.6485197460263229E-2</v>
          </cell>
          <cell r="AB151">
            <v>8.0333040316760501E-2</v>
          </cell>
        </row>
        <row r="152">
          <cell r="B152" t="str">
            <v>Net Debt / Equity (x)</v>
          </cell>
          <cell r="D152">
            <v>0</v>
          </cell>
          <cell r="E152">
            <v>0</v>
          </cell>
          <cell r="F152">
            <v>0</v>
          </cell>
          <cell r="G152">
            <v>-0.63733650006884213</v>
          </cell>
          <cell r="H152">
            <v>0.97240031569308016</v>
          </cell>
          <cell r="I152">
            <v>0.51554834728888288</v>
          </cell>
          <cell r="J152">
            <v>0.46113034679180054</v>
          </cell>
          <cell r="K152">
            <v>0.28455023185595996</v>
          </cell>
          <cell r="L152">
            <v>-9.9541853065430227E-3</v>
          </cell>
          <cell r="M152">
            <v>-0.11916379385743511</v>
          </cell>
          <cell r="N152">
            <v>-3.5708707971045202E-2</v>
          </cell>
          <cell r="O152">
            <v>0.17891192894562197</v>
          </cell>
          <cell r="P152">
            <v>4.4829452951774026E-2</v>
          </cell>
          <cell r="Q152">
            <v>-0.16775519644033254</v>
          </cell>
          <cell r="R152">
            <v>-0.4015924230971944</v>
          </cell>
          <cell r="S152">
            <v>-0.43818246805676253</v>
          </cell>
          <cell r="T152">
            <v>-0.48973429342977676</v>
          </cell>
          <cell r="U152">
            <v>-0.65082052647509281</v>
          </cell>
          <cell r="V152">
            <v>-0.76950792679927349</v>
          </cell>
          <cell r="W152">
            <v>-0.78564412028617781</v>
          </cell>
          <cell r="X152">
            <v>-0.60703093980408807</v>
          </cell>
          <cell r="Y152">
            <v>-0.47276399931725166</v>
          </cell>
          <cell r="Z152">
            <v>-0.25808914205179401</v>
          </cell>
          <cell r="AA152">
            <v>-0.20749012123859792</v>
          </cell>
          <cell r="AB152">
            <v>-0.27894048031518698</v>
          </cell>
        </row>
        <row r="153">
          <cell r="B153" t="str">
            <v>Average Interest Rate (%)</v>
          </cell>
          <cell r="D153">
            <v>0</v>
          </cell>
          <cell r="E153">
            <v>0</v>
          </cell>
          <cell r="F153">
            <v>0</v>
          </cell>
          <cell r="G153">
            <v>0.16528487099555614</v>
          </cell>
          <cell r="H153">
            <v>7.5835311067870129E-2</v>
          </cell>
          <cell r="I153">
            <v>8.4474236641570472E-2</v>
          </cell>
          <cell r="J153">
            <v>0.10716601324198723</v>
          </cell>
          <cell r="K153">
            <v>0.16497446444638914</v>
          </cell>
          <cell r="L153">
            <v>9.6364898584481051E-2</v>
          </cell>
          <cell r="M153">
            <v>0.1136192772600077</v>
          </cell>
          <cell r="N153">
            <v>0.10555339181912891</v>
          </cell>
          <cell r="O153">
            <v>6.9121241134404529E-2</v>
          </cell>
          <cell r="P153">
            <v>0.11467028201117985</v>
          </cell>
          <cell r="Q153">
            <v>9.1538365904816149E-2</v>
          </cell>
          <cell r="R153">
            <v>0.11218192442601758</v>
          </cell>
          <cell r="S153">
            <v>0.15117141060633466</v>
          </cell>
          <cell r="T153">
            <v>0.10728405796333954</v>
          </cell>
          <cell r="U153">
            <v>0.13382328778461769</v>
          </cell>
          <cell r="V153">
            <v>0.38393583003631238</v>
          </cell>
          <cell r="W153">
            <v>0.25115518298916378</v>
          </cell>
          <cell r="X153">
            <v>0.24177251732101618</v>
          </cell>
          <cell r="Y153">
            <v>0.47614076297359603</v>
          </cell>
          <cell r="Z153">
            <v>0.45467039056612135</v>
          </cell>
          <cell r="AA153">
            <v>0.16283316976791043</v>
          </cell>
          <cell r="AB153">
            <v>6.5174927579318767E-2</v>
          </cell>
        </row>
        <row r="154">
          <cell r="B154" t="str">
            <v>Interest Coverage (x)</v>
          </cell>
          <cell r="D154">
            <v>0</v>
          </cell>
          <cell r="E154">
            <v>0</v>
          </cell>
          <cell r="F154">
            <v>0</v>
          </cell>
          <cell r="G154">
            <v>4.19983948635634</v>
          </cell>
          <cell r="H154">
            <v>4.1981675340144466</v>
          </cell>
          <cell r="I154">
            <v>5.198060110025903</v>
          </cell>
          <cell r="J154">
            <v>7.0264961541697506</v>
          </cell>
          <cell r="K154">
            <v>6.8119852757281958</v>
          </cell>
          <cell r="L154">
            <v>22.842047451244646</v>
          </cell>
          <cell r="M154">
            <v>42.864432637833808</v>
          </cell>
          <cell r="N154">
            <v>57.90663843957693</v>
          </cell>
          <cell r="O154">
            <v>17.826908356392575</v>
          </cell>
          <cell r="P154">
            <v>11.168951603339806</v>
          </cell>
          <cell r="Q154">
            <v>21.137538152610453</v>
          </cell>
          <cell r="R154">
            <v>25.827233688415443</v>
          </cell>
          <cell r="S154">
            <v>23.755708696479982</v>
          </cell>
          <cell r="T154">
            <v>48.609531914893608</v>
          </cell>
          <cell r="U154">
            <v>93.965381952457818</v>
          </cell>
          <cell r="V154">
            <v>143.75381140598526</v>
          </cell>
          <cell r="W154">
            <v>205.22370563334414</v>
          </cell>
          <cell r="X154">
            <v>208.58746268656722</v>
          </cell>
          <cell r="Y154">
            <v>159.81838114379681</v>
          </cell>
          <cell r="Z154">
            <v>212.42238689547577</v>
          </cell>
          <cell r="AA154">
            <v>82.488624570926874</v>
          </cell>
          <cell r="AB154">
            <v>41.295408278669981</v>
          </cell>
        </row>
        <row r="155">
          <cell r="B155" t="str">
            <v>Growth (%)</v>
          </cell>
        </row>
        <row r="156">
          <cell r="B156" t="str">
            <v>Sales Growth (%)</v>
          </cell>
          <cell r="D156">
            <v>0</v>
          </cell>
          <cell r="E156">
            <v>0</v>
          </cell>
          <cell r="F156">
            <v>0</v>
          </cell>
          <cell r="G156">
            <v>0</v>
          </cell>
          <cell r="H156">
            <v>-3.1962745489268141E-2</v>
          </cell>
          <cell r="I156">
            <v>0.13858186694162744</v>
          </cell>
          <cell r="J156">
            <v>0.1639795262867707</v>
          </cell>
          <cell r="K156">
            <v>0.19763275707693362</v>
          </cell>
          <cell r="L156">
            <v>0.1319434263046213</v>
          </cell>
          <cell r="M156">
            <v>5.8536037892351844E-2</v>
          </cell>
          <cell r="N156">
            <v>-5.2945365824339508E-3</v>
          </cell>
          <cell r="O156">
            <v>-4.1305463948214771E-2</v>
          </cell>
          <cell r="P156">
            <v>0.13976615202694864</v>
          </cell>
          <cell r="Q156">
            <v>2.1358331326119195E-2</v>
          </cell>
          <cell r="R156">
            <v>0.17739165396728063</v>
          </cell>
          <cell r="S156">
            <v>0.18902542919185472</v>
          </cell>
          <cell r="T156">
            <v>0.36956800190036021</v>
          </cell>
          <cell r="U156">
            <v>0.28929359116858033</v>
          </cell>
          <cell r="V156">
            <v>0.11960260162895198</v>
          </cell>
          <cell r="W156">
            <v>0.35479322621528264</v>
          </cell>
          <cell r="X156">
            <v>0.24971954329448098</v>
          </cell>
          <cell r="Y156">
            <v>0.20492369270404875</v>
          </cell>
          <cell r="Z156">
            <v>0.18514795919123506</v>
          </cell>
          <cell r="AA156">
            <v>9.2907526622647563E-3</v>
          </cell>
          <cell r="AB156">
            <v>-0.19237764237841692</v>
          </cell>
        </row>
        <row r="157">
          <cell r="B157" t="str">
            <v>EBITDA Growth (%)</v>
          </cell>
          <cell r="D157">
            <v>0</v>
          </cell>
          <cell r="E157">
            <v>0</v>
          </cell>
          <cell r="F157">
            <v>0</v>
          </cell>
          <cell r="G157">
            <v>0</v>
          </cell>
          <cell r="H157">
            <v>0.46461591000401925</v>
          </cell>
          <cell r="I157">
            <v>2.4557877824527674E-2</v>
          </cell>
          <cell r="J157">
            <v>0.82521841640310178</v>
          </cell>
          <cell r="K157">
            <v>0.46704048126000486</v>
          </cell>
          <cell r="L157">
            <v>0.28650637753201935</v>
          </cell>
          <cell r="M157">
            <v>-0.11541625795068666</v>
          </cell>
          <cell r="N157">
            <v>5.2245216705359088E-2</v>
          </cell>
          <cell r="O157">
            <v>-0.3887543275276133</v>
          </cell>
          <cell r="P157">
            <v>0.40186294260289257</v>
          </cell>
          <cell r="Q157">
            <v>5.8848703998048535E-2</v>
          </cell>
          <cell r="R157">
            <v>0.34534561806705155</v>
          </cell>
          <cell r="S157">
            <v>0.22360448569724523</v>
          </cell>
          <cell r="T157">
            <v>0.49948219689846041</v>
          </cell>
          <cell r="U157">
            <v>0.39243663641718873</v>
          </cell>
          <cell r="V157">
            <v>0.18844836680759691</v>
          </cell>
          <cell r="W157">
            <v>0.24052441021874493</v>
          </cell>
          <cell r="X157">
            <v>0.11940255136140454</v>
          </cell>
          <cell r="Y157">
            <v>0.31431065365245781</v>
          </cell>
          <cell r="Z157">
            <v>0.20072264646120463</v>
          </cell>
          <cell r="AA157">
            <v>-3.4642466836436903E-2</v>
          </cell>
          <cell r="AB157">
            <v>-0.51864623747181859</v>
          </cell>
        </row>
        <row r="158">
          <cell r="B158" t="str">
            <v>EBIT Growth (%)</v>
          </cell>
          <cell r="D158">
            <v>0</v>
          </cell>
          <cell r="E158">
            <v>0</v>
          </cell>
          <cell r="F158">
            <v>0</v>
          </cell>
          <cell r="G158">
            <v>0</v>
          </cell>
          <cell r="H158">
            <v>0.72346231155779117</v>
          </cell>
          <cell r="I158">
            <v>2.4766815659720942E-2</v>
          </cell>
          <cell r="J158">
            <v>1.0802078880224371</v>
          </cell>
          <cell r="K158">
            <v>0.52519032103803998</v>
          </cell>
          <cell r="L158">
            <v>0.30309050733033938</v>
          </cell>
          <cell r="M158">
            <v>-0.14420935032673698</v>
          </cell>
          <cell r="N158">
            <v>4.9535989616572129E-2</v>
          </cell>
          <cell r="O158">
            <v>-0.45000710184213977</v>
          </cell>
          <cell r="P158">
            <v>0.49238861461571215</v>
          </cell>
          <cell r="Q158">
            <v>5.1624516173750301E-2</v>
          </cell>
          <cell r="R158">
            <v>0.40233241638059036</v>
          </cell>
          <cell r="S158">
            <v>0.24212700648018926</v>
          </cell>
          <cell r="T158">
            <v>0.55187912795478344</v>
          </cell>
          <cell r="U158">
            <v>0.42095303771021331</v>
          </cell>
          <cell r="V158">
            <v>0.19630590396736913</v>
          </cell>
          <cell r="W158">
            <v>0.24883732161398631</v>
          </cell>
          <cell r="X158">
            <v>0.10319404618499184</v>
          </cell>
          <cell r="Y158">
            <v>0.31946101755416079</v>
          </cell>
          <cell r="Z158">
            <v>0.18578044362167789</v>
          </cell>
          <cell r="AA158">
            <v>-5.4930159665454892E-2</v>
          </cell>
          <cell r="AB158">
            <v>-0.58075799744916168</v>
          </cell>
        </row>
        <row r="159">
          <cell r="B159" t="str">
            <v>PBT Growth (%)</v>
          </cell>
          <cell r="D159">
            <v>0</v>
          </cell>
          <cell r="E159">
            <v>0</v>
          </cell>
          <cell r="F159">
            <v>0</v>
          </cell>
          <cell r="G159">
            <v>0</v>
          </cell>
          <cell r="H159">
            <v>-0.1569770226537206</v>
          </cell>
          <cell r="I159">
            <v>0.32005101075225495</v>
          </cell>
          <cell r="J159">
            <v>0.69735434348604652</v>
          </cell>
          <cell r="K159">
            <v>0.39959164694062244</v>
          </cell>
          <cell r="L159">
            <v>0.50666393761004724</v>
          </cell>
          <cell r="M159">
            <v>-3.5114314995242979E-2</v>
          </cell>
          <cell r="N159">
            <v>-9.0309211922924848E-2</v>
          </cell>
          <cell r="O159">
            <v>-0.46438092833142419</v>
          </cell>
          <cell r="P159">
            <v>0.41183973034459687</v>
          </cell>
          <cell r="Q159">
            <v>0.12344210024829327</v>
          </cell>
          <cell r="R159">
            <v>0.40950225844995214</v>
          </cell>
          <cell r="S159">
            <v>0.2628114411730611</v>
          </cell>
          <cell r="T159">
            <v>0.56166422930502624</v>
          </cell>
          <cell r="U159">
            <v>0.47198300361016421</v>
          </cell>
          <cell r="V159">
            <v>0.26733719995100191</v>
          </cell>
          <cell r="W159">
            <v>0.24758937032608941</v>
          </cell>
          <cell r="X159">
            <v>9.4102845670861912E-2</v>
          </cell>
          <cell r="Y159">
            <v>0.24989771361670643</v>
          </cell>
          <cell r="Z159">
            <v>0.23673632603312722</v>
          </cell>
          <cell r="AA159">
            <v>-7.8377850850548381E-2</v>
          </cell>
          <cell r="AB159">
            <v>-0.52872975756076168</v>
          </cell>
        </row>
        <row r="160">
          <cell r="B160" t="str">
            <v>Recurring PAT Growth (%)</v>
          </cell>
          <cell r="D160">
            <v>0</v>
          </cell>
          <cell r="E160">
            <v>0</v>
          </cell>
          <cell r="F160">
            <v>0</v>
          </cell>
          <cell r="G160">
            <v>0</v>
          </cell>
          <cell r="H160">
            <v>-0.15646506021020767</v>
          </cell>
          <cell r="I160">
            <v>0.1813572435833688</v>
          </cell>
          <cell r="J160">
            <v>1.6449139566583892</v>
          </cell>
          <cell r="K160">
            <v>0.24682461023929525</v>
          </cell>
          <cell r="L160">
            <v>0.81359305161807627</v>
          </cell>
          <cell r="M160">
            <v>-0.13114499742128216</v>
          </cell>
          <cell r="N160">
            <v>3.0333689267379116E-2</v>
          </cell>
          <cell r="O160">
            <v>-0.1857944920393092</v>
          </cell>
          <cell r="P160">
            <v>-3.8229580177341904E-2</v>
          </cell>
          <cell r="Q160">
            <v>4.5549024674047978E-2</v>
          </cell>
          <cell r="R160">
            <v>0.42770569054181418</v>
          </cell>
          <cell r="S160">
            <v>0.20041187027125584</v>
          </cell>
          <cell r="T160">
            <v>0.67811416410995395</v>
          </cell>
          <cell r="U160">
            <v>0.45839575754097428</v>
          </cell>
          <cell r="V160">
            <v>0.2518550261774779</v>
          </cell>
          <cell r="W160">
            <v>0.22317982718275786</v>
          </cell>
          <cell r="X160">
            <v>0.11771154149152907</v>
          </cell>
          <cell r="Y160">
            <v>0.27094789605709879</v>
          </cell>
          <cell r="Z160">
            <v>0.2473262533501599</v>
          </cell>
          <cell r="AA160">
            <v>-3.5406518283916499E-2</v>
          </cell>
          <cell r="AB160">
            <v>-0.56528719364231872</v>
          </cell>
        </row>
        <row r="161">
          <cell r="B161" t="str">
            <v>Reported PAT Growth (%)</v>
          </cell>
          <cell r="D161">
            <v>0</v>
          </cell>
          <cell r="E161">
            <v>0</v>
          </cell>
          <cell r="F161">
            <v>0</v>
          </cell>
          <cell r="G161">
            <v>0</v>
          </cell>
          <cell r="H161">
            <v>2.7557807807810475E-2</v>
          </cell>
          <cell r="I161">
            <v>2.9644036305791266E-2</v>
          </cell>
          <cell r="J161">
            <v>1.4867711265531969</v>
          </cell>
          <cell r="K161">
            <v>0.32170512851644073</v>
          </cell>
          <cell r="L161">
            <v>0.55338638176129429</v>
          </cell>
          <cell r="M161">
            <v>-0.2432521424750268</v>
          </cell>
          <cell r="N161">
            <v>0.10109109074179545</v>
          </cell>
          <cell r="O161">
            <v>-0.47859627597718968</v>
          </cell>
          <cell r="P161">
            <v>0.49660546165113684</v>
          </cell>
          <cell r="Q161">
            <v>-4.9741015482640982E-2</v>
          </cell>
          <cell r="R161">
            <v>0.48042984120531429</v>
          </cell>
          <cell r="S161">
            <v>0.44858580539216031</v>
          </cell>
          <cell r="T161">
            <v>0.76122424363203822</v>
          </cell>
          <cell r="U161">
            <v>0.43804044879582538</v>
          </cell>
          <cell r="V161">
            <v>0.1841388164161184</v>
          </cell>
          <cell r="W161">
            <v>9.7529499814642984E-2</v>
          </cell>
          <cell r="X161">
            <v>0.37359832515988467</v>
          </cell>
          <cell r="Y161">
            <v>0.39450058459996584</v>
          </cell>
          <cell r="Z161">
            <v>0.17114414949452583</v>
          </cell>
          <cell r="AA161">
            <v>-6.0403666492895081E-2</v>
          </cell>
          <cell r="AB161">
            <v>-0.47680706544333729</v>
          </cell>
        </row>
        <row r="162">
          <cell r="B162" t="str">
            <v>Recurring EPS Growth (%)</v>
          </cell>
          <cell r="D162">
            <v>0</v>
          </cell>
          <cell r="E162">
            <v>0</v>
          </cell>
          <cell r="F162">
            <v>0</v>
          </cell>
          <cell r="G162">
            <v>0</v>
          </cell>
          <cell r="H162">
            <v>-0.15646506021020756</v>
          </cell>
          <cell r="I162">
            <v>0.1813572435833688</v>
          </cell>
          <cell r="J162">
            <v>1.6449139566583892</v>
          </cell>
          <cell r="K162">
            <v>0.24682461023929503</v>
          </cell>
          <cell r="L162">
            <v>0.81359305161807627</v>
          </cell>
          <cell r="M162">
            <v>-0.13114499742128216</v>
          </cell>
          <cell r="N162">
            <v>3.0333689267379116E-2</v>
          </cell>
          <cell r="O162">
            <v>-0.1857944920393092</v>
          </cell>
          <cell r="P162">
            <v>-3.8229580177341904E-2</v>
          </cell>
          <cell r="Q162">
            <v>4.5549024674047978E-2</v>
          </cell>
          <cell r="R162">
            <v>0.42770569054181418</v>
          </cell>
          <cell r="S162">
            <v>0.20041187027125584</v>
          </cell>
          <cell r="T162">
            <v>0.67811416410995395</v>
          </cell>
          <cell r="U162">
            <v>0.4583957575409745</v>
          </cell>
          <cell r="V162">
            <v>0.2518550261774779</v>
          </cell>
          <cell r="W162">
            <v>0.22317982718275786</v>
          </cell>
          <cell r="X162">
            <v>0.11771154149152929</v>
          </cell>
          <cell r="Y162">
            <v>0.27094789605709879</v>
          </cell>
          <cell r="Z162">
            <v>0.2473262533501599</v>
          </cell>
          <cell r="AA162">
            <v>-3.5406518283916388E-2</v>
          </cell>
          <cell r="AB162">
            <v>-0.56528719364231872</v>
          </cell>
        </row>
        <row r="163">
          <cell r="B163" t="str">
            <v>Reported EPS Growth (%)</v>
          </cell>
          <cell r="D163">
            <v>0</v>
          </cell>
          <cell r="E163">
            <v>0</v>
          </cell>
          <cell r="F163">
            <v>0</v>
          </cell>
          <cell r="G163">
            <v>0</v>
          </cell>
          <cell r="H163">
            <v>2.7557807807810475E-2</v>
          </cell>
          <cell r="I163">
            <v>2.9644036305791266E-2</v>
          </cell>
          <cell r="J163">
            <v>1.4867711265531969</v>
          </cell>
          <cell r="K163">
            <v>0.32170512851644073</v>
          </cell>
          <cell r="L163">
            <v>0.55338638176129429</v>
          </cell>
          <cell r="M163">
            <v>-0.2432521424750268</v>
          </cell>
          <cell r="N163">
            <v>0.10109109074179545</v>
          </cell>
          <cell r="O163">
            <v>-0.47859627597718979</v>
          </cell>
          <cell r="P163">
            <v>0.49660546165113684</v>
          </cell>
          <cell r="Q163">
            <v>-4.9741015482640982E-2</v>
          </cell>
          <cell r="R163">
            <v>0.48042984120531451</v>
          </cell>
          <cell r="S163">
            <v>0.44858580539216031</v>
          </cell>
          <cell r="T163">
            <v>0.76122424363203822</v>
          </cell>
          <cell r="U163">
            <v>0.43804044879582538</v>
          </cell>
          <cell r="V163">
            <v>0.1841388164161184</v>
          </cell>
          <cell r="W163">
            <v>9.7529499814643206E-2</v>
          </cell>
          <cell r="X163">
            <v>0.37359832515988467</v>
          </cell>
          <cell r="Y163">
            <v>0.39450058459996562</v>
          </cell>
          <cell r="Z163">
            <v>0.17114414949452605</v>
          </cell>
          <cell r="AA163">
            <v>-6.0403666492895081E-2</v>
          </cell>
          <cell r="AB163">
            <v>-0.4768070654433374</v>
          </cell>
        </row>
        <row r="164">
          <cell r="B164" t="str">
            <v>CEPS Growth (%)</v>
          </cell>
          <cell r="D164">
            <v>0</v>
          </cell>
          <cell r="E164">
            <v>0</v>
          </cell>
          <cell r="F164">
            <v>0</v>
          </cell>
          <cell r="G164">
            <v>0</v>
          </cell>
          <cell r="H164">
            <v>-9.1401731807984166E-2</v>
          </cell>
          <cell r="I164">
            <v>0.11126487666513252</v>
          </cell>
          <cell r="J164">
            <v>0.9900962878481141</v>
          </cell>
          <cell r="K164">
            <v>0.21849019577866668</v>
          </cell>
          <cell r="L164">
            <v>0.68215634074975862</v>
          </cell>
          <cell r="M164">
            <v>-9.2558726833592453E-2</v>
          </cell>
          <cell r="N164">
            <v>3.7338484882591061E-2</v>
          </cell>
          <cell r="O164">
            <v>-0.1478397629697078</v>
          </cell>
          <cell r="P164">
            <v>-6.2623787934648512E-2</v>
          </cell>
          <cell r="Q164">
            <v>3.8286919606442371E-2</v>
          </cell>
          <cell r="R164">
            <v>0.30817753988318719</v>
          </cell>
          <cell r="S164">
            <v>0.27593227867619685</v>
          </cell>
          <cell r="T164">
            <v>0.47446358569459268</v>
          </cell>
          <cell r="U164">
            <v>0.44596317870815727</v>
          </cell>
          <cell r="V164">
            <v>0.15645948303389146</v>
          </cell>
          <cell r="W164">
            <v>0.20996428925466448</v>
          </cell>
          <cell r="X164">
            <v>0.38640778088570404</v>
          </cell>
          <cell r="Y164">
            <v>0.3133666044836374</v>
          </cell>
          <cell r="Z164">
            <v>0.14314158543454014</v>
          </cell>
          <cell r="AA164">
            <v>-3.3848036562262651E-2</v>
          </cell>
          <cell r="AB164">
            <v>-0.52009781470521155</v>
          </cell>
        </row>
        <row r="165">
          <cell r="B165" t="str">
            <v>BV Growth (%)</v>
          </cell>
          <cell r="D165">
            <v>0</v>
          </cell>
          <cell r="E165">
            <v>0</v>
          </cell>
          <cell r="F165">
            <v>0</v>
          </cell>
          <cell r="G165">
            <v>0</v>
          </cell>
          <cell r="H165">
            <v>0.15909598880168896</v>
          </cell>
          <cell r="I165">
            <v>0.14273460964063656</v>
          </cell>
          <cell r="J165">
            <v>0.28939334050752752</v>
          </cell>
          <cell r="K165">
            <v>0.29314292808697973</v>
          </cell>
          <cell r="L165">
            <v>0.34817576529715</v>
          </cell>
          <cell r="M165">
            <v>0.18783901004193049</v>
          </cell>
          <cell r="N165">
            <v>8.9301263067140368E-2</v>
          </cell>
          <cell r="O165">
            <v>0.15285328838554402</v>
          </cell>
          <cell r="P165">
            <v>9.0249860416242278E-2</v>
          </cell>
          <cell r="Q165">
            <v>0.11559338241972217</v>
          </cell>
          <cell r="R165">
            <v>0.12103413595868151</v>
          </cell>
          <cell r="S165">
            <v>0.14188549591159161</v>
          </cell>
          <cell r="T165">
            <v>0.21146611211234556</v>
          </cell>
          <cell r="U165">
            <v>0.20364409039740661</v>
          </cell>
          <cell r="V165">
            <v>0.22597761104018299</v>
          </cell>
          <cell r="W165">
            <v>0.20090568125180419</v>
          </cell>
          <cell r="X165">
            <v>0.23020277753518292</v>
          </cell>
          <cell r="Y165">
            <v>0.26615468896852246</v>
          </cell>
          <cell r="Z165">
            <v>0.25897645312258089</v>
          </cell>
          <cell r="AA165">
            <v>0.19985212749983172</v>
          </cell>
          <cell r="AB165">
            <v>8.5499324992362791E-2</v>
          </cell>
        </row>
        <row r="166">
          <cell r="B166" t="str">
            <v>DPS Growth (%)</v>
          </cell>
          <cell r="D166">
            <v>0</v>
          </cell>
          <cell r="E166">
            <v>0</v>
          </cell>
          <cell r="F166">
            <v>0</v>
          </cell>
          <cell r="G166">
            <v>0</v>
          </cell>
          <cell r="H166">
            <v>0</v>
          </cell>
          <cell r="I166">
            <v>0</v>
          </cell>
          <cell r="J166">
            <v>0.33333333333333348</v>
          </cell>
          <cell r="K166">
            <v>0</v>
          </cell>
          <cell r="L166">
            <v>0.25</v>
          </cell>
          <cell r="M166">
            <v>0</v>
          </cell>
          <cell r="N166">
            <v>0.19954240889034169</v>
          </cell>
          <cell r="O166">
            <v>3.8147138964572669E-4</v>
          </cell>
          <cell r="P166">
            <v>0.33333333333333348</v>
          </cell>
          <cell r="Q166">
            <v>0</v>
          </cell>
          <cell r="R166">
            <v>0.49999999999999978</v>
          </cell>
          <cell r="S166">
            <v>0.33333333333333348</v>
          </cell>
          <cell r="T166">
            <v>0.81248978591273091</v>
          </cell>
          <cell r="U166">
            <v>0.68965905888982815</v>
          </cell>
          <cell r="V166">
            <v>0.24490544641963785</v>
          </cell>
          <cell r="W166">
            <v>0.11474575363017725</v>
          </cell>
          <cell r="X166">
            <v>0.37059290057439509</v>
          </cell>
          <cell r="Y166">
            <v>0.33690753827000308</v>
          </cell>
          <cell r="Z166">
            <v>2.7290553169164067E-2</v>
          </cell>
          <cell r="AA166">
            <v>-0.15468749999999998</v>
          </cell>
          <cell r="AB166">
            <v>-0.47689463955637701</v>
          </cell>
        </row>
        <row r="167">
          <cell r="B167" t="str">
            <v>Margins (%)</v>
          </cell>
        </row>
        <row r="168">
          <cell r="B168" t="str">
            <v>EBITDA Margin (%)</v>
          </cell>
          <cell r="D168">
            <v>0</v>
          </cell>
          <cell r="E168">
            <v>0</v>
          </cell>
          <cell r="F168">
            <v>0</v>
          </cell>
          <cell r="G168">
            <v>7.094604224268164E-2</v>
          </cell>
          <cell r="H168">
            <v>0.10733956956332903</v>
          </cell>
          <cell r="I168">
            <v>9.6589981617932155E-2</v>
          </cell>
          <cell r="J168">
            <v>0.15146126654950473</v>
          </cell>
          <cell r="K168">
            <v>0.18553250824013792</v>
          </cell>
          <cell r="L168">
            <v>0.21086632913243758</v>
          </cell>
          <cell r="M168">
            <v>0.176214053956605</v>
          </cell>
          <cell r="N168">
            <v>0.18640733585099481</v>
          </cell>
          <cell r="O168">
            <v>0.11884982449704155</v>
          </cell>
          <cell r="P168">
            <v>0.14618013037232278</v>
          </cell>
          <cell r="Q168">
            <v>0.15154587459430802</v>
          </cell>
          <cell r="R168">
            <v>0.17316377064046776</v>
          </cell>
          <cell r="S168">
            <v>0.17819969305445094</v>
          </cell>
          <cell r="T168">
            <v>0.19510332225720287</v>
          </cell>
          <cell r="U168">
            <v>0.21071152114500549</v>
          </cell>
          <cell r="V168">
            <v>0.22366843628978805</v>
          </cell>
          <cell r="W168">
            <v>0.2048033232259811</v>
          </cell>
          <cell r="X168">
            <v>0.18344704920121105</v>
          </cell>
          <cell r="Y168">
            <v>0.20010097951113862</v>
          </cell>
          <cell r="Z168">
            <v>0.20273061756951855</v>
          </cell>
          <cell r="AA168">
            <v>0.1939059962229982</v>
          </cell>
          <cell r="AB168">
            <v>0.11557057574977311</v>
          </cell>
        </row>
        <row r="169">
          <cell r="B169" t="str">
            <v>EBIT Margin (%)</v>
          </cell>
          <cell r="D169">
            <v>0</v>
          </cell>
          <cell r="E169">
            <v>0</v>
          </cell>
          <cell r="F169">
            <v>0</v>
          </cell>
          <cell r="G169">
            <v>4.5378103354901236E-2</v>
          </cell>
          <cell r="H169">
            <v>8.078971190181547E-2</v>
          </cell>
          <cell r="I169">
            <v>7.2713801446773071E-2</v>
          </cell>
          <cell r="J169">
            <v>0.12995058755046229</v>
          </cell>
          <cell r="K169">
            <v>0.16549261630828921</v>
          </cell>
          <cell r="L169">
            <v>0.19051469564041529</v>
          </cell>
          <cell r="M169">
            <v>0.15402469950767556</v>
          </cell>
          <cell r="N169">
            <v>0.16251490654105588</v>
          </cell>
          <cell r="O169">
            <v>9.3233080069980739E-2</v>
          </cell>
          <cell r="P169">
            <v>0.12207766211915416</v>
          </cell>
          <cell r="Q169">
            <v>0.12569522216066051</v>
          </cell>
          <cell r="R169">
            <v>0.14970930363410964</v>
          </cell>
          <cell r="S169">
            <v>0.15639528356568491</v>
          </cell>
          <cell r="T169">
            <v>0.17721396523530469</v>
          </cell>
          <cell r="U169">
            <v>0.19531061346356512</v>
          </cell>
          <cell r="V169">
            <v>0.20869122638157833</v>
          </cell>
          <cell r="W169">
            <v>0.19236986660080518</v>
          </cell>
          <cell r="X169">
            <v>0.16981513383391336</v>
          </cell>
          <cell r="Y169">
            <v>0.18595737692048658</v>
          </cell>
          <cell r="Z169">
            <v>0.18605661781671057</v>
          </cell>
          <cell r="AA169">
            <v>0.17421788283446571</v>
          </cell>
          <cell r="AB169">
            <v>9.043763262669835E-2</v>
          </cell>
        </row>
        <row r="170">
          <cell r="B170" t="str">
            <v>PBT Margin (%)</v>
          </cell>
          <cell r="D170">
            <v>0</v>
          </cell>
          <cell r="E170">
            <v>0</v>
          </cell>
          <cell r="F170">
            <v>0</v>
          </cell>
          <cell r="G170">
            <v>8.8076846335832168E-2</v>
          </cell>
          <cell r="H170">
            <v>7.6702425332620103E-2</v>
          </cell>
          <cell r="I170">
            <v>8.8927390315329397E-2</v>
          </cell>
          <cell r="J170">
            <v>0.12967693056262208</v>
          </cell>
          <cell r="K170">
            <v>0.15154457636856883</v>
          </cell>
          <cell r="L170">
            <v>0.20171215526231481</v>
          </cell>
          <cell r="M170">
            <v>0.18386636272827342</v>
          </cell>
          <cell r="N170">
            <v>0.16815182238617493</v>
          </cell>
          <cell r="O170">
            <v>9.3945797768682865E-2</v>
          </cell>
          <cell r="P170">
            <v>0.11637159916783454</v>
          </cell>
          <cell r="Q170">
            <v>0.12800282698885668</v>
          </cell>
          <cell r="R170">
            <v>0.15323726231695012</v>
          </cell>
          <cell r="S170">
            <v>0.16274653452904284</v>
          </cell>
          <cell r="T170">
            <v>0.18557343707264271</v>
          </cell>
          <cell r="U170">
            <v>0.2118686908579642</v>
          </cell>
          <cell r="V170">
            <v>0.23982533895379737</v>
          </cell>
          <cell r="W170">
            <v>0.22084812488283304</v>
          </cell>
          <cell r="X170">
            <v>0.19334783007265835</v>
          </cell>
          <cell r="Y170">
            <v>0.20056457699676464</v>
          </cell>
          <cell r="Z170">
            <v>0.20929496284720212</v>
          </cell>
          <cell r="AA170">
            <v>0.19111526877323862</v>
          </cell>
          <cell r="AB170">
            <v>0.11152110661454202</v>
          </cell>
        </row>
        <row r="171">
          <cell r="B171" t="str">
            <v>Recurring PAT Margin (%)</v>
          </cell>
          <cell r="D171">
            <v>0</v>
          </cell>
          <cell r="E171">
            <v>0</v>
          </cell>
          <cell r="F171">
            <v>0</v>
          </cell>
          <cell r="G171">
            <v>3.796710657583445E-2</v>
          </cell>
          <cell r="H171">
            <v>3.3084037634095093E-2</v>
          </cell>
          <cell r="I171">
            <v>3.4326971683650363E-2</v>
          </cell>
          <cell r="J171">
            <v>7.8001274460162362E-2</v>
          </cell>
          <cell r="K171">
            <v>8.1205117388679457E-2</v>
          </cell>
          <cell r="L171">
            <v>0.1301063579941725</v>
          </cell>
          <cell r="M171">
            <v>0.10679235846860259</v>
          </cell>
          <cell r="N171">
            <v>0.11061743273076771</v>
          </cell>
          <cell r="O171">
            <v>9.3945797768682865E-2</v>
          </cell>
          <cell r="P171">
            <v>7.9274410105858562E-2</v>
          </cell>
          <cell r="Q171">
            <v>8.1152010636828781E-2</v>
          </cell>
          <cell r="R171">
            <v>9.8404967450474237E-2</v>
          </cell>
          <cell r="S171">
            <v>9.9347321025331545E-2</v>
          </cell>
          <cell r="T171">
            <v>0.12172900239174582</v>
          </cell>
          <cell r="U171">
            <v>0.13769482907063066</v>
          </cell>
          <cell r="V171">
            <v>0.15395995293323214</v>
          </cell>
          <cell r="W171">
            <v>0.13900328476547272</v>
          </cell>
          <cell r="X171">
            <v>0.1243203537315512</v>
          </cell>
          <cell r="Y171">
            <v>0.13113252977672019</v>
          </cell>
          <cell r="Z171">
            <v>0.13801234334516696</v>
          </cell>
          <cell r="AA171">
            <v>0.13190035322919236</v>
          </cell>
          <cell r="AB171">
            <v>7.0997010138119682E-2</v>
          </cell>
        </row>
        <row r="172">
          <cell r="B172" t="str">
            <v>Reported PAT Margin (%)</v>
          </cell>
          <cell r="D172">
            <v>0</v>
          </cell>
          <cell r="E172">
            <v>0</v>
          </cell>
          <cell r="F172">
            <v>0</v>
          </cell>
          <cell r="G172">
            <v>3.796710657583445E-2</v>
          </cell>
          <cell r="H172">
            <v>4.0301544821834581E-2</v>
          </cell>
          <cell r="I172">
            <v>3.6445552563713839E-2</v>
          </cell>
          <cell r="J172">
            <v>7.7863695846821443E-2</v>
          </cell>
          <cell r="K172">
            <v>8.5930219859022508E-2</v>
          </cell>
          <cell r="L172">
            <v>0.11792359071029883</v>
          </cell>
          <cell r="M172">
            <v>8.4303624465495622E-2</v>
          </cell>
          <cell r="N172">
            <v>9.3320056267984924E-2</v>
          </cell>
          <cell r="O172">
            <v>5.0753835590356636E-2</v>
          </cell>
          <cell r="P172">
            <v>6.6643905338992393E-2</v>
          </cell>
          <cell r="Q172">
            <v>6.2004653870572878E-2</v>
          </cell>
          <cell r="R172">
            <v>7.796347084192394E-2</v>
          </cell>
          <cell r="S172">
            <v>9.4982642446491961E-2</v>
          </cell>
          <cell r="T172">
            <v>0.12214488975273652</v>
          </cell>
          <cell r="U172">
            <v>0.13623684572800687</v>
          </cell>
          <cell r="V172">
            <v>0.14408981992174008</v>
          </cell>
          <cell r="W172">
            <v>0.11672838697966724</v>
          </cell>
          <cell r="X172">
            <v>0.1282991193617784</v>
          </cell>
          <cell r="Y172">
            <v>0.14848508501990684</v>
          </cell>
          <cell r="Z172">
            <v>0.14673057254971922</v>
          </cell>
          <cell r="AA172">
            <v>0.13659840597712136</v>
          </cell>
          <cell r="AB172">
            <v>8.849101341052644E-2</v>
          </cell>
        </row>
        <row r="173">
          <cell r="B173" t="str">
            <v>Return &amp; Yield Ratios (%)</v>
          </cell>
        </row>
        <row r="174">
          <cell r="B174" t="str">
            <v>Dividend Payout (%)</v>
          </cell>
          <cell r="D174">
            <v>0</v>
          </cell>
          <cell r="E174">
            <v>0</v>
          </cell>
          <cell r="F174">
            <v>0</v>
          </cell>
          <cell r="G174">
            <v>0.27563063063063065</v>
          </cell>
          <cell r="H174">
            <v>0.26823856384163963</v>
          </cell>
          <cell r="I174">
            <v>0.26051582331699746</v>
          </cell>
          <cell r="J174">
            <v>0.1396809008196836</v>
          </cell>
          <cell r="K174">
            <v>0.10568234760235032</v>
          </cell>
          <cell r="L174">
            <v>8.5041903324241885E-2</v>
          </cell>
          <cell r="M174">
            <v>0.11237812235422874</v>
          </cell>
          <cell r="N174">
            <v>0.12242613234164845</v>
          </cell>
          <cell r="O174">
            <v>0.23489060159287212</v>
          </cell>
          <cell r="P174">
            <v>0.20926521839962461</v>
          </cell>
          <cell r="Q174">
            <v>0.2202191421593466</v>
          </cell>
          <cell r="R174">
            <v>0.22313027206346892</v>
          </cell>
          <cell r="S174">
            <v>0.20537756777025551</v>
          </cell>
          <cell r="T174">
            <v>0.21135567783891954</v>
          </cell>
          <cell r="U174">
            <v>0.24833726756947061</v>
          </cell>
          <cell r="V174">
            <v>0.26108122853525656</v>
          </cell>
          <cell r="W174">
            <v>0.26517664528505103</v>
          </cell>
          <cell r="X174">
            <v>0.26459644043575886</v>
          </cell>
          <cell r="Y174">
            <v>0.25366857477471194</v>
          </cell>
          <cell r="Z174">
            <v>0.22251003910528036</v>
          </cell>
          <cell r="AA174">
            <v>0.20018225989571725</v>
          </cell>
          <cell r="AB174">
            <v>0.20014875259334608</v>
          </cell>
        </row>
        <row r="175">
          <cell r="B175" t="str">
            <v>FCF Yield (%)</v>
          </cell>
          <cell r="D175">
            <v>0</v>
          </cell>
          <cell r="E175">
            <v>0</v>
          </cell>
          <cell r="F175">
            <v>0</v>
          </cell>
          <cell r="G175">
            <v>0</v>
          </cell>
          <cell r="H175">
            <v>-3.9795490725077147E-2</v>
          </cell>
          <cell r="I175">
            <v>8.6325496926528845E-3</v>
          </cell>
          <cell r="J175">
            <v>-1.7898385655565128E-3</v>
          </cell>
          <cell r="K175">
            <v>3.9929298850762546E-4</v>
          </cell>
          <cell r="L175">
            <v>1.3488955581883216E-2</v>
          </cell>
          <cell r="M175">
            <v>8.9374640695963018E-3</v>
          </cell>
          <cell r="N175">
            <v>4.1405683770353863E-3</v>
          </cell>
          <cell r="O175">
            <v>-1.9227827709281615E-2</v>
          </cell>
          <cell r="P175">
            <v>1.9834722376245693E-2</v>
          </cell>
          <cell r="Q175">
            <v>2.7728767078563345E-2</v>
          </cell>
          <cell r="R175">
            <v>4.1396094198818553E-2</v>
          </cell>
          <cell r="S175">
            <v>1.8071008512461122E-2</v>
          </cell>
          <cell r="T175">
            <v>3.2382889573651513E-2</v>
          </cell>
          <cell r="U175">
            <v>7.4210650538362469E-2</v>
          </cell>
          <cell r="V175">
            <v>7.937864533675662E-2</v>
          </cell>
          <cell r="W175">
            <v>7.2335949246119274E-2</v>
          </cell>
          <cell r="X175">
            <v>-1.2182997649131902E-3</v>
          </cell>
          <cell r="Y175">
            <v>2.0231361132555498E-2</v>
          </cell>
          <cell r="Z175">
            <v>-6.8217810007370525E-2</v>
          </cell>
          <cell r="AA175">
            <v>7.062363929945894E-3</v>
          </cell>
          <cell r="AB175">
            <v>5.6832205891726682E-2</v>
          </cell>
        </row>
        <row r="176">
          <cell r="B176" t="str">
            <v>RoCE (%)</v>
          </cell>
          <cell r="D176">
            <v>0</v>
          </cell>
          <cell r="E176">
            <v>0</v>
          </cell>
          <cell r="F176">
            <v>0</v>
          </cell>
          <cell r="G176">
            <v>0</v>
          </cell>
          <cell r="H176">
            <v>6.6891842785281444E-2</v>
          </cell>
          <cell r="I176">
            <v>7.4749238186925637E-2</v>
          </cell>
          <cell r="J176">
            <v>0.17641126847361818</v>
          </cell>
          <cell r="K176">
            <v>0.19578672700468516</v>
          </cell>
          <cell r="L176">
            <v>0.28717966262120237</v>
          </cell>
          <cell r="M176">
            <v>0.22709868097273392</v>
          </cell>
          <cell r="N176">
            <v>0.21162925356091028</v>
          </cell>
          <cell r="O176">
            <v>0.1513283738272593</v>
          </cell>
          <cell r="P176">
            <v>0.1352119029084998</v>
          </cell>
          <cell r="Q176">
            <v>0.13100339566001937</v>
          </cell>
          <cell r="R176">
            <v>0.17126915068366225</v>
          </cell>
          <cell r="S176">
            <v>0.18423206453797439</v>
          </cell>
          <cell r="T176">
            <v>0.25877353549595367</v>
          </cell>
          <cell r="U176">
            <v>0.32636815077243292</v>
          </cell>
          <cell r="V176">
            <v>0.35229051700281666</v>
          </cell>
          <cell r="W176">
            <v>0.3615507970032647</v>
          </cell>
          <cell r="X176">
            <v>0.32589763324048976</v>
          </cell>
          <cell r="Y176">
            <v>0.32777866437045716</v>
          </cell>
          <cell r="Z176">
            <v>0.31660541723899632</v>
          </cell>
          <cell r="AA176">
            <v>0.23862156497418502</v>
          </cell>
          <cell r="AB176">
            <v>8.9349760116203561E-2</v>
          </cell>
        </row>
      </sheetData>
      <sheetData sheetId="5" refreshError="1"/>
      <sheetData sheetId="6" refreshError="1">
        <row r="4">
          <cell r="B4" t="str">
            <v xml:space="preserve"> - Power - Services after Sales</v>
          </cell>
          <cell r="Q4">
            <v>6220</v>
          </cell>
          <cell r="R4">
            <v>7862</v>
          </cell>
          <cell r="S4">
            <v>9554</v>
          </cell>
          <cell r="T4">
            <v>18531</v>
          </cell>
          <cell r="U4">
            <v>32180</v>
          </cell>
          <cell r="V4">
            <v>23570</v>
          </cell>
          <cell r="W4">
            <v>12580</v>
          </cell>
          <cell r="X4">
            <v>18650</v>
          </cell>
          <cell r="Y4">
            <v>21220</v>
          </cell>
          <cell r="Z4">
            <v>18420</v>
          </cell>
        </row>
        <row r="5">
          <cell r="B5" t="str">
            <v xml:space="preserve"> - Power - Renovation &amp; Maintenance</v>
          </cell>
          <cell r="Q5">
            <v>0</v>
          </cell>
          <cell r="R5">
            <v>1615</v>
          </cell>
          <cell r="S5">
            <v>2471</v>
          </cell>
          <cell r="T5">
            <v>0</v>
          </cell>
          <cell r="U5">
            <v>0</v>
          </cell>
          <cell r="V5">
            <v>0</v>
          </cell>
          <cell r="W5">
            <v>15020</v>
          </cell>
          <cell r="X5">
            <v>60</v>
          </cell>
          <cell r="Y5">
            <v>250</v>
          </cell>
          <cell r="Z5">
            <v>4080</v>
          </cell>
        </row>
        <row r="6">
          <cell r="B6" t="str">
            <v>Power - Spares &amp; Services</v>
          </cell>
          <cell r="D6">
            <v>0</v>
          </cell>
          <cell r="E6">
            <v>0</v>
          </cell>
          <cell r="F6">
            <v>0</v>
          </cell>
          <cell r="G6">
            <v>0</v>
          </cell>
          <cell r="H6">
            <v>0</v>
          </cell>
          <cell r="I6">
            <v>0</v>
          </cell>
          <cell r="J6">
            <v>0</v>
          </cell>
          <cell r="K6">
            <v>0</v>
          </cell>
          <cell r="L6">
            <v>0</v>
          </cell>
          <cell r="M6">
            <v>0</v>
          </cell>
          <cell r="N6">
            <v>0</v>
          </cell>
          <cell r="O6">
            <v>0</v>
          </cell>
          <cell r="P6">
            <v>0</v>
          </cell>
          <cell r="Q6">
            <v>6220</v>
          </cell>
          <cell r="R6">
            <v>9477</v>
          </cell>
          <cell r="S6">
            <v>12025</v>
          </cell>
          <cell r="T6">
            <v>18531</v>
          </cell>
          <cell r="U6">
            <v>32180</v>
          </cell>
          <cell r="V6">
            <v>23570</v>
          </cell>
          <cell r="W6">
            <v>27600</v>
          </cell>
          <cell r="X6">
            <v>18710</v>
          </cell>
          <cell r="Y6">
            <v>21470</v>
          </cell>
          <cell r="Z6">
            <v>22500</v>
          </cell>
        </row>
        <row r="7">
          <cell r="B7" t="str">
            <v>Growth (%YoY)</v>
          </cell>
          <cell r="E7" t="str">
            <v>na</v>
          </cell>
          <cell r="F7" t="str">
            <v>na</v>
          </cell>
          <cell r="G7" t="str">
            <v>na</v>
          </cell>
          <cell r="H7" t="str">
            <v>na</v>
          </cell>
          <cell r="I7" t="str">
            <v>na</v>
          </cell>
          <cell r="J7" t="str">
            <v>na</v>
          </cell>
          <cell r="K7" t="str">
            <v>na</v>
          </cell>
          <cell r="L7" t="str">
            <v>na</v>
          </cell>
          <cell r="M7" t="str">
            <v>na</v>
          </cell>
          <cell r="N7" t="str">
            <v>na</v>
          </cell>
          <cell r="O7" t="str">
            <v>na</v>
          </cell>
          <cell r="P7" t="str">
            <v>na</v>
          </cell>
          <cell r="Q7" t="str">
            <v>na</v>
          </cell>
          <cell r="R7">
            <v>0.52363344051446936</v>
          </cell>
          <cell r="S7">
            <v>0.26886145404663919</v>
          </cell>
          <cell r="T7">
            <v>0.54103950103950105</v>
          </cell>
          <cell r="U7">
            <v>0.7365495655927905</v>
          </cell>
          <cell r="V7">
            <v>-0.26755748912367927</v>
          </cell>
          <cell r="W7">
            <v>0.17098005939753924</v>
          </cell>
          <cell r="X7">
            <v>-0.32210144927536233</v>
          </cell>
          <cell r="Y7">
            <v>0.14751469802244799</v>
          </cell>
          <cell r="Z7">
            <v>4.797391709361909E-2</v>
          </cell>
        </row>
        <row r="8">
          <cell r="B8" t="str">
            <v>Spares &amp; Services as % of cumulative power revenues (%)</v>
          </cell>
          <cell r="R8">
            <v>6.2616550236466104E-2</v>
          </cell>
          <cell r="S8">
            <v>5.4654176678526768E-2</v>
          </cell>
          <cell r="T8">
            <v>6.1492904026758249E-2</v>
          </cell>
          <cell r="U8">
            <v>8.126769235719139E-2</v>
          </cell>
          <cell r="V8">
            <v>4.5747545975286089E-2</v>
          </cell>
          <cell r="W8">
            <v>4.0219302424327044E-2</v>
          </cell>
          <cell r="X8">
            <v>2.0217305540407911E-2</v>
          </cell>
          <cell r="Y8">
            <v>1.7870317183709655E-2</v>
          </cell>
          <cell r="Z8">
            <v>1.4614375687296663E-2</v>
          </cell>
        </row>
        <row r="9">
          <cell r="B9" t="str">
            <v>Power Main Equipment</v>
          </cell>
          <cell r="Q9">
            <v>62580</v>
          </cell>
          <cell r="R9">
            <v>117308</v>
          </cell>
          <cell r="S9">
            <v>122725</v>
          </cell>
          <cell r="T9">
            <v>90089</v>
          </cell>
          <cell r="U9">
            <v>245120</v>
          </cell>
          <cell r="V9">
            <v>387120</v>
          </cell>
          <cell r="W9">
            <v>444070</v>
          </cell>
          <cell r="X9">
            <v>401110</v>
          </cell>
          <cell r="Y9">
            <v>442460</v>
          </cell>
          <cell r="Z9">
            <v>117620</v>
          </cell>
        </row>
        <row r="10">
          <cell r="B10" t="str">
            <v>Growth (%YoY)</v>
          </cell>
          <cell r="E10" t="str">
            <v>na</v>
          </cell>
          <cell r="F10" t="str">
            <v>na</v>
          </cell>
          <cell r="G10" t="str">
            <v>na</v>
          </cell>
          <cell r="H10" t="str">
            <v>na</v>
          </cell>
          <cell r="I10" t="str">
            <v>na</v>
          </cell>
          <cell r="J10" t="str">
            <v>na</v>
          </cell>
          <cell r="K10" t="str">
            <v>na</v>
          </cell>
          <cell r="L10" t="str">
            <v>na</v>
          </cell>
          <cell r="M10" t="str">
            <v>na</v>
          </cell>
          <cell r="N10" t="str">
            <v>na</v>
          </cell>
          <cell r="O10" t="str">
            <v>na</v>
          </cell>
          <cell r="P10" t="str">
            <v>na</v>
          </cell>
          <cell r="Q10" t="str">
            <v>na</v>
          </cell>
          <cell r="R10">
            <v>0.87452860338766381</v>
          </cell>
          <cell r="S10">
            <v>4.6177583796501498E-2</v>
          </cell>
          <cell r="T10">
            <v>-0.26592788755347319</v>
          </cell>
          <cell r="U10">
            <v>1.7208649224655619</v>
          </cell>
          <cell r="V10">
            <v>0.57930809399477812</v>
          </cell>
          <cell r="W10">
            <v>0.14711200661293655</v>
          </cell>
          <cell r="X10">
            <v>-9.6741504717724691E-2</v>
          </cell>
          <cell r="Y10">
            <v>0.10308892822417781</v>
          </cell>
          <cell r="Z10">
            <v>-0.73416806038963967</v>
          </cell>
        </row>
        <row r="11">
          <cell r="B11" t="str">
            <v>Power</v>
          </cell>
          <cell r="J11">
            <v>46820</v>
          </cell>
          <cell r="K11">
            <v>71880</v>
          </cell>
          <cell r="L11">
            <v>26850</v>
          </cell>
          <cell r="M11">
            <v>32811</v>
          </cell>
          <cell r="N11">
            <v>40150</v>
          </cell>
          <cell r="O11">
            <v>27372</v>
          </cell>
          <cell r="P11">
            <v>70903</v>
          </cell>
          <cell r="Q11">
            <v>68800</v>
          </cell>
          <cell r="R11">
            <v>126785</v>
          </cell>
          <cell r="S11">
            <v>134750</v>
          </cell>
          <cell r="T11">
            <v>108620</v>
          </cell>
          <cell r="U11">
            <v>277300</v>
          </cell>
          <cell r="V11">
            <v>410690</v>
          </cell>
          <cell r="W11">
            <v>471670</v>
          </cell>
          <cell r="X11">
            <v>419820</v>
          </cell>
          <cell r="Y11">
            <v>463930</v>
          </cell>
          <cell r="Z11">
            <v>140120</v>
          </cell>
        </row>
        <row r="12">
          <cell r="B12" t="str">
            <v>Growth (%YoY)</v>
          </cell>
          <cell r="E12" t="str">
            <v>na</v>
          </cell>
          <cell r="F12" t="str">
            <v>na</v>
          </cell>
          <cell r="G12" t="str">
            <v>na</v>
          </cell>
          <cell r="H12" t="str">
            <v>na</v>
          </cell>
          <cell r="I12" t="str">
            <v>na</v>
          </cell>
          <cell r="J12" t="str">
            <v>na</v>
          </cell>
          <cell r="K12">
            <v>0.53524134985049132</v>
          </cell>
          <cell r="L12">
            <v>-0.62646076794657768</v>
          </cell>
          <cell r="M12">
            <v>0.22201117318435748</v>
          </cell>
          <cell r="N12">
            <v>0.22367498704702693</v>
          </cell>
          <cell r="O12">
            <v>-0.31825653798256537</v>
          </cell>
          <cell r="P12">
            <v>1.5903478006722196</v>
          </cell>
          <cell r="Q12">
            <v>-2.9660240046260333E-2</v>
          </cell>
          <cell r="R12">
            <v>0.84280523255813944</v>
          </cell>
          <cell r="S12">
            <v>6.2822889143037353E-2</v>
          </cell>
          <cell r="T12">
            <v>-0.19391465677179964</v>
          </cell>
          <cell r="U12">
            <v>1.5529368440434541</v>
          </cell>
          <cell r="V12">
            <v>0.48103137396321682</v>
          </cell>
          <cell r="W12">
            <v>0.14848182327302828</v>
          </cell>
          <cell r="X12">
            <v>-0.10992855174168381</v>
          </cell>
          <cell r="Y12">
            <v>0.10506883902624931</v>
          </cell>
          <cell r="Z12">
            <v>-0.69797167676158045</v>
          </cell>
        </row>
        <row r="13">
          <cell r="B13" t="str">
            <v>Industry</v>
          </cell>
          <cell r="L13">
            <v>29270</v>
          </cell>
          <cell r="M13">
            <v>23040</v>
          </cell>
          <cell r="N13">
            <v>25030</v>
          </cell>
          <cell r="O13">
            <v>20630</v>
          </cell>
          <cell r="P13">
            <v>19650</v>
          </cell>
          <cell r="Q13">
            <v>28920</v>
          </cell>
          <cell r="R13">
            <v>35670</v>
          </cell>
          <cell r="S13">
            <v>41170</v>
          </cell>
          <cell r="T13">
            <v>47280</v>
          </cell>
          <cell r="U13">
            <v>60100</v>
          </cell>
          <cell r="V13">
            <v>68840</v>
          </cell>
          <cell r="W13">
            <v>92450</v>
          </cell>
          <cell r="X13">
            <v>134840</v>
          </cell>
          <cell r="Y13">
            <v>103750</v>
          </cell>
          <cell r="Z13">
            <v>78500</v>
          </cell>
        </row>
        <row r="14">
          <cell r="B14" t="str">
            <v>Growth (%YoY)</v>
          </cell>
          <cell r="E14" t="str">
            <v>na</v>
          </cell>
          <cell r="F14" t="str">
            <v>na</v>
          </cell>
          <cell r="G14" t="str">
            <v>na</v>
          </cell>
          <cell r="H14" t="str">
            <v>na</v>
          </cell>
          <cell r="I14" t="str">
            <v>na</v>
          </cell>
          <cell r="J14" t="str">
            <v>na</v>
          </cell>
          <cell r="K14" t="str">
            <v>na</v>
          </cell>
          <cell r="L14" t="str">
            <v>na</v>
          </cell>
          <cell r="M14">
            <v>-0.21284591732148961</v>
          </cell>
          <cell r="N14">
            <v>8.6371527777777679E-2</v>
          </cell>
          <cell r="O14">
            <v>-0.17578905313623649</v>
          </cell>
          <cell r="P14">
            <v>-4.7503635482307294E-2</v>
          </cell>
          <cell r="Q14">
            <v>0.47175572519083975</v>
          </cell>
          <cell r="R14">
            <v>0.23340248962655608</v>
          </cell>
          <cell r="S14">
            <v>0.15419119708438456</v>
          </cell>
          <cell r="T14">
            <v>0.14840903570561093</v>
          </cell>
          <cell r="U14">
            <v>0.271150592216582</v>
          </cell>
          <cell r="V14">
            <v>0.14542429284525782</v>
          </cell>
          <cell r="W14">
            <v>0.34296920395119113</v>
          </cell>
          <cell r="X14">
            <v>0.45851811790156849</v>
          </cell>
          <cell r="Y14">
            <v>-0.23056956392761796</v>
          </cell>
          <cell r="Z14">
            <v>-0.24337349397590358</v>
          </cell>
        </row>
        <row r="15">
          <cell r="B15" t="str">
            <v>International</v>
          </cell>
          <cell r="L15">
            <v>1500</v>
          </cell>
          <cell r="M15">
            <v>2500</v>
          </cell>
          <cell r="N15">
            <v>7030</v>
          </cell>
          <cell r="O15">
            <v>7150</v>
          </cell>
          <cell r="P15">
            <v>8000</v>
          </cell>
          <cell r="Q15">
            <v>14550</v>
          </cell>
          <cell r="R15">
            <v>2320</v>
          </cell>
          <cell r="S15">
            <v>6380</v>
          </cell>
          <cell r="T15">
            <v>33480</v>
          </cell>
          <cell r="U15">
            <v>19030</v>
          </cell>
          <cell r="V15">
            <v>23120</v>
          </cell>
          <cell r="W15">
            <v>32660</v>
          </cell>
          <cell r="X15">
            <v>35710</v>
          </cell>
          <cell r="Y15">
            <v>37390</v>
          </cell>
          <cell r="Z15">
            <v>2340</v>
          </cell>
        </row>
        <row r="16">
          <cell r="B16" t="str">
            <v>Growth (%YoY)</v>
          </cell>
          <cell r="E16" t="str">
            <v>na</v>
          </cell>
          <cell r="F16" t="str">
            <v>na</v>
          </cell>
          <cell r="G16" t="str">
            <v>na</v>
          </cell>
          <cell r="H16" t="str">
            <v>na</v>
          </cell>
          <cell r="I16" t="str">
            <v>na</v>
          </cell>
          <cell r="J16" t="str">
            <v>na</v>
          </cell>
          <cell r="K16" t="str">
            <v>na</v>
          </cell>
          <cell r="L16" t="str">
            <v>na</v>
          </cell>
          <cell r="M16">
            <v>0.66666666666666674</v>
          </cell>
          <cell r="N16">
            <v>1.8119999999999998</v>
          </cell>
          <cell r="O16">
            <v>1.7069701280227667E-2</v>
          </cell>
          <cell r="P16">
            <v>0.11888111888111896</v>
          </cell>
          <cell r="Q16">
            <v>0.81875000000000009</v>
          </cell>
          <cell r="R16">
            <v>-0.84054982817869417</v>
          </cell>
          <cell r="S16">
            <v>1.75</v>
          </cell>
          <cell r="T16">
            <v>4.2476489028213162</v>
          </cell>
          <cell r="U16">
            <v>-0.43160095579450419</v>
          </cell>
          <cell r="V16">
            <v>0.21492380451918014</v>
          </cell>
          <cell r="W16">
            <v>0.41262975778546718</v>
          </cell>
          <cell r="X16">
            <v>9.3386405388854898E-2</v>
          </cell>
          <cell r="Y16">
            <v>4.7045645477457265E-2</v>
          </cell>
          <cell r="Z16">
            <v>-0.93741642150307569</v>
          </cell>
        </row>
        <row r="17">
          <cell r="B17" t="str">
            <v>Order Inflows</v>
          </cell>
          <cell r="I17">
            <v>0</v>
          </cell>
          <cell r="J17">
            <v>46820</v>
          </cell>
          <cell r="K17">
            <v>71880</v>
          </cell>
          <cell r="L17">
            <v>57620</v>
          </cell>
          <cell r="M17">
            <v>58351</v>
          </cell>
          <cell r="N17">
            <v>72210</v>
          </cell>
          <cell r="O17">
            <v>55152</v>
          </cell>
          <cell r="P17">
            <v>98553</v>
          </cell>
          <cell r="Q17">
            <v>112270</v>
          </cell>
          <cell r="R17">
            <v>164775</v>
          </cell>
          <cell r="S17">
            <v>182300</v>
          </cell>
          <cell r="T17">
            <v>189380</v>
          </cell>
          <cell r="U17">
            <v>356430</v>
          </cell>
          <cell r="V17">
            <v>502650</v>
          </cell>
          <cell r="W17">
            <v>596780</v>
          </cell>
          <cell r="X17">
            <v>590370</v>
          </cell>
          <cell r="Y17">
            <v>605070</v>
          </cell>
          <cell r="Z17">
            <v>220960</v>
          </cell>
        </row>
        <row r="18">
          <cell r="B18" t="str">
            <v>Growth (%YoY)</v>
          </cell>
          <cell r="I18" t="str">
            <v>na</v>
          </cell>
          <cell r="J18" t="str">
            <v>na</v>
          </cell>
          <cell r="K18">
            <v>0.53524134985049132</v>
          </cell>
          <cell r="L18">
            <v>-0.19838619922092371</v>
          </cell>
          <cell r="M18">
            <v>1.2686567164179152E-2</v>
          </cell>
          <cell r="N18">
            <v>0.23751092526263484</v>
          </cell>
          <cell r="O18">
            <v>-0.23622766929788119</v>
          </cell>
          <cell r="P18">
            <v>0.78693429068755449</v>
          </cell>
          <cell r="Q18">
            <v>0.13918399236958789</v>
          </cell>
          <cell r="R18">
            <v>0.46766723078293393</v>
          </cell>
          <cell r="S18">
            <v>0.10635715369443188</v>
          </cell>
          <cell r="T18">
            <v>3.8837081733406498E-2</v>
          </cell>
          <cell r="U18">
            <v>0.88208892174464038</v>
          </cell>
          <cell r="V18">
            <v>0.41023482871812145</v>
          </cell>
          <cell r="W18">
            <v>0.18726748234357893</v>
          </cell>
          <cell r="X18">
            <v>-1.0740976574281969E-2</v>
          </cell>
          <cell r="Y18">
            <v>2.4899639209309488E-2</v>
          </cell>
          <cell r="Z18">
            <v>-0.63481911183829975</v>
          </cell>
        </row>
        <row r="19">
          <cell r="B19" t="str">
            <v>Check</v>
          </cell>
          <cell r="D19">
            <v>0</v>
          </cell>
          <cell r="E19">
            <v>0</v>
          </cell>
          <cell r="F19">
            <v>0</v>
          </cell>
          <cell r="G19">
            <v>0</v>
          </cell>
          <cell r="H19">
            <v>0</v>
          </cell>
          <cell r="I19">
            <v>0</v>
          </cell>
          <cell r="J19">
            <v>0</v>
          </cell>
          <cell r="K19">
            <v>0</v>
          </cell>
          <cell r="L19">
            <v>0</v>
          </cell>
          <cell r="M19">
            <v>-251</v>
          </cell>
          <cell r="N19">
            <v>0</v>
          </cell>
          <cell r="O19">
            <v>328</v>
          </cell>
          <cell r="P19">
            <v>0</v>
          </cell>
          <cell r="Q19">
            <v>0</v>
          </cell>
          <cell r="R19">
            <v>0</v>
          </cell>
          <cell r="S19">
            <v>0</v>
          </cell>
          <cell r="T19">
            <v>0</v>
          </cell>
          <cell r="U19">
            <v>0</v>
          </cell>
          <cell r="V19">
            <v>0</v>
          </cell>
          <cell r="W19">
            <v>0</v>
          </cell>
          <cell r="X19">
            <v>0</v>
          </cell>
          <cell r="Y19">
            <v>0</v>
          </cell>
          <cell r="Z19">
            <v>0</v>
          </cell>
        </row>
        <row r="20">
          <cell r="B20" t="str">
            <v>Super-critcal Orders</v>
          </cell>
          <cell r="U20">
            <v>0</v>
          </cell>
          <cell r="V20">
            <v>0</v>
          </cell>
          <cell r="W20">
            <v>58240</v>
          </cell>
          <cell r="X20">
            <v>56200</v>
          </cell>
          <cell r="Y20">
            <v>212696.40000000002</v>
          </cell>
          <cell r="Z20">
            <v>56529</v>
          </cell>
        </row>
        <row r="21">
          <cell r="B21" t="str">
            <v>% of Total Power Equipment Orders</v>
          </cell>
          <cell r="U21">
            <v>0</v>
          </cell>
          <cell r="V21">
            <v>0</v>
          </cell>
          <cell r="W21">
            <v>0.13115049429144054</v>
          </cell>
          <cell r="X21">
            <v>0.14011119144374362</v>
          </cell>
          <cell r="Y21">
            <v>0.48071328481670667</v>
          </cell>
          <cell r="Z21">
            <v>0.48060703961911239</v>
          </cell>
        </row>
        <row r="22">
          <cell r="B22" t="str">
            <v>EPC orders</v>
          </cell>
          <cell r="U22">
            <v>73000</v>
          </cell>
          <cell r="V22">
            <v>175170</v>
          </cell>
          <cell r="W22">
            <v>74150</v>
          </cell>
          <cell r="X22">
            <v>53030</v>
          </cell>
          <cell r="Y22">
            <v>214472.7</v>
          </cell>
          <cell r="Z22">
            <v>40710</v>
          </cell>
        </row>
        <row r="43">
          <cell r="B43" t="str">
            <v>BHEL (Parent) - Order Backlog</v>
          </cell>
        </row>
        <row r="44">
          <cell r="B44" t="str">
            <v>FY ends Mar31, (Rs mn)</v>
          </cell>
          <cell r="D44" t="str">
            <v>FY90</v>
          </cell>
          <cell r="E44" t="str">
            <v>FY91</v>
          </cell>
          <cell r="F44" t="str">
            <v>FY92</v>
          </cell>
          <cell r="G44" t="str">
            <v>FY93</v>
          </cell>
          <cell r="H44" t="str">
            <v>FY94</v>
          </cell>
          <cell r="I44" t="str">
            <v>FY95</v>
          </cell>
          <cell r="J44" t="str">
            <v>FY96</v>
          </cell>
          <cell r="K44" t="str">
            <v>FY97</v>
          </cell>
          <cell r="L44" t="str">
            <v>FY98</v>
          </cell>
          <cell r="M44" t="str">
            <v>FY99</v>
          </cell>
          <cell r="N44" t="str">
            <v>FY00</v>
          </cell>
          <cell r="O44" t="str">
            <v>FY01</v>
          </cell>
          <cell r="P44" t="str">
            <v>FY02</v>
          </cell>
          <cell r="Q44" t="str">
            <v>FY03</v>
          </cell>
          <cell r="R44" t="str">
            <v>FY04</v>
          </cell>
          <cell r="S44" t="str">
            <v>FY05</v>
          </cell>
          <cell r="T44" t="str">
            <v>FY06</v>
          </cell>
          <cell r="U44" t="str">
            <v>FY07</v>
          </cell>
          <cell r="V44" t="str">
            <v>FY08</v>
          </cell>
          <cell r="W44" t="str">
            <v>FY09</v>
          </cell>
          <cell r="X44" t="str">
            <v>FY10</v>
          </cell>
          <cell r="Y44" t="str">
            <v>FY11</v>
          </cell>
          <cell r="Z44" t="str">
            <v>FY12</v>
          </cell>
        </row>
        <row r="45">
          <cell r="B45" t="str">
            <v xml:space="preserve"> - Power - Services after Sales</v>
          </cell>
          <cell r="T45">
            <v>0</v>
          </cell>
          <cell r="U45">
            <v>0</v>
          </cell>
          <cell r="V45">
            <v>0</v>
          </cell>
          <cell r="W45">
            <v>0</v>
          </cell>
          <cell r="X45">
            <v>0</v>
          </cell>
          <cell r="Y45">
            <v>0</v>
          </cell>
          <cell r="Z45">
            <v>0</v>
          </cell>
        </row>
        <row r="46">
          <cell r="B46" t="str">
            <v xml:space="preserve"> - Power - Renovation &amp; Maintenance</v>
          </cell>
          <cell r="T46">
            <v>0</v>
          </cell>
          <cell r="U46">
            <v>0</v>
          </cell>
          <cell r="V46">
            <v>0</v>
          </cell>
          <cell r="W46">
            <v>0</v>
          </cell>
          <cell r="X46">
            <v>0</v>
          </cell>
          <cell r="Y46">
            <v>0</v>
          </cell>
          <cell r="Z46">
            <v>0</v>
          </cell>
        </row>
        <row r="47">
          <cell r="B47" t="str">
            <v>Power - Spares &amp; Services</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row>
        <row r="48">
          <cell r="B48" t="str">
            <v>Growth (%YoY)</v>
          </cell>
          <cell r="E48" t="str">
            <v>na</v>
          </cell>
          <cell r="F48" t="str">
            <v>na</v>
          </cell>
          <cell r="G48" t="str">
            <v>na</v>
          </cell>
          <cell r="H48" t="str">
            <v>na</v>
          </cell>
          <cell r="I48" t="str">
            <v>na</v>
          </cell>
          <cell r="J48" t="str">
            <v>na</v>
          </cell>
          <cell r="K48" t="str">
            <v>na</v>
          </cell>
          <cell r="L48" t="str">
            <v>na</v>
          </cell>
          <cell r="M48" t="str">
            <v>na</v>
          </cell>
          <cell r="N48" t="str">
            <v>na</v>
          </cell>
          <cell r="O48" t="str">
            <v>na</v>
          </cell>
          <cell r="P48" t="str">
            <v>na</v>
          </cell>
          <cell r="Q48" t="str">
            <v>na</v>
          </cell>
          <cell r="R48" t="str">
            <v>na</v>
          </cell>
          <cell r="S48" t="str">
            <v>na</v>
          </cell>
          <cell r="T48" t="str">
            <v>na</v>
          </cell>
          <cell r="U48" t="str">
            <v>na</v>
          </cell>
          <cell r="V48" t="str">
            <v>na</v>
          </cell>
          <cell r="W48" t="str">
            <v>na</v>
          </cell>
          <cell r="X48" t="str">
            <v>na</v>
          </cell>
          <cell r="Y48" t="str">
            <v>na</v>
          </cell>
          <cell r="Z48" t="str">
            <v>na</v>
          </cell>
        </row>
        <row r="49">
          <cell r="B49" t="str">
            <v>Power Main Equipment</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313182.33693915303</v>
          </cell>
          <cell r="U49">
            <v>454539.64408260852</v>
          </cell>
          <cell r="V49">
            <v>715680</v>
          </cell>
          <cell r="W49">
            <v>982800</v>
          </cell>
          <cell r="X49">
            <v>1168830</v>
          </cell>
          <cell r="Y49">
            <v>1313160</v>
          </cell>
          <cell r="Z49">
            <v>1077448</v>
          </cell>
        </row>
        <row r="50">
          <cell r="B50" t="str">
            <v>Growth (%YoY)</v>
          </cell>
          <cell r="E50" t="str">
            <v>na</v>
          </cell>
          <cell r="F50" t="str">
            <v>na</v>
          </cell>
          <cell r="G50" t="str">
            <v>na</v>
          </cell>
          <cell r="H50" t="str">
            <v>na</v>
          </cell>
          <cell r="I50" t="str">
            <v>na</v>
          </cell>
          <cell r="J50" t="str">
            <v>na</v>
          </cell>
          <cell r="K50" t="str">
            <v>na</v>
          </cell>
          <cell r="L50" t="str">
            <v>na</v>
          </cell>
          <cell r="M50" t="str">
            <v>na</v>
          </cell>
          <cell r="N50" t="str">
            <v>na</v>
          </cell>
          <cell r="O50" t="str">
            <v>na</v>
          </cell>
          <cell r="P50" t="str">
            <v>na</v>
          </cell>
          <cell r="Q50" t="str">
            <v>na</v>
          </cell>
          <cell r="R50" t="str">
            <v>na</v>
          </cell>
          <cell r="S50" t="str">
            <v>na</v>
          </cell>
          <cell r="T50" t="str">
            <v>na</v>
          </cell>
          <cell r="U50">
            <v>0.4513578528246287</v>
          </cell>
          <cell r="V50">
            <v>0.57451612706840494</v>
          </cell>
          <cell r="W50">
            <v>0.37323943661971826</v>
          </cell>
          <cell r="X50">
            <v>0.18928571428571428</v>
          </cell>
          <cell r="Y50">
            <v>0.12348245681579018</v>
          </cell>
          <cell r="Z50">
            <v>-0.17949983246519841</v>
          </cell>
        </row>
        <row r="51">
          <cell r="B51" t="str">
            <v>Power</v>
          </cell>
          <cell r="T51">
            <v>313182.33693915303</v>
          </cell>
          <cell r="U51">
            <v>454539.64408260852</v>
          </cell>
          <cell r="V51">
            <v>715680</v>
          </cell>
          <cell r="W51">
            <v>982800</v>
          </cell>
          <cell r="X51">
            <v>1168830</v>
          </cell>
          <cell r="Y51">
            <v>1313160</v>
          </cell>
          <cell r="Z51">
            <v>1077448</v>
          </cell>
        </row>
        <row r="52">
          <cell r="B52" t="str">
            <v>Growth (%YoY)</v>
          </cell>
          <cell r="E52" t="str">
            <v>na</v>
          </cell>
          <cell r="F52" t="str">
            <v>na</v>
          </cell>
          <cell r="G52" t="str">
            <v>na</v>
          </cell>
          <cell r="H52" t="str">
            <v>na</v>
          </cell>
          <cell r="I52" t="str">
            <v>na</v>
          </cell>
          <cell r="J52" t="str">
            <v>na</v>
          </cell>
          <cell r="K52" t="str">
            <v>na</v>
          </cell>
          <cell r="L52" t="str">
            <v>na</v>
          </cell>
          <cell r="M52" t="str">
            <v>na</v>
          </cell>
          <cell r="N52" t="str">
            <v>na</v>
          </cell>
          <cell r="O52" t="str">
            <v>na</v>
          </cell>
          <cell r="P52" t="str">
            <v>na</v>
          </cell>
          <cell r="Q52" t="str">
            <v>na</v>
          </cell>
          <cell r="R52" t="str">
            <v>na</v>
          </cell>
          <cell r="S52" t="str">
            <v>na</v>
          </cell>
          <cell r="T52" t="str">
            <v>na</v>
          </cell>
          <cell r="U52">
            <v>0.4513578528246287</v>
          </cell>
          <cell r="V52">
            <v>0.57451612706840494</v>
          </cell>
          <cell r="W52">
            <v>0.37323943661971826</v>
          </cell>
          <cell r="X52">
            <v>0.18928571428571428</v>
          </cell>
          <cell r="Y52">
            <v>0.12348245681579018</v>
          </cell>
          <cell r="Z52">
            <v>-0.17949983246519841</v>
          </cell>
        </row>
        <row r="53">
          <cell r="B53" t="str">
            <v>Industry</v>
          </cell>
          <cell r="T53">
            <v>32936.663060846913</v>
          </cell>
          <cell r="U53">
            <v>57259.655917391443</v>
          </cell>
          <cell r="V53">
            <v>85200</v>
          </cell>
          <cell r="W53">
            <v>117000</v>
          </cell>
          <cell r="X53">
            <v>187590</v>
          </cell>
          <cell r="Y53">
            <v>213388.5</v>
          </cell>
          <cell r="Z53">
            <v>175085.30000000002</v>
          </cell>
        </row>
        <row r="54">
          <cell r="B54" t="str">
            <v>Growth (%YoY)</v>
          </cell>
          <cell r="E54" t="str">
            <v>na</v>
          </cell>
          <cell r="F54" t="str">
            <v>na</v>
          </cell>
          <cell r="G54" t="str">
            <v>na</v>
          </cell>
          <cell r="H54" t="str">
            <v>na</v>
          </cell>
          <cell r="I54" t="str">
            <v>na</v>
          </cell>
          <cell r="J54" t="str">
            <v>na</v>
          </cell>
          <cell r="K54" t="str">
            <v>na</v>
          </cell>
          <cell r="L54" t="str">
            <v>na</v>
          </cell>
          <cell r="M54" t="str">
            <v>na</v>
          </cell>
          <cell r="N54" t="str">
            <v>na</v>
          </cell>
          <cell r="O54" t="str">
            <v>na</v>
          </cell>
          <cell r="P54" t="str">
            <v>na</v>
          </cell>
          <cell r="Q54" t="str">
            <v>na</v>
          </cell>
          <cell r="R54" t="str">
            <v>na</v>
          </cell>
          <cell r="S54" t="str">
            <v>na</v>
          </cell>
          <cell r="T54" t="str">
            <v>na</v>
          </cell>
          <cell r="U54">
            <v>0.7384777508155711</v>
          </cell>
          <cell r="V54">
            <v>0.48795864444100245</v>
          </cell>
          <cell r="W54">
            <v>0.37323943661971826</v>
          </cell>
          <cell r="X54">
            <v>0.60333333333333328</v>
          </cell>
          <cell r="Y54">
            <v>0.13752598752598755</v>
          </cell>
          <cell r="Z54">
            <v>-0.17949983246519841</v>
          </cell>
        </row>
        <row r="55">
          <cell r="B55" t="str">
            <v>International</v>
          </cell>
          <cell r="T55">
            <v>29881</v>
          </cell>
          <cell r="U55">
            <v>38200.699999999997</v>
          </cell>
          <cell r="V55">
            <v>51120</v>
          </cell>
          <cell r="W55">
            <v>70200</v>
          </cell>
          <cell r="X55">
            <v>86580</v>
          </cell>
          <cell r="Y55">
            <v>114901.50000000001</v>
          </cell>
          <cell r="Z55">
            <v>94276.700000000012</v>
          </cell>
        </row>
        <row r="56">
          <cell r="B56" t="str">
            <v>Growth (%YoY)</v>
          </cell>
          <cell r="E56" t="str">
            <v>na</v>
          </cell>
          <cell r="F56" t="str">
            <v>na</v>
          </cell>
          <cell r="G56" t="str">
            <v>na</v>
          </cell>
          <cell r="H56" t="str">
            <v>na</v>
          </cell>
          <cell r="I56" t="str">
            <v>na</v>
          </cell>
          <cell r="J56" t="str">
            <v>na</v>
          </cell>
          <cell r="K56" t="str">
            <v>na</v>
          </cell>
          <cell r="L56" t="str">
            <v>na</v>
          </cell>
          <cell r="M56" t="str">
            <v>na</v>
          </cell>
          <cell r="N56" t="str">
            <v>na</v>
          </cell>
          <cell r="O56" t="str">
            <v>na</v>
          </cell>
          <cell r="P56" t="str">
            <v>na</v>
          </cell>
          <cell r="Q56" t="str">
            <v>na</v>
          </cell>
          <cell r="R56" t="str">
            <v>na</v>
          </cell>
          <cell r="S56" t="str">
            <v>na</v>
          </cell>
          <cell r="T56" t="str">
            <v>na</v>
          </cell>
          <cell r="U56">
            <v>0.27842776346173137</v>
          </cell>
          <cell r="V56">
            <v>0.33819537338321037</v>
          </cell>
          <cell r="W56">
            <v>0.37323943661971826</v>
          </cell>
          <cell r="X56">
            <v>0.23333333333333339</v>
          </cell>
          <cell r="Y56">
            <v>0.32711365211365218</v>
          </cell>
          <cell r="Z56">
            <v>-0.17949983246519841</v>
          </cell>
        </row>
        <row r="57">
          <cell r="B57" t="str">
            <v>Order Backlog</v>
          </cell>
          <cell r="H57">
            <v>66667</v>
          </cell>
          <cell r="I57">
            <v>76000</v>
          </cell>
          <cell r="J57">
            <v>83500</v>
          </cell>
          <cell r="K57">
            <v>106000</v>
          </cell>
          <cell r="L57">
            <v>101000</v>
          </cell>
          <cell r="M57">
            <v>91984.677000000011</v>
          </cell>
          <cell r="N57">
            <v>105000</v>
          </cell>
          <cell r="O57">
            <v>101000</v>
          </cell>
          <cell r="P57">
            <v>125000</v>
          </cell>
          <cell r="Q57">
            <v>158000</v>
          </cell>
          <cell r="R57">
            <v>236500</v>
          </cell>
          <cell r="S57">
            <v>320000</v>
          </cell>
          <cell r="T57">
            <v>376000</v>
          </cell>
          <cell r="U57">
            <v>550000</v>
          </cell>
          <cell r="V57">
            <v>852000</v>
          </cell>
          <cell r="W57">
            <v>1170000</v>
          </cell>
          <cell r="X57">
            <v>1443000</v>
          </cell>
          <cell r="Y57">
            <v>1641450</v>
          </cell>
          <cell r="Z57">
            <v>1346810</v>
          </cell>
        </row>
        <row r="58">
          <cell r="B58" t="str">
            <v>Growth (%YoY)</v>
          </cell>
          <cell r="E58" t="str">
            <v>na</v>
          </cell>
          <cell r="F58" t="str">
            <v>na</v>
          </cell>
          <cell r="G58" t="str">
            <v>na</v>
          </cell>
          <cell r="H58" t="str">
            <v>na</v>
          </cell>
          <cell r="I58">
            <v>0.13999430002849977</v>
          </cell>
          <cell r="J58">
            <v>9.8684210526315708E-2</v>
          </cell>
          <cell r="K58">
            <v>0.26946107784431139</v>
          </cell>
          <cell r="L58">
            <v>-4.7169811320754707E-2</v>
          </cell>
          <cell r="M58">
            <v>-8.926062376237609E-2</v>
          </cell>
          <cell r="N58">
            <v>0.14149446869286697</v>
          </cell>
          <cell r="O58">
            <v>-3.8095238095238071E-2</v>
          </cell>
          <cell r="P58">
            <v>0.23762376237623761</v>
          </cell>
          <cell r="Q58">
            <v>0.26400000000000001</v>
          </cell>
          <cell r="R58">
            <v>0.49683544303797467</v>
          </cell>
          <cell r="S58">
            <v>0.35306553911205074</v>
          </cell>
          <cell r="T58">
            <v>0.17500000000000004</v>
          </cell>
          <cell r="U58">
            <v>0.4627659574468086</v>
          </cell>
          <cell r="V58">
            <v>0.54909090909090907</v>
          </cell>
          <cell r="W58">
            <v>0.37323943661971826</v>
          </cell>
          <cell r="X58">
            <v>0.23333333333333339</v>
          </cell>
          <cell r="Y58">
            <v>0.13752598752598755</v>
          </cell>
          <cell r="Z58">
            <v>-0.17949983246519841</v>
          </cell>
        </row>
        <row r="112">
          <cell r="B112" t="str">
            <v>BHEL (Parent) - Segment Revenue</v>
          </cell>
        </row>
        <row r="113">
          <cell r="B113" t="str">
            <v>FY ends Mar31, (Rs mn)</v>
          </cell>
          <cell r="C113" t="str">
            <v>Assumptions</v>
          </cell>
          <cell r="D113" t="str">
            <v>FY90</v>
          </cell>
          <cell r="E113" t="str">
            <v>FY91</v>
          </cell>
          <cell r="F113" t="str">
            <v>FY92</v>
          </cell>
          <cell r="G113" t="str">
            <v>FY93</v>
          </cell>
          <cell r="H113" t="str">
            <v>FY94</v>
          </cell>
          <cell r="I113" t="str">
            <v>FY95</v>
          </cell>
          <cell r="J113" t="str">
            <v>FY96</v>
          </cell>
          <cell r="K113" t="str">
            <v>FY97</v>
          </cell>
          <cell r="L113" t="str">
            <v>FY98</v>
          </cell>
          <cell r="M113" t="str">
            <v>FY99</v>
          </cell>
          <cell r="N113" t="str">
            <v>FY00</v>
          </cell>
          <cell r="O113" t="str">
            <v>FY01</v>
          </cell>
          <cell r="P113" t="str">
            <v>FY02</v>
          </cell>
          <cell r="Q113" t="str">
            <v>FY03</v>
          </cell>
          <cell r="R113" t="str">
            <v>FY04</v>
          </cell>
          <cell r="S113" t="str">
            <v>FY05</v>
          </cell>
          <cell r="T113" t="str">
            <v>FY06</v>
          </cell>
          <cell r="U113" t="str">
            <v>FY07</v>
          </cell>
          <cell r="V113" t="str">
            <v>FY08</v>
          </cell>
          <cell r="W113" t="str">
            <v>FY09</v>
          </cell>
          <cell r="X113" t="str">
            <v>FY10</v>
          </cell>
          <cell r="Y113" t="str">
            <v>FY11</v>
          </cell>
          <cell r="Z113" t="str">
            <v>FY12</v>
          </cell>
        </row>
        <row r="114">
          <cell r="B114" t="str">
            <v>Power</v>
          </cell>
          <cell r="P114">
            <v>53848.784999999996</v>
          </cell>
          <cell r="Q114">
            <v>53863.714</v>
          </cell>
          <cell r="R114">
            <v>59845.903000000006</v>
          </cell>
          <cell r="S114">
            <v>75038.638000000006</v>
          </cell>
          <cell r="T114">
            <v>108938.9</v>
          </cell>
          <cell r="U114">
            <v>138580</v>
          </cell>
          <cell r="V114">
            <v>159187.5</v>
          </cell>
          <cell r="W114">
            <v>213443.8</v>
          </cell>
          <cell r="X114">
            <v>268607</v>
          </cell>
          <cell r="Y114">
            <v>311274.5</v>
          </cell>
          <cell r="Z114">
            <v>378628.7</v>
          </cell>
        </row>
        <row r="115">
          <cell r="B115" t="str">
            <v>Growth (%YoY)</v>
          </cell>
          <cell r="K115" t="str">
            <v>na</v>
          </cell>
          <cell r="L115" t="str">
            <v>na</v>
          </cell>
          <cell r="M115" t="str">
            <v>na</v>
          </cell>
          <cell r="N115" t="str">
            <v>na</v>
          </cell>
          <cell r="O115" t="str">
            <v>na</v>
          </cell>
          <cell r="P115" t="str">
            <v>na</v>
          </cell>
          <cell r="Q115">
            <v>2.7723931004208779E-4</v>
          </cell>
          <cell r="R115">
            <v>0.11106157663023386</v>
          </cell>
          <cell r="S115">
            <v>0.25386424531015939</v>
          </cell>
          <cell r="T115">
            <v>0.45177075308856196</v>
          </cell>
          <cell r="U115">
            <v>0.27208921698309796</v>
          </cell>
          <cell r="V115">
            <v>0.14870471929571361</v>
          </cell>
          <cell r="W115">
            <v>0.34083266588142913</v>
          </cell>
          <cell r="X115">
            <v>0.25844367463472828</v>
          </cell>
          <cell r="Y115">
            <v>0.15884731224428261</v>
          </cell>
          <cell r="Z115">
            <v>0.21638200366557503</v>
          </cell>
        </row>
        <row r="116">
          <cell r="B116" t="str">
            <v>Industry - Domestic</v>
          </cell>
          <cell r="P116">
            <v>11992.466000000002</v>
          </cell>
          <cell r="Q116">
            <v>17888.435999999998</v>
          </cell>
          <cell r="R116">
            <v>23175.903000000002</v>
          </cell>
          <cell r="S116">
            <v>22283.213</v>
          </cell>
          <cell r="T116">
            <v>29890.9</v>
          </cell>
          <cell r="U116">
            <v>39099.699999999997</v>
          </cell>
          <cell r="V116">
            <v>45588.899999999994</v>
          </cell>
          <cell r="W116">
            <v>49278.1</v>
          </cell>
          <cell r="X116">
            <v>56564.400000000009</v>
          </cell>
          <cell r="Y116">
            <v>88141.299999999988</v>
          </cell>
          <cell r="Z116">
            <v>101961.8</v>
          </cell>
        </row>
        <row r="117">
          <cell r="B117" t="str">
            <v>Growth (%YoY)</v>
          </cell>
          <cell r="K117" t="str">
            <v>na</v>
          </cell>
          <cell r="L117" t="str">
            <v>na</v>
          </cell>
          <cell r="M117" t="str">
            <v>na</v>
          </cell>
          <cell r="N117" t="str">
            <v>na</v>
          </cell>
          <cell r="O117" t="str">
            <v>na</v>
          </cell>
          <cell r="P117" t="str">
            <v>na</v>
          </cell>
          <cell r="Q117">
            <v>0.49163950100004405</v>
          </cell>
          <cell r="R117">
            <v>0.29558017257629476</v>
          </cell>
          <cell r="S117">
            <v>-3.8518024518829019E-2</v>
          </cell>
          <cell r="T117">
            <v>0.34140888928360558</v>
          </cell>
          <cell r="U117">
            <v>0.30808038566921692</v>
          </cell>
          <cell r="V117">
            <v>0.16596546776573717</v>
          </cell>
          <cell r="W117">
            <v>8.0923207184204982E-2</v>
          </cell>
          <cell r="X117">
            <v>0.14786081443886867</v>
          </cell>
          <cell r="Y117">
            <v>0.55824688319861915</v>
          </cell>
          <cell r="Z117">
            <v>0.15679936647179038</v>
          </cell>
        </row>
        <row r="118">
          <cell r="B118" t="str">
            <v>International</v>
          </cell>
          <cell r="P118">
            <v>9871.8259999999991</v>
          </cell>
          <cell r="Q118">
            <v>4540.0889999999999</v>
          </cell>
          <cell r="R118">
            <v>4693.3</v>
          </cell>
          <cell r="S118">
            <v>8012.2129999999997</v>
          </cell>
          <cell r="T118">
            <v>7043.1</v>
          </cell>
          <cell r="U118">
            <v>10710.3</v>
          </cell>
          <cell r="V118">
            <v>10200.700000000001</v>
          </cell>
          <cell r="W118">
            <v>18173.099999999999</v>
          </cell>
          <cell r="X118">
            <v>16813.3</v>
          </cell>
          <cell r="Y118">
            <v>14003.1</v>
          </cell>
          <cell r="Z118">
            <v>14626.8</v>
          </cell>
        </row>
        <row r="119">
          <cell r="B119" t="str">
            <v>Growth (%YoY)</v>
          </cell>
          <cell r="K119" t="str">
            <v>na</v>
          </cell>
          <cell r="L119" t="str">
            <v>na</v>
          </cell>
          <cell r="M119" t="str">
            <v>na</v>
          </cell>
          <cell r="N119" t="str">
            <v>na</v>
          </cell>
          <cell r="O119" t="str">
            <v>na</v>
          </cell>
          <cell r="P119" t="str">
            <v>na</v>
          </cell>
          <cell r="Q119">
            <v>-0.54009633070923246</v>
          </cell>
          <cell r="R119">
            <v>3.3746254754036809E-2</v>
          </cell>
          <cell r="S119">
            <v>0.70715978096435328</v>
          </cell>
          <cell r="T119">
            <v>-0.12095447287784278</v>
          </cell>
          <cell r="U119">
            <v>0.52067981428632271</v>
          </cell>
          <cell r="V119">
            <v>-4.7580366563027998E-2</v>
          </cell>
          <cell r="W119">
            <v>0.78155420706422074</v>
          </cell>
          <cell r="X119">
            <v>-7.482487852925479E-2</v>
          </cell>
          <cell r="Y119">
            <v>-0.16714148917821003</v>
          </cell>
          <cell r="Z119">
            <v>4.4540137540973079E-2</v>
          </cell>
        </row>
        <row r="120">
          <cell r="B120" t="str">
            <v>Industry &amp; International</v>
          </cell>
          <cell r="D120">
            <v>0</v>
          </cell>
          <cell r="E120">
            <v>0</v>
          </cell>
          <cell r="F120">
            <v>0</v>
          </cell>
          <cell r="G120">
            <v>0</v>
          </cell>
          <cell r="H120">
            <v>0</v>
          </cell>
          <cell r="I120">
            <v>0</v>
          </cell>
          <cell r="J120">
            <v>0</v>
          </cell>
          <cell r="K120">
            <v>0</v>
          </cell>
          <cell r="L120">
            <v>0</v>
          </cell>
          <cell r="M120">
            <v>0</v>
          </cell>
          <cell r="N120">
            <v>0</v>
          </cell>
          <cell r="O120">
            <v>0</v>
          </cell>
          <cell r="P120">
            <v>21864.292000000001</v>
          </cell>
          <cell r="Q120">
            <v>22428.524999999998</v>
          </cell>
          <cell r="R120">
            <v>27869.203000000001</v>
          </cell>
          <cell r="S120">
            <v>30295.425999999999</v>
          </cell>
          <cell r="T120">
            <v>36934</v>
          </cell>
          <cell r="U120">
            <v>49810</v>
          </cell>
          <cell r="V120">
            <v>55789.599999999991</v>
          </cell>
          <cell r="W120">
            <v>67451.199999999997</v>
          </cell>
          <cell r="X120">
            <v>73377.700000000012</v>
          </cell>
          <cell r="Y120">
            <v>102144.4</v>
          </cell>
          <cell r="Z120">
            <v>116588.6</v>
          </cell>
        </row>
        <row r="121">
          <cell r="B121" t="str">
            <v>Gross Turnover</v>
          </cell>
          <cell r="K121">
            <v>0</v>
          </cell>
          <cell r="L121">
            <v>0</v>
          </cell>
          <cell r="M121">
            <v>0</v>
          </cell>
          <cell r="N121">
            <v>0</v>
          </cell>
          <cell r="O121">
            <v>0</v>
          </cell>
          <cell r="P121">
            <v>75713.077000000005</v>
          </cell>
          <cell r="Q121">
            <v>76292.239000000001</v>
          </cell>
          <cell r="R121">
            <v>87715.106000000014</v>
          </cell>
          <cell r="S121">
            <v>105334.06400000001</v>
          </cell>
          <cell r="T121">
            <v>145872.9</v>
          </cell>
          <cell r="U121">
            <v>188390</v>
          </cell>
          <cell r="V121">
            <v>214977.1</v>
          </cell>
          <cell r="W121">
            <v>280894.99999999994</v>
          </cell>
          <cell r="X121">
            <v>341984.7</v>
          </cell>
          <cell r="Y121">
            <v>413418.89999999997</v>
          </cell>
          <cell r="Z121">
            <v>495217.3</v>
          </cell>
        </row>
        <row r="122">
          <cell r="B122" t="str">
            <v>Growth (%YoY)</v>
          </cell>
          <cell r="K122" t="str">
            <v>na</v>
          </cell>
          <cell r="L122" t="str">
            <v>na</v>
          </cell>
          <cell r="M122" t="str">
            <v>na</v>
          </cell>
          <cell r="N122" t="str">
            <v>na</v>
          </cell>
          <cell r="O122" t="str">
            <v>na</v>
          </cell>
          <cell r="P122" t="str">
            <v>na</v>
          </cell>
          <cell r="Q122">
            <v>7.6494315506421273E-3</v>
          </cell>
          <cell r="R122">
            <v>0.14972515094228678</v>
          </cell>
          <cell r="S122">
            <v>0.20086572089418664</v>
          </cell>
          <cell r="T122">
            <v>0.384859697428934</v>
          </cell>
          <cell r="U122">
            <v>0.29146674947848439</v>
          </cell>
          <cell r="V122">
            <v>0.14112797919210163</v>
          </cell>
          <cell r="W122">
            <v>0.30662754311970875</v>
          </cell>
          <cell r="X122">
            <v>0.21748233325619926</v>
          </cell>
          <cell r="Y122">
            <v>0.20888127451315786</v>
          </cell>
          <cell r="Z122">
            <v>0.1978583949596886</v>
          </cell>
        </row>
        <row r="123">
          <cell r="B123" t="str">
            <v>Export Incentives</v>
          </cell>
          <cell r="P123">
            <v>2846.823000000004</v>
          </cell>
          <cell r="Q123">
            <v>1470.0500000000029</v>
          </cell>
          <cell r="R123">
            <v>1090.4080000000104</v>
          </cell>
          <cell r="S123">
            <v>1970.0920000000187</v>
          </cell>
          <cell r="T123">
            <v>618</v>
          </cell>
          <cell r="U123">
            <v>1000.5</v>
          </cell>
          <cell r="V123">
            <v>967</v>
          </cell>
          <cell r="W123">
            <v>563.09999999991851</v>
          </cell>
          <cell r="X123">
            <v>447.10000000003492</v>
          </cell>
          <cell r="Y123">
            <v>428.89999999996508</v>
          </cell>
          <cell r="Z123">
            <v>119.5</v>
          </cell>
        </row>
        <row r="124">
          <cell r="B124" t="str">
            <v xml:space="preserve">% of Total </v>
          </cell>
          <cell r="P124">
            <v>3.7600149311062918E-2</v>
          </cell>
          <cell r="Q124">
            <v>1.9268670303410586E-2</v>
          </cell>
          <cell r="R124">
            <v>1.2431245309103431E-2</v>
          </cell>
          <cell r="S124">
            <v>1.8703275324115649E-2</v>
          </cell>
          <cell r="T124">
            <v>4.2365648451494417E-3</v>
          </cell>
          <cell r="U124">
            <v>5.3107914432825518E-3</v>
          </cell>
          <cell r="V124">
            <v>4.4981535242590957E-3</v>
          </cell>
          <cell r="W124">
            <v>2.0046636643582783E-3</v>
          </cell>
          <cell r="X124">
            <v>1.307368429055554E-3</v>
          </cell>
          <cell r="Y124">
            <v>1.307368429055554E-3</v>
          </cell>
          <cell r="Z124">
            <v>1.307368429055554E-3</v>
          </cell>
        </row>
        <row r="125">
          <cell r="B125" t="str">
            <v>Gross Turnover - Reported</v>
          </cell>
          <cell r="H125">
            <v>35536.713000000003</v>
          </cell>
          <cell r="I125">
            <v>40941.824999999997</v>
          </cell>
          <cell r="J125">
            <v>48334.618999999999</v>
          </cell>
          <cell r="K125">
            <v>56079.159999999996</v>
          </cell>
          <cell r="L125">
            <v>62341.340000000004</v>
          </cell>
          <cell r="M125">
            <v>67115.313999999998</v>
          </cell>
          <cell r="N125">
            <v>66044.671000000002</v>
          </cell>
          <cell r="O125">
            <v>63477.618999999999</v>
          </cell>
          <cell r="P125">
            <v>72866.254000000001</v>
          </cell>
          <cell r="Q125">
            <v>74822.188999999998</v>
          </cell>
          <cell r="R125">
            <v>86624.698000000004</v>
          </cell>
          <cell r="S125">
            <v>103363.97199999999</v>
          </cell>
          <cell r="T125">
            <v>145254.9</v>
          </cell>
          <cell r="U125">
            <v>187389.5</v>
          </cell>
          <cell r="V125">
            <v>214010.1</v>
          </cell>
          <cell r="W125">
            <v>280331.90000000002</v>
          </cell>
          <cell r="X125">
            <v>341537.6</v>
          </cell>
          <cell r="Y125">
            <v>412990</v>
          </cell>
          <cell r="Z125">
            <v>495097.8</v>
          </cell>
        </row>
        <row r="126">
          <cell r="B126" t="str">
            <v>Growth (%YoY)</v>
          </cell>
          <cell r="I126">
            <v>0.15209937959090336</v>
          </cell>
          <cell r="J126">
            <v>0.18056825752149552</v>
          </cell>
          <cell r="K126">
            <v>0.16022762070390995</v>
          </cell>
          <cell r="L126">
            <v>0.11166679386781131</v>
          </cell>
          <cell r="M126">
            <v>7.6577981801481787E-2</v>
          </cell>
          <cell r="N126">
            <v>-1.5952290709688066E-2</v>
          </cell>
          <cell r="O126">
            <v>-3.8868419830571987E-2</v>
          </cell>
          <cell r="P126">
            <v>0.14790464966872818</v>
          </cell>
          <cell r="Q126">
            <v>2.68428098417135E-2</v>
          </cell>
          <cell r="R126">
            <v>0.15774076056502451</v>
          </cell>
          <cell r="S126">
            <v>0.19323904598201302</v>
          </cell>
          <cell r="T126">
            <v>0.40527591180416334</v>
          </cell>
          <cell r="U126">
            <v>0.29007351903446987</v>
          </cell>
          <cell r="V126">
            <v>0.14206025417646129</v>
          </cell>
          <cell r="W126">
            <v>0.30990032713409321</v>
          </cell>
          <cell r="X126">
            <v>0.2183329831531835</v>
          </cell>
          <cell r="Y126">
            <v>0.20920800520938254</v>
          </cell>
          <cell r="Z126">
            <v>0.19881304632073404</v>
          </cell>
        </row>
      </sheetData>
      <sheetData sheetId="7" refreshError="1"/>
      <sheetData sheetId="8" refreshError="1">
        <row r="3">
          <cell r="B3" t="str">
            <v>BHEL - Standalone quarterly results</v>
          </cell>
        </row>
        <row r="4">
          <cell r="C4" t="str">
            <v>Ind-AS</v>
          </cell>
          <cell r="D4" t="str">
            <v>Ind-AS</v>
          </cell>
          <cell r="F4" t="str">
            <v>IGAAP</v>
          </cell>
        </row>
        <row r="5">
          <cell r="B5" t="str">
            <v>(Rs mn)</v>
          </cell>
          <cell r="C5" t="str">
            <v>3QFY16</v>
          </cell>
          <cell r="D5" t="str">
            <v>3QFY17</v>
          </cell>
          <cell r="E5" t="str">
            <v>%YoY</v>
          </cell>
          <cell r="F5" t="str">
            <v>3QFY17E</v>
          </cell>
          <cell r="G5" t="str">
            <v>% diff</v>
          </cell>
        </row>
        <row r="6">
          <cell r="B6" t="str">
            <v>Order Inflows</v>
          </cell>
          <cell r="C6">
            <v>60370</v>
          </cell>
          <cell r="D6">
            <v>16090</v>
          </cell>
          <cell r="E6">
            <v>-0.7334768924962729</v>
          </cell>
          <cell r="F6">
            <v>66407</v>
          </cell>
          <cell r="G6">
            <v>-0.75770626590570278</v>
          </cell>
        </row>
        <row r="7">
          <cell r="B7" t="str">
            <v>Order backlog</v>
          </cell>
          <cell r="C7">
            <v>1092010</v>
          </cell>
          <cell r="D7">
            <v>984000</v>
          </cell>
          <cell r="E7">
            <v>-9.890935064697215E-2</v>
          </cell>
          <cell r="F7">
            <v>1037227.09325</v>
          </cell>
          <cell r="G7">
            <v>-5.1316720895923318E-2</v>
          </cell>
        </row>
        <row r="8">
          <cell r="B8" t="str">
            <v>Sales</v>
          </cell>
          <cell r="C8">
            <v>55529.2</v>
          </cell>
          <cell r="D8">
            <v>64648.6</v>
          </cell>
          <cell r="E8">
            <v>0.16422710934067131</v>
          </cell>
          <cell r="F8">
            <v>65109.850000000006</v>
          </cell>
          <cell r="G8">
            <v>-7.0841815792849205E-3</v>
          </cell>
        </row>
        <row r="9">
          <cell r="B9" t="str">
            <v>Total Operating expenses</v>
          </cell>
          <cell r="C9">
            <v>-57777.200000000004</v>
          </cell>
          <cell r="D9">
            <v>-61015.8</v>
          </cell>
          <cell r="E9">
            <v>5.6053252840220669E-2</v>
          </cell>
          <cell r="F9">
            <v>-61749.69652118333</v>
          </cell>
          <cell r="G9">
            <v>-1.1885022316369787E-2</v>
          </cell>
        </row>
        <row r="10">
          <cell r="B10" t="str">
            <v>EBITDA</v>
          </cell>
          <cell r="C10">
            <v>-4521.5000000000073</v>
          </cell>
          <cell r="D10">
            <v>2238.5999999999913</v>
          </cell>
          <cell r="E10" t="str">
            <v>na</v>
          </cell>
          <cell r="F10">
            <v>1480.0502288166754</v>
          </cell>
          <cell r="G10">
            <v>0.51251623520222611</v>
          </cell>
        </row>
        <row r="11">
          <cell r="B11" t="str">
            <v>EBITDA Margin (%)</v>
          </cell>
          <cell r="C11">
            <v>-8.490171005169414E-2</v>
          </cell>
          <cell r="D11">
            <v>3.5390423432994249E-2</v>
          </cell>
          <cell r="E11">
            <v>1202.9213348468841</v>
          </cell>
          <cell r="F11">
            <v>2.3407498920856824E-2</v>
          </cell>
          <cell r="G11">
            <v>119.82924512137426</v>
          </cell>
        </row>
        <row r="12">
          <cell r="B12" t="str">
            <v>Depreciation</v>
          </cell>
          <cell r="C12">
            <v>-2254.5</v>
          </cell>
          <cell r="D12">
            <v>-2087.6</v>
          </cell>
          <cell r="E12">
            <v>-7.4029718341095618E-2</v>
          </cell>
          <cell r="F12">
            <v>-2087.4793025666745</v>
          </cell>
          <cell r="G12">
            <v>5.7819703015438151E-5</v>
          </cell>
        </row>
        <row r="13">
          <cell r="B13" t="str">
            <v>EBIT</v>
          </cell>
          <cell r="C13">
            <v>-6776.0000000000073</v>
          </cell>
          <cell r="D13">
            <v>150.99999999999136</v>
          </cell>
          <cell r="E13" t="str">
            <v>na</v>
          </cell>
          <cell r="F13">
            <v>-607.42907374999913</v>
          </cell>
          <cell r="G13" t="str">
            <v>na</v>
          </cell>
        </row>
        <row r="14">
          <cell r="B14" t="str">
            <v>Interest expenses</v>
          </cell>
          <cell r="C14">
            <v>-52.3</v>
          </cell>
          <cell r="D14">
            <v>-263.3</v>
          </cell>
          <cell r="E14">
            <v>4.0344168260038247</v>
          </cell>
          <cell r="F14">
            <v>-54.914999999999999</v>
          </cell>
          <cell r="G14">
            <v>3.7946826914322136</v>
          </cell>
        </row>
        <row r="15">
          <cell r="B15" t="str">
            <v>Other income</v>
          </cell>
          <cell r="C15">
            <v>1705.6</v>
          </cell>
          <cell r="D15">
            <v>1357.8</v>
          </cell>
          <cell r="E15">
            <v>-0.20391651031894931</v>
          </cell>
          <cell r="F15">
            <v>1790.8799999999999</v>
          </cell>
          <cell r="G15">
            <v>-0.24182524792280891</v>
          </cell>
        </row>
        <row r="16">
          <cell r="B16" t="str">
            <v>PBT</v>
          </cell>
          <cell r="C16">
            <v>-5122.700000000008</v>
          </cell>
          <cell r="D16">
            <v>1245.4999999999914</v>
          </cell>
          <cell r="E16" t="str">
            <v>na</v>
          </cell>
          <cell r="F16">
            <v>1128.5359262500008</v>
          </cell>
          <cell r="G16">
            <v>0.10364231304416616</v>
          </cell>
        </row>
        <row r="17">
          <cell r="B17" t="str">
            <v>Taxes</v>
          </cell>
          <cell r="C17">
            <v>3481.60736</v>
          </cell>
          <cell r="D17">
            <v>-310.09999999999997</v>
          </cell>
          <cell r="E17">
            <v>-1.089068056198043</v>
          </cell>
          <cell r="F17">
            <v>-383.70221492500031</v>
          </cell>
          <cell r="G17">
            <v>-0.19182118857298458</v>
          </cell>
        </row>
        <row r="18">
          <cell r="B18" t="str">
            <v>Tax rate (%)</v>
          </cell>
          <cell r="C18">
            <v>0.67964303199484544</v>
          </cell>
          <cell r="D18">
            <v>0.24897631473304063</v>
          </cell>
          <cell r="E18">
            <v>-4306.6671726180484</v>
          </cell>
          <cell r="F18">
            <v>0.34</v>
          </cell>
          <cell r="G18">
            <v>-910.23685266959387</v>
          </cell>
        </row>
        <row r="19">
          <cell r="B19" t="str">
            <v>Recurring PAT</v>
          </cell>
          <cell r="C19">
            <v>-1641.092640000008</v>
          </cell>
          <cell r="D19">
            <v>935.39999999999145</v>
          </cell>
          <cell r="E19" t="str">
            <v>na</v>
          </cell>
          <cell r="F19">
            <v>744.83371132500042</v>
          </cell>
          <cell r="G19">
            <v>0.25585078357421365</v>
          </cell>
        </row>
        <row r="20">
          <cell r="B20" t="str">
            <v>Exceptional income/ (expenses)</v>
          </cell>
          <cell r="C20">
            <v>-9378.8073599999989</v>
          </cell>
          <cell r="D20">
            <v>0</v>
          </cell>
          <cell r="E20">
            <v>-1</v>
          </cell>
          <cell r="F20">
            <v>0</v>
          </cell>
          <cell r="G20" t="str">
            <v>na</v>
          </cell>
        </row>
        <row r="21">
          <cell r="B21" t="str">
            <v>Reported PAT</v>
          </cell>
          <cell r="C21">
            <v>-11019.900000000007</v>
          </cell>
          <cell r="D21">
            <v>935.39999999999145</v>
          </cell>
          <cell r="E21" t="str">
            <v>na</v>
          </cell>
          <cell r="F21">
            <v>744.83371132500042</v>
          </cell>
          <cell r="G21">
            <v>0.25585078357421365</v>
          </cell>
        </row>
        <row r="22">
          <cell r="B22" t="str">
            <v>Source: Company, BofA Merrill Lynch Global Research</v>
          </cell>
        </row>
        <row r="25">
          <cell r="B25" t="str">
            <v>BHEL - Standalone segmental results</v>
          </cell>
        </row>
        <row r="26">
          <cell r="C26" t="str">
            <v>Ind-AS</v>
          </cell>
          <cell r="D26" t="str">
            <v>Ind-AS</v>
          </cell>
          <cell r="F26" t="str">
            <v>IGAAP</v>
          </cell>
        </row>
        <row r="27">
          <cell r="B27" t="str">
            <v>(Rs mn)</v>
          </cell>
          <cell r="C27" t="str">
            <v>3QFY16</v>
          </cell>
          <cell r="D27" t="str">
            <v>3QFY17</v>
          </cell>
          <cell r="E27" t="str">
            <v>%YoY</v>
          </cell>
          <cell r="F27" t="str">
            <v>3QFY17E</v>
          </cell>
          <cell r="G27" t="str">
            <v>% diff</v>
          </cell>
        </row>
        <row r="28">
          <cell r="B28" t="str">
            <v>Segmental revenue</v>
          </cell>
        </row>
        <row r="29">
          <cell r="B29" t="str">
            <v>Power revenue</v>
          </cell>
          <cell r="C29">
            <v>44021.4</v>
          </cell>
          <cell r="D29">
            <v>50962.3</v>
          </cell>
          <cell r="E29">
            <v>0.15767104181148262</v>
          </cell>
          <cell r="F29">
            <v>48423.540000000008</v>
          </cell>
          <cell r="G29">
            <v>5.2428219828620337E-2</v>
          </cell>
        </row>
        <row r="30">
          <cell r="B30" t="str">
            <v>Industry revenue</v>
          </cell>
          <cell r="C30">
            <v>11507.8</v>
          </cell>
          <cell r="D30">
            <v>13686.3</v>
          </cell>
          <cell r="E30">
            <v>0.18930638349641105</v>
          </cell>
          <cell r="F30">
            <v>16686.309999999998</v>
          </cell>
          <cell r="G30">
            <v>-0.17978870103695777</v>
          </cell>
        </row>
        <row r="31">
          <cell r="B31" t="str">
            <v>Segmental gross revenue</v>
          </cell>
          <cell r="C31">
            <v>55529.2</v>
          </cell>
          <cell r="D31">
            <v>64648.600000000006</v>
          </cell>
          <cell r="E31">
            <v>0.16422710934067131</v>
          </cell>
          <cell r="F31">
            <v>65109.850000000006</v>
          </cell>
          <cell r="G31">
            <v>-7.0841815792848095E-3</v>
          </cell>
        </row>
        <row r="32">
          <cell r="B32" t="str">
            <v>Intersegmental revnue</v>
          </cell>
          <cell r="C32">
            <v>0</v>
          </cell>
          <cell r="D32">
            <v>0</v>
          </cell>
          <cell r="E32" t="str">
            <v>na</v>
          </cell>
          <cell r="F32">
            <v>0</v>
          </cell>
          <cell r="G32" t="str">
            <v>na</v>
          </cell>
        </row>
        <row r="33">
          <cell r="B33" t="str">
            <v>Gross Sales</v>
          </cell>
          <cell r="C33">
            <v>55529.2</v>
          </cell>
          <cell r="D33">
            <v>64648.600000000006</v>
          </cell>
          <cell r="E33">
            <v>0.16422710934067131</v>
          </cell>
          <cell r="F33">
            <v>65109.850000000006</v>
          </cell>
          <cell r="G33">
            <v>-7.0841815792848095E-3</v>
          </cell>
        </row>
        <row r="34">
          <cell r="B34" t="str">
            <v>Segmental EBIT</v>
          </cell>
        </row>
        <row r="35">
          <cell r="B35" t="str">
            <v>Power EBIT</v>
          </cell>
          <cell r="C35">
            <v>209.8999999999993</v>
          </cell>
          <cell r="D35">
            <v>5902.6</v>
          </cell>
          <cell r="E35">
            <v>27.121010004764269</v>
          </cell>
          <cell r="F35">
            <v>4600.2363000000005</v>
          </cell>
          <cell r="G35">
            <v>0.28310800034337369</v>
          </cell>
        </row>
        <row r="36">
          <cell r="B36" t="str">
            <v>Industry EBIT</v>
          </cell>
          <cell r="C36">
            <v>-972.3</v>
          </cell>
          <cell r="D36">
            <v>-1180.5</v>
          </cell>
          <cell r="E36" t="str">
            <v>na</v>
          </cell>
          <cell r="F36">
            <v>166.86309999999997</v>
          </cell>
          <cell r="G36">
            <v>-8.0746618035982802</v>
          </cell>
        </row>
        <row r="37">
          <cell r="B37" t="str">
            <v>Segmental PBIT</v>
          </cell>
          <cell r="C37">
            <v>-762.40000000000066</v>
          </cell>
          <cell r="D37">
            <v>4722.1000000000004</v>
          </cell>
          <cell r="E37" t="str">
            <v>na</v>
          </cell>
          <cell r="F37">
            <v>4767.0994000000001</v>
          </cell>
          <cell r="G37">
            <v>-9.4395766113036794E-3</v>
          </cell>
        </row>
        <row r="38">
          <cell r="B38" t="str">
            <v>Unallocated expenses</v>
          </cell>
          <cell r="C38">
            <v>-6013.6</v>
          </cell>
          <cell r="D38">
            <v>-4571.1000000000004</v>
          </cell>
          <cell r="E38">
            <v>-0.23987295463615799</v>
          </cell>
          <cell r="F38">
            <v>-5374.5284737500006</v>
          </cell>
          <cell r="G38">
            <v>-0.1494881788558875</v>
          </cell>
        </row>
        <row r="39">
          <cell r="B39" t="str">
            <v>EBIT as per P&amp;L</v>
          </cell>
          <cell r="C39">
            <v>-6776.0000000000009</v>
          </cell>
          <cell r="D39">
            <v>151</v>
          </cell>
          <cell r="E39" t="str">
            <v>na</v>
          </cell>
          <cell r="F39">
            <v>-607.4290737500005</v>
          </cell>
          <cell r="G39" t="str">
            <v>na</v>
          </cell>
        </row>
        <row r="40">
          <cell r="B40" t="str">
            <v>Unallocated expenses, net</v>
          </cell>
          <cell r="C40">
            <v>-4308</v>
          </cell>
          <cell r="D40">
            <v>-3213.3</v>
          </cell>
          <cell r="E40">
            <v>-0.25410863509749304</v>
          </cell>
          <cell r="F40">
            <v>-3583.6484737500004</v>
          </cell>
          <cell r="G40">
            <v>-0.10334397373592286</v>
          </cell>
        </row>
        <row r="41">
          <cell r="B41" t="str">
            <v>Interest expenses</v>
          </cell>
          <cell r="C41">
            <v>-52.3</v>
          </cell>
          <cell r="D41">
            <v>-263.3</v>
          </cell>
          <cell r="E41">
            <v>4.0344168260038247</v>
          </cell>
          <cell r="F41">
            <v>-54.914999999999999</v>
          </cell>
          <cell r="G41">
            <v>3.7946826914322136</v>
          </cell>
        </row>
        <row r="42">
          <cell r="B42" t="str">
            <v>PBT</v>
          </cell>
          <cell r="C42">
            <v>-5122.7000000000016</v>
          </cell>
          <cell r="D42">
            <v>1245.5</v>
          </cell>
          <cell r="E42" t="str">
            <v>na</v>
          </cell>
          <cell r="F42">
            <v>1128.5359262499994</v>
          </cell>
          <cell r="G42">
            <v>0.10364231304417504</v>
          </cell>
        </row>
        <row r="43">
          <cell r="B43" t="str">
            <v>Segmental EBIT margin</v>
          </cell>
        </row>
        <row r="44">
          <cell r="B44" t="str">
            <v>Power EBIT margin (%)</v>
          </cell>
          <cell r="C44">
            <v>4.7681354977351766E-3</v>
          </cell>
          <cell r="D44">
            <v>0.11582287298650179</v>
          </cell>
          <cell r="E44">
            <v>1110.5473748876661</v>
          </cell>
          <cell r="F44">
            <v>9.4999999999999987E-2</v>
          </cell>
          <cell r="G44">
            <v>208.22872986501804</v>
          </cell>
        </row>
        <row r="45">
          <cell r="B45" t="str">
            <v>Industry EBIT margin (%)</v>
          </cell>
          <cell r="C45">
            <v>-8.4490519473748235E-2</v>
          </cell>
          <cell r="D45">
            <v>-8.6254137349027871E-2</v>
          </cell>
          <cell r="E45">
            <v>-17.636178752796354</v>
          </cell>
          <cell r="F45">
            <v>0.01</v>
          </cell>
          <cell r="G45">
            <v>-962.5413734902786</v>
          </cell>
        </row>
        <row r="46">
          <cell r="B46" t="str">
            <v>Segmental EBIT margin (%)</v>
          </cell>
          <cell r="C46">
            <v>-1.3729713376025599E-2</v>
          </cell>
          <cell r="D46">
            <v>7.3042571687553945E-2</v>
          </cell>
          <cell r="E46">
            <v>867.72285063579545</v>
          </cell>
          <cell r="F46">
            <v>7.3216255297777519E-2</v>
          </cell>
          <cell r="G46">
            <v>-1.7368361022357393</v>
          </cell>
        </row>
        <row r="47">
          <cell r="B47" t="str">
            <v>Source: Company, BofA Merrill Lynch Global Research</v>
          </cell>
        </row>
      </sheetData>
      <sheetData sheetId="9" refreshError="1">
        <row r="2">
          <cell r="B2" t="str">
            <v>BHEL - Estimates change summary</v>
          </cell>
        </row>
        <row r="3">
          <cell r="B3" t="str">
            <v>(Rs mn)</v>
          </cell>
          <cell r="C3" t="str">
            <v>Old</v>
          </cell>
          <cell r="D3" t="str">
            <v>New</v>
          </cell>
          <cell r="E3" t="str">
            <v>% change</v>
          </cell>
        </row>
        <row r="4">
          <cell r="B4" t="str">
            <v>PO (Rs)</v>
          </cell>
          <cell r="C4">
            <v>107.98901224804871</v>
          </cell>
          <cell r="D4">
            <v>115.88445721374437</v>
          </cell>
          <cell r="E4">
            <v>7.3113410349193497E-2</v>
          </cell>
        </row>
        <row r="5">
          <cell r="B5" t="str">
            <v>Order Inflows</v>
          </cell>
        </row>
        <row r="6">
          <cell r="B6" t="str">
            <v>FY15</v>
          </cell>
          <cell r="C6">
            <v>308140</v>
          </cell>
          <cell r="D6">
            <v>308140</v>
          </cell>
          <cell r="E6">
            <v>0</v>
          </cell>
        </row>
        <row r="7">
          <cell r="B7" t="str">
            <v>FY16</v>
          </cell>
          <cell r="C7">
            <v>437270</v>
          </cell>
          <cell r="D7">
            <v>437270</v>
          </cell>
          <cell r="E7">
            <v>0</v>
          </cell>
        </row>
        <row r="8">
          <cell r="B8" t="str">
            <v>FY17E</v>
          </cell>
          <cell r="C8">
            <v>396010.60622235097</v>
          </cell>
          <cell r="D8">
            <v>274872.26247235097</v>
          </cell>
          <cell r="E8">
            <v>-0.30589671550863351</v>
          </cell>
        </row>
        <row r="9">
          <cell r="B9" t="str">
            <v>FY18E</v>
          </cell>
          <cell r="C9">
            <v>445887.766844586</v>
          </cell>
          <cell r="D9">
            <v>429387.766844586</v>
          </cell>
          <cell r="E9">
            <v>-3.7004827732246559E-2</v>
          </cell>
        </row>
        <row r="10">
          <cell r="B10" t="str">
            <v>FY19E</v>
          </cell>
          <cell r="C10">
            <v>524461.0385290446</v>
          </cell>
          <cell r="D10">
            <v>445673.5385290446</v>
          </cell>
          <cell r="E10">
            <v>-0.15022564921309545</v>
          </cell>
        </row>
        <row r="11">
          <cell r="B11" t="str">
            <v>FY20E</v>
          </cell>
          <cell r="C11">
            <v>536033.84863194916</v>
          </cell>
          <cell r="D11">
            <v>530245.72363194916</v>
          </cell>
          <cell r="E11">
            <v>-1.079805876955775E-2</v>
          </cell>
        </row>
        <row r="12">
          <cell r="B12" t="str">
            <v>Order Backlog</v>
          </cell>
        </row>
        <row r="13">
          <cell r="B13" t="str">
            <v>FY15</v>
          </cell>
          <cell r="C13">
            <v>1010180</v>
          </cell>
          <cell r="D13">
            <v>1010180</v>
          </cell>
          <cell r="E13">
            <v>0</v>
          </cell>
        </row>
        <row r="14">
          <cell r="B14" t="str">
            <v>FY16</v>
          </cell>
          <cell r="C14">
            <v>1107340</v>
          </cell>
          <cell r="D14">
            <v>1107340</v>
          </cell>
          <cell r="E14">
            <v>0</v>
          </cell>
        </row>
        <row r="15">
          <cell r="B15" t="str">
            <v>FY17E</v>
          </cell>
          <cell r="C15">
            <v>1207406.6079795014</v>
          </cell>
          <cell r="D15">
            <v>1089632.8673545013</v>
          </cell>
          <cell r="E15">
            <v>-9.7542733199120879E-2</v>
          </cell>
        </row>
        <row r="16">
          <cell r="B16" t="str">
            <v>FY18E</v>
          </cell>
          <cell r="C16">
            <v>1306929.5413075367</v>
          </cell>
          <cell r="D16">
            <v>1171661.7900575364</v>
          </cell>
          <cell r="E16">
            <v>-0.10350041603212179</v>
          </cell>
        </row>
        <row r="17">
          <cell r="B17" t="str">
            <v>FY19E</v>
          </cell>
          <cell r="C17">
            <v>1438164.7465640814</v>
          </cell>
          <cell r="D17">
            <v>1248827.7265640809</v>
          </cell>
          <cell r="E17">
            <v>-0.13165182949474008</v>
          </cell>
        </row>
        <row r="18">
          <cell r="B18" t="str">
            <v>FY20E</v>
          </cell>
          <cell r="C18">
            <v>1524577.9877963485</v>
          </cell>
          <cell r="D18">
            <v>1361986.3605463484</v>
          </cell>
          <cell r="E18">
            <v>-0.10664697283542246</v>
          </cell>
        </row>
        <row r="19">
          <cell r="B19" t="str">
            <v>Sales</v>
          </cell>
        </row>
        <row r="20">
          <cell r="B20" t="str">
            <v>FY15</v>
          </cell>
          <cell r="C20">
            <v>301829.79999999993</v>
          </cell>
          <cell r="D20">
            <v>301829.79999999993</v>
          </cell>
          <cell r="E20">
            <v>0</v>
          </cell>
        </row>
        <row r="21">
          <cell r="B21" t="str">
            <v>FY16</v>
          </cell>
          <cell r="C21">
            <v>256299.9</v>
          </cell>
          <cell r="D21">
            <v>256299.9</v>
          </cell>
          <cell r="E21">
            <v>0</v>
          </cell>
        </row>
        <row r="22">
          <cell r="B22" t="str">
            <v>FY17E</v>
          </cell>
          <cell r="C22">
            <v>301166.33474284946</v>
          </cell>
          <cell r="D22">
            <v>297801.73161784949</v>
          </cell>
          <cell r="E22">
            <v>-1.1171909794874035E-2</v>
          </cell>
        </row>
        <row r="23">
          <cell r="B23" t="str">
            <v>FY18E</v>
          </cell>
          <cell r="C23">
            <v>351908.98649155075</v>
          </cell>
          <cell r="D23">
            <v>352902.99711655074</v>
          </cell>
          <cell r="E23">
            <v>2.8246241589624521E-3</v>
          </cell>
        </row>
        <row r="24">
          <cell r="B24" t="str">
            <v>FY19E</v>
          </cell>
          <cell r="C24">
            <v>399113.96351125004</v>
          </cell>
          <cell r="D24">
            <v>374395.73226125003</v>
          </cell>
          <cell r="E24">
            <v>-6.1932764848762978E-2</v>
          </cell>
        </row>
        <row r="25">
          <cell r="B25" t="str">
            <v>FY20E</v>
          </cell>
          <cell r="C25">
            <v>455876.59072686918</v>
          </cell>
          <cell r="D25">
            <v>423343.07297686918</v>
          </cell>
          <cell r="E25">
            <v>-7.1364747415802121E-2</v>
          </cell>
        </row>
        <row r="26">
          <cell r="B26" t="str">
            <v>EBITDA</v>
          </cell>
        </row>
        <row r="27">
          <cell r="B27" t="str">
            <v>FY15</v>
          </cell>
          <cell r="C27">
            <v>24850.599999999977</v>
          </cell>
          <cell r="D27">
            <v>24850.599999999977</v>
          </cell>
          <cell r="E27">
            <v>0</v>
          </cell>
        </row>
        <row r="28">
          <cell r="B28" t="str">
            <v>FY16</v>
          </cell>
          <cell r="C28">
            <v>-7718.6000000000058</v>
          </cell>
          <cell r="D28">
            <v>-7718.6000000000058</v>
          </cell>
          <cell r="E28">
            <v>0</v>
          </cell>
        </row>
        <row r="29">
          <cell r="B29" t="str">
            <v>FY17E</v>
          </cell>
          <cell r="C29">
            <v>7516.4961389594828</v>
          </cell>
          <cell r="D29">
            <v>9081.9454714386957</v>
          </cell>
          <cell r="E29">
            <v>0.20826849419441329</v>
          </cell>
        </row>
        <row r="30">
          <cell r="B30" t="str">
            <v>FY18E</v>
          </cell>
          <cell r="C30">
            <v>15719.727920596546</v>
          </cell>
          <cell r="D30">
            <v>17634.131095679884</v>
          </cell>
          <cell r="E30">
            <v>0.12178348027099251</v>
          </cell>
        </row>
        <row r="31">
          <cell r="B31" t="str">
            <v>FY19E</v>
          </cell>
          <cell r="C31">
            <v>27650.777325904637</v>
          </cell>
          <cell r="D31">
            <v>27395.378261417733</v>
          </cell>
          <cell r="E31">
            <v>-9.2365961895629622E-3</v>
          </cell>
        </row>
        <row r="32">
          <cell r="B32" t="str">
            <v>FY20E</v>
          </cell>
          <cell r="C32">
            <v>40468.202201377542</v>
          </cell>
          <cell r="D32">
            <v>37265.620869276871</v>
          </cell>
          <cell r="E32">
            <v>-7.9138216127418115E-2</v>
          </cell>
        </row>
        <row r="33">
          <cell r="B33" t="str">
            <v>Recurring PAT</v>
          </cell>
        </row>
        <row r="34">
          <cell r="B34" t="str">
            <v>FY15</v>
          </cell>
          <cell r="C34">
            <v>18658.499999999975</v>
          </cell>
          <cell r="D34">
            <v>18658.499999999975</v>
          </cell>
          <cell r="E34">
            <v>0</v>
          </cell>
        </row>
        <row r="35">
          <cell r="B35" t="str">
            <v>FY16</v>
          </cell>
          <cell r="C35">
            <v>-3455.1966400000074</v>
          </cell>
          <cell r="D35">
            <v>-3455.1966400000074</v>
          </cell>
          <cell r="E35">
            <v>0</v>
          </cell>
        </row>
        <row r="36">
          <cell r="B36" t="str">
            <v>FY17E</v>
          </cell>
          <cell r="C36">
            <v>5574.4139070182191</v>
          </cell>
          <cell r="D36">
            <v>6251.8285719067198</v>
          </cell>
          <cell r="E36">
            <v>0.12152213240492094</v>
          </cell>
        </row>
        <row r="37">
          <cell r="B37" t="str">
            <v>FY18E</v>
          </cell>
          <cell r="C37">
            <v>10924.383491837756</v>
          </cell>
          <cell r="D37">
            <v>11734.707402940063</v>
          </cell>
          <cell r="E37">
            <v>7.4175710849746945E-2</v>
          </cell>
        </row>
        <row r="38">
          <cell r="B38" t="str">
            <v>FY19E</v>
          </cell>
          <cell r="C38">
            <v>19171.58002519032</v>
          </cell>
          <cell r="D38">
            <v>18858.801646845262</v>
          </cell>
          <cell r="E38">
            <v>-1.6314689656986348E-2</v>
          </cell>
        </row>
        <row r="39">
          <cell r="B39" t="str">
            <v>FY20E</v>
          </cell>
          <cell r="C39">
            <v>28382.258191991103</v>
          </cell>
          <cell r="D39">
            <v>26454.609145179795</v>
          </cell>
          <cell r="E39">
            <v>-6.7917395218230037E-2</v>
          </cell>
        </row>
        <row r="40">
          <cell r="B40" t="str">
            <v>Recurring EPS (Rs)</v>
          </cell>
        </row>
        <row r="41">
          <cell r="B41" t="str">
            <v>FY15</v>
          </cell>
          <cell r="C41">
            <v>7.6231818924660795</v>
          </cell>
          <cell r="D41">
            <v>7.6231818924660795</v>
          </cell>
          <cell r="E41">
            <v>0</v>
          </cell>
        </row>
        <row r="42">
          <cell r="B42" t="str">
            <v>FY16</v>
          </cell>
          <cell r="C42">
            <v>-1.4116672005229642</v>
          </cell>
          <cell r="D42">
            <v>-1.4116672005229642</v>
          </cell>
          <cell r="E42">
            <v>0</v>
          </cell>
        </row>
        <row r="43">
          <cell r="B43" t="str">
            <v>FY17E</v>
          </cell>
          <cell r="C43">
            <v>2.2775020048284929</v>
          </cell>
          <cell r="D43">
            <v>2.554268905011734</v>
          </cell>
          <cell r="E43">
            <v>0.12152213240492094</v>
          </cell>
        </row>
        <row r="44">
          <cell r="B44" t="str">
            <v>FY18E</v>
          </cell>
          <cell r="C44">
            <v>4.4633042538967791</v>
          </cell>
          <cell r="D44">
            <v>4.7943730196682726</v>
          </cell>
          <cell r="E44">
            <v>7.4175710849746945E-2</v>
          </cell>
        </row>
        <row r="45">
          <cell r="B45" t="str">
            <v>FY19E</v>
          </cell>
          <cell r="C45">
            <v>7.8328076586003927</v>
          </cell>
          <cell r="D45">
            <v>7.7050178325074619</v>
          </cell>
          <cell r="E45">
            <v>-1.6314689656986348E-2</v>
          </cell>
        </row>
        <row r="46">
          <cell r="B46" t="str">
            <v>FY20E</v>
          </cell>
          <cell r="C46">
            <v>10.958483226122761</v>
          </cell>
          <cell r="D46">
            <v>10.808387459217109</v>
          </cell>
          <cell r="E46">
            <v>-1.3696764762832769E-2</v>
          </cell>
        </row>
        <row r="50">
          <cell r="K50" t="str">
            <v>EPS post write-off of</v>
          </cell>
        </row>
        <row r="51">
          <cell r="J51" t="str">
            <v>Current EPS</v>
          </cell>
          <cell r="K51" t="str">
            <v xml:space="preserve">10% of LT rec. </v>
          </cell>
          <cell r="L51" t="str">
            <v xml:space="preserve">20% of LT rec. </v>
          </cell>
        </row>
        <row r="52">
          <cell r="I52" t="str">
            <v>FY17E</v>
          </cell>
          <cell r="J52">
            <v>2.554268905011734</v>
          </cell>
          <cell r="K52">
            <v>-1.7659246927983658</v>
          </cell>
          <cell r="L52">
            <v>-6.0861182906084661</v>
          </cell>
        </row>
        <row r="53">
          <cell r="I53" t="str">
            <v>FY18E</v>
          </cell>
          <cell r="J53">
            <v>4.7943730196682726</v>
          </cell>
          <cell r="K53">
            <v>0.47417942185817274</v>
          </cell>
          <cell r="L53">
            <v>-3.8460141759519271</v>
          </cell>
        </row>
        <row r="55">
          <cell r="K55" t="str">
            <v>% change in PAT</v>
          </cell>
          <cell r="L55" t="str">
            <v>% change in PAT</v>
          </cell>
        </row>
        <row r="56">
          <cell r="I56" t="str">
            <v>FY17E</v>
          </cell>
          <cell r="K56">
            <v>-1.6913620916472196</v>
          </cell>
          <cell r="L56" t="str">
            <v>N.A.</v>
          </cell>
        </row>
        <row r="57">
          <cell r="I57" t="str">
            <v>FY18E</v>
          </cell>
          <cell r="K57">
            <v>-0.90109667731048138</v>
          </cell>
          <cell r="L57">
            <v>-1.8021933546209628</v>
          </cell>
        </row>
      </sheetData>
      <sheetData sheetId="10" refreshError="1">
        <row r="3">
          <cell r="C3" t="str">
            <v>BHEL</v>
          </cell>
        </row>
        <row r="4">
          <cell r="C4" t="str">
            <v>Krishnapatnam TPP</v>
          </cell>
          <cell r="D4" t="str">
            <v>APGenco</v>
          </cell>
          <cell r="E4">
            <v>6410</v>
          </cell>
          <cell r="F4">
            <v>2</v>
          </cell>
          <cell r="G4">
            <v>800</v>
          </cell>
          <cell r="H4" t="str">
            <v>2x800MW</v>
          </cell>
          <cell r="I4">
            <v>1600</v>
          </cell>
          <cell r="J4" t="str">
            <v>Boiler</v>
          </cell>
          <cell r="K4">
            <v>4.0062499999999996</v>
          </cell>
          <cell r="L4">
            <v>1600</v>
          </cell>
        </row>
        <row r="5">
          <cell r="C5" t="str">
            <v>Barh TPP Stage II</v>
          </cell>
          <cell r="D5" t="str">
            <v>NTPC</v>
          </cell>
          <cell r="E5">
            <v>18500</v>
          </cell>
          <cell r="F5">
            <v>2</v>
          </cell>
          <cell r="G5">
            <v>660</v>
          </cell>
          <cell r="H5" t="str">
            <v>2x660MW</v>
          </cell>
          <cell r="I5">
            <v>1320</v>
          </cell>
          <cell r="J5" t="str">
            <v>Boiler</v>
          </cell>
          <cell r="K5">
            <v>14.015151515151516</v>
          </cell>
          <cell r="L5">
            <v>1320</v>
          </cell>
        </row>
        <row r="6">
          <cell r="C6" t="str">
            <v>Barh TPP Stage II</v>
          </cell>
          <cell r="D6" t="str">
            <v>NTPC</v>
          </cell>
          <cell r="E6">
            <v>14740</v>
          </cell>
          <cell r="F6">
            <v>2</v>
          </cell>
          <cell r="G6">
            <v>660</v>
          </cell>
          <cell r="H6" t="str">
            <v>2x660MW</v>
          </cell>
          <cell r="I6">
            <v>1320</v>
          </cell>
          <cell r="J6" t="str">
            <v>TG</v>
          </cell>
          <cell r="K6" t="e">
            <v>#DIV/0!</v>
          </cell>
        </row>
        <row r="7">
          <cell r="C7" t="str">
            <v>Bara TPP</v>
          </cell>
          <cell r="D7" t="str">
            <v>Prayagraj power, a Subs of JP Power</v>
          </cell>
          <cell r="E7">
            <v>56200</v>
          </cell>
          <cell r="F7">
            <v>3</v>
          </cell>
          <cell r="H7" t="str">
            <v>3x660MW</v>
          </cell>
          <cell r="I7">
            <v>1980</v>
          </cell>
          <cell r="J7" t="str">
            <v>BTG</v>
          </cell>
          <cell r="K7">
            <v>28.383838383838384</v>
          </cell>
          <cell r="L7">
            <v>1980</v>
          </cell>
        </row>
        <row r="8">
          <cell r="C8" t="str">
            <v>Yeramarus TPP</v>
          </cell>
          <cell r="D8" t="str">
            <v>Raichur Power, JV with KPCL</v>
          </cell>
          <cell r="E8">
            <v>12625</v>
          </cell>
          <cell r="F8">
            <v>2</v>
          </cell>
          <cell r="H8" t="str">
            <v>2x800MW</v>
          </cell>
          <cell r="I8">
            <v>1600</v>
          </cell>
          <cell r="J8" t="str">
            <v>EPC</v>
          </cell>
          <cell r="K8">
            <v>7.890625</v>
          </cell>
          <cell r="L8">
            <v>1600</v>
          </cell>
        </row>
        <row r="9">
          <cell r="C9" t="str">
            <v>Edlapur TPP</v>
          </cell>
          <cell r="D9" t="str">
            <v>Raichur Power, JV with KPCL</v>
          </cell>
          <cell r="E9">
            <v>36010</v>
          </cell>
          <cell r="H9" t="str">
            <v>1x800MW</v>
          </cell>
          <cell r="I9">
            <v>800</v>
          </cell>
          <cell r="J9" t="str">
            <v>EPC</v>
          </cell>
          <cell r="K9">
            <v>45.012500000000003</v>
          </cell>
          <cell r="L9">
            <v>800</v>
          </cell>
        </row>
        <row r="10">
          <cell r="C10" t="str">
            <v>Bellary TPP</v>
          </cell>
          <cell r="D10" t="str">
            <v>KPCL</v>
          </cell>
          <cell r="E10">
            <v>37000</v>
          </cell>
          <cell r="H10" t="str">
            <v>1x700MW</v>
          </cell>
          <cell r="I10">
            <v>700</v>
          </cell>
          <cell r="J10" t="str">
            <v>EPC</v>
          </cell>
          <cell r="K10">
            <v>52.857142857142854</v>
          </cell>
          <cell r="L10">
            <v>700</v>
          </cell>
        </row>
        <row r="11">
          <cell r="C11" t="str">
            <v>Mouda TPP</v>
          </cell>
          <cell r="D11" t="str">
            <v>NTPC</v>
          </cell>
          <cell r="E11">
            <v>15664.7</v>
          </cell>
          <cell r="H11" t="str">
            <v>2x660MW</v>
          </cell>
          <cell r="I11">
            <v>1320</v>
          </cell>
          <cell r="J11" t="str">
            <v>TG</v>
          </cell>
          <cell r="K11" t="e">
            <v>#DIV/0!</v>
          </cell>
        </row>
        <row r="12">
          <cell r="C12" t="str">
            <v>Lalitpur TPP</v>
          </cell>
          <cell r="D12" t="str">
            <v>Bajaj Group</v>
          </cell>
          <cell r="E12">
            <v>55671.7</v>
          </cell>
          <cell r="H12" t="str">
            <v>3x660MW</v>
          </cell>
          <cell r="I12">
            <v>1980</v>
          </cell>
          <cell r="J12" t="str">
            <v>BTG</v>
          </cell>
          <cell r="K12">
            <v>28.1170202020202</v>
          </cell>
          <cell r="L12">
            <v>1980</v>
          </cell>
        </row>
        <row r="13">
          <cell r="C13" t="str">
            <v>DB Power</v>
          </cell>
          <cell r="D13" t="str">
            <v>DB Power</v>
          </cell>
          <cell r="E13">
            <v>37829</v>
          </cell>
          <cell r="H13" t="str">
            <v>2x660MW</v>
          </cell>
          <cell r="I13">
            <v>1320</v>
          </cell>
          <cell r="J13" t="str">
            <v>BTG</v>
          </cell>
          <cell r="K13">
            <v>28.658333333333335</v>
          </cell>
          <cell r="L13">
            <v>1320</v>
          </cell>
        </row>
        <row r="14">
          <cell r="C14" t="str">
            <v>Mouda TPP</v>
          </cell>
          <cell r="D14" t="str">
            <v>NTPC</v>
          </cell>
          <cell r="E14">
            <v>18700</v>
          </cell>
          <cell r="H14" t="str">
            <v>2x660MW</v>
          </cell>
          <cell r="I14">
            <v>1320</v>
          </cell>
          <cell r="J14" t="str">
            <v>Boiler</v>
          </cell>
          <cell r="K14">
            <v>14.166666666666666</v>
          </cell>
          <cell r="L14">
            <v>1320</v>
          </cell>
        </row>
        <row r="15">
          <cell r="C15" t="str">
            <v>Total</v>
          </cell>
          <cell r="E15">
            <v>309350.40000000002</v>
          </cell>
          <cell r="I15">
            <v>15260</v>
          </cell>
          <cell r="L15">
            <v>12620</v>
          </cell>
        </row>
        <row r="16">
          <cell r="C16" t="str">
            <v>Nabinagar TPP</v>
          </cell>
          <cell r="D16" t="str">
            <v>NTPC JV</v>
          </cell>
          <cell r="E16">
            <v>29700</v>
          </cell>
          <cell r="H16" t="str">
            <v>3x660MW</v>
          </cell>
          <cell r="I16">
            <v>1980</v>
          </cell>
          <cell r="J16" t="str">
            <v>Boiler</v>
          </cell>
          <cell r="K16">
            <v>15</v>
          </cell>
          <cell r="L16">
            <v>1980</v>
          </cell>
        </row>
        <row r="17">
          <cell r="C17" t="str">
            <v>Darlipalli TPP</v>
          </cell>
          <cell r="D17" t="str">
            <v>NTPC</v>
          </cell>
          <cell r="E17">
            <v>26400</v>
          </cell>
          <cell r="H17" t="str">
            <v>2x800MW</v>
          </cell>
          <cell r="I17">
            <v>1600</v>
          </cell>
          <cell r="J17" t="str">
            <v>Boiler</v>
          </cell>
          <cell r="K17">
            <v>16.5</v>
          </cell>
          <cell r="L17">
            <v>1600</v>
          </cell>
        </row>
        <row r="18">
          <cell r="C18" t="str">
            <v>Gajamara TPP</v>
          </cell>
          <cell r="D18" t="str">
            <v>NTPC</v>
          </cell>
          <cell r="E18">
            <v>26400</v>
          </cell>
          <cell r="H18" t="str">
            <v>2x800MW</v>
          </cell>
          <cell r="I18">
            <v>1600</v>
          </cell>
          <cell r="J18" t="str">
            <v>Boiler</v>
          </cell>
          <cell r="K18">
            <v>16.5</v>
          </cell>
          <cell r="L18">
            <v>1600</v>
          </cell>
        </row>
        <row r="19">
          <cell r="C19" t="str">
            <v>Gajamara TPP</v>
          </cell>
          <cell r="D19" t="str">
            <v>NTPC</v>
          </cell>
          <cell r="E19">
            <v>14880.000000000002</v>
          </cell>
          <cell r="H19" t="str">
            <v>2x800MW</v>
          </cell>
          <cell r="I19">
            <v>1600</v>
          </cell>
          <cell r="J19" t="str">
            <v>TG</v>
          </cell>
          <cell r="K19" t="e">
            <v>#DIV/0!</v>
          </cell>
        </row>
        <row r="20">
          <cell r="C20" t="str">
            <v>Raghunathpur</v>
          </cell>
          <cell r="D20" t="str">
            <v>DVC</v>
          </cell>
          <cell r="E20">
            <v>15664.7</v>
          </cell>
          <cell r="H20" t="str">
            <v>2x660MW</v>
          </cell>
          <cell r="I20">
            <v>1320</v>
          </cell>
          <cell r="J20" t="str">
            <v>TG</v>
          </cell>
          <cell r="K20" t="e">
            <v>#DIV/0!</v>
          </cell>
        </row>
        <row r="21">
          <cell r="C21" t="str">
            <v>Order win to be awarded - Total</v>
          </cell>
          <cell r="E21">
            <v>113044.7</v>
          </cell>
          <cell r="I21">
            <v>8100</v>
          </cell>
          <cell r="L21">
            <v>5180</v>
          </cell>
        </row>
        <row r="22">
          <cell r="C22" t="str">
            <v>BHEL - Total</v>
          </cell>
          <cell r="E22">
            <v>422395.10000000003</v>
          </cell>
          <cell r="I22">
            <v>23360</v>
          </cell>
          <cell r="L22">
            <v>17800</v>
          </cell>
        </row>
        <row r="23">
          <cell r="C23" t="str">
            <v>L&amp;T-MHI</v>
          </cell>
        </row>
        <row r="24">
          <cell r="C24" t="str">
            <v>APPDCL</v>
          </cell>
          <cell r="D24" t="str">
            <v>APPDCL</v>
          </cell>
          <cell r="E24">
            <v>15570</v>
          </cell>
          <cell r="H24" t="str">
            <v>2x800MW</v>
          </cell>
          <cell r="I24">
            <v>1600</v>
          </cell>
          <cell r="J24" t="str">
            <v>TG</v>
          </cell>
          <cell r="K24" t="e">
            <v>#DIV/0!</v>
          </cell>
          <cell r="L24">
            <v>0</v>
          </cell>
        </row>
        <row r="25">
          <cell r="C25" t="str">
            <v>Nigrie TPP</v>
          </cell>
          <cell r="D25" t="str">
            <v>JP Power</v>
          </cell>
          <cell r="E25">
            <v>40000</v>
          </cell>
          <cell r="H25" t="str">
            <v>2x660MW</v>
          </cell>
          <cell r="I25">
            <v>1320</v>
          </cell>
          <cell r="J25" t="str">
            <v>BTG</v>
          </cell>
          <cell r="K25">
            <v>30.303030303030305</v>
          </cell>
          <cell r="L25">
            <v>1320</v>
          </cell>
        </row>
        <row r="26">
          <cell r="C26" t="str">
            <v>Koradi TPP</v>
          </cell>
          <cell r="D26" t="str">
            <v>Mahagenco</v>
          </cell>
          <cell r="E26">
            <v>68970</v>
          </cell>
          <cell r="H26" t="str">
            <v xml:space="preserve"> 3x660MW</v>
          </cell>
          <cell r="I26">
            <v>1980</v>
          </cell>
          <cell r="J26" t="str">
            <v>EPC</v>
          </cell>
          <cell r="K26">
            <v>34.833333333333336</v>
          </cell>
          <cell r="L26">
            <v>1980</v>
          </cell>
        </row>
        <row r="27">
          <cell r="C27" t="str">
            <v>Karchana TPP</v>
          </cell>
          <cell r="D27" t="str">
            <v>JP Power</v>
          </cell>
          <cell r="E27">
            <v>65000</v>
          </cell>
          <cell r="H27" t="str">
            <v xml:space="preserve"> 3x660MW</v>
          </cell>
          <cell r="I27">
            <v>1980</v>
          </cell>
          <cell r="J27" t="str">
            <v>BTG</v>
          </cell>
          <cell r="K27">
            <v>32.828282828282831</v>
          </cell>
          <cell r="L27">
            <v>1980</v>
          </cell>
        </row>
        <row r="28">
          <cell r="C28" t="str">
            <v>Rajpura TPP</v>
          </cell>
          <cell r="D28" t="str">
            <v>Nabha Power, a Subs of L&amp;T</v>
          </cell>
          <cell r="E28">
            <v>96360</v>
          </cell>
          <cell r="H28" t="str">
            <v>3x700MW</v>
          </cell>
          <cell r="I28">
            <v>2100</v>
          </cell>
          <cell r="J28" t="str">
            <v>EPC</v>
          </cell>
          <cell r="K28">
            <v>45.885714285714286</v>
          </cell>
          <cell r="L28">
            <v>2100</v>
          </cell>
        </row>
        <row r="29">
          <cell r="C29" t="str">
            <v>L&amp;T-MHI - Total</v>
          </cell>
          <cell r="E29">
            <v>285900</v>
          </cell>
          <cell r="L29">
            <v>7380</v>
          </cell>
        </row>
        <row r="30">
          <cell r="C30" t="str">
            <v>Other Domestic Manf.</v>
          </cell>
        </row>
        <row r="31">
          <cell r="C31" t="str">
            <v>Bharat Forge - Alstom</v>
          </cell>
          <cell r="D31" t="str">
            <v>NTPC</v>
          </cell>
          <cell r="E31">
            <v>43181.818181818177</v>
          </cell>
          <cell r="H31" t="str">
            <v>5x660MW</v>
          </cell>
          <cell r="K31" t="e">
            <v>#DIV/0!</v>
          </cell>
          <cell r="L31">
            <v>0</v>
          </cell>
        </row>
        <row r="32">
          <cell r="C32" t="str">
            <v>JSW - Toshiba</v>
          </cell>
          <cell r="D32" t="str">
            <v>NTPC</v>
          </cell>
          <cell r="E32">
            <v>17272.727272727272</v>
          </cell>
          <cell r="H32" t="str">
            <v>2x660MW</v>
          </cell>
          <cell r="K32" t="e">
            <v>#DIV/0!</v>
          </cell>
          <cell r="L32">
            <v>0</v>
          </cell>
        </row>
        <row r="33">
          <cell r="C33" t="str">
            <v>JSW - Toshiba</v>
          </cell>
          <cell r="D33" t="str">
            <v>NTPC</v>
          </cell>
          <cell r="E33">
            <v>21706.666666666668</v>
          </cell>
          <cell r="H33" t="str">
            <v>3x800MW</v>
          </cell>
          <cell r="I33">
            <v>0</v>
          </cell>
          <cell r="K33" t="e">
            <v>#DIV/0!</v>
          </cell>
          <cell r="L33">
            <v>0</v>
          </cell>
        </row>
        <row r="34">
          <cell r="C34" t="str">
            <v>BGR-Hitachi</v>
          </cell>
          <cell r="D34" t="str">
            <v>NTPC - Lara STPP</v>
          </cell>
          <cell r="E34">
            <v>15499.630524688504</v>
          </cell>
          <cell r="H34" t="str">
            <v>2x800MW</v>
          </cell>
          <cell r="I34">
            <v>0</v>
          </cell>
          <cell r="J34" t="str">
            <v>TG</v>
          </cell>
          <cell r="K34" t="e">
            <v>#DIV/0!</v>
          </cell>
          <cell r="L34">
            <v>0</v>
          </cell>
        </row>
        <row r="35">
          <cell r="C35" t="str">
            <v>BGR-Hitachi</v>
          </cell>
          <cell r="D35" t="str">
            <v>NTPC - Darlipali STPP</v>
          </cell>
          <cell r="E35">
            <v>0</v>
          </cell>
          <cell r="H35" t="str">
            <v>2x800MW</v>
          </cell>
          <cell r="K35" t="str">
            <v>NA</v>
          </cell>
          <cell r="L35">
            <v>0</v>
          </cell>
        </row>
        <row r="36">
          <cell r="C36" t="str">
            <v>BGR-Hitachi</v>
          </cell>
          <cell r="D36" t="str">
            <v>NTPC - Solapur STPP</v>
          </cell>
          <cell r="E36">
            <v>18550</v>
          </cell>
          <cell r="H36" t="str">
            <v>2x660MW</v>
          </cell>
          <cell r="K36">
            <v>14.053030303030303</v>
          </cell>
          <cell r="L36">
            <v>1320</v>
          </cell>
        </row>
        <row r="37">
          <cell r="C37" t="str">
            <v>BGR-Hitachi</v>
          </cell>
          <cell r="D37" t="str">
            <v>NTPC - Meja TPP</v>
          </cell>
          <cell r="E37">
            <v>18550</v>
          </cell>
          <cell r="H37" t="str">
            <v>2x660MW</v>
          </cell>
          <cell r="K37">
            <v>14.053030303030303</v>
          </cell>
          <cell r="L37">
            <v>1320</v>
          </cell>
        </row>
        <row r="38">
          <cell r="C38" t="str">
            <v>BGR-Hitachi</v>
          </cell>
          <cell r="D38" t="str">
            <v>DVC - Raghunathpur TPP - II</v>
          </cell>
          <cell r="E38">
            <v>18550</v>
          </cell>
          <cell r="H38" t="str">
            <v>2x660MW</v>
          </cell>
          <cell r="K38">
            <v>14.053030303030303</v>
          </cell>
          <cell r="L38">
            <v>1320</v>
          </cell>
        </row>
        <row r="39">
          <cell r="C39" t="str">
            <v>Doosan</v>
          </cell>
          <cell r="D39" t="str">
            <v>NTPC</v>
          </cell>
          <cell r="E39">
            <v>65600</v>
          </cell>
          <cell r="H39" t="str">
            <v>5x800MW</v>
          </cell>
          <cell r="K39">
            <v>16.399999999999999</v>
          </cell>
          <cell r="L39">
            <v>4000</v>
          </cell>
        </row>
        <row r="40">
          <cell r="C40" t="str">
            <v>Doosan</v>
          </cell>
          <cell r="D40" t="str">
            <v>GMR</v>
          </cell>
          <cell r="H40" t="str">
            <v>2x660MW</v>
          </cell>
          <cell r="L40">
            <v>1320</v>
          </cell>
        </row>
        <row r="41">
          <cell r="C41" t="str">
            <v>Other Dom. Manuf.</v>
          </cell>
          <cell r="E41">
            <v>218910.84264590062</v>
          </cell>
          <cell r="L41">
            <v>9280</v>
          </cell>
        </row>
        <row r="42">
          <cell r="C42" t="str">
            <v>Non-BHEL Dom. Manuf.</v>
          </cell>
          <cell r="E42">
            <v>504810.84264590062</v>
          </cell>
          <cell r="L42">
            <v>16660</v>
          </cell>
        </row>
        <row r="45">
          <cell r="E45">
            <v>927205.94264590065</v>
          </cell>
          <cell r="L45">
            <v>34460</v>
          </cell>
        </row>
        <row r="46">
          <cell r="C46" t="str">
            <v>Order likely to be Won</v>
          </cell>
        </row>
        <row r="47">
          <cell r="C47" t="str">
            <v>BGR-Hitachi</v>
          </cell>
          <cell r="D47" t="str">
            <v>NTPC</v>
          </cell>
          <cell r="E47">
            <v>55440</v>
          </cell>
          <cell r="H47" t="str">
            <v>6x660MW</v>
          </cell>
          <cell r="K47">
            <v>14</v>
          </cell>
          <cell r="L47">
            <v>3960</v>
          </cell>
        </row>
        <row r="48">
          <cell r="C48" t="str">
            <v>BHEL</v>
          </cell>
          <cell r="D48" t="str">
            <v>NTPC</v>
          </cell>
          <cell r="E48">
            <v>46200</v>
          </cell>
          <cell r="H48" t="str">
            <v>5x660MW</v>
          </cell>
          <cell r="K48">
            <v>14</v>
          </cell>
          <cell r="L48">
            <v>3300</v>
          </cell>
        </row>
        <row r="49">
          <cell r="C49" t="str">
            <v>Order likely to be Won</v>
          </cell>
          <cell r="E49">
            <v>101640</v>
          </cell>
          <cell r="L49">
            <v>7260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5">
          <cell r="E5" t="str">
            <v>Value (Rs mn)</v>
          </cell>
          <cell r="F5" t="str">
            <v>Unit x Size</v>
          </cell>
          <cell r="G5" t="str">
            <v>Order Size (MW)</v>
          </cell>
          <cell r="H5" t="str">
            <v>Realization (Rs mn / MW)</v>
          </cell>
        </row>
        <row r="6">
          <cell r="E6">
            <v>63000</v>
          </cell>
          <cell r="F6" t="str">
            <v>2x800</v>
          </cell>
          <cell r="G6">
            <v>1600</v>
          </cell>
          <cell r="H6">
            <v>39.375</v>
          </cell>
        </row>
        <row r="7">
          <cell r="E7">
            <v>26650</v>
          </cell>
          <cell r="F7" t="str">
            <v>2x600</v>
          </cell>
          <cell r="G7">
            <v>1200</v>
          </cell>
          <cell r="H7">
            <v>22.208333333333332</v>
          </cell>
        </row>
        <row r="8">
          <cell r="E8">
            <v>26650</v>
          </cell>
          <cell r="F8" t="str">
            <v>2x600</v>
          </cell>
          <cell r="G8">
            <v>1200</v>
          </cell>
          <cell r="H8">
            <v>22.208333333333332</v>
          </cell>
        </row>
        <row r="9">
          <cell r="E9">
            <v>37000</v>
          </cell>
          <cell r="F9" t="str">
            <v>1x700</v>
          </cell>
          <cell r="G9">
            <v>700</v>
          </cell>
          <cell r="H9">
            <v>52.857142857142854</v>
          </cell>
        </row>
        <row r="10">
          <cell r="E10">
            <v>36010</v>
          </cell>
          <cell r="F10" t="str">
            <v>1x800</v>
          </cell>
          <cell r="G10">
            <v>800</v>
          </cell>
          <cell r="H10">
            <v>45.012500000000003</v>
          </cell>
        </row>
        <row r="11">
          <cell r="E11">
            <v>4050</v>
          </cell>
          <cell r="F11" t="str">
            <v>1x100</v>
          </cell>
          <cell r="G11">
            <v>100</v>
          </cell>
          <cell r="H11">
            <v>40.5</v>
          </cell>
        </row>
        <row r="12">
          <cell r="E12">
            <v>770</v>
          </cell>
          <cell r="F12" t="str">
            <v>1x21</v>
          </cell>
          <cell r="G12">
            <v>21</v>
          </cell>
          <cell r="H12">
            <v>36.666666666666664</v>
          </cell>
        </row>
        <row r="13">
          <cell r="E13">
            <v>57643.600000000006</v>
          </cell>
          <cell r="F13" t="str">
            <v>10x270</v>
          </cell>
          <cell r="G13">
            <v>2700</v>
          </cell>
          <cell r="H13">
            <v>21.349481481481483</v>
          </cell>
        </row>
        <row r="14">
          <cell r="E14">
            <v>14450</v>
          </cell>
          <cell r="F14" t="str">
            <v>1x600</v>
          </cell>
          <cell r="G14">
            <v>600</v>
          </cell>
          <cell r="H14">
            <v>24.083333333333332</v>
          </cell>
        </row>
        <row r="15">
          <cell r="E15">
            <v>32200</v>
          </cell>
          <cell r="F15" t="str">
            <v>2x500</v>
          </cell>
          <cell r="G15">
            <v>1000</v>
          </cell>
          <cell r="H15">
            <v>32.200000000000003</v>
          </cell>
        </row>
        <row r="16">
          <cell r="E16">
            <v>15664.7</v>
          </cell>
          <cell r="F16" t="str">
            <v>2x660</v>
          </cell>
          <cell r="G16">
            <v>1320</v>
          </cell>
          <cell r="H16">
            <v>11.86719696969697</v>
          </cell>
        </row>
        <row r="17">
          <cell r="E17">
            <v>24230</v>
          </cell>
          <cell r="F17" t="str">
            <v>2x250</v>
          </cell>
          <cell r="G17">
            <v>500</v>
          </cell>
          <cell r="H17">
            <v>48.46</v>
          </cell>
        </row>
        <row r="18">
          <cell r="E18">
            <v>17982.7</v>
          </cell>
          <cell r="F18" t="str">
            <v>1x750</v>
          </cell>
          <cell r="G18">
            <v>750</v>
          </cell>
          <cell r="H18">
            <v>23.976933333333335</v>
          </cell>
        </row>
        <row r="19">
          <cell r="E19">
            <v>12902.6</v>
          </cell>
          <cell r="F19" t="str">
            <v>1x600</v>
          </cell>
          <cell r="G19">
            <v>600</v>
          </cell>
          <cell r="H19">
            <v>21.504333333333335</v>
          </cell>
        </row>
        <row r="20">
          <cell r="E20">
            <v>55671.7</v>
          </cell>
          <cell r="F20" t="str">
            <v>3x660</v>
          </cell>
          <cell r="G20">
            <v>1980</v>
          </cell>
          <cell r="H20">
            <v>28.1170202020202</v>
          </cell>
        </row>
        <row r="21">
          <cell r="E21">
            <v>9200</v>
          </cell>
          <cell r="G21">
            <v>1400</v>
          </cell>
        </row>
        <row r="22">
          <cell r="E22">
            <v>5350</v>
          </cell>
          <cell r="H22">
            <v>1.6212121212121211</v>
          </cell>
        </row>
        <row r="23">
          <cell r="E23">
            <v>24504.700000000012</v>
          </cell>
        </row>
        <row r="24">
          <cell r="E24">
            <v>463930</v>
          </cell>
          <cell r="G24">
            <v>16471</v>
          </cell>
        </row>
        <row r="32">
          <cell r="E32" t="str">
            <v>Value (Rs mn)</v>
          </cell>
          <cell r="F32" t="str">
            <v>Size</v>
          </cell>
          <cell r="G32" t="str">
            <v>MW</v>
          </cell>
          <cell r="H32" t="str">
            <v>Realization (Rs mn / MW)</v>
          </cell>
        </row>
        <row r="34">
          <cell r="E34">
            <v>0</v>
          </cell>
          <cell r="F34" t="str">
            <v>2x270</v>
          </cell>
          <cell r="G34">
            <v>0</v>
          </cell>
        </row>
        <row r="35">
          <cell r="E35">
            <v>620</v>
          </cell>
          <cell r="G35">
            <v>5</v>
          </cell>
          <cell r="H35">
            <v>124</v>
          </cell>
        </row>
        <row r="36">
          <cell r="E36">
            <v>40710</v>
          </cell>
          <cell r="F36" t="str">
            <v>2x600</v>
          </cell>
          <cell r="G36">
            <v>1200</v>
          </cell>
          <cell r="H36">
            <v>33.924999999999997</v>
          </cell>
        </row>
        <row r="37">
          <cell r="E37">
            <v>37829</v>
          </cell>
          <cell r="F37" t="str">
            <v>2x660</v>
          </cell>
          <cell r="G37">
            <v>1320</v>
          </cell>
          <cell r="H37">
            <v>28.658333333333335</v>
          </cell>
        </row>
        <row r="38">
          <cell r="E38">
            <v>6300</v>
          </cell>
          <cell r="F38" t="str">
            <v>1x300</v>
          </cell>
          <cell r="G38">
            <v>300</v>
          </cell>
          <cell r="H38">
            <v>21</v>
          </cell>
        </row>
        <row r="39">
          <cell r="E39">
            <v>18700</v>
          </cell>
          <cell r="F39" t="str">
            <v>2x660</v>
          </cell>
          <cell r="G39">
            <v>1320</v>
          </cell>
          <cell r="H39">
            <v>14.166666666666666</v>
          </cell>
        </row>
        <row r="40">
          <cell r="E40">
            <v>9700</v>
          </cell>
        </row>
        <row r="41">
          <cell r="E41">
            <v>2900</v>
          </cell>
        </row>
        <row r="42">
          <cell r="E42">
            <v>6468</v>
          </cell>
          <cell r="F42" t="str">
            <v>7x660</v>
          </cell>
          <cell r="H42">
            <v>1.4</v>
          </cell>
        </row>
        <row r="44">
          <cell r="E44">
            <v>16143</v>
          </cell>
        </row>
        <row r="45">
          <cell r="E45">
            <v>139370</v>
          </cell>
          <cell r="G45">
            <v>4145</v>
          </cell>
        </row>
      </sheetData>
      <sheetData sheetId="24" refreshError="1"/>
      <sheetData sheetId="25" refreshError="1"/>
      <sheetData sheetId="26" refreshError="1"/>
      <sheetData sheetId="27" refreshError="1"/>
      <sheetData sheetId="28" refreshError="1"/>
      <sheetData sheetId="29" refreshError="1">
        <row r="3">
          <cell r="A3" t="str">
            <v>Materials used for boiler tubing, headers, piping, vessels and other pressure parts</v>
          </cell>
        </row>
        <row r="4">
          <cell r="B4" t="str">
            <v>Temperature</v>
          </cell>
          <cell r="C4" t="str">
            <v>Materials</v>
          </cell>
        </row>
        <row r="5">
          <cell r="A5" t="str">
            <v>a)</v>
          </cell>
          <cell r="B5" t="str">
            <v>Up to and including 400°C</v>
          </cell>
          <cell r="C5" t="str">
            <v>Carbon steel to ASTM 106 Gr.B/C or SA 299, SA 210C,SA 210Gr A1 or equivalent.</v>
          </cell>
        </row>
        <row r="6">
          <cell r="A6" t="str">
            <v>b)</v>
          </cell>
          <cell r="B6" t="str">
            <v>Above 400°C and up to and including 550°C</v>
          </cell>
          <cell r="C6" t="str">
            <v>Alloy steel to ASTM A335/ ASTM A213,P11/T11, P22/T22, P91/T91 or equivalent</v>
          </cell>
        </row>
        <row r="7">
          <cell r="A7" t="str">
            <v>c)</v>
          </cell>
          <cell r="B7" t="str">
            <v>Above 550°C and up to 590°C</v>
          </cell>
          <cell r="C7" t="str">
            <v>P91/T91, stainless steel grade to purchaser's approval.</v>
          </cell>
        </row>
        <row r="8">
          <cell r="A8" t="str">
            <v>d)</v>
          </cell>
          <cell r="B8" t="str">
            <v>Above 590°C</v>
          </cell>
          <cell r="C8" t="str">
            <v>P92/T92, stainless steel grade to purchaser's approval.</v>
          </cell>
        </row>
        <row r="9">
          <cell r="A9" t="str">
            <v>Source: Company</v>
          </cell>
        </row>
        <row r="90">
          <cell r="B90" t="str">
            <v>Indian Utilities Super-critical orders to Chinese Supplier</v>
          </cell>
        </row>
        <row r="91">
          <cell r="B91" t="str">
            <v>Utilities &amp; Projects</v>
          </cell>
          <cell r="C91" t="str">
            <v>Unit x Size</v>
          </cell>
          <cell r="D91" t="str">
            <v>Size MW</v>
          </cell>
          <cell r="E91" t="str">
            <v>Realisation(Rs mn/MW)</v>
          </cell>
          <cell r="F91" t="str">
            <v>Order Value(Rs bn)</v>
          </cell>
          <cell r="G91" t="str">
            <v>Supplier</v>
          </cell>
        </row>
        <row r="92">
          <cell r="B92" t="str">
            <v>Reliance Power - Krishnapatanam UMPP</v>
          </cell>
          <cell r="C92" t="str">
            <v>12x660</v>
          </cell>
          <cell r="D92">
            <v>7920</v>
          </cell>
          <cell r="E92">
            <v>16.181818181818183</v>
          </cell>
          <cell r="F92">
            <v>128.16</v>
          </cell>
          <cell r="G92" t="str">
            <v>Shanghai Electric</v>
          </cell>
        </row>
        <row r="93">
          <cell r="B93" t="str">
            <v>Reliance Power - Chitrangi TPP</v>
          </cell>
          <cell r="C93" t="str">
            <v>12x660</v>
          </cell>
          <cell r="D93">
            <v>7920</v>
          </cell>
          <cell r="E93">
            <v>15.642045454545453</v>
          </cell>
          <cell r="F93">
            <v>123.88500000000001</v>
          </cell>
          <cell r="G93" t="str">
            <v>Shanghai Electric</v>
          </cell>
        </row>
        <row r="94">
          <cell r="B94" t="str">
            <v>Reliance Power - Tilaiya UMPP</v>
          </cell>
          <cell r="C94" t="str">
            <v>12x660</v>
          </cell>
          <cell r="D94">
            <v>7920</v>
          </cell>
          <cell r="E94">
            <v>15.284090909090908</v>
          </cell>
          <cell r="F94">
            <v>121.05</v>
          </cell>
          <cell r="G94" t="str">
            <v>Shanghai Electric</v>
          </cell>
        </row>
        <row r="95">
          <cell r="B95" t="str">
            <v>Lanco</v>
          </cell>
          <cell r="C95" t="str">
            <v>16x660</v>
          </cell>
          <cell r="D95">
            <v>10560</v>
          </cell>
          <cell r="E95">
            <v>6.83</v>
          </cell>
          <cell r="F95">
            <v>72.124800000000008</v>
          </cell>
          <cell r="G95" t="str">
            <v>Harbin Power</v>
          </cell>
        </row>
        <row r="96">
          <cell r="B96" t="str">
            <v>Abhijeet Power</v>
          </cell>
          <cell r="C96" t="str">
            <v>10x660</v>
          </cell>
          <cell r="D96">
            <v>6600</v>
          </cell>
          <cell r="E96">
            <v>17.045454545454543</v>
          </cell>
          <cell r="F96">
            <v>112.5</v>
          </cell>
          <cell r="G96" t="str">
            <v>Dongfang</v>
          </cell>
        </row>
        <row r="97">
          <cell r="B97" t="str">
            <v>Adani Power - Dahej TPP</v>
          </cell>
          <cell r="F97">
            <v>164.03</v>
          </cell>
          <cell r="G97" t="str">
            <v>Shanghai Electric</v>
          </cell>
        </row>
        <row r="98">
          <cell r="B98" t="str">
            <v>Total</v>
          </cell>
          <cell r="F98">
            <v>721.74980000000005</v>
          </cell>
        </row>
        <row r="99">
          <cell r="B99" t="str">
            <v>Source: BofA Merrill Lynch Global Research</v>
          </cell>
        </row>
      </sheetData>
      <sheetData sheetId="30" refreshError="1"/>
      <sheetData sheetId="31" refreshError="1"/>
      <sheetData sheetId="32" refreshError="1"/>
      <sheetData sheetId="33" refreshError="1">
        <row r="40">
          <cell r="A40" t="str">
            <v>BHEL Market share of XII plan capacity addition</v>
          </cell>
        </row>
        <row r="41">
          <cell r="A41" t="str">
            <v>XII Plan Orders Placed on</v>
          </cell>
          <cell r="B41" t="str">
            <v>(MW)</v>
          </cell>
          <cell r="C41" t="str">
            <v>% of Ordering</v>
          </cell>
          <cell r="D41" t="str">
            <v>% XII Plan Capacity</v>
          </cell>
        </row>
        <row r="42">
          <cell r="A42" t="str">
            <v>BHEL</v>
          </cell>
          <cell r="B42">
            <v>33190</v>
          </cell>
          <cell r="C42">
            <v>0.53061550759392484</v>
          </cell>
          <cell r="D42">
            <v>0.33189999999999997</v>
          </cell>
        </row>
        <row r="43">
          <cell r="A43" t="str">
            <v>Chinese</v>
          </cell>
          <cell r="B43">
            <v>15430</v>
          </cell>
          <cell r="C43">
            <v>0.24668265387689847</v>
          </cell>
          <cell r="D43">
            <v>0.15429999999999999</v>
          </cell>
        </row>
        <row r="44">
          <cell r="A44" t="str">
            <v>Others</v>
          </cell>
          <cell r="B44">
            <v>13930</v>
          </cell>
          <cell r="C44">
            <v>0.22270183852917666</v>
          </cell>
          <cell r="D44">
            <v>0.13930000000000001</v>
          </cell>
        </row>
        <row r="45">
          <cell r="A45" t="str">
            <v>Total Ordering</v>
          </cell>
          <cell r="B45">
            <v>62550</v>
          </cell>
          <cell r="C45">
            <v>1</v>
          </cell>
          <cell r="D45">
            <v>0.62549999999999994</v>
          </cell>
        </row>
        <row r="46">
          <cell r="A46" t="str">
            <v>Balance to be ordered</v>
          </cell>
          <cell r="B46">
            <v>37450</v>
          </cell>
          <cell r="C46" t="str">
            <v>NA</v>
          </cell>
          <cell r="D46">
            <v>0.3745</v>
          </cell>
        </row>
        <row r="47">
          <cell r="A47" t="str">
            <v>Total XII th Plan</v>
          </cell>
          <cell r="B47">
            <v>100000</v>
          </cell>
          <cell r="C47">
            <v>1</v>
          </cell>
          <cell r="D47">
            <v>1</v>
          </cell>
        </row>
        <row r="48">
          <cell r="A48" t="str">
            <v>Source: BHEL Presentation June 2010</v>
          </cell>
        </row>
        <row r="388">
          <cell r="A388" t="str">
            <v>PLF and Operating Availability (Coal based BHEL sets)</v>
          </cell>
        </row>
        <row r="389">
          <cell r="C389" t="str">
            <v>BHEL Sets</v>
          </cell>
        </row>
        <row r="390">
          <cell r="B390" t="str">
            <v>National Average</v>
          </cell>
          <cell r="C390" t="str">
            <v>Overall</v>
          </cell>
          <cell r="D390" t="str">
            <v>500MW</v>
          </cell>
          <cell r="E390" t="str">
            <v>250MW</v>
          </cell>
          <cell r="F390" t="str">
            <v>210/200/195 (MW)</v>
          </cell>
        </row>
        <row r="391">
          <cell r="A391" t="str">
            <v>PLF</v>
          </cell>
          <cell r="B391">
            <v>0.77</v>
          </cell>
          <cell r="C391">
            <v>0.80500000000000005</v>
          </cell>
          <cell r="D391">
            <v>0.89200000000000002</v>
          </cell>
          <cell r="E391">
            <v>0.9</v>
          </cell>
          <cell r="F391">
            <v>0.81599999999999995</v>
          </cell>
        </row>
        <row r="392">
          <cell r="A392" t="str">
            <v>Operating Availability</v>
          </cell>
          <cell r="B392" t="str">
            <v>NA</v>
          </cell>
          <cell r="C392">
            <v>0.88400000000000001</v>
          </cell>
          <cell r="D392">
            <v>0.92700000000000005</v>
          </cell>
          <cell r="E392">
            <v>0.92600000000000005</v>
          </cell>
          <cell r="F392">
            <v>0.90300000000000002</v>
          </cell>
        </row>
        <row r="393">
          <cell r="A393" t="str">
            <v>Sourec: Company</v>
          </cell>
        </row>
      </sheetData>
      <sheetData sheetId="34" refreshError="1"/>
      <sheetData sheetId="35" refreshError="1">
        <row r="31">
          <cell r="A31" t="str">
            <v>CESC Haldia Bid Dec-2010</v>
          </cell>
        </row>
        <row r="32">
          <cell r="B32" t="str">
            <v>BHEL</v>
          </cell>
          <cell r="C32" t="str">
            <v>Dongfang</v>
          </cell>
          <cell r="D32" t="str">
            <v>Shanghai Elec</v>
          </cell>
          <cell r="E32" t="str">
            <v>BHEL vs Dongfang</v>
          </cell>
          <cell r="F32" t="str">
            <v>BHEL vs Shanghai Elec</v>
          </cell>
        </row>
        <row r="33">
          <cell r="A33" t="str">
            <v>Configuration</v>
          </cell>
          <cell r="B33" t="str">
            <v>2x270</v>
          </cell>
          <cell r="C33" t="str">
            <v>2x300</v>
          </cell>
          <cell r="D33" t="str">
            <v>2x300</v>
          </cell>
        </row>
        <row r="34">
          <cell r="B34">
            <v>540</v>
          </cell>
          <cell r="C34">
            <v>600</v>
          </cell>
          <cell r="D34">
            <v>600</v>
          </cell>
        </row>
        <row r="35">
          <cell r="A35" t="str">
            <v>Bid Price (Rs mn)</v>
          </cell>
          <cell r="B35">
            <v>11314.2</v>
          </cell>
          <cell r="C35">
            <v>13215.1</v>
          </cell>
          <cell r="D35">
            <v>12993.2</v>
          </cell>
        </row>
        <row r="36">
          <cell r="A36" t="str">
            <v>Cost (Rs mn / MW)</v>
          </cell>
          <cell r="B36">
            <v>20.952222222222222</v>
          </cell>
          <cell r="C36">
            <v>22.025166666666667</v>
          </cell>
          <cell r="D36">
            <v>21.655333333333335</v>
          </cell>
          <cell r="E36">
            <v>-4.8714475612493868E-2</v>
          </cell>
          <cell r="F36">
            <v>-3.2468265451672251E-2</v>
          </cell>
        </row>
        <row r="37">
          <cell r="A37" t="str">
            <v>Source: BofA Merrill Lynch Global Research</v>
          </cell>
        </row>
      </sheetData>
      <sheetData sheetId="36" refreshError="1"/>
      <sheetData sheetId="37" refreshError="1"/>
      <sheetData sheetId="38" refreshError="1">
        <row r="3">
          <cell r="B3" t="str">
            <v>BHEL - Project wise Power Sales</v>
          </cell>
        </row>
        <row r="4">
          <cell r="B4" t="str">
            <v>Projects / (Rs mn)</v>
          </cell>
          <cell r="C4" t="str">
            <v>Sector</v>
          </cell>
          <cell r="D4" t="str">
            <v>FY13E</v>
          </cell>
        </row>
        <row r="5">
          <cell r="B5" t="str">
            <v>Satpura Extn # 10 &amp; 11</v>
          </cell>
          <cell r="C5" t="str">
            <v>S</v>
          </cell>
          <cell r="D5">
            <v>0</v>
          </cell>
        </row>
        <row r="6">
          <cell r="B6" t="str">
            <v>Satpura Extn # 10 &amp; 11</v>
          </cell>
          <cell r="C6" t="str">
            <v>S</v>
          </cell>
          <cell r="D6">
            <v>1921.875</v>
          </cell>
        </row>
        <row r="7">
          <cell r="B7" t="str">
            <v>Pipavav</v>
          </cell>
          <cell r="C7" t="str">
            <v>S</v>
          </cell>
          <cell r="D7">
            <v>2000</v>
          </cell>
        </row>
        <row r="8">
          <cell r="B8" t="str">
            <v>Bina Power</v>
          </cell>
          <cell r="C8" t="str">
            <v>P</v>
          </cell>
          <cell r="D8">
            <v>0</v>
          </cell>
        </row>
        <row r="9">
          <cell r="B9" t="str">
            <v>Bina Power</v>
          </cell>
          <cell r="C9" t="str">
            <v>P</v>
          </cell>
          <cell r="D9">
            <v>3569.0625</v>
          </cell>
        </row>
        <row r="10">
          <cell r="B10" t="str">
            <v>Rammam-III HEP</v>
          </cell>
          <cell r="C10" t="str">
            <v>C</v>
          </cell>
          <cell r="D10">
            <v>0</v>
          </cell>
        </row>
        <row r="11">
          <cell r="B11" t="str">
            <v>Sikka 3 &amp; 4</v>
          </cell>
          <cell r="C11" t="str">
            <v>S</v>
          </cell>
          <cell r="D11">
            <v>0</v>
          </cell>
        </row>
        <row r="12">
          <cell r="B12" t="str">
            <v>Sikka 3 &amp; 4</v>
          </cell>
          <cell r="C12" t="str">
            <v>S</v>
          </cell>
          <cell r="D12">
            <v>0</v>
          </cell>
        </row>
        <row r="13">
          <cell r="B13" t="str">
            <v>North Chennai TPS</v>
          </cell>
          <cell r="C13" t="str">
            <v>S</v>
          </cell>
          <cell r="D13">
            <v>3732.5</v>
          </cell>
        </row>
        <row r="14">
          <cell r="B14" t="str">
            <v>Nabinagar STPP (Boiler)</v>
          </cell>
          <cell r="C14" t="str">
            <v>C</v>
          </cell>
          <cell r="D14">
            <v>0</v>
          </cell>
        </row>
        <row r="15">
          <cell r="B15" t="str">
            <v>Sipat II U 4 &amp; 5</v>
          </cell>
          <cell r="C15" t="str">
            <v>C</v>
          </cell>
          <cell r="D15" t="e">
            <v>#REF!</v>
          </cell>
        </row>
        <row r="16">
          <cell r="B16" t="e">
            <v>#REF!</v>
          </cell>
          <cell r="C16" t="e">
            <v>#REF!</v>
          </cell>
          <cell r="D16" t="e">
            <v>#REF!</v>
          </cell>
        </row>
        <row r="17">
          <cell r="B17" t="str">
            <v>Tapovan Vishnugad HEP</v>
          </cell>
          <cell r="C17" t="str">
            <v>C</v>
          </cell>
          <cell r="D17">
            <v>173.49660000000003</v>
          </cell>
        </row>
        <row r="18">
          <cell r="B18" t="str">
            <v>Punatsangchhu-II HEP, Bhutan</v>
          </cell>
          <cell r="C18" t="str">
            <v>O</v>
          </cell>
          <cell r="D18">
            <v>0</v>
          </cell>
        </row>
        <row r="19">
          <cell r="B19" t="str">
            <v>Shahpur Kandi HEP</v>
          </cell>
          <cell r="C19" t="str">
            <v>S</v>
          </cell>
          <cell r="D19">
            <v>0</v>
          </cell>
        </row>
        <row r="20">
          <cell r="B20" t="str">
            <v>Vindyanchal-III 9&amp;10</v>
          </cell>
          <cell r="C20" t="str">
            <v>C</v>
          </cell>
          <cell r="D20">
            <v>0</v>
          </cell>
        </row>
        <row r="21">
          <cell r="B21" t="str">
            <v>Tuticorin (NTPP JV)</v>
          </cell>
          <cell r="C21" t="str">
            <v>C</v>
          </cell>
          <cell r="D21">
            <v>3200</v>
          </cell>
        </row>
        <row r="22">
          <cell r="B22" t="str">
            <v>Ramgarh CCPP IV</v>
          </cell>
          <cell r="C22" t="str">
            <v>S</v>
          </cell>
          <cell r="D22">
            <v>0</v>
          </cell>
        </row>
        <row r="23">
          <cell r="B23" t="str">
            <v>RAPP 7</v>
          </cell>
          <cell r="C23" t="str">
            <v>C</v>
          </cell>
          <cell r="D23" t="e">
            <v>#REF!</v>
          </cell>
        </row>
        <row r="24">
          <cell r="B24" t="e">
            <v>#REF!</v>
          </cell>
          <cell r="C24" t="e">
            <v>#REF!</v>
          </cell>
          <cell r="D24" t="e">
            <v>#REF!</v>
          </cell>
        </row>
        <row r="25">
          <cell r="B25" t="e">
            <v>#REF!</v>
          </cell>
          <cell r="C25" t="e">
            <v>#REF!</v>
          </cell>
          <cell r="D25" t="e">
            <v>#REF!</v>
          </cell>
        </row>
        <row r="26">
          <cell r="B26" t="str">
            <v>Vindyachal STPP -IV</v>
          </cell>
          <cell r="C26" t="str">
            <v>C</v>
          </cell>
          <cell r="D26">
            <v>4369.2307692307713</v>
          </cell>
        </row>
        <row r="27">
          <cell r="B27" t="str">
            <v>Mangdechhu HEP, Bhutan</v>
          </cell>
          <cell r="C27" t="str">
            <v>O</v>
          </cell>
          <cell r="D27" t="e">
            <v>#REF!</v>
          </cell>
        </row>
        <row r="28">
          <cell r="B28" t="e">
            <v>#REF!</v>
          </cell>
          <cell r="C28" t="e">
            <v>#REF!</v>
          </cell>
          <cell r="D28" t="e">
            <v>#REF!</v>
          </cell>
        </row>
        <row r="29">
          <cell r="B29" t="e">
            <v>#REF!</v>
          </cell>
          <cell r="C29" t="e">
            <v>#REF!</v>
          </cell>
          <cell r="D29" t="e">
            <v>#REF!</v>
          </cell>
        </row>
        <row r="30">
          <cell r="B30" t="str">
            <v>Yermarus TPP, Raichur</v>
          </cell>
          <cell r="C30" t="str">
            <v>S</v>
          </cell>
          <cell r="D30">
            <v>0</v>
          </cell>
        </row>
        <row r="31">
          <cell r="B31" t="str">
            <v>Yermarus TPP, Raichur</v>
          </cell>
          <cell r="C31" t="str">
            <v>S</v>
          </cell>
          <cell r="D31">
            <v>8741.25</v>
          </cell>
        </row>
        <row r="32">
          <cell r="B32" t="str">
            <v>DVC Raghunathpur (TG)</v>
          </cell>
          <cell r="C32" t="str">
            <v>C</v>
          </cell>
          <cell r="D32">
            <v>2356.2000000000003</v>
          </cell>
        </row>
        <row r="33">
          <cell r="B33" t="str">
            <v>Ennore SEZ TPP, TANGEDCO</v>
          </cell>
          <cell r="C33" t="str">
            <v>S</v>
          </cell>
          <cell r="D33">
            <v>0</v>
          </cell>
        </row>
        <row r="34">
          <cell r="B34" t="str">
            <v>Rihand STPP -III</v>
          </cell>
          <cell r="C34" t="str">
            <v>C</v>
          </cell>
          <cell r="D34">
            <v>3869.2307692307713</v>
          </cell>
        </row>
        <row r="35">
          <cell r="B35" t="str">
            <v>Teesta HEP</v>
          </cell>
          <cell r="C35" t="str">
            <v>C</v>
          </cell>
          <cell r="D35">
            <v>292.43280000000004</v>
          </cell>
        </row>
        <row r="36">
          <cell r="B36" t="str">
            <v>Ukai Extn # 6 (Okkari)</v>
          </cell>
          <cell r="C36" t="str">
            <v>S</v>
          </cell>
          <cell r="D36" t="e">
            <v>#REF!</v>
          </cell>
        </row>
        <row r="37">
          <cell r="B37" t="e">
            <v>#REF!</v>
          </cell>
          <cell r="C37" t="e">
            <v>#REF!</v>
          </cell>
          <cell r="D37" t="e">
            <v>#REF!</v>
          </cell>
        </row>
        <row r="38">
          <cell r="B38" t="e">
            <v>#REF!</v>
          </cell>
          <cell r="C38" t="e">
            <v>#REF!</v>
          </cell>
          <cell r="D38" t="e">
            <v>#REF!</v>
          </cell>
        </row>
        <row r="39">
          <cell r="B39" t="str">
            <v>Raghunathpur TPP - DPSC</v>
          </cell>
          <cell r="C39" t="str">
            <v>P</v>
          </cell>
          <cell r="D39">
            <v>0</v>
          </cell>
        </row>
        <row r="40">
          <cell r="B40" t="str">
            <v>Raghunathpur TPP - DPSC</v>
          </cell>
          <cell r="C40" t="str">
            <v>P</v>
          </cell>
          <cell r="D40">
            <v>0</v>
          </cell>
        </row>
        <row r="41">
          <cell r="B41" t="str">
            <v>North Karanpura, NTPC</v>
          </cell>
          <cell r="C41" t="str">
            <v>S</v>
          </cell>
          <cell r="D41">
            <v>0</v>
          </cell>
        </row>
        <row r="42">
          <cell r="B42" t="str">
            <v>NTECL, Ennore JV (Vallur)</v>
          </cell>
          <cell r="C42" t="str">
            <v>C</v>
          </cell>
          <cell r="D42">
            <v>2.2093438190040615E-12</v>
          </cell>
        </row>
        <row r="43">
          <cell r="B43" t="str">
            <v>Srinagar HEP</v>
          </cell>
          <cell r="C43" t="str">
            <v>P</v>
          </cell>
          <cell r="D43">
            <v>66.88199999999982</v>
          </cell>
        </row>
        <row r="44">
          <cell r="B44" t="str">
            <v>North Karanpura, NTPC</v>
          </cell>
          <cell r="C44" t="str">
            <v>S</v>
          </cell>
          <cell r="D44">
            <v>0</v>
          </cell>
        </row>
        <row r="45">
          <cell r="B45" t="str">
            <v>Nashik Ph II, U 1-5</v>
          </cell>
          <cell r="C45" t="str">
            <v>P</v>
          </cell>
          <cell r="D45">
            <v>0</v>
          </cell>
        </row>
        <row r="46">
          <cell r="B46" t="str">
            <v>Nashik Ph II, U 1-5</v>
          </cell>
          <cell r="C46" t="str">
            <v>P</v>
          </cell>
          <cell r="D46">
            <v>0</v>
          </cell>
        </row>
        <row r="47">
          <cell r="B47" t="str">
            <v>Nashik Ph II, U 1-5</v>
          </cell>
          <cell r="C47" t="str">
            <v>P</v>
          </cell>
          <cell r="D47">
            <v>0</v>
          </cell>
        </row>
        <row r="48">
          <cell r="B48" t="str">
            <v>Bamnauli CCPP, Pragati Power</v>
          </cell>
          <cell r="C48" t="str">
            <v>P</v>
          </cell>
          <cell r="D48">
            <v>0</v>
          </cell>
        </row>
        <row r="49">
          <cell r="B49" t="str">
            <v>Bamnauli CCPP, Pragati Power</v>
          </cell>
          <cell r="C49" t="str">
            <v>P</v>
          </cell>
          <cell r="D49">
            <v>0</v>
          </cell>
        </row>
        <row r="50">
          <cell r="B50" t="str">
            <v xml:space="preserve">Nasik TPP, U 1-5 </v>
          </cell>
          <cell r="C50" t="str">
            <v>P</v>
          </cell>
          <cell r="D50">
            <v>0</v>
          </cell>
        </row>
        <row r="51">
          <cell r="B51" t="str">
            <v xml:space="preserve">Nasik TPP, U 1-5 </v>
          </cell>
          <cell r="C51" t="str">
            <v>P</v>
          </cell>
          <cell r="D51">
            <v>0</v>
          </cell>
        </row>
        <row r="52">
          <cell r="B52" t="str">
            <v xml:space="preserve">Nasik TPP, U 1-5 </v>
          </cell>
          <cell r="C52" t="str">
            <v>P</v>
          </cell>
          <cell r="D52">
            <v>7930.3049999999985</v>
          </cell>
        </row>
        <row r="53">
          <cell r="B53" t="str">
            <v>Pipavav energy</v>
          </cell>
          <cell r="C53" t="str">
            <v>P</v>
          </cell>
          <cell r="D53">
            <v>0</v>
          </cell>
        </row>
        <row r="54">
          <cell r="B54" t="str">
            <v>Pipavav energy</v>
          </cell>
          <cell r="C54" t="str">
            <v>P</v>
          </cell>
          <cell r="D54">
            <v>5251.6749999999975</v>
          </cell>
        </row>
        <row r="55">
          <cell r="B55" t="str">
            <v>Kanti Bijli</v>
          </cell>
          <cell r="C55" t="str">
            <v>C</v>
          </cell>
          <cell r="D55">
            <v>0</v>
          </cell>
        </row>
        <row r="56">
          <cell r="B56" t="str">
            <v>Kanti Bijli</v>
          </cell>
          <cell r="C56" t="str">
            <v>C</v>
          </cell>
          <cell r="D56">
            <v>3860.5</v>
          </cell>
        </row>
        <row r="57">
          <cell r="B57" t="str">
            <v>Jhabua Power</v>
          </cell>
          <cell r="C57" t="str">
            <v>P</v>
          </cell>
          <cell r="D57">
            <v>0</v>
          </cell>
        </row>
        <row r="58">
          <cell r="B58" t="str">
            <v>Jhabua Power</v>
          </cell>
          <cell r="C58" t="str">
            <v>P</v>
          </cell>
          <cell r="D58">
            <v>0</v>
          </cell>
        </row>
        <row r="59">
          <cell r="B59" t="str">
            <v>Durgapur Unit 8</v>
          </cell>
          <cell r="C59" t="str">
            <v>S</v>
          </cell>
          <cell r="D59">
            <v>5909</v>
          </cell>
        </row>
        <row r="60">
          <cell r="B60" t="str">
            <v xml:space="preserve">Nasik TPP, U 1-5 </v>
          </cell>
          <cell r="C60" t="str">
            <v>P</v>
          </cell>
          <cell r="D60">
            <v>7930.3049999999985</v>
          </cell>
        </row>
        <row r="61">
          <cell r="B61" t="str">
            <v>Bhavnagar Energy</v>
          </cell>
          <cell r="C61" t="str">
            <v>P</v>
          </cell>
          <cell r="D61">
            <v>3543.5</v>
          </cell>
        </row>
        <row r="62">
          <cell r="B62" t="str">
            <v>Kishanganga (3x110MW)</v>
          </cell>
          <cell r="C62" t="str">
            <v>P</v>
          </cell>
          <cell r="D62">
            <v>534.6</v>
          </cell>
        </row>
        <row r="63">
          <cell r="B63" t="str">
            <v>Monarchak TPS</v>
          </cell>
          <cell r="C63" t="str">
            <v>C</v>
          </cell>
          <cell r="D63">
            <v>0</v>
          </cell>
        </row>
        <row r="64">
          <cell r="B64" t="str">
            <v xml:space="preserve">Nasik TPP, U 1-5 </v>
          </cell>
          <cell r="C64" t="str">
            <v>P</v>
          </cell>
          <cell r="D64">
            <v>7930.3049999999985</v>
          </cell>
        </row>
        <row r="65">
          <cell r="B65" t="str">
            <v>Baradarha TPP (Janjgir Champa)</v>
          </cell>
          <cell r="C65" t="str">
            <v>P</v>
          </cell>
          <cell r="D65">
            <v>7795.1249999999982</v>
          </cell>
        </row>
        <row r="66">
          <cell r="B66" t="str">
            <v>Barauni, BSEB</v>
          </cell>
          <cell r="C66" t="str">
            <v>S</v>
          </cell>
          <cell r="D66">
            <v>4028.2375000000002</v>
          </cell>
        </row>
        <row r="67">
          <cell r="B67" t="str">
            <v>Amaravati Ph II, U 1-5</v>
          </cell>
          <cell r="C67" t="str">
            <v>P</v>
          </cell>
          <cell r="D67">
            <v>0</v>
          </cell>
        </row>
        <row r="68">
          <cell r="B68" t="str">
            <v>Bhavnagar Energy</v>
          </cell>
          <cell r="C68" t="str">
            <v>P</v>
          </cell>
          <cell r="D68">
            <v>3543.5</v>
          </cell>
        </row>
        <row r="69">
          <cell r="B69" t="str">
            <v>Vallur</v>
          </cell>
          <cell r="C69" t="str">
            <v>S</v>
          </cell>
          <cell r="D69">
            <v>0</v>
          </cell>
        </row>
        <row r="70">
          <cell r="B70" t="str">
            <v>Vallur</v>
          </cell>
          <cell r="C70" t="str">
            <v>S</v>
          </cell>
          <cell r="D70">
            <v>7812.5</v>
          </cell>
        </row>
        <row r="71">
          <cell r="B71" t="str">
            <v>Avantha Bhandar TPP, Chattisgarh</v>
          </cell>
          <cell r="C71" t="str">
            <v>P</v>
          </cell>
          <cell r="D71" t="e">
            <v>#REF!</v>
          </cell>
        </row>
        <row r="72">
          <cell r="B72" t="e">
            <v>#REF!</v>
          </cell>
          <cell r="C72" t="e">
            <v>#REF!</v>
          </cell>
          <cell r="D72" t="e">
            <v>#REF!</v>
          </cell>
        </row>
        <row r="73">
          <cell r="B73" t="e">
            <v>#REF!</v>
          </cell>
          <cell r="C73" t="e">
            <v>#REF!</v>
          </cell>
          <cell r="D73" t="e">
            <v>#REF!</v>
          </cell>
        </row>
        <row r="74">
          <cell r="B74" t="e">
            <v>#REF!</v>
          </cell>
          <cell r="C74" t="e">
            <v>#REF!</v>
          </cell>
          <cell r="D74" t="e">
            <v>#REF!</v>
          </cell>
        </row>
        <row r="75">
          <cell r="B75" t="e">
            <v>#REF!</v>
          </cell>
          <cell r="C75" t="e">
            <v>#REF!</v>
          </cell>
          <cell r="D75" t="e">
            <v>#REF!</v>
          </cell>
        </row>
        <row r="76">
          <cell r="B76" t="e">
            <v>#REF!</v>
          </cell>
          <cell r="C76" t="e">
            <v>#REF!</v>
          </cell>
          <cell r="D76" t="e">
            <v>#REF!</v>
          </cell>
        </row>
        <row r="77">
          <cell r="B77" t="e">
            <v>#REF!</v>
          </cell>
          <cell r="C77" t="e">
            <v>#REF!</v>
          </cell>
          <cell r="D77" t="e">
            <v>#REF!</v>
          </cell>
        </row>
        <row r="78">
          <cell r="B78" t="str">
            <v>Simhadri - New</v>
          </cell>
          <cell r="C78" t="str">
            <v>C</v>
          </cell>
          <cell r="D78">
            <v>0</v>
          </cell>
        </row>
        <row r="79">
          <cell r="B79" t="str">
            <v>Simhadri - New</v>
          </cell>
          <cell r="C79" t="str">
            <v>C</v>
          </cell>
          <cell r="D79" t="e">
            <v>#REF!</v>
          </cell>
        </row>
        <row r="80">
          <cell r="B80" t="e">
            <v>#REF!</v>
          </cell>
          <cell r="C80" t="e">
            <v>#REF!</v>
          </cell>
          <cell r="D80" t="e">
            <v>#REF!</v>
          </cell>
        </row>
        <row r="81">
          <cell r="B81" t="str">
            <v>DVC Raghunathpur (TG)</v>
          </cell>
          <cell r="C81" t="str">
            <v>C</v>
          </cell>
          <cell r="D81">
            <v>2356.2000000000003</v>
          </cell>
        </row>
        <row r="82">
          <cell r="B82" t="str">
            <v>DB Power 2x660MW</v>
          </cell>
          <cell r="C82" t="str">
            <v>P</v>
          </cell>
          <cell r="D82">
            <v>0</v>
          </cell>
        </row>
        <row r="83">
          <cell r="B83" t="str">
            <v>DB Power 2x660MW</v>
          </cell>
          <cell r="C83" t="str">
            <v>P</v>
          </cell>
          <cell r="D83" t="e">
            <v>#REF!</v>
          </cell>
        </row>
        <row r="84">
          <cell r="B84" t="e">
            <v>#REF!</v>
          </cell>
          <cell r="C84" t="e">
            <v>#REF!</v>
          </cell>
          <cell r="D84" t="e">
            <v>#REF!</v>
          </cell>
        </row>
        <row r="85">
          <cell r="B85" t="e">
            <v>#REF!</v>
          </cell>
          <cell r="C85" t="e">
            <v>#REF!</v>
          </cell>
          <cell r="D85" t="e">
            <v>#REF!</v>
          </cell>
        </row>
        <row r="86">
          <cell r="B86" t="e">
            <v>#REF!</v>
          </cell>
          <cell r="C86" t="e">
            <v>#REF!</v>
          </cell>
          <cell r="D86" t="e">
            <v>#REF!</v>
          </cell>
        </row>
        <row r="87">
          <cell r="B87" t="e">
            <v>#REF!</v>
          </cell>
          <cell r="C87" t="e">
            <v>#REF!</v>
          </cell>
          <cell r="D87" t="e">
            <v>#REF!</v>
          </cell>
        </row>
        <row r="88">
          <cell r="B88" t="e">
            <v>#REF!</v>
          </cell>
          <cell r="C88" t="e">
            <v>#REF!</v>
          </cell>
          <cell r="D88" t="e">
            <v>#REF!</v>
          </cell>
        </row>
        <row r="89">
          <cell r="B89" t="e">
            <v>#REF!</v>
          </cell>
          <cell r="C89" t="e">
            <v>#REF!</v>
          </cell>
          <cell r="D89" t="e">
            <v>#REF!</v>
          </cell>
        </row>
        <row r="90">
          <cell r="B90" t="str">
            <v>Vallur TPS Ph II, Ennore, NTECL</v>
          </cell>
          <cell r="C90" t="str">
            <v>S</v>
          </cell>
          <cell r="D90">
            <v>4350</v>
          </cell>
        </row>
        <row r="91">
          <cell r="B91" t="str">
            <v>Vizag TPP, Hinduja</v>
          </cell>
          <cell r="C91" t="str">
            <v>P</v>
          </cell>
          <cell r="D91" t="e">
            <v>#REF!</v>
          </cell>
        </row>
        <row r="92">
          <cell r="B92" t="e">
            <v>#REF!</v>
          </cell>
          <cell r="C92" t="e">
            <v>#REF!</v>
          </cell>
          <cell r="D92" t="e">
            <v>#REF!</v>
          </cell>
        </row>
        <row r="93">
          <cell r="B93" t="e">
            <v>#REF!</v>
          </cell>
          <cell r="C93" t="e">
            <v>#REF!</v>
          </cell>
          <cell r="D93" t="e">
            <v>#REF!</v>
          </cell>
        </row>
        <row r="94">
          <cell r="B94" t="e">
            <v>#REF!</v>
          </cell>
          <cell r="C94" t="e">
            <v>#REF!</v>
          </cell>
          <cell r="D94" t="e">
            <v>#REF!</v>
          </cell>
        </row>
        <row r="95">
          <cell r="B95" t="e">
            <v>#REF!</v>
          </cell>
          <cell r="C95" t="e">
            <v>#REF!</v>
          </cell>
          <cell r="D95" t="e">
            <v>#REF!</v>
          </cell>
        </row>
        <row r="96">
          <cell r="B96" t="str">
            <v>Lalitpur TPP</v>
          </cell>
          <cell r="C96" t="str">
            <v>P</v>
          </cell>
          <cell r="D96">
            <v>10298.219199999996</v>
          </cell>
        </row>
        <row r="97">
          <cell r="B97" t="str">
            <v>Simhadri</v>
          </cell>
          <cell r="C97" t="str">
            <v>C</v>
          </cell>
          <cell r="D97">
            <v>0</v>
          </cell>
        </row>
        <row r="98">
          <cell r="B98" t="str">
            <v>Simhadri</v>
          </cell>
          <cell r="C98" t="str">
            <v>C</v>
          </cell>
          <cell r="D98">
            <v>0</v>
          </cell>
        </row>
        <row r="99">
          <cell r="B99" t="str">
            <v>Nashik Ph II, U 1-5</v>
          </cell>
          <cell r="C99" t="str">
            <v>P</v>
          </cell>
          <cell r="D99">
            <v>0</v>
          </cell>
        </row>
        <row r="100">
          <cell r="B100" t="str">
            <v>Nashik Ph II, U 1-5</v>
          </cell>
          <cell r="C100" t="str">
            <v>P</v>
          </cell>
          <cell r="D100">
            <v>0</v>
          </cell>
        </row>
        <row r="101">
          <cell r="B101" t="str">
            <v>Raichur, Surana Power</v>
          </cell>
          <cell r="C101" t="str">
            <v>P</v>
          </cell>
          <cell r="D101">
            <v>0</v>
          </cell>
        </row>
        <row r="102">
          <cell r="B102" t="str">
            <v>Raichur, Surana Power</v>
          </cell>
          <cell r="C102" t="str">
            <v>P</v>
          </cell>
          <cell r="D102">
            <v>4845</v>
          </cell>
        </row>
        <row r="103">
          <cell r="B103" t="str">
            <v>Ramgarh III CCPP</v>
          </cell>
          <cell r="C103" t="str">
            <v>S</v>
          </cell>
          <cell r="D103">
            <v>1828.75</v>
          </cell>
        </row>
        <row r="104">
          <cell r="B104" t="str">
            <v>RAPP</v>
          </cell>
          <cell r="C104" t="str">
            <v>C</v>
          </cell>
          <cell r="D104">
            <v>825</v>
          </cell>
        </row>
        <row r="105">
          <cell r="B105" t="str">
            <v>Seoni 1 - JITL</v>
          </cell>
          <cell r="C105" t="str">
            <v>P</v>
          </cell>
          <cell r="D105">
            <v>3353.9999999999995</v>
          </cell>
        </row>
        <row r="106">
          <cell r="B106" t="str">
            <v>Bara TPS, Prayagraj Power</v>
          </cell>
          <cell r="C106" t="str">
            <v>P</v>
          </cell>
          <cell r="D106">
            <v>0</v>
          </cell>
        </row>
        <row r="107">
          <cell r="B107" t="str">
            <v>Bara TPS, Prayagraj Power</v>
          </cell>
          <cell r="C107" t="str">
            <v>P</v>
          </cell>
          <cell r="D107">
            <v>8570.5</v>
          </cell>
        </row>
        <row r="108">
          <cell r="B108" t="str">
            <v>Bela TPP - Maharashtra</v>
          </cell>
          <cell r="C108" t="str">
            <v>P</v>
          </cell>
          <cell r="D108">
            <v>0</v>
          </cell>
        </row>
        <row r="109">
          <cell r="B109" t="str">
            <v>Bela TPP - Maharashtra</v>
          </cell>
          <cell r="C109" t="str">
            <v>P</v>
          </cell>
          <cell r="D109">
            <v>7490.75</v>
          </cell>
        </row>
        <row r="110">
          <cell r="B110" t="str">
            <v>APNRL, Jharkhand</v>
          </cell>
          <cell r="C110" t="str">
            <v>P</v>
          </cell>
          <cell r="D110">
            <v>3040</v>
          </cell>
        </row>
        <row r="111">
          <cell r="B111" t="str">
            <v>Usha Jayaswal MPP</v>
          </cell>
          <cell r="C111" t="str">
            <v>P</v>
          </cell>
          <cell r="D111">
            <v>0</v>
          </cell>
        </row>
        <row r="112">
          <cell r="B112" t="str">
            <v>Usha Jayaswal MPP</v>
          </cell>
          <cell r="C112" t="str">
            <v>P</v>
          </cell>
          <cell r="D112">
            <v>3405.6875</v>
          </cell>
        </row>
        <row r="113">
          <cell r="B113" t="str">
            <v>Amaravati Ph II, U 1-5</v>
          </cell>
          <cell r="C113" t="str">
            <v>P</v>
          </cell>
          <cell r="D113">
            <v>0</v>
          </cell>
        </row>
        <row r="114">
          <cell r="B114" t="str">
            <v>Amaravati Ph II, U 1-5</v>
          </cell>
          <cell r="C114" t="str">
            <v>P</v>
          </cell>
          <cell r="D114">
            <v>0</v>
          </cell>
        </row>
        <row r="115">
          <cell r="B115" t="str">
            <v>Lalitpur TPP</v>
          </cell>
          <cell r="C115" t="str">
            <v>P</v>
          </cell>
          <cell r="D115">
            <v>0</v>
          </cell>
        </row>
        <row r="116">
          <cell r="B116" t="str">
            <v>Lalitpur TPP</v>
          </cell>
          <cell r="C116" t="str">
            <v>P</v>
          </cell>
          <cell r="D116" t="e">
            <v>#REF!</v>
          </cell>
        </row>
        <row r="117">
          <cell r="B117" t="e">
            <v>#REF!</v>
          </cell>
          <cell r="C117" t="e">
            <v>#REF!</v>
          </cell>
          <cell r="D117" t="e">
            <v>#REF!</v>
          </cell>
        </row>
        <row r="118">
          <cell r="B118" t="e">
            <v>#REF!</v>
          </cell>
          <cell r="C118" t="e">
            <v>#REF!</v>
          </cell>
          <cell r="D118" t="e">
            <v>#REF!</v>
          </cell>
        </row>
        <row r="119">
          <cell r="B119" t="str">
            <v>Amaravati Ph II, U 1-5</v>
          </cell>
          <cell r="C119" t="str">
            <v>P</v>
          </cell>
          <cell r="D119">
            <v>0</v>
          </cell>
        </row>
        <row r="120">
          <cell r="B120" t="str">
            <v>Vizag TPP, Hinduja</v>
          </cell>
          <cell r="C120" t="str">
            <v>P</v>
          </cell>
          <cell r="D120">
            <v>6100</v>
          </cell>
        </row>
        <row r="121">
          <cell r="B121" t="str">
            <v>Amaravati Ph II, U 1-5</v>
          </cell>
          <cell r="C121" t="str">
            <v>P</v>
          </cell>
          <cell r="D121">
            <v>0</v>
          </cell>
        </row>
        <row r="122">
          <cell r="B122" t="str">
            <v>Barauni, BSEB</v>
          </cell>
          <cell r="C122" t="str">
            <v>S</v>
          </cell>
          <cell r="D122">
            <v>4028.2375000000002</v>
          </cell>
        </row>
        <row r="123">
          <cell r="B123" t="str">
            <v>Bellary</v>
          </cell>
          <cell r="C123" t="str">
            <v>S</v>
          </cell>
          <cell r="D123">
            <v>9990</v>
          </cell>
        </row>
        <row r="124">
          <cell r="B124" t="str">
            <v>Avantha Bhandar TPP Expn, Chattisgarh</v>
          </cell>
          <cell r="C124" t="str">
            <v>P</v>
          </cell>
          <cell r="D124">
            <v>419.33449999999993</v>
          </cell>
        </row>
        <row r="125">
          <cell r="B125" t="str">
            <v>Baradarha TPP (Janjgir Champa)</v>
          </cell>
          <cell r="C125" t="str">
            <v>P</v>
          </cell>
          <cell r="D125">
            <v>7795.1249999999982</v>
          </cell>
        </row>
        <row r="126">
          <cell r="B126" t="str">
            <v>Trombay TPS - Unit 8</v>
          </cell>
          <cell r="C126" t="str">
            <v>P</v>
          </cell>
          <cell r="D126">
            <v>0</v>
          </cell>
        </row>
        <row r="127">
          <cell r="B127" t="str">
            <v>New Parli Expn</v>
          </cell>
          <cell r="C127" t="str">
            <v>S</v>
          </cell>
          <cell r="D127">
            <v>0</v>
          </cell>
        </row>
        <row r="128">
          <cell r="B128" t="str">
            <v>Paras Expn</v>
          </cell>
          <cell r="C128" t="str">
            <v>S</v>
          </cell>
          <cell r="D128">
            <v>0</v>
          </cell>
        </row>
        <row r="129">
          <cell r="B129" t="str">
            <v>Khaperkheda</v>
          </cell>
          <cell r="C129" t="str">
            <v>S</v>
          </cell>
          <cell r="D129">
            <v>0</v>
          </cell>
        </row>
        <row r="130">
          <cell r="B130" t="str">
            <v>Pulichintala HEP</v>
          </cell>
          <cell r="C130" t="str">
            <v>S</v>
          </cell>
          <cell r="D130">
            <v>119.99999999999989</v>
          </cell>
        </row>
        <row r="131">
          <cell r="B131" t="str">
            <v>Kothagudem - VI</v>
          </cell>
          <cell r="C131" t="str">
            <v>S</v>
          </cell>
          <cell r="D131">
            <v>0</v>
          </cell>
        </row>
        <row r="132">
          <cell r="B132" t="str">
            <v xml:space="preserve">Harduaganj (8 &amp; 9) </v>
          </cell>
          <cell r="C132" t="str">
            <v>S</v>
          </cell>
          <cell r="D132">
            <v>0</v>
          </cell>
        </row>
        <row r="133">
          <cell r="B133" t="str">
            <v xml:space="preserve">Harduaganj (8 &amp; 9) </v>
          </cell>
          <cell r="C133" t="str">
            <v>S</v>
          </cell>
          <cell r="D133">
            <v>1142.5999999999999</v>
          </cell>
        </row>
        <row r="134">
          <cell r="B134" t="str">
            <v>Mejia TPS Ph-II</v>
          </cell>
          <cell r="C134" t="str">
            <v>C</v>
          </cell>
          <cell r="D134">
            <v>0</v>
          </cell>
        </row>
        <row r="135">
          <cell r="B135" t="str">
            <v>Nagarjunasagar (2x25) &amp; Sriramsagar (1x9)</v>
          </cell>
          <cell r="C135" t="str">
            <v>S</v>
          </cell>
          <cell r="D135">
            <v>147.59999999999994</v>
          </cell>
        </row>
        <row r="136">
          <cell r="B136" t="str">
            <v>Budge Budge - U3</v>
          </cell>
          <cell r="C136" t="str">
            <v>P</v>
          </cell>
          <cell r="D136">
            <v>0</v>
          </cell>
        </row>
        <row r="137">
          <cell r="B137" t="str">
            <v>Mejia TPS Ph-II</v>
          </cell>
          <cell r="C137" t="str">
            <v>C</v>
          </cell>
          <cell r="D137">
            <v>0</v>
          </cell>
        </row>
        <row r="138">
          <cell r="B138" t="str">
            <v>Kahalgaon I - 5 &amp; 6</v>
          </cell>
          <cell r="C138" t="str">
            <v>C</v>
          </cell>
          <cell r="D138">
            <v>0</v>
          </cell>
        </row>
        <row r="139">
          <cell r="B139" t="str">
            <v>Kahalgaon I - 5 &amp; 6</v>
          </cell>
          <cell r="C139" t="str">
            <v>C</v>
          </cell>
          <cell r="D139">
            <v>0</v>
          </cell>
        </row>
        <row r="140">
          <cell r="B140" t="str">
            <v>Korba III</v>
          </cell>
          <cell r="C140" t="str">
            <v>C</v>
          </cell>
          <cell r="D140">
            <v>0</v>
          </cell>
        </row>
        <row r="141">
          <cell r="B141" t="str">
            <v>Mauda STPS</v>
          </cell>
          <cell r="C141" t="str">
            <v>C</v>
          </cell>
          <cell r="D141">
            <v>4175</v>
          </cell>
        </row>
        <row r="142">
          <cell r="B142" t="str">
            <v>Suratgarh</v>
          </cell>
          <cell r="C142" t="str">
            <v>S</v>
          </cell>
          <cell r="D142">
            <v>0</v>
          </cell>
        </row>
        <row r="143">
          <cell r="B143" t="str">
            <v>Parichha TPS (5 &amp; 6)</v>
          </cell>
          <cell r="C143" t="str">
            <v>S</v>
          </cell>
          <cell r="D143">
            <v>2478.6000000000022</v>
          </cell>
        </row>
        <row r="144">
          <cell r="B144" t="str">
            <v>UHL-III</v>
          </cell>
          <cell r="C144" t="str">
            <v>S</v>
          </cell>
          <cell r="D144">
            <v>183.99999999999989</v>
          </cell>
        </row>
        <row r="145">
          <cell r="B145" t="str">
            <v>Anpara D U6-7</v>
          </cell>
          <cell r="C145" t="str">
            <v>S</v>
          </cell>
          <cell r="D145">
            <v>0</v>
          </cell>
        </row>
        <row r="146">
          <cell r="B146" t="str">
            <v>Anpara D U6-7</v>
          </cell>
          <cell r="C146" t="str">
            <v>S</v>
          </cell>
          <cell r="D146" t="e">
            <v>#REF!</v>
          </cell>
        </row>
        <row r="147">
          <cell r="B147" t="e">
            <v>#REF!</v>
          </cell>
          <cell r="C147" t="e">
            <v>#REF!</v>
          </cell>
          <cell r="D147" t="e">
            <v>#REF!</v>
          </cell>
        </row>
        <row r="148">
          <cell r="B148" t="e">
            <v>#REF!</v>
          </cell>
          <cell r="C148" t="e">
            <v>#REF!</v>
          </cell>
          <cell r="D148" t="e">
            <v>#REF!</v>
          </cell>
        </row>
        <row r="149">
          <cell r="B149" t="str">
            <v>Suratgarh TPP</v>
          </cell>
          <cell r="C149" t="str">
            <v>S</v>
          </cell>
          <cell r="D149">
            <v>0</v>
          </cell>
        </row>
        <row r="150">
          <cell r="B150" t="str">
            <v>Talcher II</v>
          </cell>
          <cell r="C150" t="str">
            <v>C</v>
          </cell>
          <cell r="D150" t="e">
            <v>#REF!</v>
          </cell>
        </row>
        <row r="151">
          <cell r="B151" t="e">
            <v>#REF!</v>
          </cell>
          <cell r="C151" t="e">
            <v>#REF!</v>
          </cell>
          <cell r="D151" t="e">
            <v>#REF!</v>
          </cell>
        </row>
        <row r="152">
          <cell r="B152" t="e">
            <v>#REF!</v>
          </cell>
          <cell r="C152" t="e">
            <v>#REF!</v>
          </cell>
          <cell r="D152" t="e">
            <v>#REF!</v>
          </cell>
        </row>
        <row r="153">
          <cell r="B153" t="e">
            <v>#REF!</v>
          </cell>
          <cell r="C153" t="e">
            <v>#REF!</v>
          </cell>
          <cell r="D153" t="e">
            <v>#REF!</v>
          </cell>
        </row>
        <row r="154">
          <cell r="B154" t="str">
            <v>Talcher II</v>
          </cell>
          <cell r="C154" t="str">
            <v>C</v>
          </cell>
          <cell r="D154">
            <v>0</v>
          </cell>
        </row>
        <row r="155">
          <cell r="B155" t="str">
            <v>Raichur Unit 8</v>
          </cell>
          <cell r="C155" t="str">
            <v>S</v>
          </cell>
          <cell r="D155">
            <v>0</v>
          </cell>
        </row>
        <row r="156">
          <cell r="B156" t="str">
            <v>Santaldih U6</v>
          </cell>
          <cell r="C156" t="str">
            <v>S</v>
          </cell>
          <cell r="D156">
            <v>0</v>
          </cell>
        </row>
        <row r="157">
          <cell r="B157" t="str">
            <v>Parichha TPS (5 &amp; 6)</v>
          </cell>
          <cell r="C157" t="str">
            <v>S</v>
          </cell>
          <cell r="D157">
            <v>2478.6000000000022</v>
          </cell>
        </row>
        <row r="158">
          <cell r="B158" t="str">
            <v>Total</v>
          </cell>
          <cell r="D158" t="e">
            <v>#REF!</v>
          </cell>
        </row>
      </sheetData>
      <sheetData sheetId="39" refreshError="1">
        <row r="4">
          <cell r="A4" t="str">
            <v>India - BTG Manfacutring Capacity</v>
          </cell>
        </row>
        <row r="5">
          <cell r="A5" t="str">
            <v>Players</v>
          </cell>
          <cell r="B5" t="str">
            <v>Product</v>
          </cell>
          <cell r="C5" t="str">
            <v>Technology</v>
          </cell>
          <cell r="D5" t="str">
            <v>FY06</v>
          </cell>
          <cell r="E5" t="str">
            <v>FY07</v>
          </cell>
          <cell r="F5" t="str">
            <v>FY08</v>
          </cell>
          <cell r="G5" t="str">
            <v>FY09</v>
          </cell>
          <cell r="H5" t="str">
            <v>FY10</v>
          </cell>
          <cell r="I5" t="str">
            <v>FY11</v>
          </cell>
          <cell r="J5" t="str">
            <v>FY12</v>
          </cell>
          <cell r="K5" t="str">
            <v>FY13</v>
          </cell>
          <cell r="L5" t="str">
            <v>FY14</v>
          </cell>
          <cell r="M5" t="str">
            <v>FY15</v>
          </cell>
          <cell r="N5" t="str">
            <v>FY16</v>
          </cell>
          <cell r="O5" t="str">
            <v>FY17E</v>
          </cell>
          <cell r="P5" t="str">
            <v>FY18E</v>
          </cell>
          <cell r="Q5" t="str">
            <v>FY19E</v>
          </cell>
        </row>
        <row r="6">
          <cell r="A6" t="str">
            <v>Boiler capacity (MW)</v>
          </cell>
        </row>
        <row r="7">
          <cell r="A7" t="str">
            <v>BHEL</v>
          </cell>
          <cell r="B7" t="str">
            <v>Boiler</v>
          </cell>
          <cell r="C7" t="str">
            <v>Alstom</v>
          </cell>
          <cell r="F7">
            <v>5000</v>
          </cell>
          <cell r="G7">
            <v>5000</v>
          </cell>
          <cell r="H7">
            <v>10000</v>
          </cell>
          <cell r="I7">
            <v>10000</v>
          </cell>
          <cell r="J7">
            <v>15000</v>
          </cell>
          <cell r="K7">
            <v>20000</v>
          </cell>
          <cell r="L7">
            <v>20000</v>
          </cell>
          <cell r="M7">
            <v>20000</v>
          </cell>
          <cell r="N7">
            <v>20000</v>
          </cell>
          <cell r="O7">
            <v>20000</v>
          </cell>
          <cell r="P7">
            <v>20000</v>
          </cell>
          <cell r="Q7">
            <v>20000</v>
          </cell>
        </row>
        <row r="8">
          <cell r="A8" t="str">
            <v>L&amp;T-MHI</v>
          </cell>
          <cell r="B8" t="str">
            <v>Boiler</v>
          </cell>
          <cell r="C8" t="str">
            <v>MHI</v>
          </cell>
          <cell r="I8">
            <v>4000</v>
          </cell>
          <cell r="J8">
            <v>4000</v>
          </cell>
          <cell r="K8">
            <v>4000</v>
          </cell>
          <cell r="L8">
            <v>4000</v>
          </cell>
          <cell r="M8">
            <v>4000</v>
          </cell>
          <cell r="N8">
            <v>4000</v>
          </cell>
          <cell r="O8">
            <v>4000</v>
          </cell>
          <cell r="P8">
            <v>4000</v>
          </cell>
          <cell r="Q8">
            <v>4000</v>
          </cell>
        </row>
        <row r="9">
          <cell r="A9" t="str">
            <v>Thermax - Babcock</v>
          </cell>
          <cell r="B9" t="str">
            <v>Boiler</v>
          </cell>
          <cell r="C9" t="str">
            <v>B&amp;W</v>
          </cell>
          <cell r="L9">
            <v>3000</v>
          </cell>
          <cell r="M9">
            <v>3000</v>
          </cell>
          <cell r="N9">
            <v>3000</v>
          </cell>
          <cell r="O9">
            <v>3000</v>
          </cell>
          <cell r="P9">
            <v>3000</v>
          </cell>
          <cell r="Q9">
            <v>3000</v>
          </cell>
        </row>
        <row r="10">
          <cell r="A10" t="str">
            <v>BGR - Hitachi</v>
          </cell>
          <cell r="B10" t="str">
            <v>Boiler</v>
          </cell>
          <cell r="C10" t="str">
            <v>Hitachi</v>
          </cell>
          <cell r="D10">
            <v>0</v>
          </cell>
          <cell r="E10">
            <v>0</v>
          </cell>
          <cell r="F10">
            <v>0</v>
          </cell>
          <cell r="G10">
            <v>0</v>
          </cell>
          <cell r="H10">
            <v>0</v>
          </cell>
          <cell r="I10">
            <v>0</v>
          </cell>
          <cell r="J10">
            <v>0</v>
          </cell>
          <cell r="K10">
            <v>0</v>
          </cell>
          <cell r="L10">
            <v>0</v>
          </cell>
          <cell r="M10">
            <v>0</v>
          </cell>
          <cell r="N10">
            <v>4000</v>
          </cell>
          <cell r="O10">
            <v>4000</v>
          </cell>
          <cell r="P10">
            <v>4000</v>
          </cell>
          <cell r="Q10">
            <v>4000</v>
          </cell>
        </row>
        <row r="11">
          <cell r="A11" t="str">
            <v>Gammon - Ansaldo</v>
          </cell>
          <cell r="B11" t="str">
            <v>Boiler</v>
          </cell>
          <cell r="C11" t="str">
            <v>Ansaldo</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A12" t="str">
            <v>Doosan</v>
          </cell>
          <cell r="B12" t="str">
            <v>Boiler</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A13" t="str">
            <v>Boiler capacity (MW)</v>
          </cell>
          <cell r="D13">
            <v>0</v>
          </cell>
          <cell r="E13">
            <v>0</v>
          </cell>
          <cell r="F13">
            <v>5000</v>
          </cell>
          <cell r="G13">
            <v>5000</v>
          </cell>
          <cell r="H13">
            <v>10000</v>
          </cell>
          <cell r="I13">
            <v>14000</v>
          </cell>
          <cell r="J13">
            <v>19000</v>
          </cell>
          <cell r="K13">
            <v>24000</v>
          </cell>
          <cell r="L13">
            <v>27000</v>
          </cell>
          <cell r="M13">
            <v>27000</v>
          </cell>
          <cell r="N13">
            <v>27000</v>
          </cell>
          <cell r="O13">
            <v>27000</v>
          </cell>
          <cell r="P13">
            <v>27000</v>
          </cell>
          <cell r="Q13">
            <v>27000</v>
          </cell>
        </row>
        <row r="16">
          <cell r="V16">
            <v>0.56125000000000003</v>
          </cell>
        </row>
        <row r="17">
          <cell r="V17">
            <v>0.16500000000000001</v>
          </cell>
        </row>
        <row r="18">
          <cell r="V18">
            <v>0.31</v>
          </cell>
        </row>
        <row r="19">
          <cell r="V19" t="str">
            <v>NA</v>
          </cell>
        </row>
      </sheetData>
      <sheetData sheetId="40" refreshError="1"/>
      <sheetData sheetId="41" refreshError="1"/>
      <sheetData sheetId="42" refreshError="1"/>
      <sheetData sheetId="43" refreshError="1"/>
      <sheetData sheetId="44" refreshError="1">
        <row r="8">
          <cell r="B8" t="str">
            <v>Market share in XII plan coal capacity under construction</v>
          </cell>
        </row>
        <row r="9">
          <cell r="B9" t="str">
            <v>Equipment Supplier</v>
          </cell>
          <cell r="C9" t="str">
            <v>Capacity</v>
          </cell>
          <cell r="D9" t="str">
            <v>% market Share</v>
          </cell>
        </row>
        <row r="10">
          <cell r="B10" t="str">
            <v>BHEL</v>
          </cell>
          <cell r="C10">
            <v>27940</v>
          </cell>
          <cell r="D10">
            <v>0.39547062986553433</v>
          </cell>
        </row>
        <row r="11">
          <cell r="B11" t="str">
            <v>BHEL-Alstom &amp; L&amp;T-MHI</v>
          </cell>
          <cell r="C11">
            <v>1600</v>
          </cell>
          <cell r="D11">
            <v>2.264685067232838E-2</v>
          </cell>
        </row>
        <row r="12">
          <cell r="B12" t="str">
            <v>SEC</v>
          </cell>
          <cell r="C12">
            <v>8460</v>
          </cell>
          <cell r="D12">
            <v>0.11974522292993631</v>
          </cell>
        </row>
        <row r="13">
          <cell r="B13" t="str">
            <v>SEPCO</v>
          </cell>
          <cell r="C13">
            <v>6150</v>
          </cell>
          <cell r="D13">
            <v>8.7048832271762203E-2</v>
          </cell>
        </row>
        <row r="14">
          <cell r="B14" t="str">
            <v>Harbin Power</v>
          </cell>
          <cell r="C14">
            <v>4800</v>
          </cell>
          <cell r="D14">
            <v>6.7940552016985137E-2</v>
          </cell>
        </row>
        <row r="15">
          <cell r="B15" t="str">
            <v>L&amp;T MHI</v>
          </cell>
          <cell r="C15">
            <v>4620</v>
          </cell>
          <cell r="D15">
            <v>6.5392781316348195E-2</v>
          </cell>
        </row>
        <row r="16">
          <cell r="B16" t="str">
            <v>Cethar</v>
          </cell>
          <cell r="C16">
            <v>1510</v>
          </cell>
          <cell r="D16">
            <v>2.1372965322009909E-2</v>
          </cell>
        </row>
        <row r="17">
          <cell r="B17" t="str">
            <v>China / Chinese</v>
          </cell>
          <cell r="C17">
            <v>3660</v>
          </cell>
          <cell r="D17">
            <v>5.180467091295117E-2</v>
          </cell>
        </row>
        <row r="18">
          <cell r="B18" t="str">
            <v>Technoprome</v>
          </cell>
          <cell r="C18">
            <v>1980</v>
          </cell>
          <cell r="D18">
            <v>2.802547770700637E-2</v>
          </cell>
        </row>
        <row r="19">
          <cell r="B19" t="str">
            <v>DEC</v>
          </cell>
          <cell r="C19">
            <v>1320</v>
          </cell>
          <cell r="D19">
            <v>1.8683651804670912E-2</v>
          </cell>
        </row>
        <row r="20">
          <cell r="B20" t="str">
            <v>DEO HE</v>
          </cell>
          <cell r="C20">
            <v>1200</v>
          </cell>
          <cell r="D20">
            <v>1.6985138004246284E-2</v>
          </cell>
        </row>
        <row r="21">
          <cell r="B21" t="str">
            <v>Doosan (Boiler) &amp; Toshiba (TG)</v>
          </cell>
          <cell r="C21">
            <v>2400</v>
          </cell>
          <cell r="D21">
            <v>3.3970276008492568E-2</v>
          </cell>
        </row>
        <row r="22">
          <cell r="B22" t="str">
            <v>Others</v>
          </cell>
          <cell r="C22">
            <v>5010</v>
          </cell>
          <cell r="D22">
            <v>7.0912951167728236E-2</v>
          </cell>
        </row>
        <row r="23">
          <cell r="B23" t="str">
            <v>Total Coal</v>
          </cell>
          <cell r="C23">
            <v>70650</v>
          </cell>
          <cell r="D23">
            <v>0.99999999999999989</v>
          </cell>
        </row>
        <row r="24">
          <cell r="B24" t="str">
            <v>Source: Ministry of Power, BofA Merrill Lynch Global Research</v>
          </cell>
        </row>
        <row r="25">
          <cell r="B25" t="str">
            <v>Market share in XII plan Hydro capacity under construction</v>
          </cell>
        </row>
        <row r="26">
          <cell r="B26" t="str">
            <v>Equipment Supplier</v>
          </cell>
          <cell r="C26" t="str">
            <v>Capacity</v>
          </cell>
          <cell r="D26" t="str">
            <v>% market Share</v>
          </cell>
        </row>
        <row r="27">
          <cell r="B27" t="str">
            <v>BHEL</v>
          </cell>
          <cell r="C27">
            <v>4092</v>
          </cell>
          <cell r="D27">
            <v>0.45987862440997979</v>
          </cell>
        </row>
        <row r="28">
          <cell r="B28" t="str">
            <v>Alstom India</v>
          </cell>
          <cell r="C28">
            <v>2336</v>
          </cell>
          <cell r="D28">
            <v>0.26253090582153293</v>
          </cell>
        </row>
        <row r="29">
          <cell r="B29" t="str">
            <v>VA Tech Hydro</v>
          </cell>
          <cell r="C29">
            <v>600</v>
          </cell>
          <cell r="D29">
            <v>6.7430883344571813E-2</v>
          </cell>
        </row>
        <row r="30">
          <cell r="B30" t="str">
            <v>Andritz</v>
          </cell>
          <cell r="C30">
            <v>335</v>
          </cell>
          <cell r="D30">
            <v>3.7648909867385928E-2</v>
          </cell>
        </row>
        <row r="31">
          <cell r="B31" t="str">
            <v>Voith Siemans</v>
          </cell>
          <cell r="C31">
            <v>100</v>
          </cell>
          <cell r="D31">
            <v>1.1238480557428635E-2</v>
          </cell>
        </row>
        <row r="32">
          <cell r="B32" t="str">
            <v>Chonging</v>
          </cell>
          <cell r="C32">
            <v>40</v>
          </cell>
          <cell r="D32">
            <v>4.4953922229714546E-3</v>
          </cell>
        </row>
        <row r="33">
          <cell r="B33" t="str">
            <v>Dong Fang</v>
          </cell>
          <cell r="C33">
            <v>60</v>
          </cell>
          <cell r="D33">
            <v>6.7430883344571811E-3</v>
          </cell>
        </row>
        <row r="34">
          <cell r="B34" t="str">
            <v>NA / Not Ordered</v>
          </cell>
          <cell r="C34">
            <v>1335</v>
          </cell>
          <cell r="D34">
            <v>0.15003371544167229</v>
          </cell>
        </row>
        <row r="35">
          <cell r="B35" t="str">
            <v>Total Hydro</v>
          </cell>
          <cell r="C35">
            <v>8898</v>
          </cell>
          <cell r="D35">
            <v>1</v>
          </cell>
        </row>
        <row r="36">
          <cell r="B36" t="str">
            <v>Source: Ministry of Power, BofA Merrill Lynch Global Research</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sheetData sheetId="62"/>
      <sheetData sheetId="6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Uploader"/>
      <sheetName val="P&amp;L"/>
      <sheetName val="Subsidaries"/>
      <sheetName val="AR Analysis"/>
      <sheetName val="FP"/>
      <sheetName val="DCF model"/>
      <sheetName val="Segment Consol"/>
      <sheetName val="Ratios"/>
      <sheetName val="Qtrly"/>
      <sheetName val="Tables_charts"/>
      <sheetName val="BHEL L1 pipeline"/>
      <sheetName val="Orders booked by BHEL"/>
      <sheetName val="Orders booked by L&amp;T"/>
    </sheetNames>
    <sheetDataSet>
      <sheetData sheetId="0" refreshError="1"/>
      <sheetData sheetId="1" refreshError="1"/>
      <sheetData sheetId="2" refreshError="1"/>
      <sheetData sheetId="3" refreshError="1"/>
      <sheetData sheetId="4" refreshError="1"/>
      <sheetData sheetId="5">
        <row r="55">
          <cell r="C55">
            <v>0.10887517484000001</v>
          </cell>
        </row>
      </sheetData>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N"/>
      <sheetName val="Income Statement"/>
      <sheetName val="Balance Sheet &amp; CF"/>
      <sheetName val="Sheet1"/>
      <sheetName val="ION"/>
      <sheetName val="Summary"/>
      <sheetName val="#REF"/>
    </sheetNames>
    <sheetDataSet>
      <sheetData sheetId="0"/>
      <sheetData sheetId="1">
        <row r="17">
          <cell r="AY17">
            <v>17014.3</v>
          </cell>
          <cell r="BD17">
            <v>18033.575961554499</v>
          </cell>
        </row>
        <row r="66">
          <cell r="AY66">
            <v>5162.4000000000042</v>
          </cell>
          <cell r="BD66">
            <v>5246.3929020075229</v>
          </cell>
        </row>
      </sheetData>
      <sheetData sheetId="2"/>
      <sheetData sheetId="3"/>
      <sheetData sheetId="4"/>
      <sheetData sheetId="5"/>
      <sheetData sheetId="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ewoo"/>
      <sheetName val="Incremental analysis"/>
      <sheetName val="Financials"/>
      <sheetName val="Monthly"/>
      <sheetName val="InQPL"/>
      <sheetName val="Header"/>
      <sheetName val="InqUPDATE"/>
      <sheetName val="Monthly (1)"/>
      <sheetName val="InQuarts"/>
      <sheetName val="QTR"/>
      <sheetName val="Charts"/>
      <sheetName val="InQBS"/>
      <sheetName val="InQRatios"/>
      <sheetName val="Model"/>
      <sheetName val="Rel Val"/>
      <sheetName val="Schedules"/>
      <sheetName val="Car Financials"/>
      <sheetName val="Analysis-"/>
      <sheetName val="CV Financials"/>
      <sheetName val="Fundaes"/>
      <sheetName val="Ques"/>
      <sheetName val="Financial Summary"/>
      <sheetName val="Qtrly-Format"/>
      <sheetName val="International"/>
      <sheetName val="sheet1"/>
      <sheetName val="Corrupt SSCI"/>
      <sheetName val="Monthly Ship+Prod"/>
      <sheetName val="Perform"/>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847">
          <cell r="C847">
            <v>3</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Process List"/>
      <sheetName val="Tariff ROM and Mum"/>
      <sheetName val="Usage - ROM"/>
      <sheetName val="Database"/>
      <sheetName val="RDB"/>
      <sheetName val="Input"/>
      <sheetName val="엔케이"/>
      <sheetName val="Income Statement"/>
      <sheetName val="Financials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New"/>
      <sheetName val="Database New"/>
      <sheetName val="Consolidated Numbers"/>
      <sheetName val="US generic upsides"/>
      <sheetName val="P&amp;L"/>
      <sheetName val="Working capital"/>
      <sheetName val="Sheet2"/>
      <sheetName val="Interest"/>
      <sheetName val="Results (2)"/>
      <sheetName val="Balance sheet"/>
      <sheetName val="Fact Sheet"/>
      <sheetName val="Cash flow"/>
      <sheetName val="Therapeutic break-up of turnove"/>
      <sheetName val="turnover break-up"/>
      <sheetName val="Valuations"/>
      <sheetName val="Back page"/>
      <sheetName val="Piechart"/>
      <sheetName val="Ratios"/>
      <sheetName val="brnanal"/>
      <sheetName val="Sheet1"/>
      <sheetName val="Database"/>
      <sheetName val="Outdated"/>
      <sheetName val="Depreciation"/>
      <sheetName val="EVA"/>
      <sheetName val="p&amp;l-gdr"/>
      <sheetName val="ran-sh"/>
      <sheetName val="Subs-JVs"/>
      <sheetName val="stress"/>
      <sheetName val="Crosland P&amp;L"/>
      <sheetName val="mereger"/>
      <sheetName val="Croslad BS"/>
      <sheetName val="brands"/>
      <sheetName val="FDEPS"/>
      <sheetName val="GEMiUploadError"/>
      <sheetName val="test"/>
      <sheetName val="GRM-Mumbai"/>
      <sheetName val="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F)"/>
      <sheetName val="BS(F)"/>
      <sheetName val="CF(F)"/>
      <sheetName val="Sum of Parts"/>
      <sheetName val="MainData"/>
      <sheetName val="BS"/>
      <sheetName val="CF"/>
      <sheetName val="MainData_Qtr"/>
      <sheetName val="Quarterly"/>
      <sheetName val="Estimates_WT"/>
      <sheetName val="Estimates_WS"/>
      <sheetName val="income statement"/>
      <sheetName val="quarterly(BS)"/>
      <sheetName val="P&amp;L(Reported)"/>
      <sheetName val="Divisional"/>
      <sheetName val="Depreciation"/>
      <sheetName val="COR"/>
      <sheetName val="SG&amp;A"/>
      <sheetName val="DCF_WT"/>
      <sheetName val="DCF_WS"/>
      <sheetName val="DCF_WI"/>
      <sheetName val="DCF_CCL"/>
      <sheetName val="DCF_HLS"/>
      <sheetName val="DCF_backup"/>
      <sheetName val="OI"/>
      <sheetName val="Segmental"/>
      <sheetName val="Tax"/>
      <sheetName val="BS_Parameters"/>
      <sheetName val="Dem-HH"/>
      <sheetName val="EVA1"/>
      <sheetName val="Model"/>
      <sheetName val="teo model"/>
      <sheetName val="DCF - US GAAP"/>
      <sheetName val="Invested capital_VDF"/>
      <sheetName val="Model - US GAAP"/>
      <sheetName val="WACC_VDF"/>
      <sheetName val="#REF"/>
      <sheetName val="PV of Op Leases_VDF"/>
      <sheetName val="eva"/>
      <sheetName val="F-DCF"/>
      <sheetName val="Summary Page_VDF"/>
      <sheetName val="Rev sum"/>
      <sheetName val="NOPAT_VDF"/>
      <sheetName val="Quarterly "/>
      <sheetName val="DCF_VDF"/>
      <sheetName val="Calculation (2)"/>
      <sheetName val="DDETABLE "/>
      <sheetName val="DCF"/>
      <sheetName val="GS_DCF"/>
      <sheetName val="WIPR_Model"/>
      <sheetName val="Fin"/>
      <sheetName val="old"/>
      <sheetName val="Header"/>
    </sheetNames>
    <sheetDataSet>
      <sheetData sheetId="0" refreshError="1">
        <row r="3">
          <cell r="E3">
            <v>2002</v>
          </cell>
          <cell r="G3" t="str">
            <v>2004E</v>
          </cell>
        </row>
        <row r="5">
          <cell r="G5">
            <v>35354.49439212514</v>
          </cell>
        </row>
        <row r="6">
          <cell r="G6">
            <v>3424.1303093760007</v>
          </cell>
        </row>
        <row r="7">
          <cell r="G7">
            <v>8894.5749699999997</v>
          </cell>
        </row>
        <row r="8">
          <cell r="G8">
            <v>3148.0159699999999</v>
          </cell>
        </row>
        <row r="9">
          <cell r="G9">
            <v>996.84310000000005</v>
          </cell>
        </row>
        <row r="10">
          <cell r="G10">
            <v>1205.8321000000001</v>
          </cell>
        </row>
        <row r="11">
          <cell r="G11">
            <v>53023.890841501132</v>
          </cell>
        </row>
        <row r="13">
          <cell r="E13">
            <v>-20661.406999999999</v>
          </cell>
          <cell r="F13">
            <v>-27176.439000000006</v>
          </cell>
          <cell r="G13">
            <v>-33989.140129416592</v>
          </cell>
        </row>
        <row r="14">
          <cell r="G14">
            <v>19034.75071208454</v>
          </cell>
        </row>
        <row r="16">
          <cell r="G16">
            <v>-8703.7573552793801</v>
          </cell>
        </row>
        <row r="17">
          <cell r="G17">
            <v>10330.99335680516</v>
          </cell>
        </row>
        <row r="19">
          <cell r="G19">
            <v>-196</v>
          </cell>
        </row>
        <row r="20">
          <cell r="G20">
            <v>10134.99335680516</v>
          </cell>
        </row>
        <row r="22">
          <cell r="G22">
            <v>859.63893596497167</v>
          </cell>
        </row>
        <row r="23">
          <cell r="G23">
            <v>10994.632292770131</v>
          </cell>
        </row>
        <row r="25">
          <cell r="E25">
            <v>0</v>
          </cell>
          <cell r="F25">
            <v>0</v>
          </cell>
          <cell r="G25">
            <v>0</v>
          </cell>
          <cell r="H25">
            <v>0</v>
          </cell>
        </row>
        <row r="26">
          <cell r="G26">
            <v>10994.632292770131</v>
          </cell>
        </row>
        <row r="28">
          <cell r="G28">
            <v>-1309.3242152071211</v>
          </cell>
        </row>
        <row r="29">
          <cell r="G29">
            <v>9685.3080775630096</v>
          </cell>
        </row>
        <row r="30">
          <cell r="G30">
            <v>11.700000000000001</v>
          </cell>
        </row>
        <row r="31">
          <cell r="G31">
            <v>0</v>
          </cell>
        </row>
        <row r="32">
          <cell r="G32">
            <v>9697.0080775630104</v>
          </cell>
        </row>
        <row r="33">
          <cell r="G33">
            <v>0</v>
          </cell>
        </row>
        <row r="34">
          <cell r="G34">
            <v>9697.0080775630104</v>
          </cell>
        </row>
        <row r="36">
          <cell r="G36">
            <v>41.713717492145733</v>
          </cell>
        </row>
        <row r="37">
          <cell r="G37">
            <v>41.713717492145733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2-Cost sheet"/>
      <sheetName val="1-Sales"/>
      <sheetName val="Products"/>
      <sheetName val="RM"/>
      <sheetName val="P&amp;F"/>
      <sheetName val="segmental"/>
      <sheetName val="4-P&amp;L"/>
      <sheetName val="6-BS"/>
      <sheetName val="Cash Flow"/>
      <sheetName val="5-Qurtr_Results"/>
      <sheetName val="7 Ratio_Analysis"/>
      <sheetName val="BS-CM"/>
      <sheetName val="PL-CM"/>
      <sheetName val="PL2-CM"/>
      <sheetName val="Template"/>
      <sheetName val="Key"/>
      <sheetName val="F-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12">
          <cell r="D12">
            <v>500</v>
          </cell>
        </row>
        <row r="39">
          <cell r="D39">
            <v>12</v>
          </cell>
          <cell r="E39">
            <v>12</v>
          </cell>
          <cell r="F39">
            <v>12</v>
          </cell>
          <cell r="G39">
            <v>12</v>
          </cell>
          <cell r="H39">
            <v>12</v>
          </cell>
          <cell r="I39">
            <v>12</v>
          </cell>
          <cell r="J39">
            <v>12</v>
          </cell>
          <cell r="K39">
            <v>12</v>
          </cell>
          <cell r="L39">
            <v>12</v>
          </cell>
          <cell r="M39">
            <v>12</v>
          </cell>
          <cell r="N39">
            <v>12</v>
          </cell>
          <cell r="O39">
            <v>12</v>
          </cell>
          <cell r="P39">
            <v>12</v>
          </cell>
          <cell r="Q39">
            <v>12</v>
          </cell>
          <cell r="R39">
            <v>12</v>
          </cell>
          <cell r="S39">
            <v>12</v>
          </cell>
          <cell r="T39">
            <v>12</v>
          </cell>
        </row>
        <row r="45">
          <cell r="F45">
            <v>2929.8</v>
          </cell>
          <cell r="G45">
            <v>4051.3</v>
          </cell>
          <cell r="H45">
            <v>5099.2</v>
          </cell>
          <cell r="I45">
            <v>5856.2</v>
          </cell>
          <cell r="J45">
            <v>4730.3</v>
          </cell>
          <cell r="K45">
            <v>4939.5</v>
          </cell>
          <cell r="L45">
            <v>5225.8</v>
          </cell>
          <cell r="M45">
            <v>4739.8</v>
          </cell>
          <cell r="N45">
            <v>4781.7999999999993</v>
          </cell>
          <cell r="O45">
            <v>5628.5999999999995</v>
          </cell>
          <cell r="P45">
            <v>7964.467599999999</v>
          </cell>
          <cell r="Q45">
            <v>9845.3887192000002</v>
          </cell>
        </row>
        <row r="46">
          <cell r="F46">
            <v>52.9</v>
          </cell>
          <cell r="G46">
            <v>90.7</v>
          </cell>
          <cell r="H46">
            <v>118.69999999999999</v>
          </cell>
          <cell r="I46">
            <v>160.1</v>
          </cell>
          <cell r="J46">
            <v>169.6</v>
          </cell>
          <cell r="K46">
            <v>194.3</v>
          </cell>
          <cell r="L46">
            <v>248.7</v>
          </cell>
          <cell r="M46">
            <v>249.10000000000002</v>
          </cell>
          <cell r="N46">
            <v>274.79999999999995</v>
          </cell>
          <cell r="O46">
            <v>453.6</v>
          </cell>
          <cell r="P46">
            <v>304.47222239999996</v>
          </cell>
          <cell r="Q46">
            <v>344.81432926080004</v>
          </cell>
        </row>
        <row r="47">
          <cell r="D47">
            <v>0</v>
          </cell>
          <cell r="E47">
            <v>0</v>
          </cell>
          <cell r="F47">
            <v>2982.7000000000003</v>
          </cell>
          <cell r="G47">
            <v>4142</v>
          </cell>
          <cell r="H47">
            <v>5217.8999999999996</v>
          </cell>
          <cell r="I47">
            <v>6016.3</v>
          </cell>
          <cell r="J47">
            <v>4899.9000000000005</v>
          </cell>
          <cell r="K47">
            <v>5133.8</v>
          </cell>
          <cell r="L47">
            <v>5474.5</v>
          </cell>
          <cell r="M47">
            <v>4988.9000000000005</v>
          </cell>
          <cell r="N47">
            <v>5056.5999999999995</v>
          </cell>
          <cell r="O47">
            <v>6082.2</v>
          </cell>
          <cell r="P47">
            <v>8268.9398223999997</v>
          </cell>
          <cell r="Q47">
            <v>10190.2030484608</v>
          </cell>
          <cell r="R47">
            <v>0</v>
          </cell>
          <cell r="S47">
            <v>0</v>
          </cell>
          <cell r="T47">
            <v>0</v>
          </cell>
        </row>
        <row r="48">
          <cell r="D48">
            <v>0</v>
          </cell>
          <cell r="E48">
            <v>0</v>
          </cell>
          <cell r="F48">
            <v>-1970.1999999999998</v>
          </cell>
          <cell r="G48">
            <v>-2933.3</v>
          </cell>
          <cell r="H48">
            <v>-3958.6000000000004</v>
          </cell>
          <cell r="I48">
            <v>-4786.3999999999996</v>
          </cell>
          <cell r="J48">
            <v>-3494.2</v>
          </cell>
          <cell r="K48">
            <v>-3974.3999999999996</v>
          </cell>
          <cell r="L48">
            <v>-4005.2999999999997</v>
          </cell>
          <cell r="M48">
            <v>-3575.5999999999995</v>
          </cell>
          <cell r="N48">
            <v>-3535.6</v>
          </cell>
          <cell r="O48">
            <v>-4594.5</v>
          </cell>
          <cell r="P48">
            <v>-6457.0505702867067</v>
          </cell>
          <cell r="Q48">
            <v>-7838.4057112359005</v>
          </cell>
          <cell r="R48">
            <v>0</v>
          </cell>
          <cell r="S48">
            <v>0</v>
          </cell>
          <cell r="T48">
            <v>0</v>
          </cell>
        </row>
        <row r="53">
          <cell r="F53">
            <v>-401</v>
          </cell>
          <cell r="G53">
            <v>-379.2</v>
          </cell>
          <cell r="H53">
            <v>-408.2</v>
          </cell>
          <cell r="I53">
            <v>-325.2</v>
          </cell>
          <cell r="J53">
            <v>-285.60000000000002</v>
          </cell>
          <cell r="K53">
            <v>-212.4</v>
          </cell>
          <cell r="L53">
            <v>-168.7</v>
          </cell>
          <cell r="M53">
            <v>-144.5</v>
          </cell>
          <cell r="N53">
            <v>-86.5</v>
          </cell>
          <cell r="O53">
            <v>-56.5</v>
          </cell>
          <cell r="P53">
            <v>-148.864</v>
          </cell>
          <cell r="Q53">
            <v>-156.864</v>
          </cell>
        </row>
        <row r="59">
          <cell r="D59">
            <v>0</v>
          </cell>
          <cell r="E59">
            <v>0</v>
          </cell>
          <cell r="F59">
            <v>331.50000000000045</v>
          </cell>
          <cell r="G59">
            <v>601.19999999999982</v>
          </cell>
          <cell r="H59">
            <v>627.79999999999927</v>
          </cell>
          <cell r="I59">
            <v>671.00000000000045</v>
          </cell>
          <cell r="J59">
            <v>843.6000000000007</v>
          </cell>
          <cell r="K59">
            <v>659.40000000000055</v>
          </cell>
          <cell r="L59">
            <v>993.60000000000014</v>
          </cell>
          <cell r="M59">
            <v>973.00000000000114</v>
          </cell>
          <cell r="N59">
            <v>1123.3999999999996</v>
          </cell>
          <cell r="O59">
            <v>1115.5999999999999</v>
          </cell>
          <cell r="P59">
            <v>1295.1340568571454</v>
          </cell>
          <cell r="Q59">
            <v>1781.4965458157571</v>
          </cell>
          <cell r="R59">
            <v>0</v>
          </cell>
          <cell r="S59">
            <v>0</v>
          </cell>
          <cell r="T59">
            <v>0</v>
          </cell>
        </row>
        <row r="60">
          <cell r="F60">
            <v>-39.9</v>
          </cell>
          <cell r="G60">
            <v>-89.7</v>
          </cell>
          <cell r="H60">
            <v>-84.2</v>
          </cell>
          <cell r="I60">
            <v>-87.7</v>
          </cell>
          <cell r="J60">
            <v>-216.6</v>
          </cell>
          <cell r="K60">
            <v>-173</v>
          </cell>
          <cell r="L60">
            <v>-352.5</v>
          </cell>
          <cell r="M60">
            <v>-275.8</v>
          </cell>
          <cell r="N60">
            <v>-325.89999999999998</v>
          </cell>
          <cell r="O60">
            <v>-317.89999999999998</v>
          </cell>
          <cell r="P60">
            <v>-388.54021705714371</v>
          </cell>
          <cell r="Q60">
            <v>-534.44896374472717</v>
          </cell>
        </row>
        <row r="61">
          <cell r="D61">
            <v>0</v>
          </cell>
          <cell r="E61">
            <v>0</v>
          </cell>
          <cell r="F61">
            <v>291.60000000000048</v>
          </cell>
          <cell r="G61">
            <v>511.49999999999983</v>
          </cell>
          <cell r="H61">
            <v>543.59999999999923</v>
          </cell>
          <cell r="I61">
            <v>583.30000000000041</v>
          </cell>
          <cell r="J61">
            <v>627.00000000000068</v>
          </cell>
          <cell r="K61">
            <v>486.40000000000055</v>
          </cell>
          <cell r="L61">
            <v>641.10000000000014</v>
          </cell>
          <cell r="M61">
            <v>697.20000000000118</v>
          </cell>
          <cell r="N61">
            <v>797.49999999999966</v>
          </cell>
          <cell r="O61">
            <v>797.69999999999993</v>
          </cell>
          <cell r="P61">
            <v>906.59383980000166</v>
          </cell>
          <cell r="Q61">
            <v>1247.0475820710299</v>
          </cell>
          <cell r="R61">
            <v>0</v>
          </cell>
          <cell r="S61">
            <v>0</v>
          </cell>
          <cell r="T61">
            <v>0</v>
          </cell>
        </row>
        <row r="62">
          <cell r="D62">
            <v>0</v>
          </cell>
          <cell r="E62">
            <v>0</v>
          </cell>
          <cell r="F62">
            <v>0</v>
          </cell>
          <cell r="G62">
            <v>0</v>
          </cell>
          <cell r="H62">
            <v>0</v>
          </cell>
          <cell r="I62">
            <v>0</v>
          </cell>
          <cell r="J62">
            <v>0</v>
          </cell>
          <cell r="K62">
            <v>0</v>
          </cell>
          <cell r="L62">
            <v>0</v>
          </cell>
          <cell r="M62">
            <v>0</v>
          </cell>
          <cell r="N62">
            <v>0</v>
          </cell>
          <cell r="O62">
            <v>0</v>
          </cell>
          <cell r="P62">
            <v>0</v>
          </cell>
        </row>
        <row r="63">
          <cell r="D63">
            <v>0</v>
          </cell>
          <cell r="E63">
            <v>0</v>
          </cell>
          <cell r="F63">
            <v>0</v>
          </cell>
          <cell r="G63">
            <v>0</v>
          </cell>
          <cell r="H63">
            <v>0</v>
          </cell>
          <cell r="I63">
            <v>0</v>
          </cell>
          <cell r="J63">
            <v>0</v>
          </cell>
          <cell r="K63">
            <v>0</v>
          </cell>
          <cell r="L63">
            <v>0</v>
          </cell>
          <cell r="M63">
            <v>0</v>
          </cell>
          <cell r="N63">
            <v>0</v>
          </cell>
          <cell r="O63">
            <v>0</v>
          </cell>
          <cell r="P63">
            <v>0</v>
          </cell>
        </row>
        <row r="64">
          <cell r="D64">
            <v>0</v>
          </cell>
          <cell r="E64">
            <v>0</v>
          </cell>
          <cell r="F64">
            <v>291.60000000000048</v>
          </cell>
          <cell r="G64">
            <v>511.49999999999983</v>
          </cell>
          <cell r="H64">
            <v>543.59999999999923</v>
          </cell>
          <cell r="I64">
            <v>583.30000000000041</v>
          </cell>
          <cell r="J64">
            <v>627.00000000000068</v>
          </cell>
          <cell r="K64">
            <v>486.40000000000055</v>
          </cell>
          <cell r="L64">
            <v>641.10000000000014</v>
          </cell>
          <cell r="M64">
            <v>697.20000000000118</v>
          </cell>
          <cell r="N64">
            <v>797.49999999999966</v>
          </cell>
          <cell r="O64">
            <v>797.69999999999993</v>
          </cell>
          <cell r="P64">
            <v>906.59383980000166</v>
          </cell>
          <cell r="Q64">
            <v>1247.0475820710299</v>
          </cell>
          <cell r="R64">
            <v>0</v>
          </cell>
          <cell r="S64">
            <v>0</v>
          </cell>
          <cell r="T64">
            <v>0</v>
          </cell>
        </row>
        <row r="65">
          <cell r="D65">
            <v>0</v>
          </cell>
          <cell r="E65">
            <v>0</v>
          </cell>
          <cell r="F65">
            <v>291.60000000000048</v>
          </cell>
          <cell r="G65">
            <v>511.49999999999983</v>
          </cell>
          <cell r="H65">
            <v>543.59999999999923</v>
          </cell>
          <cell r="I65">
            <v>583.30000000000041</v>
          </cell>
          <cell r="J65">
            <v>627.00000000000068</v>
          </cell>
          <cell r="K65">
            <v>486.40000000000055</v>
          </cell>
          <cell r="L65">
            <v>641.10000000000014</v>
          </cell>
          <cell r="M65">
            <v>697.20000000000118</v>
          </cell>
          <cell r="N65">
            <v>797.49999999999966</v>
          </cell>
          <cell r="O65">
            <v>797.69999999999993</v>
          </cell>
          <cell r="P65">
            <v>906.59383980000166</v>
          </cell>
          <cell r="Q65">
            <v>1247.0475820710299</v>
          </cell>
          <cell r="R65">
            <v>0</v>
          </cell>
          <cell r="S65">
            <v>0</v>
          </cell>
          <cell r="T65">
            <v>0</v>
          </cell>
        </row>
        <row r="69">
          <cell r="F69">
            <v>74.7</v>
          </cell>
          <cell r="G69">
            <v>74.7</v>
          </cell>
          <cell r="H69">
            <v>74.7</v>
          </cell>
          <cell r="I69">
            <v>74.7</v>
          </cell>
          <cell r="J69">
            <v>74.7</v>
          </cell>
          <cell r="K69">
            <v>74.7</v>
          </cell>
          <cell r="L69">
            <v>74.7</v>
          </cell>
          <cell r="M69">
            <v>88.2</v>
          </cell>
          <cell r="N69">
            <v>88.2</v>
          </cell>
          <cell r="O69">
            <v>88.2</v>
          </cell>
          <cell r="P69">
            <v>88.2</v>
          </cell>
          <cell r="Q69">
            <v>88.2</v>
          </cell>
          <cell r="R69">
            <v>0</v>
          </cell>
        </row>
        <row r="75">
          <cell r="F75">
            <v>-1032.0999999999999</v>
          </cell>
          <cell r="G75">
            <v>-1759.8</v>
          </cell>
          <cell r="H75">
            <v>-2607.2000000000003</v>
          </cell>
          <cell r="I75">
            <v>-3523.0999999999995</v>
          </cell>
          <cell r="J75">
            <v>-2277.6</v>
          </cell>
          <cell r="K75">
            <v>-2678.9</v>
          </cell>
          <cell r="L75">
            <v>-2724</v>
          </cell>
          <cell r="M75">
            <v>-2278.1999999999998</v>
          </cell>
          <cell r="N75">
            <v>-2433.7000000000003</v>
          </cell>
          <cell r="O75">
            <v>-3371.5</v>
          </cell>
          <cell r="P75">
            <v>-4769.0767079999996</v>
          </cell>
          <cell r="Q75">
            <v>-5794.1806773360004</v>
          </cell>
        </row>
        <row r="77">
          <cell r="F77">
            <v>-129.9</v>
          </cell>
          <cell r="G77">
            <v>-139.5</v>
          </cell>
          <cell r="H77">
            <v>-150.6</v>
          </cell>
          <cell r="I77">
            <v>-145.1</v>
          </cell>
          <cell r="J77">
            <v>-144.1</v>
          </cell>
          <cell r="K77">
            <v>-149</v>
          </cell>
          <cell r="L77">
            <v>-167.6</v>
          </cell>
          <cell r="M77">
            <v>-161</v>
          </cell>
          <cell r="N77">
            <v>-162.5</v>
          </cell>
          <cell r="O77">
            <v>-126.5</v>
          </cell>
          <cell r="P77">
            <v>-178.99746853569269</v>
          </cell>
          <cell r="Q77">
            <v>-216.77533897928438</v>
          </cell>
        </row>
        <row r="78">
          <cell r="F78">
            <v>-168.5</v>
          </cell>
          <cell r="G78">
            <v>-208.5</v>
          </cell>
          <cell r="H78">
            <v>-238</v>
          </cell>
          <cell r="I78">
            <v>-250.3</v>
          </cell>
          <cell r="J78">
            <v>-274.39999999999998</v>
          </cell>
          <cell r="K78">
            <v>-295</v>
          </cell>
          <cell r="L78">
            <v>-340.2</v>
          </cell>
          <cell r="M78">
            <v>-330.1</v>
          </cell>
          <cell r="N78">
            <v>-364.6</v>
          </cell>
          <cell r="O78">
            <v>-375.6</v>
          </cell>
          <cell r="P78">
            <v>-531.47390657712401</v>
          </cell>
          <cell r="Q78">
            <v>-643.64282466892666</v>
          </cell>
        </row>
        <row r="80">
          <cell r="F80">
            <v>-162.79999999999998</v>
          </cell>
          <cell r="G80">
            <v>-230.9</v>
          </cell>
          <cell r="H80">
            <v>-351</v>
          </cell>
          <cell r="I80">
            <v>-414.8</v>
          </cell>
          <cell r="J80">
            <v>-269.60000000000002</v>
          </cell>
          <cell r="K80">
            <v>-311.7</v>
          </cell>
          <cell r="L80">
            <v>-276.5</v>
          </cell>
          <cell r="M80">
            <v>-250.60000000000002</v>
          </cell>
          <cell r="N80">
            <v>-183.2</v>
          </cell>
          <cell r="O80">
            <v>-216.5</v>
          </cell>
          <cell r="P80">
            <v>-306.34744615001955</v>
          </cell>
          <cell r="Q80">
            <v>-371.00285287758953</v>
          </cell>
        </row>
        <row r="85">
          <cell r="F85">
            <v>-476.9</v>
          </cell>
          <cell r="G85">
            <v>-594.6</v>
          </cell>
          <cell r="H85">
            <v>-611.79999999999995</v>
          </cell>
          <cell r="I85">
            <v>-453.1</v>
          </cell>
          <cell r="J85">
            <v>-528.5</v>
          </cell>
          <cell r="K85">
            <v>-539.79999999999995</v>
          </cell>
          <cell r="L85">
            <v>-497</v>
          </cell>
          <cell r="M85">
            <v>-555.70000000000005</v>
          </cell>
          <cell r="N85">
            <v>-391.6</v>
          </cell>
          <cell r="O85">
            <v>-504.4</v>
          </cell>
          <cell r="P85">
            <v>-671.15504102387092</v>
          </cell>
          <cell r="Q85">
            <v>-812.80401737410023</v>
          </cell>
        </row>
        <row r="86">
          <cell r="D86">
            <v>0</v>
          </cell>
          <cell r="E86">
            <v>0</v>
          </cell>
          <cell r="F86">
            <v>-1970.1999999999998</v>
          </cell>
          <cell r="G86">
            <v>-2933.3</v>
          </cell>
          <cell r="H86">
            <v>-3958.6000000000004</v>
          </cell>
          <cell r="I86">
            <v>-4786.3999999999996</v>
          </cell>
          <cell r="J86">
            <v>-3494.2</v>
          </cell>
          <cell r="K86">
            <v>-3974.3999999999996</v>
          </cell>
          <cell r="L86">
            <v>-4005.2999999999997</v>
          </cell>
          <cell r="M86">
            <v>-3575.5999999999995</v>
          </cell>
          <cell r="N86">
            <v>-3535.6</v>
          </cell>
          <cell r="O86">
            <v>-4594.5</v>
          </cell>
          <cell r="P86">
            <v>-6457.0505702867067</v>
          </cell>
          <cell r="Q86">
            <v>-7838.4057112359005</v>
          </cell>
          <cell r="R86">
            <v>0</v>
          </cell>
          <cell r="S86">
            <v>0</v>
          </cell>
          <cell r="T86">
            <v>0</v>
          </cell>
        </row>
        <row r="88">
          <cell r="F88">
            <v>-280</v>
          </cell>
          <cell r="G88">
            <v>-228.29999999999998</v>
          </cell>
          <cell r="H88">
            <v>-223.29999999999998</v>
          </cell>
          <cell r="I88">
            <v>-233.7</v>
          </cell>
          <cell r="J88">
            <v>-276.5</v>
          </cell>
          <cell r="K88">
            <v>-287.60000000000002</v>
          </cell>
          <cell r="L88">
            <v>-306.89999999999998</v>
          </cell>
          <cell r="M88">
            <v>-295.8</v>
          </cell>
          <cell r="N88">
            <v>-311.10000000000002</v>
          </cell>
          <cell r="O88">
            <v>-315.60000000000002</v>
          </cell>
          <cell r="P88">
            <v>-367.89119525614745</v>
          </cell>
          <cell r="Q88">
            <v>-413.43679140914259</v>
          </cell>
        </row>
        <row r="89">
          <cell r="D89">
            <v>0</v>
          </cell>
          <cell r="E89">
            <v>0</v>
          </cell>
          <cell r="F89">
            <v>0</v>
          </cell>
          <cell r="G89">
            <v>0</v>
          </cell>
          <cell r="H89">
            <v>0</v>
          </cell>
          <cell r="I89">
            <v>0</v>
          </cell>
          <cell r="J89">
            <v>0</v>
          </cell>
          <cell r="K89">
            <v>0</v>
          </cell>
          <cell r="L89">
            <v>0</v>
          </cell>
          <cell r="M89">
            <v>0</v>
          </cell>
          <cell r="N89">
            <v>0</v>
          </cell>
          <cell r="O89">
            <v>0</v>
          </cell>
          <cell r="P89">
            <v>0</v>
          </cell>
        </row>
        <row r="90">
          <cell r="D90">
            <v>0</v>
          </cell>
          <cell r="E90">
            <v>0</v>
          </cell>
          <cell r="F90">
            <v>-280</v>
          </cell>
          <cell r="G90">
            <v>-228.29999999999998</v>
          </cell>
          <cell r="H90">
            <v>-223.29999999999998</v>
          </cell>
          <cell r="I90">
            <v>-233.7</v>
          </cell>
          <cell r="J90">
            <v>-276.5</v>
          </cell>
          <cell r="K90">
            <v>-287.60000000000002</v>
          </cell>
          <cell r="L90">
            <v>-306.89999999999998</v>
          </cell>
          <cell r="M90">
            <v>-295.8</v>
          </cell>
          <cell r="N90">
            <v>-311.10000000000002</v>
          </cell>
          <cell r="O90">
            <v>-315.60000000000002</v>
          </cell>
          <cell r="P90">
            <v>-367.89119525614745</v>
          </cell>
          <cell r="Q90">
            <v>-413.43679140914259</v>
          </cell>
          <cell r="R90">
            <v>0</v>
          </cell>
          <cell r="S90">
            <v>0</v>
          </cell>
          <cell r="T90">
            <v>0</v>
          </cell>
        </row>
        <row r="91">
          <cell r="D91">
            <v>0</v>
          </cell>
          <cell r="E91">
            <v>0</v>
          </cell>
          <cell r="F91">
            <v>0</v>
          </cell>
          <cell r="G91">
            <v>0</v>
          </cell>
          <cell r="H91">
            <v>0</v>
          </cell>
          <cell r="I91">
            <v>0</v>
          </cell>
          <cell r="J91">
            <v>0</v>
          </cell>
          <cell r="K91">
            <v>0</v>
          </cell>
          <cell r="L91">
            <v>0</v>
          </cell>
          <cell r="M91">
            <v>0</v>
          </cell>
          <cell r="N91">
            <v>0</v>
          </cell>
          <cell r="O91">
            <v>0</v>
          </cell>
          <cell r="P91">
            <v>0</v>
          </cell>
        </row>
        <row r="93">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row>
        <row r="95">
          <cell r="F95">
            <v>-13.5</v>
          </cell>
          <cell r="G95">
            <v>-112.1</v>
          </cell>
          <cell r="H95">
            <v>-149.4</v>
          </cell>
          <cell r="I95">
            <v>-149.4</v>
          </cell>
          <cell r="J95">
            <v>-186.7</v>
          </cell>
          <cell r="K95">
            <v>-149.5</v>
          </cell>
          <cell r="L95">
            <v>-165</v>
          </cell>
          <cell r="M95">
            <v>-169.3</v>
          </cell>
          <cell r="N95">
            <v>-264.7</v>
          </cell>
          <cell r="O95">
            <v>-264.7</v>
          </cell>
          <cell r="P95">
            <v>-308.7</v>
          </cell>
          <cell r="Q95">
            <v>-352.8</v>
          </cell>
        </row>
        <row r="104">
          <cell r="D104">
            <v>0</v>
          </cell>
          <cell r="E104">
            <v>0</v>
          </cell>
          <cell r="F104">
            <v>1012.5000000000005</v>
          </cell>
          <cell r="G104">
            <v>1208.6999999999998</v>
          </cell>
          <cell r="H104">
            <v>1259.2999999999993</v>
          </cell>
          <cell r="I104">
            <v>1229.9000000000005</v>
          </cell>
          <cell r="J104">
            <v>1405.7000000000007</v>
          </cell>
          <cell r="K104">
            <v>1159.4000000000005</v>
          </cell>
          <cell r="L104">
            <v>1469.2000000000003</v>
          </cell>
          <cell r="M104">
            <v>1413.3000000000011</v>
          </cell>
          <cell r="N104">
            <v>1520.9999999999995</v>
          </cell>
          <cell r="O104">
            <v>1487.6999999999998</v>
          </cell>
          <cell r="P104">
            <v>1811.889252113293</v>
          </cell>
          <cell r="Q104">
            <v>2351.7973372248998</v>
          </cell>
          <cell r="R104">
            <v>0</v>
          </cell>
          <cell r="S104">
            <v>0</v>
          </cell>
        </row>
        <row r="105">
          <cell r="D105">
            <v>0</v>
          </cell>
          <cell r="E105">
            <v>0</v>
          </cell>
          <cell r="F105">
            <v>732.50000000000045</v>
          </cell>
          <cell r="G105">
            <v>980.39999999999986</v>
          </cell>
          <cell r="H105">
            <v>1035.9999999999993</v>
          </cell>
          <cell r="I105">
            <v>996.2000000000005</v>
          </cell>
          <cell r="J105">
            <v>1129.2000000000007</v>
          </cell>
          <cell r="K105">
            <v>871.80000000000052</v>
          </cell>
          <cell r="L105">
            <v>1162.3000000000002</v>
          </cell>
          <cell r="M105">
            <v>1117.5000000000011</v>
          </cell>
          <cell r="N105">
            <v>1209.8999999999996</v>
          </cell>
          <cell r="O105">
            <v>1172.0999999999999</v>
          </cell>
          <cell r="P105">
            <v>1443.9980568571455</v>
          </cell>
          <cell r="Q105">
            <v>1938.3605458157572</v>
          </cell>
          <cell r="R105">
            <v>0</v>
          </cell>
          <cell r="S105">
            <v>0</v>
          </cell>
          <cell r="T105">
            <v>0</v>
          </cell>
        </row>
        <row r="106">
          <cell r="D106">
            <v>0</v>
          </cell>
          <cell r="E106">
            <v>0</v>
          </cell>
          <cell r="F106">
            <v>972.60000000000048</v>
          </cell>
          <cell r="G106">
            <v>1118.9999999999998</v>
          </cell>
          <cell r="H106">
            <v>1175.0999999999992</v>
          </cell>
          <cell r="I106">
            <v>1142.2000000000005</v>
          </cell>
          <cell r="J106">
            <v>1189.1000000000008</v>
          </cell>
          <cell r="K106">
            <v>986.40000000000055</v>
          </cell>
          <cell r="L106">
            <v>1116.7000000000003</v>
          </cell>
          <cell r="M106">
            <v>1137.5000000000011</v>
          </cell>
          <cell r="N106">
            <v>1195.0999999999995</v>
          </cell>
          <cell r="O106">
            <v>1169.7999999999997</v>
          </cell>
          <cell r="P106">
            <v>1423.3490350561492</v>
          </cell>
          <cell r="Q106">
            <v>1817.3483734801725</v>
          </cell>
          <cell r="R106">
            <v>0</v>
          </cell>
          <cell r="S106">
            <v>0</v>
          </cell>
          <cell r="T106">
            <v>0</v>
          </cell>
        </row>
        <row r="107">
          <cell r="D107">
            <v>0</v>
          </cell>
          <cell r="E107">
            <v>0</v>
          </cell>
          <cell r="F107">
            <v>972.60000000000048</v>
          </cell>
          <cell r="G107">
            <v>1118.9999999999998</v>
          </cell>
          <cell r="H107">
            <v>1175.0999999999992</v>
          </cell>
          <cell r="I107">
            <v>1142.2000000000005</v>
          </cell>
          <cell r="J107">
            <v>1189.1000000000008</v>
          </cell>
          <cell r="K107">
            <v>986.40000000000055</v>
          </cell>
          <cell r="L107">
            <v>1116.7000000000003</v>
          </cell>
          <cell r="M107">
            <v>1137.5000000000011</v>
          </cell>
          <cell r="N107">
            <v>1195.0999999999995</v>
          </cell>
          <cell r="O107">
            <v>1169.7999999999997</v>
          </cell>
          <cell r="P107">
            <v>1423.3490350561492</v>
          </cell>
          <cell r="Q107">
            <v>1817.3483734801725</v>
          </cell>
          <cell r="R107">
            <v>0</v>
          </cell>
          <cell r="S107">
            <v>0</v>
          </cell>
        </row>
        <row r="109">
          <cell r="D109">
            <v>0</v>
          </cell>
          <cell r="E109">
            <v>0</v>
          </cell>
          <cell r="F109">
            <v>0</v>
          </cell>
          <cell r="G109">
            <v>0</v>
          </cell>
          <cell r="H109">
            <v>0</v>
          </cell>
          <cell r="I109">
            <v>0</v>
          </cell>
          <cell r="J109">
            <v>0</v>
          </cell>
          <cell r="K109">
            <v>0</v>
          </cell>
          <cell r="L109">
            <v>0</v>
          </cell>
          <cell r="M109">
            <v>0</v>
          </cell>
          <cell r="N109">
            <v>0</v>
          </cell>
          <cell r="O109">
            <v>0</v>
          </cell>
          <cell r="P109">
            <v>0</v>
          </cell>
        </row>
        <row r="124">
          <cell r="D124">
            <v>0</v>
          </cell>
          <cell r="E124">
            <v>0</v>
          </cell>
          <cell r="F124">
            <v>47</v>
          </cell>
          <cell r="G124">
            <v>185.9</v>
          </cell>
          <cell r="H124">
            <v>107.1</v>
          </cell>
          <cell r="I124">
            <v>56.300000000000011</v>
          </cell>
          <cell r="J124">
            <v>251.49999999999994</v>
          </cell>
          <cell r="K124">
            <v>112.40000000000009</v>
          </cell>
          <cell r="L124">
            <v>488.69999999999982</v>
          </cell>
          <cell r="M124">
            <v>-848.29999999999984</v>
          </cell>
          <cell r="N124">
            <v>63.099999999999966</v>
          </cell>
          <cell r="O124">
            <v>-11.000000000000057</v>
          </cell>
          <cell r="P124">
            <v>50.09517500000004</v>
          </cell>
          <cell r="Q124">
            <v>50.285025000000019</v>
          </cell>
          <cell r="R124">
            <v>-553.08019999999999</v>
          </cell>
          <cell r="S124">
            <v>0</v>
          </cell>
          <cell r="T124">
            <v>0</v>
          </cell>
        </row>
        <row r="127">
          <cell r="D127">
            <v>0</v>
          </cell>
          <cell r="E127">
            <v>0</v>
          </cell>
          <cell r="F127">
            <v>-39.9</v>
          </cell>
          <cell r="G127">
            <v>-89.7</v>
          </cell>
          <cell r="H127">
            <v>-84.2</v>
          </cell>
          <cell r="I127">
            <v>-87.7</v>
          </cell>
          <cell r="J127">
            <v>-216.6</v>
          </cell>
          <cell r="K127">
            <v>571.90000000000009</v>
          </cell>
          <cell r="L127">
            <v>-421.90000000000009</v>
          </cell>
          <cell r="M127">
            <v>-341.6</v>
          </cell>
          <cell r="N127">
            <v>-424.89999999999992</v>
          </cell>
          <cell r="O127">
            <v>-345.50000000000006</v>
          </cell>
          <cell r="P127">
            <v>-871.64021705714367</v>
          </cell>
          <cell r="Q127">
            <v>-534.44896374472717</v>
          </cell>
          <cell r="R127">
            <v>0</v>
          </cell>
          <cell r="S127">
            <v>0</v>
          </cell>
          <cell r="T127">
            <v>0</v>
          </cell>
        </row>
        <row r="129">
          <cell r="D129">
            <v>0</v>
          </cell>
          <cell r="E129">
            <v>0</v>
          </cell>
          <cell r="F129">
            <v>-125.49999999999969</v>
          </cell>
          <cell r="G129">
            <v>508.2999999999999</v>
          </cell>
          <cell r="H129">
            <v>1001.1999999999991</v>
          </cell>
          <cell r="I129">
            <v>594.40000000000055</v>
          </cell>
          <cell r="J129">
            <v>738.30000000000075</v>
          </cell>
          <cell r="K129">
            <v>1347.6000000000008</v>
          </cell>
          <cell r="L129">
            <v>1658.3999999999996</v>
          </cell>
          <cell r="M129">
            <v>854.00000000000171</v>
          </cell>
          <cell r="N129">
            <v>1386.3999999999994</v>
          </cell>
          <cell r="O129">
            <v>745.09999999999991</v>
          </cell>
          <cell r="P129">
            <v>621.53688328950193</v>
          </cell>
          <cell r="Q129">
            <v>1403.5353758226865</v>
          </cell>
          <cell r="R129">
            <v>937.39714942413354</v>
          </cell>
          <cell r="S129">
            <v>0</v>
          </cell>
          <cell r="T129">
            <v>0</v>
          </cell>
        </row>
        <row r="137">
          <cell r="D137">
            <v>0</v>
          </cell>
          <cell r="E137">
            <v>0</v>
          </cell>
          <cell r="F137">
            <v>-4022.2000000000003</v>
          </cell>
          <cell r="G137">
            <v>135.20000000000056</v>
          </cell>
          <cell r="H137">
            <v>-105.60000000000008</v>
          </cell>
          <cell r="I137">
            <v>-528.49999999999955</v>
          </cell>
          <cell r="J137">
            <v>-466.30000000000041</v>
          </cell>
          <cell r="K137">
            <v>-154.20000000000067</v>
          </cell>
          <cell r="L137">
            <v>-976.00000000000011</v>
          </cell>
          <cell r="M137">
            <v>-1694.6999999999998</v>
          </cell>
          <cell r="N137">
            <v>-891.4999999999992</v>
          </cell>
          <cell r="O137">
            <v>-1273.0000000000005</v>
          </cell>
          <cell r="P137">
            <v>-299.99999999999994</v>
          </cell>
          <cell r="Q137">
            <v>-2500</v>
          </cell>
          <cell r="R137">
            <v>9236.6720133347098</v>
          </cell>
          <cell r="S137">
            <v>0</v>
          </cell>
          <cell r="T137">
            <v>0</v>
          </cell>
        </row>
        <row r="144">
          <cell r="D144">
            <v>0</v>
          </cell>
          <cell r="E144">
            <v>0</v>
          </cell>
          <cell r="F144">
            <v>4248.3999999999996</v>
          </cell>
          <cell r="G144">
            <v>-169.59999999999968</v>
          </cell>
          <cell r="H144">
            <v>-1077.7000000000005</v>
          </cell>
          <cell r="I144">
            <v>-59.700000000000173</v>
          </cell>
          <cell r="J144">
            <v>-631.50000000000023</v>
          </cell>
          <cell r="K144">
            <v>-298.30000000000007</v>
          </cell>
          <cell r="L144">
            <v>-408.10000000000014</v>
          </cell>
          <cell r="M144">
            <v>720.69999999999982</v>
          </cell>
          <cell r="N144">
            <v>-877.4</v>
          </cell>
          <cell r="O144">
            <v>529.80000000000007</v>
          </cell>
          <cell r="P144">
            <v>-2112.7951749999997</v>
          </cell>
          <cell r="Q144">
            <v>-402.28019999999992</v>
          </cell>
          <cell r="R144">
            <v>-2020.5000000000002</v>
          </cell>
          <cell r="S144">
            <v>0</v>
          </cell>
          <cell r="T144">
            <v>0</v>
          </cell>
        </row>
        <row r="152">
          <cell r="D152">
            <v>0</v>
          </cell>
          <cell r="E152">
            <v>0</v>
          </cell>
          <cell r="F152">
            <v>0</v>
          </cell>
          <cell r="G152">
            <v>0</v>
          </cell>
          <cell r="H152">
            <v>0</v>
          </cell>
          <cell r="I152">
            <v>350</v>
          </cell>
          <cell r="J152">
            <v>0</v>
          </cell>
          <cell r="K152">
            <v>0</v>
          </cell>
          <cell r="L152">
            <v>0</v>
          </cell>
          <cell r="M152">
            <v>0</v>
          </cell>
          <cell r="N152">
            <v>0</v>
          </cell>
          <cell r="O152">
            <v>0</v>
          </cell>
          <cell r="P152">
            <v>0</v>
          </cell>
          <cell r="Q152">
            <v>0</v>
          </cell>
          <cell r="R152">
            <v>0</v>
          </cell>
          <cell r="S152">
            <v>0</v>
          </cell>
          <cell r="T152">
            <v>0</v>
          </cell>
        </row>
        <row r="153">
          <cell r="D153">
            <v>0</v>
          </cell>
          <cell r="E153">
            <v>0</v>
          </cell>
          <cell r="F153">
            <v>2441.1999999999998</v>
          </cell>
          <cell r="G153">
            <v>2281.2000000000003</v>
          </cell>
          <cell r="H153">
            <v>1690.9</v>
          </cell>
          <cell r="I153">
            <v>1797.6000000000001</v>
          </cell>
          <cell r="J153">
            <v>1373</v>
          </cell>
          <cell r="K153">
            <v>1083.3</v>
          </cell>
          <cell r="L153">
            <v>844</v>
          </cell>
          <cell r="M153">
            <v>1320</v>
          </cell>
          <cell r="N153">
            <v>908.5</v>
          </cell>
          <cell r="O153">
            <v>1760.8</v>
          </cell>
          <cell r="P153">
            <v>0</v>
          </cell>
          <cell r="Q153">
            <v>0</v>
          </cell>
          <cell r="R153">
            <v>0</v>
          </cell>
          <cell r="S153">
            <v>0</v>
          </cell>
          <cell r="T153">
            <v>0</v>
          </cell>
        </row>
        <row r="154">
          <cell r="D154">
            <v>0</v>
          </cell>
          <cell r="E154">
            <v>0</v>
          </cell>
          <cell r="F154">
            <v>2441.1999999999998</v>
          </cell>
          <cell r="G154">
            <v>2281.2000000000003</v>
          </cell>
          <cell r="H154">
            <v>1690.9</v>
          </cell>
          <cell r="I154">
            <v>2147.6000000000004</v>
          </cell>
          <cell r="J154">
            <v>1373</v>
          </cell>
          <cell r="K154">
            <v>1083.3</v>
          </cell>
          <cell r="L154">
            <v>844</v>
          </cell>
          <cell r="M154">
            <v>1320</v>
          </cell>
          <cell r="N154">
            <v>908.5</v>
          </cell>
          <cell r="O154">
            <v>1760.8</v>
          </cell>
          <cell r="P154">
            <v>0</v>
          </cell>
          <cell r="Q154">
            <v>0</v>
          </cell>
          <cell r="R154">
            <v>0</v>
          </cell>
          <cell r="S154">
            <v>0</v>
          </cell>
          <cell r="T154">
            <v>0</v>
          </cell>
        </row>
        <row r="157">
          <cell r="D157">
            <v>0</v>
          </cell>
          <cell r="E157">
            <v>0</v>
          </cell>
          <cell r="F157">
            <v>2275.1</v>
          </cell>
          <cell r="G157">
            <v>1742.0000000000002</v>
          </cell>
          <cell r="H157">
            <v>1013.0000000000001</v>
          </cell>
          <cell r="I157">
            <v>1463.5000000000005</v>
          </cell>
          <cell r="J157">
            <v>1048.4000000000001</v>
          </cell>
          <cell r="K157">
            <v>737</v>
          </cell>
          <cell r="L157">
            <v>242.60000000000002</v>
          </cell>
          <cell r="M157">
            <v>889.3</v>
          </cell>
          <cell r="N157">
            <v>677.2</v>
          </cell>
          <cell r="O157">
            <v>1534.1</v>
          </cell>
          <cell r="P157">
            <v>-879.34170828950187</v>
          </cell>
          <cell r="Q157">
            <v>-180.59688411218849</v>
          </cell>
          <cell r="R157">
            <v>0</v>
          </cell>
          <cell r="S157">
            <v>0</v>
          </cell>
          <cell r="T157">
            <v>0</v>
          </cell>
        </row>
        <row r="158">
          <cell r="D158">
            <v>0</v>
          </cell>
          <cell r="E158">
            <v>0</v>
          </cell>
          <cell r="F158">
            <v>0</v>
          </cell>
          <cell r="G158">
            <v>0</v>
          </cell>
          <cell r="H158">
            <v>0</v>
          </cell>
          <cell r="I158">
            <v>0</v>
          </cell>
          <cell r="J158">
            <v>0</v>
          </cell>
          <cell r="K158">
            <v>0</v>
          </cell>
          <cell r="L158">
            <v>0</v>
          </cell>
          <cell r="M158">
            <v>0</v>
          </cell>
          <cell r="N158">
            <v>0</v>
          </cell>
          <cell r="O158">
            <v>0</v>
          </cell>
          <cell r="P158">
            <v>0</v>
          </cell>
        </row>
        <row r="166">
          <cell r="D166">
            <v>0</v>
          </cell>
          <cell r="E166">
            <v>0</v>
          </cell>
          <cell r="F166">
            <v>-744.09999999999991</v>
          </cell>
          <cell r="G166">
            <v>-417.40000000000009</v>
          </cell>
          <cell r="H166">
            <v>127.19999999999982</v>
          </cell>
          <cell r="I166">
            <v>-628.89999999999964</v>
          </cell>
          <cell r="J166">
            <v>-66.700000000000045</v>
          </cell>
          <cell r="K166">
            <v>-283.70000000000005</v>
          </cell>
          <cell r="L166">
            <v>291.09999999999991</v>
          </cell>
          <cell r="M166">
            <v>775.0999999999998</v>
          </cell>
          <cell r="N166">
            <v>313.70000000000016</v>
          </cell>
          <cell r="O166">
            <v>-329.59999999999968</v>
          </cell>
          <cell r="P166">
            <v>-219.94332676664749</v>
          </cell>
          <cell r="Q166">
            <v>-307.23402265748632</v>
          </cell>
          <cell r="R166">
            <v>1490.4773494241335</v>
          </cell>
          <cell r="S166">
            <v>0</v>
          </cell>
          <cell r="T166">
            <v>0</v>
          </cell>
        </row>
        <row r="173">
          <cell r="D173">
            <v>0</v>
          </cell>
          <cell r="E173">
            <v>0</v>
          </cell>
          <cell r="F173">
            <v>-125.49999999999943</v>
          </cell>
          <cell r="G173">
            <v>508.29999999999978</v>
          </cell>
          <cell r="H173">
            <v>1001.1999999999989</v>
          </cell>
          <cell r="I173">
            <v>244.40000000000083</v>
          </cell>
          <cell r="J173">
            <v>1088.3000000000006</v>
          </cell>
          <cell r="K173">
            <v>1347.6000000000006</v>
          </cell>
          <cell r="L173">
            <v>1658.3999999999999</v>
          </cell>
          <cell r="M173">
            <v>854.00000000000102</v>
          </cell>
          <cell r="N173">
            <v>1386.3999999999999</v>
          </cell>
          <cell r="O173">
            <v>745.10000000000014</v>
          </cell>
          <cell r="P173">
            <v>621.5368832895017</v>
          </cell>
          <cell r="Q173">
            <v>1403.5353758226865</v>
          </cell>
          <cell r="R173">
            <v>937.39714942413354</v>
          </cell>
          <cell r="S173">
            <v>0</v>
          </cell>
          <cell r="T173">
            <v>0</v>
          </cell>
        </row>
        <row r="174">
          <cell r="D174">
            <v>0</v>
          </cell>
          <cell r="E174">
            <v>0</v>
          </cell>
          <cell r="F174">
            <v>-4017.8</v>
          </cell>
          <cell r="G174">
            <v>135.10000000000056</v>
          </cell>
          <cell r="H174">
            <v>-105.70000000000007</v>
          </cell>
          <cell r="I174">
            <v>-526.2999999999995</v>
          </cell>
          <cell r="J174">
            <v>-289.00000000000045</v>
          </cell>
          <cell r="K174">
            <v>-24.900000000000659</v>
          </cell>
          <cell r="L174">
            <v>-552.20000000000016</v>
          </cell>
          <cell r="M174">
            <v>-127.09999999999974</v>
          </cell>
          <cell r="N174">
            <v>-710.9999999999992</v>
          </cell>
          <cell r="O174">
            <v>-1491.4000000000005</v>
          </cell>
          <cell r="P174">
            <v>-299.99999999999994</v>
          </cell>
          <cell r="Q174">
            <v>-2500</v>
          </cell>
          <cell r="R174">
            <v>6970.1720133347098</v>
          </cell>
          <cell r="S174">
            <v>0</v>
          </cell>
          <cell r="T174">
            <v>0</v>
          </cell>
        </row>
        <row r="175">
          <cell r="D175">
            <v>0</v>
          </cell>
          <cell r="E175">
            <v>0</v>
          </cell>
          <cell r="F175">
            <v>-3742.2999999999997</v>
          </cell>
          <cell r="G175">
            <v>1022.6000000000004</v>
          </cell>
          <cell r="H175">
            <v>1303.6999999999989</v>
          </cell>
          <cell r="I175">
            <v>43.300000000001361</v>
          </cell>
          <cell r="J175">
            <v>1084.9000000000003</v>
          </cell>
          <cell r="K175">
            <v>1535.1000000000001</v>
          </cell>
          <cell r="L175">
            <v>1274.8999999999996</v>
          </cell>
          <cell r="M175">
            <v>871.40000000000134</v>
          </cell>
          <cell r="N175">
            <v>761.90000000000055</v>
          </cell>
          <cell r="O175">
            <v>-689.80000000000041</v>
          </cell>
          <cell r="P175">
            <v>470.40088328950173</v>
          </cell>
          <cell r="Q175">
            <v>-939.60062417731353</v>
          </cell>
          <cell r="R175">
            <v>7907.569162758843</v>
          </cell>
          <cell r="S175">
            <v>0</v>
          </cell>
          <cell r="T175">
            <v>0</v>
          </cell>
        </row>
        <row r="182">
          <cell r="F182">
            <v>166.1</v>
          </cell>
          <cell r="G182">
            <v>539.20000000000005</v>
          </cell>
          <cell r="H182">
            <v>677.9</v>
          </cell>
          <cell r="I182">
            <v>684.1</v>
          </cell>
          <cell r="J182">
            <v>324.60000000000002</v>
          </cell>
          <cell r="K182">
            <v>346.3</v>
          </cell>
          <cell r="L182">
            <v>601.4</v>
          </cell>
          <cell r="M182">
            <v>430.7</v>
          </cell>
          <cell r="N182">
            <v>231.3</v>
          </cell>
          <cell r="O182">
            <v>226.7</v>
          </cell>
          <cell r="P182">
            <v>879.34170828950187</v>
          </cell>
          <cell r="Q182">
            <v>180.59688411218849</v>
          </cell>
        </row>
        <row r="184">
          <cell r="F184">
            <v>451.1</v>
          </cell>
          <cell r="G184">
            <v>598.5</v>
          </cell>
          <cell r="H184">
            <v>854.1</v>
          </cell>
          <cell r="I184">
            <v>997</v>
          </cell>
          <cell r="J184">
            <v>1020</v>
          </cell>
          <cell r="K184">
            <v>1011.9</v>
          </cell>
          <cell r="L184">
            <v>940.2</v>
          </cell>
          <cell r="M184">
            <v>867.5</v>
          </cell>
          <cell r="N184">
            <v>548.20000000000005</v>
          </cell>
          <cell r="O184">
            <v>906</v>
          </cell>
          <cell r="P184">
            <v>981.92066301369857</v>
          </cell>
          <cell r="Q184">
            <v>1213.8150475726029</v>
          </cell>
        </row>
        <row r="185">
          <cell r="F185">
            <v>585</v>
          </cell>
          <cell r="G185">
            <v>706</v>
          </cell>
          <cell r="H185">
            <v>712.2</v>
          </cell>
          <cell r="I185">
            <v>717.5</v>
          </cell>
          <cell r="J185">
            <v>863.9</v>
          </cell>
          <cell r="K185">
            <v>649.20000000000005</v>
          </cell>
          <cell r="L185">
            <v>501.9</v>
          </cell>
          <cell r="M185">
            <v>385.4</v>
          </cell>
          <cell r="N185">
            <v>383.6</v>
          </cell>
          <cell r="O185">
            <v>609.1</v>
          </cell>
          <cell r="P185">
            <v>702.33512654301262</v>
          </cell>
          <cell r="Q185">
            <v>868.20145165315023</v>
          </cell>
        </row>
        <row r="186">
          <cell r="F186">
            <v>509.8</v>
          </cell>
          <cell r="G186">
            <v>633.29999999999995</v>
          </cell>
          <cell r="H186">
            <v>661.4</v>
          </cell>
          <cell r="I186">
            <v>893.6</v>
          </cell>
          <cell r="J186">
            <v>895.8</v>
          </cell>
          <cell r="K186">
            <v>1101</v>
          </cell>
          <cell r="L186">
            <v>1341.5</v>
          </cell>
          <cell r="M186">
            <v>587.9</v>
          </cell>
          <cell r="N186">
            <v>426.9</v>
          </cell>
          <cell r="O186">
            <v>601.79999999999995</v>
          </cell>
          <cell r="P186">
            <v>796.44675999999993</v>
          </cell>
          <cell r="Q186">
            <v>984.53887192000002</v>
          </cell>
        </row>
        <row r="188">
          <cell r="D188">
            <v>0</v>
          </cell>
          <cell r="E188">
            <v>0</v>
          </cell>
          <cell r="F188">
            <v>1712</v>
          </cell>
          <cell r="G188">
            <v>2477</v>
          </cell>
          <cell r="H188">
            <v>2905.6</v>
          </cell>
          <cell r="I188">
            <v>3292.2</v>
          </cell>
          <cell r="J188">
            <v>3104.3</v>
          </cell>
          <cell r="K188">
            <v>3108.4</v>
          </cell>
          <cell r="L188">
            <v>3385</v>
          </cell>
          <cell r="M188">
            <v>2271.5</v>
          </cell>
          <cell r="N188">
            <v>1590</v>
          </cell>
          <cell r="O188">
            <v>2343.6000000000004</v>
          </cell>
          <cell r="P188">
            <v>3360.0442578462125</v>
          </cell>
          <cell r="Q188">
            <v>3247.1522552579418</v>
          </cell>
          <cell r="R188">
            <v>0</v>
          </cell>
          <cell r="S188">
            <v>0</v>
          </cell>
          <cell r="T188">
            <v>0</v>
          </cell>
        </row>
        <row r="189">
          <cell r="F189">
            <v>4.4000000000000004</v>
          </cell>
          <cell r="G189">
            <v>4.3</v>
          </cell>
          <cell r="H189">
            <v>4.2</v>
          </cell>
          <cell r="I189">
            <v>6.4</v>
          </cell>
          <cell r="J189">
            <v>183.7</v>
          </cell>
          <cell r="K189">
            <v>313</v>
          </cell>
          <cell r="L189">
            <v>736.8</v>
          </cell>
          <cell r="M189">
            <v>2304.4</v>
          </cell>
          <cell r="N189">
            <v>2484.9</v>
          </cell>
          <cell r="O189">
            <v>2266.5</v>
          </cell>
          <cell r="P189">
            <v>2266.5</v>
          </cell>
          <cell r="Q189">
            <v>2266.5</v>
          </cell>
        </row>
        <row r="191">
          <cell r="F191">
            <v>4990.3</v>
          </cell>
          <cell r="G191">
            <v>5173.2</v>
          </cell>
          <cell r="H191">
            <v>5266.3</v>
          </cell>
          <cell r="I191">
            <v>5605.2999999999993</v>
          </cell>
          <cell r="J191">
            <v>6095.4</v>
          </cell>
          <cell r="K191">
            <v>6157</v>
          </cell>
          <cell r="L191">
            <v>6294.7</v>
          </cell>
          <cell r="M191">
            <v>6389.3</v>
          </cell>
          <cell r="N191">
            <v>6784.4</v>
          </cell>
          <cell r="O191">
            <v>6774.2</v>
          </cell>
          <cell r="P191">
            <v>9030.9</v>
          </cell>
          <cell r="Q191">
            <v>10330.9</v>
          </cell>
        </row>
        <row r="192">
          <cell r="F192">
            <v>-1469.7</v>
          </cell>
          <cell r="G192">
            <v>-1861.4</v>
          </cell>
          <cell r="H192">
            <v>-2081.1000000000004</v>
          </cell>
          <cell r="I192">
            <v>-2312.6</v>
          </cell>
          <cell r="J192">
            <v>-2581.3000000000002</v>
          </cell>
          <cell r="K192">
            <v>-2879.1</v>
          </cell>
          <cell r="L192">
            <v>-3158.9999999999995</v>
          </cell>
          <cell r="M192">
            <v>-3516.9</v>
          </cell>
          <cell r="N192">
            <v>-3819.6000000000004</v>
          </cell>
          <cell r="O192">
            <v>-4079.4</v>
          </cell>
          <cell r="P192">
            <v>-4447.2911952561471</v>
          </cell>
          <cell r="Q192">
            <v>-4860.7279866652898</v>
          </cell>
        </row>
        <row r="193">
          <cell r="F193">
            <v>217.2</v>
          </cell>
          <cell r="G193">
            <v>62.6</v>
          </cell>
          <cell r="H193">
            <v>71.599999999999994</v>
          </cell>
          <cell r="I193">
            <v>256.7</v>
          </cell>
          <cell r="J193">
            <v>47.8</v>
          </cell>
          <cell r="K193">
            <v>21.3</v>
          </cell>
          <cell r="L193">
            <v>408.8</v>
          </cell>
          <cell r="M193">
            <v>503.4</v>
          </cell>
          <cell r="N193">
            <v>810.9</v>
          </cell>
          <cell r="O193">
            <v>2256.6999999999998</v>
          </cell>
          <cell r="P193">
            <v>300</v>
          </cell>
          <cell r="Q193">
            <v>1500</v>
          </cell>
        </row>
        <row r="194">
          <cell r="D194">
            <v>0</v>
          </cell>
          <cell r="E194">
            <v>0</v>
          </cell>
          <cell r="F194">
            <v>3737.8</v>
          </cell>
          <cell r="G194">
            <v>3374.3999999999996</v>
          </cell>
          <cell r="H194">
            <v>3256.7999999999997</v>
          </cell>
          <cell r="I194">
            <v>3549.3999999999992</v>
          </cell>
          <cell r="J194">
            <v>3561.8999999999996</v>
          </cell>
          <cell r="K194">
            <v>3299.2000000000003</v>
          </cell>
          <cell r="L194">
            <v>3544.5000000000005</v>
          </cell>
          <cell r="M194">
            <v>3375.8</v>
          </cell>
          <cell r="N194">
            <v>3775.6999999999994</v>
          </cell>
          <cell r="O194">
            <v>4951.5</v>
          </cell>
          <cell r="P194">
            <v>4883.6088047438525</v>
          </cell>
          <cell r="Q194">
            <v>6970.1720133347098</v>
          </cell>
          <cell r="R194">
            <v>0</v>
          </cell>
          <cell r="S194">
            <v>0</v>
          </cell>
          <cell r="T194">
            <v>0</v>
          </cell>
        </row>
        <row r="195">
          <cell r="D195">
            <v>0</v>
          </cell>
          <cell r="E195">
            <v>0</v>
          </cell>
          <cell r="F195">
            <v>0</v>
          </cell>
          <cell r="G195">
            <v>0</v>
          </cell>
          <cell r="H195">
            <v>0</v>
          </cell>
          <cell r="I195">
            <v>0</v>
          </cell>
          <cell r="J195">
            <v>0</v>
          </cell>
          <cell r="K195">
            <v>48.3</v>
          </cell>
          <cell r="L195">
            <v>93.3</v>
          </cell>
          <cell r="M195">
            <v>75.2</v>
          </cell>
          <cell r="N195">
            <v>74.400000000000006</v>
          </cell>
          <cell r="O195">
            <v>62.2</v>
          </cell>
          <cell r="P195">
            <v>0</v>
          </cell>
          <cell r="Q195">
            <v>0</v>
          </cell>
        </row>
        <row r="196">
          <cell r="D196">
            <v>0</v>
          </cell>
          <cell r="E196">
            <v>0</v>
          </cell>
        </row>
        <row r="197">
          <cell r="D197">
            <v>0</v>
          </cell>
          <cell r="E197">
            <v>0</v>
          </cell>
        </row>
        <row r="198">
          <cell r="D198">
            <v>0</v>
          </cell>
          <cell r="E198">
            <v>0</v>
          </cell>
          <cell r="F198">
            <v>3742.2000000000003</v>
          </cell>
          <cell r="G198">
            <v>3378.7</v>
          </cell>
          <cell r="H198">
            <v>3260.9999999999995</v>
          </cell>
          <cell r="I198">
            <v>3555.7999999999993</v>
          </cell>
          <cell r="J198">
            <v>3745.5999999999995</v>
          </cell>
          <cell r="K198">
            <v>3660.5000000000005</v>
          </cell>
          <cell r="L198">
            <v>4374.6000000000004</v>
          </cell>
          <cell r="M198">
            <v>5755.4000000000005</v>
          </cell>
          <cell r="N198">
            <v>6334.9999999999991</v>
          </cell>
          <cell r="O198">
            <v>7280.2</v>
          </cell>
          <cell r="P198">
            <v>7150.1088047438525</v>
          </cell>
          <cell r="Q198">
            <v>9236.6720133347098</v>
          </cell>
          <cell r="R198">
            <v>0</v>
          </cell>
          <cell r="S198">
            <v>0</v>
          </cell>
          <cell r="T198">
            <v>0</v>
          </cell>
        </row>
        <row r="199">
          <cell r="D199">
            <v>0</v>
          </cell>
          <cell r="E199">
            <v>0</v>
          </cell>
          <cell r="F199">
            <v>5454.2000000000007</v>
          </cell>
          <cell r="G199">
            <v>5855.7</v>
          </cell>
          <cell r="H199">
            <v>6166.5999999999995</v>
          </cell>
          <cell r="I199">
            <v>6847.9999999999991</v>
          </cell>
          <cell r="J199">
            <v>6849.9</v>
          </cell>
          <cell r="K199">
            <v>6768.9000000000005</v>
          </cell>
          <cell r="L199">
            <v>7759.6</v>
          </cell>
          <cell r="M199">
            <v>8026.9000000000005</v>
          </cell>
          <cell r="N199">
            <v>7924.9999999999991</v>
          </cell>
          <cell r="O199">
            <v>9623.7999999999993</v>
          </cell>
          <cell r="P199">
            <v>10510.153062590065</v>
          </cell>
          <cell r="Q199">
            <v>12483.824268592653</v>
          </cell>
          <cell r="R199">
            <v>0</v>
          </cell>
          <cell r="S199">
            <v>0</v>
          </cell>
          <cell r="T199">
            <v>0</v>
          </cell>
        </row>
        <row r="200">
          <cell r="F200">
            <v>801.8</v>
          </cell>
          <cell r="G200">
            <v>776.3</v>
          </cell>
          <cell r="H200">
            <v>1193.4000000000001</v>
          </cell>
          <cell r="I200">
            <v>944.9</v>
          </cell>
          <cell r="J200">
            <v>1049.8</v>
          </cell>
          <cell r="K200">
            <v>748.5</v>
          </cell>
          <cell r="L200">
            <v>1061.0999999999999</v>
          </cell>
          <cell r="M200">
            <v>893.4</v>
          </cell>
          <cell r="N200">
            <v>725</v>
          </cell>
          <cell r="O200">
            <v>1153.5999999999999</v>
          </cell>
          <cell r="P200">
            <v>1297.4592227900637</v>
          </cell>
          <cell r="Q200">
            <v>1576.0780217216197</v>
          </cell>
        </row>
        <row r="202">
          <cell r="F202">
            <v>0</v>
          </cell>
          <cell r="G202">
            <v>0</v>
          </cell>
          <cell r="H202">
            <v>0</v>
          </cell>
          <cell r="I202">
            <v>350</v>
          </cell>
          <cell r="J202">
            <v>0</v>
          </cell>
          <cell r="K202">
            <v>0</v>
          </cell>
          <cell r="L202">
            <v>0</v>
          </cell>
          <cell r="M202">
            <v>0</v>
          </cell>
          <cell r="N202">
            <v>0</v>
          </cell>
          <cell r="O202">
            <v>0</v>
          </cell>
          <cell r="P202">
            <v>0</v>
          </cell>
          <cell r="Q202">
            <v>0</v>
          </cell>
        </row>
        <row r="206">
          <cell r="D206">
            <v>0</v>
          </cell>
          <cell r="E206">
            <v>0</v>
          </cell>
          <cell r="F206">
            <v>801.8</v>
          </cell>
          <cell r="G206">
            <v>776.3</v>
          </cell>
          <cell r="H206">
            <v>1193.4000000000001</v>
          </cell>
          <cell r="I206">
            <v>1294.9000000000001</v>
          </cell>
          <cell r="J206">
            <v>1049.8</v>
          </cell>
          <cell r="K206">
            <v>748.5</v>
          </cell>
          <cell r="L206">
            <v>1061.0999999999999</v>
          </cell>
          <cell r="M206">
            <v>893.4</v>
          </cell>
          <cell r="N206">
            <v>725</v>
          </cell>
          <cell r="O206">
            <v>1153.5999999999999</v>
          </cell>
          <cell r="P206">
            <v>1297.4592227900637</v>
          </cell>
          <cell r="Q206">
            <v>1576.0780217216197</v>
          </cell>
          <cell r="R206">
            <v>0</v>
          </cell>
          <cell r="S206">
            <v>0</v>
          </cell>
          <cell r="T206">
            <v>0</v>
          </cell>
        </row>
        <row r="207">
          <cell r="F207">
            <v>2441.1999999999998</v>
          </cell>
          <cell r="G207">
            <v>2281.2000000000003</v>
          </cell>
          <cell r="H207">
            <v>1690.9</v>
          </cell>
          <cell r="I207">
            <v>1797.6000000000001</v>
          </cell>
          <cell r="J207">
            <v>1373</v>
          </cell>
          <cell r="K207">
            <v>1083.3</v>
          </cell>
          <cell r="L207">
            <v>844</v>
          </cell>
          <cell r="M207">
            <v>1320</v>
          </cell>
          <cell r="N207">
            <v>908.5</v>
          </cell>
          <cell r="O207">
            <v>1760.8</v>
          </cell>
          <cell r="P207">
            <v>0</v>
          </cell>
          <cell r="Q207">
            <v>0</v>
          </cell>
        </row>
        <row r="208">
          <cell r="D208">
            <v>0</v>
          </cell>
          <cell r="E208">
            <v>0</v>
          </cell>
        </row>
        <row r="209">
          <cell r="D209">
            <v>0</v>
          </cell>
          <cell r="E209">
            <v>0</v>
          </cell>
        </row>
        <row r="210">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D211">
            <v>0</v>
          </cell>
          <cell r="E211">
            <v>0</v>
          </cell>
        </row>
        <row r="212">
          <cell r="D212">
            <v>0</v>
          </cell>
          <cell r="E212">
            <v>0</v>
          </cell>
        </row>
        <row r="213">
          <cell r="D213">
            <v>0</v>
          </cell>
          <cell r="E213">
            <v>0</v>
          </cell>
          <cell r="F213">
            <v>47</v>
          </cell>
          <cell r="G213">
            <v>232.9</v>
          </cell>
          <cell r="H213">
            <v>340</v>
          </cell>
          <cell r="I213">
            <v>396.3</v>
          </cell>
          <cell r="J213">
            <v>647.79999999999995</v>
          </cell>
          <cell r="K213">
            <v>760.2</v>
          </cell>
          <cell r="L213">
            <v>1248.8999999999999</v>
          </cell>
          <cell r="M213">
            <v>400.6</v>
          </cell>
          <cell r="N213">
            <v>463.7</v>
          </cell>
          <cell r="O213">
            <v>452.69999999999993</v>
          </cell>
          <cell r="P213">
            <v>502.79517499999997</v>
          </cell>
          <cell r="Q213">
            <v>553.08019999999999</v>
          </cell>
        </row>
        <row r="214">
          <cell r="F214">
            <v>0</v>
          </cell>
          <cell r="G214">
            <v>0</v>
          </cell>
          <cell r="H214">
            <v>0</v>
          </cell>
          <cell r="I214">
            <v>0</v>
          </cell>
          <cell r="J214">
            <v>0</v>
          </cell>
          <cell r="K214">
            <v>793.2</v>
          </cell>
          <cell r="L214">
            <v>768.8</v>
          </cell>
          <cell r="M214">
            <v>684.9</v>
          </cell>
          <cell r="N214">
            <v>585.1</v>
          </cell>
          <cell r="O214">
            <v>545.29999999999995</v>
          </cell>
          <cell r="P214">
            <v>0</v>
          </cell>
          <cell r="Q214">
            <v>0</v>
          </cell>
        </row>
        <row r="215">
          <cell r="D215">
            <v>0</v>
          </cell>
          <cell r="E215">
            <v>0</v>
          </cell>
        </row>
        <row r="216">
          <cell r="D216">
            <v>0</v>
          </cell>
          <cell r="E216">
            <v>0</v>
          </cell>
        </row>
        <row r="217">
          <cell r="D217">
            <v>0</v>
          </cell>
          <cell r="E217">
            <v>0</v>
          </cell>
          <cell r="F217">
            <v>2488.1999999999998</v>
          </cell>
          <cell r="G217">
            <v>2514.1000000000004</v>
          </cell>
          <cell r="H217">
            <v>2030.9</v>
          </cell>
          <cell r="I217">
            <v>2193.9</v>
          </cell>
          <cell r="J217">
            <v>2020.8</v>
          </cell>
          <cell r="K217">
            <v>2636.7</v>
          </cell>
          <cell r="L217">
            <v>2861.7</v>
          </cell>
          <cell r="M217">
            <v>2405.5</v>
          </cell>
          <cell r="N217">
            <v>1957.3000000000002</v>
          </cell>
          <cell r="O217">
            <v>2758.8</v>
          </cell>
          <cell r="P217">
            <v>502.79517499999997</v>
          </cell>
          <cell r="Q217">
            <v>553.08019999999999</v>
          </cell>
          <cell r="R217">
            <v>0</v>
          </cell>
          <cell r="S217">
            <v>0</v>
          </cell>
          <cell r="T217">
            <v>0</v>
          </cell>
        </row>
        <row r="218">
          <cell r="D218">
            <v>0</v>
          </cell>
          <cell r="E218">
            <v>0</v>
          </cell>
          <cell r="F218">
            <v>3290</v>
          </cell>
          <cell r="G218">
            <v>3290.4000000000005</v>
          </cell>
          <cell r="H218">
            <v>3224.3</v>
          </cell>
          <cell r="I218">
            <v>3488.8</v>
          </cell>
          <cell r="J218">
            <v>3070.6</v>
          </cell>
          <cell r="K218">
            <v>3385.2</v>
          </cell>
          <cell r="L218">
            <v>3922.7999999999997</v>
          </cell>
          <cell r="M218">
            <v>3298.9</v>
          </cell>
          <cell r="N218">
            <v>2682.3</v>
          </cell>
          <cell r="O218">
            <v>3912.4</v>
          </cell>
          <cell r="P218">
            <v>1800.2543977900636</v>
          </cell>
          <cell r="Q218">
            <v>2129.1582217216196</v>
          </cell>
          <cell r="R218">
            <v>0</v>
          </cell>
          <cell r="S218">
            <v>0</v>
          </cell>
          <cell r="T218">
            <v>0</v>
          </cell>
        </row>
        <row r="219">
          <cell r="F219">
            <v>747</v>
          </cell>
          <cell r="G219">
            <v>747</v>
          </cell>
          <cell r="H219">
            <v>747</v>
          </cell>
          <cell r="I219">
            <v>747</v>
          </cell>
          <cell r="J219">
            <v>747</v>
          </cell>
          <cell r="K219">
            <v>747</v>
          </cell>
          <cell r="L219">
            <v>747</v>
          </cell>
          <cell r="M219">
            <v>882</v>
          </cell>
          <cell r="N219">
            <v>882</v>
          </cell>
          <cell r="O219">
            <v>882</v>
          </cell>
          <cell r="P219">
            <v>882</v>
          </cell>
          <cell r="Q219">
            <v>882</v>
          </cell>
        </row>
        <row r="220">
          <cell r="F220">
            <v>828.1</v>
          </cell>
          <cell r="G220">
            <v>828.1</v>
          </cell>
          <cell r="H220">
            <v>828.1</v>
          </cell>
          <cell r="I220">
            <v>828.1</v>
          </cell>
          <cell r="J220">
            <v>828.1</v>
          </cell>
          <cell r="K220">
            <v>828.1</v>
          </cell>
          <cell r="L220">
            <v>828.1</v>
          </cell>
          <cell r="M220">
            <v>1079.9000000000001</v>
          </cell>
          <cell r="N220">
            <v>1079.9000000000001</v>
          </cell>
          <cell r="O220">
            <v>1079.9000000000001</v>
          </cell>
          <cell r="P220">
            <v>1079.9000000000001</v>
          </cell>
          <cell r="Q220">
            <v>1079.9000000000001</v>
          </cell>
        </row>
        <row r="221">
          <cell r="F221">
            <v>343.5</v>
          </cell>
          <cell r="G221">
            <v>630.90000000000009</v>
          </cell>
          <cell r="H221">
            <v>1329.5</v>
          </cell>
          <cell r="I221">
            <v>1747</v>
          </cell>
          <cell r="J221">
            <v>2168.1999999999998</v>
          </cell>
          <cell r="K221">
            <v>1631.7</v>
          </cell>
          <cell r="L221">
            <v>2067.4</v>
          </cell>
          <cell r="M221">
            <v>2522.8999999999996</v>
          </cell>
          <cell r="N221">
            <v>3201.6</v>
          </cell>
          <cell r="O221">
            <v>3690.9</v>
          </cell>
          <cell r="P221">
            <v>4245.4986648000013</v>
          </cell>
          <cell r="Q221">
            <v>5090.266046871031</v>
          </cell>
        </row>
        <row r="222">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D223">
            <v>0</v>
          </cell>
          <cell r="E223">
            <v>0</v>
          </cell>
          <cell r="F223">
            <v>263.2</v>
          </cell>
          <cell r="G223">
            <v>362.29999999999995</v>
          </cell>
          <cell r="H223">
            <v>39.6</v>
          </cell>
          <cell r="I223">
            <v>37.799999999999997</v>
          </cell>
          <cell r="J223">
            <v>36</v>
          </cell>
          <cell r="K223">
            <v>176.9</v>
          </cell>
          <cell r="L223">
            <v>194.3</v>
          </cell>
          <cell r="M223">
            <v>243.2</v>
          </cell>
          <cell r="N223">
            <v>79.2</v>
          </cell>
          <cell r="O223">
            <v>83.9</v>
          </cell>
          <cell r="P223">
            <v>83.9</v>
          </cell>
          <cell r="Q223">
            <v>83.9</v>
          </cell>
        </row>
        <row r="224">
          <cell r="D224">
            <v>0</v>
          </cell>
          <cell r="E224">
            <v>0</v>
          </cell>
          <cell r="F224">
            <v>1434.8</v>
          </cell>
          <cell r="G224">
            <v>1821.3</v>
          </cell>
          <cell r="H224">
            <v>2197.1999999999998</v>
          </cell>
          <cell r="I224">
            <v>2612.9</v>
          </cell>
          <cell r="J224">
            <v>3032.2999999999997</v>
          </cell>
          <cell r="K224">
            <v>2636.7000000000003</v>
          </cell>
          <cell r="L224">
            <v>3089.8</v>
          </cell>
          <cell r="M224">
            <v>3845.9999999999995</v>
          </cell>
          <cell r="N224">
            <v>4360.7</v>
          </cell>
          <cell r="O224">
            <v>4854.7</v>
          </cell>
          <cell r="P224">
            <v>5409.2986648000006</v>
          </cell>
          <cell r="Q224">
            <v>6254.0660468710303</v>
          </cell>
          <cell r="R224">
            <v>0</v>
          </cell>
          <cell r="S224">
            <v>0</v>
          </cell>
          <cell r="T224">
            <v>0</v>
          </cell>
        </row>
        <row r="225">
          <cell r="F225">
            <v>-17.600000000000001</v>
          </cell>
          <cell r="G225">
            <v>-3</v>
          </cell>
          <cell r="H225">
            <v>-1.9</v>
          </cell>
          <cell r="I225">
            <v>-0.7</v>
          </cell>
          <cell r="J225">
            <v>0</v>
          </cell>
          <cell r="K225">
            <v>0</v>
          </cell>
          <cell r="L225">
            <v>0</v>
          </cell>
          <cell r="M225">
            <v>0</v>
          </cell>
          <cell r="N225">
            <v>0</v>
          </cell>
          <cell r="O225">
            <v>-25.3</v>
          </cell>
          <cell r="P225">
            <v>-25.3</v>
          </cell>
          <cell r="Q225">
            <v>-25.3</v>
          </cell>
        </row>
        <row r="226">
          <cell r="D226">
            <v>0</v>
          </cell>
          <cell r="E226">
            <v>0</v>
          </cell>
          <cell r="F226">
            <v>2164.2000000000003</v>
          </cell>
          <cell r="G226">
            <v>2565.3000000000002</v>
          </cell>
          <cell r="H226">
            <v>2942.2999999999997</v>
          </cell>
          <cell r="I226">
            <v>3359.2000000000003</v>
          </cell>
          <cell r="J226">
            <v>3779.2999999999997</v>
          </cell>
          <cell r="K226">
            <v>3383.7000000000003</v>
          </cell>
          <cell r="L226">
            <v>3836.8</v>
          </cell>
          <cell r="M226">
            <v>4728</v>
          </cell>
          <cell r="N226">
            <v>5242.7</v>
          </cell>
          <cell r="O226">
            <v>5711.4</v>
          </cell>
          <cell r="P226">
            <v>6265.9986648000004</v>
          </cell>
          <cell r="Q226">
            <v>7110.7660468710301</v>
          </cell>
          <cell r="R226">
            <v>0</v>
          </cell>
          <cell r="S226">
            <v>0</v>
          </cell>
          <cell r="T226">
            <v>0</v>
          </cell>
        </row>
        <row r="227">
          <cell r="D227">
            <v>0</v>
          </cell>
          <cell r="E227">
            <v>0</v>
          </cell>
          <cell r="F227">
            <v>0</v>
          </cell>
          <cell r="G227">
            <v>0</v>
          </cell>
          <cell r="H227">
            <v>0</v>
          </cell>
          <cell r="I227">
            <v>0</v>
          </cell>
          <cell r="J227">
            <v>0</v>
          </cell>
          <cell r="K227">
            <v>0</v>
          </cell>
          <cell r="L227">
            <v>0</v>
          </cell>
          <cell r="M227">
            <v>0</v>
          </cell>
          <cell r="N227">
            <v>0</v>
          </cell>
          <cell r="O227">
            <v>0</v>
          </cell>
          <cell r="P227">
            <v>0</v>
          </cell>
        </row>
        <row r="228">
          <cell r="D228">
            <v>0</v>
          </cell>
          <cell r="E228">
            <v>0</v>
          </cell>
          <cell r="F228">
            <v>2164.2000000000003</v>
          </cell>
          <cell r="G228">
            <v>2565.3000000000002</v>
          </cell>
          <cell r="H228">
            <v>2942.2999999999997</v>
          </cell>
          <cell r="I228">
            <v>3359.2000000000003</v>
          </cell>
          <cell r="J228">
            <v>3779.2999999999997</v>
          </cell>
          <cell r="K228">
            <v>3383.7000000000003</v>
          </cell>
          <cell r="L228">
            <v>3836.8</v>
          </cell>
          <cell r="M228">
            <v>4728</v>
          </cell>
          <cell r="N228">
            <v>5242.7</v>
          </cell>
          <cell r="O228">
            <v>5711.4</v>
          </cell>
          <cell r="P228">
            <v>6265.9986648000004</v>
          </cell>
          <cell r="Q228">
            <v>7110.7660468710301</v>
          </cell>
          <cell r="R228">
            <v>0</v>
          </cell>
          <cell r="S228">
            <v>0</v>
          </cell>
          <cell r="T228">
            <v>0</v>
          </cell>
        </row>
        <row r="229">
          <cell r="D229">
            <v>0</v>
          </cell>
          <cell r="E229">
            <v>0</v>
          </cell>
          <cell r="F229">
            <v>5454.2000000000007</v>
          </cell>
          <cell r="G229">
            <v>5855.7000000000007</v>
          </cell>
          <cell r="H229">
            <v>6166.6</v>
          </cell>
          <cell r="I229">
            <v>6848</v>
          </cell>
          <cell r="J229">
            <v>6849.9</v>
          </cell>
          <cell r="K229">
            <v>6768.9</v>
          </cell>
          <cell r="L229">
            <v>7759.6</v>
          </cell>
          <cell r="M229">
            <v>8026.9</v>
          </cell>
          <cell r="N229">
            <v>7925</v>
          </cell>
          <cell r="O229">
            <v>9623.7999999999993</v>
          </cell>
          <cell r="P229">
            <v>8066.2530625900636</v>
          </cell>
          <cell r="Q229">
            <v>9239.9242685926492</v>
          </cell>
          <cell r="R229">
            <v>0</v>
          </cell>
          <cell r="S229">
            <v>0</v>
          </cell>
          <cell r="T229">
            <v>0</v>
          </cell>
        </row>
        <row r="238">
          <cell r="L238">
            <v>6411</v>
          </cell>
          <cell r="M238">
            <v>7164</v>
          </cell>
          <cell r="N238">
            <v>7509</v>
          </cell>
          <cell r="O238">
            <v>7178</v>
          </cell>
          <cell r="P238">
            <v>6664</v>
          </cell>
          <cell r="Q238">
            <v>11479</v>
          </cell>
          <cell r="R238">
            <v>11087</v>
          </cell>
        </row>
        <row r="239">
          <cell r="D239">
            <v>0</v>
          </cell>
          <cell r="E239">
            <v>0</v>
          </cell>
          <cell r="F239">
            <v>0</v>
          </cell>
          <cell r="G239">
            <v>0</v>
          </cell>
          <cell r="H239">
            <v>0</v>
          </cell>
          <cell r="I239">
            <v>0</v>
          </cell>
          <cell r="J239">
            <v>0</v>
          </cell>
          <cell r="K239">
            <v>0</v>
          </cell>
          <cell r="L239">
            <v>0</v>
          </cell>
          <cell r="M239">
            <v>0</v>
          </cell>
          <cell r="N239">
            <v>0</v>
          </cell>
          <cell r="O239">
            <v>0</v>
          </cell>
          <cell r="P239">
            <v>0</v>
          </cell>
        </row>
        <row r="240">
          <cell r="D240">
            <v>0</v>
          </cell>
          <cell r="E240">
            <v>0</v>
          </cell>
          <cell r="F240">
            <v>0</v>
          </cell>
          <cell r="G240">
            <v>0</v>
          </cell>
          <cell r="H240">
            <v>0</v>
          </cell>
          <cell r="I240">
            <v>0</v>
          </cell>
          <cell r="J240">
            <v>0</v>
          </cell>
          <cell r="K240">
            <v>0</v>
          </cell>
          <cell r="L240">
            <v>6411</v>
          </cell>
          <cell r="M240">
            <v>7164</v>
          </cell>
          <cell r="N240">
            <v>7509</v>
          </cell>
          <cell r="O240">
            <v>7178</v>
          </cell>
          <cell r="P240">
            <v>6664</v>
          </cell>
          <cell r="Q240">
            <v>11479</v>
          </cell>
          <cell r="R240">
            <v>11087</v>
          </cell>
          <cell r="S240">
            <v>0</v>
          </cell>
          <cell r="T240">
            <v>0</v>
          </cell>
        </row>
        <row r="241">
          <cell r="D241">
            <v>0</v>
          </cell>
          <cell r="E241">
            <v>0</v>
          </cell>
          <cell r="F241">
            <v>0</v>
          </cell>
          <cell r="G241">
            <v>0</v>
          </cell>
          <cell r="H241">
            <v>0</v>
          </cell>
          <cell r="I241">
            <v>0</v>
          </cell>
          <cell r="J241">
            <v>0</v>
          </cell>
          <cell r="K241">
            <v>0</v>
          </cell>
          <cell r="L241">
            <v>0</v>
          </cell>
          <cell r="M241">
            <v>0</v>
          </cell>
          <cell r="N241">
            <v>0</v>
          </cell>
          <cell r="O241">
            <v>0</v>
          </cell>
          <cell r="P241">
            <v>0</v>
          </cell>
        </row>
        <row r="242">
          <cell r="D242">
            <v>0</v>
          </cell>
          <cell r="E242">
            <v>0</v>
          </cell>
          <cell r="F242">
            <v>0</v>
          </cell>
          <cell r="G242">
            <v>0</v>
          </cell>
          <cell r="H242">
            <v>0</v>
          </cell>
          <cell r="I242">
            <v>0</v>
          </cell>
          <cell r="J242">
            <v>0</v>
          </cell>
          <cell r="K242">
            <v>0</v>
          </cell>
          <cell r="L242">
            <v>0</v>
          </cell>
          <cell r="M242">
            <v>0</v>
          </cell>
          <cell r="N242">
            <v>0</v>
          </cell>
          <cell r="O242">
            <v>0</v>
          </cell>
          <cell r="P242">
            <v>0</v>
          </cell>
        </row>
        <row r="243">
          <cell r="D243">
            <v>0</v>
          </cell>
          <cell r="E243">
            <v>0</v>
          </cell>
          <cell r="F243">
            <v>0</v>
          </cell>
          <cell r="G243">
            <v>0</v>
          </cell>
          <cell r="H243">
            <v>0</v>
          </cell>
          <cell r="I243">
            <v>0</v>
          </cell>
          <cell r="J243">
            <v>0</v>
          </cell>
          <cell r="K243">
            <v>0</v>
          </cell>
          <cell r="L243">
            <v>0</v>
          </cell>
          <cell r="M243">
            <v>0</v>
          </cell>
          <cell r="N243">
            <v>0</v>
          </cell>
          <cell r="O243">
            <v>0</v>
          </cell>
          <cell r="P243">
            <v>0</v>
          </cell>
        </row>
        <row r="244">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row>
        <row r="248">
          <cell r="D248">
            <v>0</v>
          </cell>
          <cell r="E248">
            <v>0</v>
          </cell>
          <cell r="F248">
            <v>1868.9</v>
          </cell>
          <cell r="G248">
            <v>3556.1</v>
          </cell>
          <cell r="H248">
            <v>3315.5999999999995</v>
          </cell>
          <cell r="I248">
            <v>3403.0999999999995</v>
          </cell>
          <cell r="J248">
            <v>3555.6499999999996</v>
          </cell>
          <cell r="K248">
            <v>3430.55</v>
          </cell>
          <cell r="L248">
            <v>3421.8500000000004</v>
          </cell>
          <cell r="M248">
            <v>3460.1500000000005</v>
          </cell>
          <cell r="N248">
            <v>3575.75</v>
          </cell>
          <cell r="O248">
            <v>4363.5999999999995</v>
          </cell>
          <cell r="P248">
            <v>4917.5544023719267</v>
          </cell>
          <cell r="Q248">
            <v>5926.8904090392807</v>
          </cell>
          <cell r="R248">
            <v>3485.0860066673549</v>
          </cell>
          <cell r="S248">
            <v>0</v>
          </cell>
          <cell r="T248">
            <v>0</v>
          </cell>
        </row>
        <row r="249">
          <cell r="D249">
            <v>0</v>
          </cell>
          <cell r="E249">
            <v>0</v>
          </cell>
          <cell r="F249">
            <v>2727.1000000000004</v>
          </cell>
          <cell r="G249">
            <v>5654.9500000000007</v>
          </cell>
          <cell r="H249">
            <v>6011.15</v>
          </cell>
          <cell r="I249">
            <v>6507.2999999999993</v>
          </cell>
          <cell r="J249">
            <v>6848.9499999999989</v>
          </cell>
          <cell r="K249">
            <v>6809.4</v>
          </cell>
          <cell r="L249">
            <v>7264.25</v>
          </cell>
          <cell r="M249">
            <v>7893.25</v>
          </cell>
          <cell r="N249">
            <v>7975.95</v>
          </cell>
          <cell r="O249">
            <v>8774.4</v>
          </cell>
          <cell r="P249">
            <v>10066.976531295033</v>
          </cell>
          <cell r="Q249">
            <v>11496.988665591358</v>
          </cell>
          <cell r="R249">
            <v>6241.9121342963263</v>
          </cell>
          <cell r="S249">
            <v>0</v>
          </cell>
          <cell r="T249">
            <v>0</v>
          </cell>
        </row>
        <row r="250">
          <cell r="D250">
            <v>0</v>
          </cell>
          <cell r="E250">
            <v>0</v>
          </cell>
          <cell r="F250">
            <v>1082.1000000000001</v>
          </cell>
          <cell r="G250">
            <v>2364.75</v>
          </cell>
          <cell r="H250">
            <v>2753.8</v>
          </cell>
          <cell r="I250">
            <v>3150.75</v>
          </cell>
          <cell r="J250">
            <v>3569.25</v>
          </cell>
          <cell r="K250">
            <v>3581.5</v>
          </cell>
          <cell r="L250">
            <v>3610.25</v>
          </cell>
          <cell r="M250">
            <v>4282.3999999999996</v>
          </cell>
          <cell r="N250">
            <v>4985.3500000000004</v>
          </cell>
          <cell r="O250">
            <v>5477.0499999999993</v>
          </cell>
          <cell r="P250">
            <v>5988.6993323999995</v>
          </cell>
          <cell r="Q250">
            <v>6688.3823558355152</v>
          </cell>
          <cell r="R250">
            <v>3555.383023435515</v>
          </cell>
          <cell r="S250">
            <v>0</v>
          </cell>
          <cell r="T250">
            <v>0</v>
          </cell>
        </row>
        <row r="251">
          <cell r="D251">
            <v>0</v>
          </cell>
          <cell r="E251">
            <v>0</v>
          </cell>
          <cell r="F251">
            <v>4652.4000000000005</v>
          </cell>
          <cell r="G251">
            <v>5079.4000000000005</v>
          </cell>
          <cell r="H251">
            <v>4973.2000000000007</v>
          </cell>
          <cell r="I251">
            <v>5553.1</v>
          </cell>
          <cell r="J251">
            <v>5800.0999999999995</v>
          </cell>
          <cell r="K251">
            <v>6020.4</v>
          </cell>
          <cell r="L251">
            <v>6698.5</v>
          </cell>
          <cell r="M251">
            <v>7133.5</v>
          </cell>
          <cell r="N251">
            <v>7200</v>
          </cell>
          <cell r="O251">
            <v>8470.1999999999989</v>
          </cell>
          <cell r="P251">
            <v>6768.7938397999997</v>
          </cell>
          <cell r="Q251">
            <v>7663.8462468710295</v>
          </cell>
          <cell r="R251">
            <v>0</v>
          </cell>
          <cell r="S251">
            <v>0</v>
          </cell>
          <cell r="T251">
            <v>0</v>
          </cell>
        </row>
        <row r="252">
          <cell r="D252">
            <v>0</v>
          </cell>
          <cell r="E252">
            <v>0</v>
          </cell>
          <cell r="F252">
            <v>2326.2000000000003</v>
          </cell>
          <cell r="G252">
            <v>4865.9000000000005</v>
          </cell>
          <cell r="H252">
            <v>5026.3000000000011</v>
          </cell>
          <cell r="I252">
            <v>5263.1500000000005</v>
          </cell>
          <cell r="J252">
            <v>5676.6</v>
          </cell>
          <cell r="K252">
            <v>5910.25</v>
          </cell>
          <cell r="L252">
            <v>6359.45</v>
          </cell>
          <cell r="M252">
            <v>6916</v>
          </cell>
          <cell r="N252">
            <v>7166.75</v>
          </cell>
          <cell r="O252">
            <v>7835.0999999999995</v>
          </cell>
          <cell r="P252">
            <v>7619.4969198999988</v>
          </cell>
          <cell r="Q252">
            <v>7216.3200433355141</v>
          </cell>
          <cell r="R252">
            <v>3831.9231234355148</v>
          </cell>
          <cell r="S252">
            <v>0</v>
          </cell>
          <cell r="T252">
            <v>0</v>
          </cell>
        </row>
        <row r="253">
          <cell r="D253">
            <v>0</v>
          </cell>
          <cell r="E253">
            <v>0</v>
          </cell>
          <cell r="F253">
            <v>2160.1000000000004</v>
          </cell>
          <cell r="G253">
            <v>4326.7000000000007</v>
          </cell>
          <cell r="H253">
            <v>4348.4000000000015</v>
          </cell>
          <cell r="I253">
            <v>4579.05</v>
          </cell>
          <cell r="J253">
            <v>5352</v>
          </cell>
          <cell r="K253">
            <v>5563.95</v>
          </cell>
          <cell r="L253">
            <v>5758.05</v>
          </cell>
          <cell r="M253">
            <v>6485.3</v>
          </cell>
          <cell r="N253">
            <v>6935.45</v>
          </cell>
          <cell r="O253">
            <v>7608.4</v>
          </cell>
          <cell r="P253">
            <v>6740.1552116104967</v>
          </cell>
          <cell r="Q253">
            <v>7035.7231592233256</v>
          </cell>
          <cell r="R253">
            <v>3831.9231234355148</v>
          </cell>
          <cell r="S253">
            <v>0</v>
          </cell>
          <cell r="T253">
            <v>0</v>
          </cell>
        </row>
        <row r="254">
          <cell r="D254">
            <v>0</v>
          </cell>
          <cell r="E254">
            <v>0</v>
          </cell>
          <cell r="F254">
            <v>1080.0500000000002</v>
          </cell>
          <cell r="G254">
            <v>3243.4000000000005</v>
          </cell>
          <cell r="H254">
            <v>4337.5500000000011</v>
          </cell>
          <cell r="I254">
            <v>4463.7250000000004</v>
          </cell>
          <cell r="J254">
            <v>4965.5249999999996</v>
          </cell>
          <cell r="K254">
            <v>5457.9750000000004</v>
          </cell>
          <cell r="L254">
            <v>5661</v>
          </cell>
          <cell r="M254">
            <v>6121.6750000000002</v>
          </cell>
          <cell r="N254">
            <v>6710.375</v>
          </cell>
          <cell r="O254">
            <v>7271.9249999999993</v>
          </cell>
          <cell r="P254">
            <v>7174.2776058052477</v>
          </cell>
          <cell r="Q254">
            <v>6887.9391854169116</v>
          </cell>
          <cell r="R254">
            <v>5433.8231413294197</v>
          </cell>
          <cell r="S254">
            <v>1915.9615617177574</v>
          </cell>
          <cell r="T254">
            <v>0</v>
          </cell>
        </row>
        <row r="257">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row>
        <row r="258">
          <cell r="D258">
            <v>0</v>
          </cell>
          <cell r="E258">
            <v>0</v>
          </cell>
          <cell r="F258">
            <v>2441.1999999999998</v>
          </cell>
          <cell r="G258">
            <v>2281.2000000000003</v>
          </cell>
          <cell r="H258">
            <v>1690.9</v>
          </cell>
          <cell r="I258">
            <v>2147.6000000000004</v>
          </cell>
          <cell r="J258">
            <v>1373</v>
          </cell>
          <cell r="K258">
            <v>1083.3</v>
          </cell>
          <cell r="L258">
            <v>844</v>
          </cell>
          <cell r="M258">
            <v>1320</v>
          </cell>
          <cell r="N258">
            <v>908.5</v>
          </cell>
          <cell r="O258">
            <v>1760.8</v>
          </cell>
          <cell r="P258">
            <v>0</v>
          </cell>
          <cell r="Q258">
            <v>0</v>
          </cell>
          <cell r="R258">
            <v>0</v>
          </cell>
          <cell r="S258">
            <v>0</v>
          </cell>
          <cell r="T258">
            <v>0</v>
          </cell>
        </row>
        <row r="259">
          <cell r="D259">
            <v>0</v>
          </cell>
          <cell r="E259">
            <v>0</v>
          </cell>
          <cell r="F259">
            <v>0</v>
          </cell>
          <cell r="G259">
            <v>0</v>
          </cell>
          <cell r="H259">
            <v>0</v>
          </cell>
          <cell r="I259">
            <v>0</v>
          </cell>
          <cell r="J259">
            <v>0</v>
          </cell>
          <cell r="K259">
            <v>0</v>
          </cell>
          <cell r="L259">
            <v>0</v>
          </cell>
          <cell r="M259">
            <v>0</v>
          </cell>
          <cell r="N259">
            <v>0</v>
          </cell>
          <cell r="O259">
            <v>0</v>
          </cell>
          <cell r="P259">
            <v>0</v>
          </cell>
        </row>
        <row r="260">
          <cell r="D260">
            <v>0</v>
          </cell>
          <cell r="E260">
            <v>0</v>
          </cell>
          <cell r="F260">
            <v>0</v>
          </cell>
          <cell r="G260">
            <v>0</v>
          </cell>
          <cell r="H260">
            <v>0</v>
          </cell>
          <cell r="I260">
            <v>0</v>
          </cell>
          <cell r="J260">
            <v>0</v>
          </cell>
          <cell r="K260">
            <v>0</v>
          </cell>
          <cell r="L260">
            <v>0</v>
          </cell>
          <cell r="M260">
            <v>0</v>
          </cell>
          <cell r="N260">
            <v>0</v>
          </cell>
          <cell r="O260">
            <v>0</v>
          </cell>
          <cell r="P260">
            <v>0</v>
          </cell>
        </row>
        <row r="261">
          <cell r="D261">
            <v>0</v>
          </cell>
          <cell r="E261">
            <v>0</v>
          </cell>
          <cell r="F261">
            <v>2441.1999999999998</v>
          </cell>
          <cell r="G261">
            <v>2281.2000000000003</v>
          </cell>
          <cell r="H261">
            <v>1690.9</v>
          </cell>
          <cell r="I261">
            <v>2147.6000000000004</v>
          </cell>
          <cell r="J261">
            <v>1373</v>
          </cell>
          <cell r="K261">
            <v>1083.3</v>
          </cell>
          <cell r="L261">
            <v>844</v>
          </cell>
          <cell r="M261">
            <v>1320</v>
          </cell>
          <cell r="N261">
            <v>908.5</v>
          </cell>
          <cell r="O261">
            <v>1760.8</v>
          </cell>
          <cell r="P261">
            <v>0</v>
          </cell>
          <cell r="Q261">
            <v>0</v>
          </cell>
          <cell r="R261">
            <v>0</v>
          </cell>
          <cell r="S261">
            <v>0</v>
          </cell>
          <cell r="T261">
            <v>0</v>
          </cell>
        </row>
        <row r="262">
          <cell r="D262">
            <v>0</v>
          </cell>
          <cell r="E262">
            <v>0</v>
          </cell>
          <cell r="F262">
            <v>166.1</v>
          </cell>
          <cell r="G262">
            <v>539.20000000000005</v>
          </cell>
          <cell r="H262">
            <v>677.9</v>
          </cell>
          <cell r="I262">
            <v>684.1</v>
          </cell>
          <cell r="J262">
            <v>324.60000000000002</v>
          </cell>
          <cell r="K262">
            <v>346.3</v>
          </cell>
          <cell r="L262">
            <v>601.4</v>
          </cell>
          <cell r="M262">
            <v>430.7</v>
          </cell>
          <cell r="N262">
            <v>231.3</v>
          </cell>
          <cell r="O262">
            <v>226.7</v>
          </cell>
          <cell r="P262">
            <v>879.34170828950187</v>
          </cell>
          <cell r="Q262">
            <v>180.59688411218849</v>
          </cell>
          <cell r="R262">
            <v>0</v>
          </cell>
          <cell r="S262">
            <v>0</v>
          </cell>
          <cell r="T262">
            <v>0</v>
          </cell>
        </row>
        <row r="263">
          <cell r="D263">
            <v>0</v>
          </cell>
          <cell r="E263">
            <v>0</v>
          </cell>
          <cell r="F263">
            <v>2275.1</v>
          </cell>
          <cell r="G263">
            <v>1742.0000000000002</v>
          </cell>
          <cell r="H263">
            <v>1013.0000000000001</v>
          </cell>
          <cell r="I263">
            <v>1463.5000000000005</v>
          </cell>
          <cell r="J263">
            <v>1048.4000000000001</v>
          </cell>
          <cell r="K263">
            <v>737</v>
          </cell>
          <cell r="L263">
            <v>242.60000000000002</v>
          </cell>
          <cell r="M263">
            <v>889.3</v>
          </cell>
          <cell r="N263">
            <v>677.2</v>
          </cell>
          <cell r="O263">
            <v>1534.1</v>
          </cell>
          <cell r="P263">
            <v>-879.34170828950187</v>
          </cell>
          <cell r="Q263">
            <v>-180.59688411218849</v>
          </cell>
          <cell r="R263">
            <v>0</v>
          </cell>
          <cell r="S263">
            <v>0</v>
          </cell>
          <cell r="T263">
            <v>0</v>
          </cell>
        </row>
        <row r="305">
          <cell r="D305">
            <v>0</v>
          </cell>
          <cell r="E305">
            <v>0</v>
          </cell>
          <cell r="F305">
            <v>7.6519410977242366</v>
          </cell>
          <cell r="G305">
            <v>9.9036144578313223</v>
          </cell>
          <cell r="H305">
            <v>10.266398929049521</v>
          </cell>
          <cell r="I305">
            <v>10.937081659973233</v>
          </cell>
          <cell r="J305">
            <v>12.095046854083007</v>
          </cell>
          <cell r="K305">
            <v>10.361445783132538</v>
          </cell>
          <cell r="L305">
            <v>12.690763052208837</v>
          </cell>
          <cell r="M305">
            <v>11.258503401360556</v>
          </cell>
          <cell r="N305">
            <v>12.569160997732423</v>
          </cell>
          <cell r="O305">
            <v>12.622448979591836</v>
          </cell>
          <cell r="P305">
            <v>14.449943708119605</v>
          </cell>
          <cell r="Q305">
            <v>18.826353440818281</v>
          </cell>
          <cell r="R305">
            <v>0</v>
          </cell>
          <cell r="S305">
            <v>0</v>
          </cell>
          <cell r="T305">
            <v>0</v>
          </cell>
        </row>
        <row r="308">
          <cell r="D308">
            <v>0</v>
          </cell>
          <cell r="E308">
            <v>0</v>
          </cell>
          <cell r="F308">
            <v>28.971887550200805</v>
          </cell>
          <cell r="G308">
            <v>34.341365461847388</v>
          </cell>
          <cell r="H308">
            <v>39.388219544846045</v>
          </cell>
          <cell r="I308">
            <v>44.969210174029456</v>
          </cell>
          <cell r="J308">
            <v>50.59303882195448</v>
          </cell>
          <cell r="K308">
            <v>45.29718875502008</v>
          </cell>
          <cell r="L308">
            <v>51.362784471218205</v>
          </cell>
          <cell r="M308">
            <v>53.605442176870746</v>
          </cell>
          <cell r="N308">
            <v>59.441043083900226</v>
          </cell>
          <cell r="O308">
            <v>64.755102040816325</v>
          </cell>
          <cell r="P308">
            <v>71.043068761904763</v>
          </cell>
          <cell r="Q308">
            <v>80.620930236632987</v>
          </cell>
          <cell r="R308">
            <v>0</v>
          </cell>
          <cell r="S308">
            <v>0</v>
          </cell>
          <cell r="T308">
            <v>0</v>
          </cell>
        </row>
        <row r="334">
          <cell r="D334">
            <v>0</v>
          </cell>
          <cell r="E334">
            <v>0</v>
          </cell>
          <cell r="F334">
            <v>8.4634310327575246</v>
          </cell>
          <cell r="G334">
            <v>3.2391290659707681</v>
          </cell>
          <cell r="H334">
            <v>2.1710820409472831</v>
          </cell>
          <cell r="I334">
            <v>2.1202679366513539</v>
          </cell>
          <cell r="J334">
            <v>1.5361555080887106</v>
          </cell>
          <cell r="K334">
            <v>1.0369618719425886</v>
          </cell>
          <cell r="L334">
            <v>1.0774545056326492</v>
          </cell>
          <cell r="M334">
            <v>1.1154878811027884</v>
          </cell>
          <cell r="N334">
            <v>1.0011808634563581</v>
          </cell>
          <cell r="O334">
            <v>1.0483117489421143</v>
          </cell>
          <cell r="P334">
            <v>2.0127434930712718</v>
          </cell>
          <cell r="Q334">
            <v>2.8141371368661878</v>
          </cell>
          <cell r="R334">
            <v>0</v>
          </cell>
          <cell r="S334">
            <v>0</v>
          </cell>
          <cell r="T334">
            <v>0</v>
          </cell>
        </row>
        <row r="337">
          <cell r="D337">
            <v>0</v>
          </cell>
          <cell r="E337">
            <v>0</v>
          </cell>
          <cell r="F337">
            <v>7.0488991184261982</v>
          </cell>
          <cell r="G337">
            <v>7.9396471680594267</v>
          </cell>
          <cell r="H337">
            <v>9.5257057757057773</v>
          </cell>
          <cell r="I337">
            <v>9.1501416430594915</v>
          </cell>
          <cell r="J337">
            <v>11.002756050695808</v>
          </cell>
          <cell r="K337">
            <v>11.362323707186034</v>
          </cell>
          <cell r="L337">
            <v>12.295334130917794</v>
          </cell>
          <cell r="M337">
            <v>11.726190476190478</v>
          </cell>
          <cell r="N337">
            <v>12.784578618806089</v>
          </cell>
          <cell r="O337">
            <v>10.994004443135891</v>
          </cell>
          <cell r="P337">
            <v>7.0000000000000009</v>
          </cell>
          <cell r="Q337">
            <v>7.0000000000000009</v>
          </cell>
          <cell r="R337">
            <v>0</v>
          </cell>
          <cell r="S337">
            <v>0</v>
          </cell>
          <cell r="T337">
            <v>0</v>
          </cell>
        </row>
        <row r="380">
          <cell r="D380">
            <v>0</v>
          </cell>
          <cell r="E380">
            <v>0</v>
          </cell>
          <cell r="F380">
            <v>2.1064765520114803</v>
          </cell>
          <cell r="G380">
            <v>0.53709070728248132</v>
          </cell>
          <cell r="H380">
            <v>0.2335419764613664</v>
          </cell>
          <cell r="I380">
            <v>0.32786517986659131</v>
          </cell>
          <cell r="J380">
            <v>0.21113578121145299</v>
          </cell>
          <cell r="K380">
            <v>0.13503176544414366</v>
          </cell>
          <cell r="L380">
            <v>4.2854619325207566E-2</v>
          </cell>
          <cell r="M380">
            <v>0.14527069797073514</v>
          </cell>
          <cell r="N380">
            <v>0.10091835404131662</v>
          </cell>
          <cell r="O380">
            <v>0.21096202174802409</v>
          </cell>
          <cell r="P380">
            <v>-0.12256867612398499</v>
          </cell>
          <cell r="Q380">
            <v>-2.6219291322221127E-2</v>
          </cell>
          <cell r="R380">
            <v>0</v>
          </cell>
          <cell r="S380">
            <v>0</v>
          </cell>
          <cell r="T380">
            <v>0</v>
          </cell>
        </row>
        <row r="388">
          <cell r="D388">
            <v>0</v>
          </cell>
          <cell r="E388">
            <v>0</v>
          </cell>
          <cell r="F388">
            <v>0</v>
          </cell>
          <cell r="G388">
            <v>0</v>
          </cell>
          <cell r="H388">
            <v>0</v>
          </cell>
          <cell r="I388">
            <v>0</v>
          </cell>
          <cell r="J388">
            <v>0</v>
          </cell>
          <cell r="K388">
            <v>0</v>
          </cell>
          <cell r="L388">
            <v>0</v>
          </cell>
          <cell r="M388">
            <v>0</v>
          </cell>
          <cell r="N388">
            <v>0</v>
          </cell>
          <cell r="O388">
            <v>-0.02</v>
          </cell>
          <cell r="P388">
            <v>-0.02</v>
          </cell>
          <cell r="Q388">
            <v>-0.02</v>
          </cell>
          <cell r="R388">
            <v>-0.02</v>
          </cell>
          <cell r="S388">
            <v>-0.02</v>
          </cell>
          <cell r="T388">
            <v>0</v>
          </cell>
        </row>
        <row r="389">
          <cell r="D389">
            <v>0</v>
          </cell>
          <cell r="E389">
            <v>0</v>
          </cell>
          <cell r="F389">
            <v>0</v>
          </cell>
          <cell r="G389">
            <v>0</v>
          </cell>
          <cell r="H389">
            <v>0</v>
          </cell>
          <cell r="I389">
            <v>0</v>
          </cell>
          <cell r="J389">
            <v>0</v>
          </cell>
          <cell r="K389">
            <v>0</v>
          </cell>
          <cell r="L389">
            <v>0</v>
          </cell>
          <cell r="M389">
            <v>0</v>
          </cell>
          <cell r="N389">
            <v>0</v>
          </cell>
          <cell r="O389">
            <v>-0.02</v>
          </cell>
          <cell r="P389">
            <v>-0.02</v>
          </cell>
          <cell r="Q389">
            <v>-0.02</v>
          </cell>
          <cell r="R389">
            <v>-0.02</v>
          </cell>
          <cell r="S389">
            <v>-0.02</v>
          </cell>
          <cell r="T389">
            <v>0</v>
          </cell>
        </row>
        <row r="393">
          <cell r="D393">
            <v>0.15000000000000002</v>
          </cell>
          <cell r="E393">
            <v>0.15000000000000002</v>
          </cell>
          <cell r="F393">
            <v>0.15000000000000002</v>
          </cell>
          <cell r="G393">
            <v>0.15000000000000002</v>
          </cell>
          <cell r="H393">
            <v>0.15000000000000002</v>
          </cell>
          <cell r="I393">
            <v>0.15000000000000002</v>
          </cell>
          <cell r="J393">
            <v>0.15000000000000002</v>
          </cell>
          <cell r="K393">
            <v>0.15000000000000002</v>
          </cell>
          <cell r="L393">
            <v>0.15000000000000002</v>
          </cell>
          <cell r="M393">
            <v>0.15000000000000002</v>
          </cell>
          <cell r="N393">
            <v>0.15000000000000002</v>
          </cell>
          <cell r="O393">
            <v>0.15000000000000002</v>
          </cell>
          <cell r="P393">
            <v>7.0000000000000007E-2</v>
          </cell>
          <cell r="Q393">
            <v>7.0000000000000007E-2</v>
          </cell>
          <cell r="R393">
            <v>7.0000000000000007E-2</v>
          </cell>
          <cell r="S393">
            <v>7.0000000000000007E-2</v>
          </cell>
          <cell r="T393">
            <v>7.0000000000000007E-2</v>
          </cell>
        </row>
        <row r="394">
          <cell r="D394">
            <v>51.75</v>
          </cell>
          <cell r="E394">
            <v>46</v>
          </cell>
          <cell r="F394">
            <v>46</v>
          </cell>
          <cell r="G394">
            <v>43</v>
          </cell>
        </row>
        <row r="425">
          <cell r="D425">
            <v>0</v>
          </cell>
          <cell r="E425">
            <v>0</v>
          </cell>
          <cell r="F425">
            <v>291.60000000000048</v>
          </cell>
          <cell r="G425">
            <v>511.49999999999983</v>
          </cell>
          <cell r="H425">
            <v>543.59999999999923</v>
          </cell>
          <cell r="I425">
            <v>583.30000000000041</v>
          </cell>
          <cell r="J425">
            <v>627.00000000000068</v>
          </cell>
          <cell r="K425">
            <v>486.40000000000055</v>
          </cell>
          <cell r="L425">
            <v>641.10000000000014</v>
          </cell>
          <cell r="M425">
            <v>697.20000000000118</v>
          </cell>
          <cell r="N425">
            <v>797.49999999999966</v>
          </cell>
          <cell r="O425">
            <v>797.69999999999993</v>
          </cell>
          <cell r="P425">
            <v>906.59383980000166</v>
          </cell>
          <cell r="Q425">
            <v>1247.0475820710299</v>
          </cell>
          <cell r="R425">
            <v>0</v>
          </cell>
          <cell r="S425">
            <v>0</v>
          </cell>
          <cell r="T425">
            <v>0</v>
          </cell>
        </row>
        <row r="428">
          <cell r="D428">
            <v>0</v>
          </cell>
          <cell r="E428">
            <v>0</v>
          </cell>
          <cell r="F428">
            <v>0</v>
          </cell>
          <cell r="G428">
            <v>74.7</v>
          </cell>
          <cell r="H428">
            <v>74.7</v>
          </cell>
          <cell r="I428">
            <v>74.7</v>
          </cell>
          <cell r="J428">
            <v>74.7</v>
          </cell>
          <cell r="K428">
            <v>74.7</v>
          </cell>
          <cell r="L428">
            <v>74.7</v>
          </cell>
          <cell r="M428">
            <v>74.7</v>
          </cell>
          <cell r="N428">
            <v>81.565850340136052</v>
          </cell>
          <cell r="O428">
            <v>81.565850340136052</v>
          </cell>
          <cell r="P428">
            <v>81.565850340136052</v>
          </cell>
          <cell r="Q428">
            <v>81.565850340136052</v>
          </cell>
          <cell r="R428">
            <v>81.565850340136052</v>
          </cell>
          <cell r="S428">
            <v>81.565850340136052</v>
          </cell>
          <cell r="T428">
            <v>81.565850340136052</v>
          </cell>
        </row>
      </sheetData>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UploaderV4"/>
      <sheetName val="Schedule"/>
      <sheetName val="annual temp"/>
      <sheetName val="old"/>
      <sheetName val="header"/>
      <sheetName val="BS"/>
    </sheetNames>
    <sheetDataSet>
      <sheetData sheetId="0"/>
      <sheetData sheetId="1">
        <row r="3">
          <cell r="F3">
            <v>34789</v>
          </cell>
          <cell r="G3">
            <v>35155</v>
          </cell>
          <cell r="H3">
            <v>35520</v>
          </cell>
          <cell r="I3">
            <v>35885</v>
          </cell>
          <cell r="J3">
            <v>36250</v>
          </cell>
          <cell r="K3">
            <v>36616</v>
          </cell>
          <cell r="L3">
            <v>36981</v>
          </cell>
          <cell r="M3">
            <v>37346</v>
          </cell>
          <cell r="N3">
            <v>37711</v>
          </cell>
          <cell r="O3">
            <v>38077</v>
          </cell>
          <cell r="P3">
            <v>38442</v>
          </cell>
          <cell r="Q3">
            <v>38807</v>
          </cell>
          <cell r="R3">
            <v>39172</v>
          </cell>
          <cell r="S3">
            <v>39538</v>
          </cell>
          <cell r="T3">
            <v>39903</v>
          </cell>
          <cell r="U3">
            <v>40268</v>
          </cell>
          <cell r="V3">
            <v>40633</v>
          </cell>
          <cell r="W3">
            <v>40999</v>
          </cell>
          <cell r="X3">
            <v>41364</v>
          </cell>
          <cell r="Y3">
            <v>41729</v>
          </cell>
          <cell r="Z3">
            <v>42094</v>
          </cell>
          <cell r="AA3">
            <v>42460</v>
          </cell>
          <cell r="AB3">
            <v>42825</v>
          </cell>
          <cell r="AC3">
            <v>43190</v>
          </cell>
          <cell r="AD3">
            <v>43555</v>
          </cell>
          <cell r="AE3">
            <v>43921</v>
          </cell>
        </row>
        <row r="12">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row>
        <row r="13">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row>
        <row r="15">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row>
        <row r="17">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row>
        <row r="18">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row>
        <row r="19">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row>
        <row r="21">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row>
        <row r="22">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row>
        <row r="23">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row>
        <row r="24">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row>
        <row r="25">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row>
        <row r="28">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row>
        <row r="29">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row>
        <row r="30">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row>
        <row r="32">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row>
        <row r="38">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row>
        <row r="39">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row>
        <row r="40">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row>
        <row r="41">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row>
        <row r="43">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row>
        <row r="44">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row>
        <row r="47">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row>
        <row r="48">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row>
        <row r="49">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row>
        <row r="50">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row>
        <row r="51">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row>
        <row r="52">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row>
        <row r="53">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row>
        <row r="54">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row>
        <row r="55">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row>
        <row r="56">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row>
        <row r="57">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row>
        <row r="60">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row>
        <row r="61">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row>
        <row r="62">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row>
        <row r="63">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row>
        <row r="64">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row>
        <row r="65">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row>
        <row r="66">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row>
        <row r="68">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row>
        <row r="69">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row>
        <row r="73">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row>
        <row r="74">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row>
        <row r="75">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row>
        <row r="76">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row>
        <row r="77">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row>
        <row r="78">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row>
        <row r="79">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row>
        <row r="80">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row>
        <row r="81">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row>
        <row r="82">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row>
        <row r="85">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row>
        <row r="86">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row>
        <row r="87">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row>
        <row r="88">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row>
        <row r="91">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row>
        <row r="92">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row>
        <row r="93">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row>
        <row r="94">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row>
        <row r="95">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row>
        <row r="96">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row>
        <row r="97">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row>
        <row r="98">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row>
        <row r="99">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row>
        <row r="100">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row>
        <row r="101">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row>
        <row r="102">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row>
        <row r="103">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row>
        <row r="104">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row>
        <row r="105">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row>
        <row r="108">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row>
        <row r="110">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row>
        <row r="111">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row>
        <row r="112">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row>
        <row r="113">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row>
        <row r="114">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row>
        <row r="115">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row>
        <row r="116">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row>
        <row r="117">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row>
        <row r="118">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row>
        <row r="120">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row>
        <row r="122">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row>
        <row r="123">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row>
        <row r="124">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row>
        <row r="125">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row>
        <row r="126">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row>
        <row r="127">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row>
        <row r="128">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row>
        <row r="129">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row>
        <row r="132">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row>
        <row r="133">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row>
        <row r="134">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row>
        <row r="135">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row>
        <row r="136">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row>
        <row r="137">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row>
        <row r="138">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row>
        <row r="139">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row>
        <row r="140">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row>
        <row r="141">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row>
        <row r="146">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row>
        <row r="148">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row>
        <row r="149">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row>
        <row r="150">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row>
        <row r="151">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row>
        <row r="153">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row>
        <row r="156">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row>
        <row r="159">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row>
        <row r="160">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row>
        <row r="161">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row>
        <row r="162">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row>
        <row r="163">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row>
        <row r="164">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row>
        <row r="165">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row>
        <row r="166">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row>
        <row r="167">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row>
        <row r="171">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row>
        <row r="172">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row>
        <row r="173">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row>
        <row r="174">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row>
        <row r="175">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row>
        <row r="176">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row>
        <row r="177">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row>
        <row r="186">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row>
        <row r="187">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row>
        <row r="188">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row>
        <row r="189">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row>
        <row r="198">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row>
        <row r="199">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row>
        <row r="201">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row>
        <row r="202">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row>
        <row r="205">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row>
        <row r="206">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row>
        <row r="207">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row>
        <row r="208">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row>
        <row r="211">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row>
        <row r="212">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row>
        <row r="213">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row>
        <row r="215">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row>
        <row r="216">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row>
        <row r="218">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row>
        <row r="219">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row>
        <row r="226">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row>
        <row r="228">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row>
        <row r="229">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row>
        <row r="231">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row>
        <row r="246">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row>
        <row r="247">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row>
        <row r="248">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row>
        <row r="277">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row>
        <row r="278">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row>
        <row r="280">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row>
        <row r="281">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row>
        <row r="285">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row>
        <row r="289">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row>
        <row r="290">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row>
        <row r="292">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row>
        <row r="293">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row>
        <row r="294">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row>
        <row r="298">
          <cell r="F298">
            <v>31.414999999999999</v>
          </cell>
          <cell r="G298">
            <v>34.11</v>
          </cell>
          <cell r="H298">
            <v>35.880000000000003</v>
          </cell>
          <cell r="I298">
            <v>39.49</v>
          </cell>
          <cell r="J298">
            <v>42.43</v>
          </cell>
          <cell r="K298">
            <v>43.62</v>
          </cell>
          <cell r="L298">
            <v>46.615000000000002</v>
          </cell>
          <cell r="M298">
            <v>48.814999999999998</v>
          </cell>
          <cell r="N298">
            <v>47.47</v>
          </cell>
          <cell r="O298">
            <v>43.6</v>
          </cell>
          <cell r="P298">
            <v>43.744999999999997</v>
          </cell>
          <cell r="Q298">
            <v>44.622500000000002</v>
          </cell>
          <cell r="R298">
            <v>43.475000000000001</v>
          </cell>
          <cell r="S298">
            <v>40.1175</v>
          </cell>
          <cell r="T298">
            <v>50.73</v>
          </cell>
          <cell r="U298">
            <v>44.917499999999997</v>
          </cell>
          <cell r="V298">
            <v>44.585000000000001</v>
          </cell>
          <cell r="W298">
            <v>50.876300000000001</v>
          </cell>
          <cell r="X298">
            <v>54.28</v>
          </cell>
          <cell r="Y298">
            <v>62.448700000000002</v>
          </cell>
          <cell r="Z298">
            <v>62.448700000000002</v>
          </cell>
          <cell r="AA298">
            <v>62.448700000000002</v>
          </cell>
          <cell r="AB298">
            <v>62.448700000000002</v>
          </cell>
          <cell r="AC298">
            <v>62.448700000000002</v>
          </cell>
          <cell r="AD298">
            <v>62.448700000000002</v>
          </cell>
          <cell r="AE298">
            <v>62.448700000000002</v>
          </cell>
        </row>
        <row r="302">
          <cell r="F302">
            <v>14.666666666666666</v>
          </cell>
          <cell r="G302">
            <v>15.916666666666666</v>
          </cell>
          <cell r="H302">
            <v>15.791666666666666</v>
          </cell>
          <cell r="I302">
            <v>13.75</v>
          </cell>
          <cell r="J302">
            <v>13.166666666666666</v>
          </cell>
          <cell r="K302">
            <v>12.5</v>
          </cell>
          <cell r="L302">
            <v>11.833333333333334</v>
          </cell>
          <cell r="M302">
            <v>11.5</v>
          </cell>
          <cell r="N302">
            <v>10.895833333333334</v>
          </cell>
          <cell r="O302">
            <v>10.458333333333334</v>
          </cell>
          <cell r="P302">
            <v>10.25</v>
          </cell>
          <cell r="Q302">
            <v>10.375</v>
          </cell>
          <cell r="R302">
            <v>11.208333333333334</v>
          </cell>
          <cell r="S302">
            <v>12.666666666666666</v>
          </cell>
          <cell r="T302">
            <v>12.833333333333334</v>
          </cell>
          <cell r="U302">
            <v>11.833333333333334</v>
          </cell>
          <cell r="V302">
            <v>12.270833333333334</v>
          </cell>
          <cell r="W302">
            <v>14.458333333333334</v>
          </cell>
          <cell r="X302">
            <v>14.595833333333331</v>
          </cell>
          <cell r="Y302">
            <v>14.512499999999999</v>
          </cell>
          <cell r="Z302">
            <v>14.512499999999999</v>
          </cell>
          <cell r="AA302">
            <v>14.512499999999999</v>
          </cell>
          <cell r="AB302">
            <v>14.512499999999999</v>
          </cell>
          <cell r="AC302">
            <v>14.512499999999999</v>
          </cell>
          <cell r="AD302">
            <v>14.512499999999999</v>
          </cell>
          <cell r="AE302">
            <v>14.512499999999999</v>
          </cell>
        </row>
        <row r="304">
          <cell r="F304">
            <v>15.666666666666666</v>
          </cell>
          <cell r="G304">
            <v>16.916666666666664</v>
          </cell>
          <cell r="H304">
            <v>16.791666666666664</v>
          </cell>
          <cell r="I304">
            <v>14.75</v>
          </cell>
          <cell r="J304">
            <v>14.166666666666666</v>
          </cell>
          <cell r="K304">
            <v>13.5</v>
          </cell>
          <cell r="L304">
            <v>12.833333333333334</v>
          </cell>
          <cell r="M304">
            <v>12.5</v>
          </cell>
          <cell r="N304">
            <v>11.895833333333334</v>
          </cell>
          <cell r="O304">
            <v>11.458333333333334</v>
          </cell>
          <cell r="P304">
            <v>11.25</v>
          </cell>
          <cell r="Q304">
            <v>11.375</v>
          </cell>
          <cell r="R304">
            <v>12.208333333333334</v>
          </cell>
          <cell r="S304">
            <v>13.666666666666666</v>
          </cell>
          <cell r="T304">
            <v>13.833333333333334</v>
          </cell>
          <cell r="U304">
            <v>12.833333333333334</v>
          </cell>
          <cell r="V304">
            <v>13.270833333333334</v>
          </cell>
          <cell r="W304">
            <v>15.458333333333334</v>
          </cell>
          <cell r="X304">
            <v>15.595833333333331</v>
          </cell>
          <cell r="Y304">
            <v>15.512499999999999</v>
          </cell>
          <cell r="Z304">
            <v>15.512499999999999</v>
          </cell>
          <cell r="AA304">
            <v>15.512499999999999</v>
          </cell>
          <cell r="AB304">
            <v>15.512499999999999</v>
          </cell>
          <cell r="AC304">
            <v>15.512499999999999</v>
          </cell>
          <cell r="AD304">
            <v>15.512499999999999</v>
          </cell>
          <cell r="AE304">
            <v>15.512499999999999</v>
          </cell>
        </row>
        <row r="305">
          <cell r="F305">
            <v>12.1</v>
          </cell>
          <cell r="G305">
            <v>12.1</v>
          </cell>
          <cell r="H305">
            <v>12.1</v>
          </cell>
          <cell r="I305">
            <v>12.1</v>
          </cell>
          <cell r="J305">
            <v>12.1</v>
          </cell>
          <cell r="K305">
            <v>11.416545801526714</v>
          </cell>
          <cell r="L305">
            <v>10.90201111111111</v>
          </cell>
          <cell r="M305">
            <v>8.8469072164948361</v>
          </cell>
          <cell r="N305">
            <v>6.8939886792452754</v>
          </cell>
          <cell r="O305">
            <v>5.4158689138576763</v>
          </cell>
          <cell r="P305">
            <v>6.2091903114186833</v>
          </cell>
          <cell r="Q305">
            <v>7.1122824427480911</v>
          </cell>
          <cell r="R305">
            <v>7.7781393442623035</v>
          </cell>
          <cell r="S305">
            <v>7.9151222707423567</v>
          </cell>
          <cell r="T305">
            <v>7.6045263157894745</v>
          </cell>
          <cell r="U305">
            <v>7.2259288702928934</v>
          </cell>
          <cell r="V305">
            <v>7.9111774193548401</v>
          </cell>
          <cell r="W305">
            <v>8.3800000000000008</v>
          </cell>
          <cell r="X305">
            <v>8.1662369477911607</v>
          </cell>
          <cell r="Y305">
            <v>8</v>
          </cell>
          <cell r="Z305">
            <v>8</v>
          </cell>
          <cell r="AA305">
            <v>8</v>
          </cell>
          <cell r="AB305">
            <v>8</v>
          </cell>
          <cell r="AC305">
            <v>8</v>
          </cell>
          <cell r="AD305">
            <v>8</v>
          </cell>
          <cell r="AE305">
            <v>8</v>
          </cell>
        </row>
        <row r="307">
          <cell r="F307">
            <v>5</v>
          </cell>
          <cell r="G307">
            <v>5</v>
          </cell>
          <cell r="H307">
            <v>5</v>
          </cell>
          <cell r="I307">
            <v>5</v>
          </cell>
          <cell r="J307">
            <v>5</v>
          </cell>
          <cell r="K307">
            <v>5</v>
          </cell>
          <cell r="L307">
            <v>5</v>
          </cell>
          <cell r="M307">
            <v>5</v>
          </cell>
          <cell r="N307">
            <v>5</v>
          </cell>
          <cell r="O307">
            <v>5</v>
          </cell>
          <cell r="P307">
            <v>5</v>
          </cell>
          <cell r="Q307">
            <v>5</v>
          </cell>
          <cell r="R307">
            <v>5</v>
          </cell>
          <cell r="S307">
            <v>5</v>
          </cell>
          <cell r="T307">
            <v>5</v>
          </cell>
          <cell r="U307">
            <v>5</v>
          </cell>
          <cell r="V307">
            <v>5</v>
          </cell>
          <cell r="W307">
            <v>5</v>
          </cell>
          <cell r="X307">
            <v>5</v>
          </cell>
          <cell r="Y307">
            <v>5</v>
          </cell>
          <cell r="Z307">
            <v>5</v>
          </cell>
          <cell r="AA307">
            <v>5</v>
          </cell>
          <cell r="AB307">
            <v>5</v>
          </cell>
          <cell r="AC307">
            <v>5</v>
          </cell>
          <cell r="AD307">
            <v>5</v>
          </cell>
          <cell r="AE307">
            <v>5</v>
          </cell>
        </row>
        <row r="308">
          <cell r="F308">
            <v>17.600000000000001</v>
          </cell>
          <cell r="G308">
            <v>17.600000000000001</v>
          </cell>
          <cell r="H308">
            <v>17.600000000000001</v>
          </cell>
          <cell r="I308">
            <v>17.600000000000001</v>
          </cell>
          <cell r="J308">
            <v>17.600000000000001</v>
          </cell>
          <cell r="K308">
            <v>16.916545801526716</v>
          </cell>
          <cell r="L308">
            <v>16.402011111111108</v>
          </cell>
          <cell r="M308">
            <v>14.346907216494836</v>
          </cell>
          <cell r="N308">
            <v>12.393988679245275</v>
          </cell>
          <cell r="O308">
            <v>10.915868913857675</v>
          </cell>
          <cell r="P308">
            <v>11.709190311418684</v>
          </cell>
          <cell r="Q308">
            <v>12.612282442748091</v>
          </cell>
          <cell r="R308">
            <v>13.278139344262303</v>
          </cell>
          <cell r="S308">
            <v>13.415122270742357</v>
          </cell>
          <cell r="T308">
            <v>13.104526315789474</v>
          </cell>
          <cell r="U308">
            <v>12.725928870292893</v>
          </cell>
          <cell r="V308">
            <v>13.411177419354839</v>
          </cell>
          <cell r="W308">
            <v>13.88</v>
          </cell>
          <cell r="X308">
            <v>13.666236947791161</v>
          </cell>
          <cell r="Y308">
            <v>13.5</v>
          </cell>
          <cell r="Z308">
            <v>13.5</v>
          </cell>
          <cell r="AA308">
            <v>13.5</v>
          </cell>
          <cell r="AB308">
            <v>13.5</v>
          </cell>
          <cell r="AC308">
            <v>13.5</v>
          </cell>
          <cell r="AD308">
            <v>13.5</v>
          </cell>
          <cell r="AE308">
            <v>13.5</v>
          </cell>
        </row>
        <row r="311">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row>
        <row r="342">
          <cell r="E342">
            <v>41364</v>
          </cell>
        </row>
      </sheetData>
      <sheetData sheetId="2"/>
      <sheetData sheetId="3"/>
      <sheetData sheetId="4" refreshError="1"/>
      <sheetData sheetId="5"/>
      <sheetData sheetId="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s FY20 IF RoE falls"/>
      <sheetName val="Valuations"/>
      <sheetName val="Working"/>
      <sheetName val="CoD"/>
      <sheetName val="MAIN SHEET"/>
      <sheetName val="Intrims"/>
      <sheetName val="Qtr table"/>
      <sheetName val="charts"/>
      <sheetName val="News"/>
      <sheetName val="reverse DCF"/>
      <sheetName val="Table for presentation"/>
      <sheetName val="Other Biz"/>
      <sheetName val="Capex"/>
      <sheetName val="Scheduled Capex"/>
      <sheetName val="Qtr Temp"/>
      <sheetName val="Annual Temp"/>
      <sheetName val="Co Fin"/>
      <sheetName val="Equitec_Summary"/>
      <sheetName val="ET"/>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e"/>
      <sheetName val="Capital"/>
      <sheetName val="Topbrands"/>
      <sheetName val="Imp-facts"/>
      <sheetName val="Thermix"/>
      <sheetName val="Debt"/>
      <sheetName val="Tax"/>
      <sheetName val="CapEx"/>
      <sheetName val="Andrx"/>
      <sheetName val="QuanOP"/>
      <sheetName val="Sales"/>
      <sheetName val="result"/>
      <sheetName val="Sheet1"/>
      <sheetName val="Input"/>
      <sheetName val="Formats"/>
      <sheetName val="WICarrDatav2"/>
      <sheetName val="Calc"/>
      <sheetName val="NDDS"/>
      <sheetName val="VarName"/>
      <sheetName val="Top Brands"/>
      <sheetName val="NOPAT_VDF"/>
      <sheetName val="Invested capital_VDF"/>
      <sheetName val="DCF_VDF"/>
      <sheetName val="WACC_VDF"/>
      <sheetName val="Summary Page_VDF"/>
      <sheetName val="PV of Op Leases_VDF"/>
      <sheetName val="Income Statement_VDF"/>
      <sheetName val="Internet"/>
      <sheetName val="Qtrly_Template"/>
      <sheetName val="Template"/>
      <sheetName val="Top_Brands"/>
      <sheetName val="Invested_capital_VDF"/>
      <sheetName val="Summary_Page_VDF"/>
      <sheetName val="PV_of_Op_Leases_VDF"/>
      <sheetName val="Income_Statement_VDF"/>
      <sheetName val="P&amp;L"/>
      <sheetName val="Top_Brands1"/>
      <sheetName val="Invested_capital_VDF1"/>
      <sheetName val="Summary_Page_VDF1"/>
      <sheetName val="PV_of_Op_Leases_VDF1"/>
      <sheetName val="Income_Statement_VDF1"/>
      <sheetName val="UploaderV4"/>
      <sheetName val="CIPLA-01"/>
      <sheetName val="Sheet5"/>
      <sheetName val="sheet3"/>
      <sheetName val="sheet4"/>
      <sheetName val="sheet2"/>
      <sheetName val="database-NO"/>
      <sheetName val="Edge_Multiservice"/>
      <sheetName val="Qtrly (S)"/>
      <sheetName val="BOOKING AREA"/>
      <sheetName val="financials"/>
      <sheetName val="bajaj_copeland"/>
      <sheetName val="#ref"/>
      <sheetName val="eva1"/>
      <sheetName val="calculation (2)"/>
      <sheetName val="mico"/>
      <sheetName val="charts"/>
      <sheetName val="International"/>
    </sheetNames>
    <sheetDataSet>
      <sheetData sheetId="0" refreshError="1">
        <row r="4">
          <cell r="D4" t="str">
            <v>Cipla</v>
          </cell>
        </row>
        <row r="5">
          <cell r="AE5" t="str">
            <v>Chemicals (incl Malt)</v>
          </cell>
          <cell r="AF5" t="str">
            <v>Tonne</v>
          </cell>
          <cell r="AK5" t="str">
            <v>Purchased bulk drugs</v>
          </cell>
          <cell r="AL5" t="str">
            <v>Tonne</v>
          </cell>
          <cell r="AQ5" t="str">
            <v>Manufactuirng expenses</v>
          </cell>
          <cell r="AR5" t="str">
            <v>Selling expenses</v>
          </cell>
          <cell r="AS5" t="str">
            <v>Salaries, Wages, Bonus etc</v>
          </cell>
          <cell r="AT5" t="str">
            <v>Insurance &amp; Donations</v>
          </cell>
          <cell r="BE5" t="str">
            <v>Term  Loans</v>
          </cell>
          <cell r="BK5" t="str">
            <v>Fixed Deposits</v>
          </cell>
          <cell r="BP5" t="str">
            <v>Job Work</v>
          </cell>
          <cell r="BT5" t="str">
            <v>Freehold Land</v>
          </cell>
        </row>
        <row r="6">
          <cell r="AE6" t="str">
            <v>Tablets and capsules</v>
          </cell>
          <cell r="AF6" t="str">
            <v>Million</v>
          </cell>
          <cell r="AK6" t="str">
            <v>Solvents</v>
          </cell>
          <cell r="AL6" t="str">
            <v>Tonne</v>
          </cell>
          <cell r="AQ6" t="str">
            <v>Store and spares</v>
          </cell>
          <cell r="AR6" t="str">
            <v>Freight and forwarding</v>
          </cell>
          <cell r="AS6" t="str">
            <v>PF and other funds</v>
          </cell>
          <cell r="AT6" t="str">
            <v>Printing and stationery</v>
          </cell>
          <cell r="BK6" t="str">
            <v>Cash Credit</v>
          </cell>
          <cell r="BP6" t="str">
            <v>Misc. Receipts</v>
          </cell>
          <cell r="BT6" t="str">
            <v>Leasehold Land</v>
          </cell>
        </row>
        <row r="7">
          <cell r="AE7" t="str">
            <v>Liquids</v>
          </cell>
          <cell r="AF7" t="str">
            <v>Kilolitre</v>
          </cell>
          <cell r="AK7" t="str">
            <v>Farm Products</v>
          </cell>
          <cell r="AL7" t="str">
            <v>Tonne</v>
          </cell>
          <cell r="AQ7" t="str">
            <v>Power and fuel</v>
          </cell>
          <cell r="AR7" t="str">
            <v>Commission on sales</v>
          </cell>
          <cell r="AS7" t="str">
            <v>Staff gratuity</v>
          </cell>
          <cell r="AT7" t="str">
            <v>Conveyance / vehicle / travelling expenses</v>
          </cell>
          <cell r="BK7" t="str">
            <v>CP</v>
          </cell>
          <cell r="BT7" t="str">
            <v>Building and Flats</v>
          </cell>
        </row>
        <row r="8">
          <cell r="AE8" t="str">
            <v>Creams</v>
          </cell>
          <cell r="AF8" t="str">
            <v>Tonne</v>
          </cell>
          <cell r="AK8" t="str">
            <v>Capsules</v>
          </cell>
          <cell r="AL8" t="str">
            <v>Million</v>
          </cell>
          <cell r="AQ8" t="str">
            <v>Rent, rates and taxex</v>
          </cell>
          <cell r="AR8" t="str">
            <v>Prov. For bad and doubtful expenses</v>
          </cell>
          <cell r="AS8" t="str">
            <v>Staff welfare</v>
          </cell>
          <cell r="AT8" t="str">
            <v>Auditors / professionals / Directors Fees</v>
          </cell>
          <cell r="BK8" t="str">
            <v>ICD</v>
          </cell>
          <cell r="BT8" t="str">
            <v>Plant and Machinery</v>
          </cell>
        </row>
        <row r="9">
          <cell r="K9" t="str">
            <v>E</v>
          </cell>
          <cell r="AE9" t="str">
            <v>Aerosols</v>
          </cell>
          <cell r="AF9" t="str">
            <v>Thousands</v>
          </cell>
          <cell r="AK9" t="str">
            <v>Packing Material</v>
          </cell>
          <cell r="AQ9" t="str">
            <v>Repairs and Maintenance</v>
          </cell>
          <cell r="AR9" t="str">
            <v>Stock Adjustment Account</v>
          </cell>
          <cell r="AS9" t="str">
            <v>Leave encashment</v>
          </cell>
          <cell r="AT9" t="str">
            <v>Telephone, postage and telegraphs</v>
          </cell>
          <cell r="BK9" t="str">
            <v>Loans</v>
          </cell>
          <cell r="BT9" t="str">
            <v>Furniture and fixtures</v>
          </cell>
        </row>
        <row r="10">
          <cell r="K10" t="str">
            <v>F</v>
          </cell>
          <cell r="L10" t="str">
            <v>F</v>
          </cell>
          <cell r="AA10" t="str">
            <v>L</v>
          </cell>
          <cell r="AE10" t="str">
            <v>Injections / Sterile solutions</v>
          </cell>
          <cell r="AF10" t="str">
            <v>Kilolitre</v>
          </cell>
          <cell r="AK10" t="str">
            <v>Others</v>
          </cell>
          <cell r="AQ10" t="str">
            <v>Lease rental</v>
          </cell>
          <cell r="AT10" t="str">
            <v>Bank and finance charges</v>
          </cell>
          <cell r="BT10" t="str">
            <v>Vehicles</v>
          </cell>
        </row>
        <row r="11">
          <cell r="L11" t="str">
            <v>N</v>
          </cell>
          <cell r="M11" t="str">
            <v>N</v>
          </cell>
          <cell r="N11" t="str">
            <v>N</v>
          </cell>
          <cell r="O11" t="str">
            <v>N</v>
          </cell>
          <cell r="P11" t="str">
            <v>N</v>
          </cell>
          <cell r="Q11" t="str">
            <v>N</v>
          </cell>
          <cell r="R11" t="str">
            <v>Y</v>
          </cell>
          <cell r="S11" t="str">
            <v>N</v>
          </cell>
          <cell r="T11" t="str">
            <v>Y</v>
          </cell>
          <cell r="U11" t="str">
            <v>Y</v>
          </cell>
          <cell r="V11" t="str">
            <v>N</v>
          </cell>
          <cell r="W11" t="str">
            <v>Y</v>
          </cell>
          <cell r="X11" t="str">
            <v>N</v>
          </cell>
          <cell r="Y11" t="str">
            <v>Y</v>
          </cell>
          <cell r="Z11" t="str">
            <v>N</v>
          </cell>
          <cell r="AA11" t="str">
            <v>N</v>
          </cell>
          <cell r="AT11" t="str">
            <v>Misc. admn expenses</v>
          </cell>
        </row>
        <row r="12">
          <cell r="L12" t="str">
            <v>N</v>
          </cell>
          <cell r="M12" t="str">
            <v>N</v>
          </cell>
          <cell r="N12" t="str">
            <v>N</v>
          </cell>
          <cell r="O12" t="str">
            <v>N</v>
          </cell>
          <cell r="P12" t="str">
            <v>N</v>
          </cell>
          <cell r="Q12" t="str">
            <v>N</v>
          </cell>
          <cell r="R12" t="str">
            <v>Y</v>
          </cell>
          <cell r="S12" t="str">
            <v>N</v>
          </cell>
          <cell r="T12" t="str">
            <v>Y</v>
          </cell>
          <cell r="U12" t="str">
            <v>Y</v>
          </cell>
          <cell r="V12" t="str">
            <v>N</v>
          </cell>
          <cell r="W12" t="str">
            <v>Y</v>
          </cell>
          <cell r="X12" t="str">
            <v>N</v>
          </cell>
          <cell r="Y12" t="str">
            <v>Y</v>
          </cell>
          <cell r="Z12" t="str">
            <v>N</v>
          </cell>
          <cell r="AA12" t="str">
            <v>N</v>
          </cell>
        </row>
        <row r="15">
          <cell r="K15" t="str">
            <v>Face Value</v>
          </cell>
          <cell r="L15">
            <v>10</v>
          </cell>
          <cell r="M15">
            <v>10</v>
          </cell>
          <cell r="N15">
            <v>10</v>
          </cell>
          <cell r="O15">
            <v>10</v>
          </cell>
          <cell r="P15">
            <v>10</v>
          </cell>
          <cell r="Q15">
            <v>10</v>
          </cell>
          <cell r="R15">
            <v>10</v>
          </cell>
          <cell r="S15">
            <v>10</v>
          </cell>
          <cell r="T15">
            <v>10</v>
          </cell>
          <cell r="U15">
            <v>10</v>
          </cell>
          <cell r="V15">
            <v>10</v>
          </cell>
          <cell r="W15">
            <v>10</v>
          </cell>
          <cell r="X15">
            <v>10</v>
          </cell>
          <cell r="Y15">
            <v>10</v>
          </cell>
          <cell r="Z15">
            <v>10</v>
          </cell>
        </row>
      </sheetData>
      <sheetData sheetId="1" refreshError="1">
        <row r="7">
          <cell r="L7">
            <v>18.646999999999998</v>
          </cell>
        </row>
        <row r="18">
          <cell r="L18">
            <v>1</v>
          </cell>
          <cell r="M18">
            <v>1</v>
          </cell>
          <cell r="N18">
            <v>1</v>
          </cell>
          <cell r="O18">
            <v>1</v>
          </cell>
          <cell r="P18">
            <v>1</v>
          </cell>
          <cell r="Q18">
            <v>1</v>
          </cell>
          <cell r="R18">
            <v>1</v>
          </cell>
          <cell r="S18">
            <v>1</v>
          </cell>
          <cell r="T18">
            <v>1</v>
          </cell>
          <cell r="U18">
            <v>1</v>
          </cell>
          <cell r="V18">
            <v>1</v>
          </cell>
          <cell r="W18">
            <v>1</v>
          </cell>
          <cell r="X18">
            <v>1</v>
          </cell>
          <cell r="Y18">
            <v>1</v>
          </cell>
          <cell r="Z18">
            <v>1</v>
          </cell>
        </row>
        <row r="77">
          <cell r="L77">
            <v>0</v>
          </cell>
          <cell r="M77">
            <v>112.54874336283217</v>
          </cell>
          <cell r="N77">
            <v>191.09357522123867</v>
          </cell>
          <cell r="O77">
            <v>222.94173451327381</v>
          </cell>
          <cell r="P77">
            <v>544.68467256637189</v>
          </cell>
          <cell r="Q77" t="e">
            <v>#NAME?</v>
          </cell>
          <cell r="R77">
            <v>549.07353846153865</v>
          </cell>
          <cell r="S77" t="e">
            <v>#NAME?</v>
          </cell>
          <cell r="T77">
            <v>618.96207692307701</v>
          </cell>
          <cell r="U77" t="e">
            <v>#NAME?</v>
          </cell>
          <cell r="V77">
            <v>192.54732075377638</v>
          </cell>
          <cell r="W77" t="e">
            <v>#NAME?</v>
          </cell>
          <cell r="X77">
            <v>301.85984608337293</v>
          </cell>
          <cell r="Y77">
            <v>1220.2022217107697</v>
          </cell>
          <cell r="Z77">
            <v>1529.0602653808587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7">
          <cell r="C27">
            <v>8</v>
          </cell>
          <cell r="D27">
            <v>0</v>
          </cell>
          <cell r="E27">
            <v>0</v>
          </cell>
          <cell r="N27">
            <v>0</v>
          </cell>
          <cell r="O27">
            <v>0</v>
          </cell>
          <cell r="AF27" t="str">
            <v>D</v>
          </cell>
        </row>
        <row r="115">
          <cell r="C115">
            <v>8</v>
          </cell>
          <cell r="D115">
            <v>0</v>
          </cell>
          <cell r="AF115" t="str">
            <v>D</v>
          </cell>
        </row>
        <row r="274">
          <cell r="C274">
            <v>8</v>
          </cell>
          <cell r="D274">
            <v>0</v>
          </cell>
          <cell r="J274">
            <v>0</v>
          </cell>
        </row>
        <row r="275">
          <cell r="E275" t="str">
            <v>Installed capacity</v>
          </cell>
          <cell r="J275" t="str">
            <v>u</v>
          </cell>
        </row>
        <row r="276">
          <cell r="E276" t="str">
            <v>Opening Stock</v>
          </cell>
          <cell r="J276" t="str">
            <v>u</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row>
        <row r="277">
          <cell r="E277" t="str">
            <v>Opening Stock Value</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row>
        <row r="278">
          <cell r="E278" t="str">
            <v>Unit Production</v>
          </cell>
          <cell r="J278" t="str">
            <v>u</v>
          </cell>
          <cell r="Q278">
            <v>0</v>
          </cell>
          <cell r="S278" t="e">
            <v>#NAME?</v>
          </cell>
          <cell r="U278" t="e">
            <v>#NAME?</v>
          </cell>
          <cell r="W278" t="e">
            <v>#NAME?</v>
          </cell>
          <cell r="Y278" t="e">
            <v>#NAME?</v>
          </cell>
        </row>
        <row r="279">
          <cell r="F279" t="str">
            <v>% Capacity</v>
          </cell>
          <cell r="L279">
            <v>0</v>
          </cell>
          <cell r="M279">
            <v>0</v>
          </cell>
          <cell r="N279">
            <v>0</v>
          </cell>
          <cell r="O279">
            <v>0</v>
          </cell>
          <cell r="P279">
            <v>0</v>
          </cell>
          <cell r="Q279">
            <v>0</v>
          </cell>
          <cell r="R279">
            <v>0</v>
          </cell>
          <cell r="S279" t="e">
            <v>#NAME?</v>
          </cell>
          <cell r="T279" t="e">
            <v>#NAME?</v>
          </cell>
          <cell r="U279" t="e">
            <v>#NAME?</v>
          </cell>
          <cell r="V279" t="e">
            <v>#NAME?</v>
          </cell>
          <cell r="W279" t="e">
            <v>#NAME?</v>
          </cell>
          <cell r="X279" t="e">
            <v>#NAME?</v>
          </cell>
          <cell r="Y279" t="e">
            <v>#NAME?</v>
          </cell>
          <cell r="Z279">
            <v>0</v>
          </cell>
          <cell r="AA279" t="e">
            <v>#NAME?</v>
          </cell>
        </row>
        <row r="280">
          <cell r="F280" t="str">
            <v>% Growth</v>
          </cell>
          <cell r="I280" t="str">
            <v>g</v>
          </cell>
          <cell r="M280">
            <v>0</v>
          </cell>
          <cell r="N280">
            <v>0</v>
          </cell>
          <cell r="O280">
            <v>0</v>
          </cell>
          <cell r="P280">
            <v>0</v>
          </cell>
          <cell r="Q280">
            <v>0</v>
          </cell>
          <cell r="R280">
            <v>0</v>
          </cell>
          <cell r="S280" t="e">
            <v>#NAME?</v>
          </cell>
          <cell r="T280" t="e">
            <v>#NAME?</v>
          </cell>
          <cell r="U280" t="e">
            <v>#NAME?</v>
          </cell>
          <cell r="V280" t="e">
            <v>#NAME?</v>
          </cell>
          <cell r="W280" t="e">
            <v>#NAME?</v>
          </cell>
          <cell r="X280" t="e">
            <v>#NAME?</v>
          </cell>
          <cell r="Y280" t="e">
            <v>#NAME?</v>
          </cell>
          <cell r="Z280">
            <v>0</v>
          </cell>
        </row>
        <row r="281">
          <cell r="F281" t="str">
            <v>Estimate</v>
          </cell>
        </row>
        <row r="282">
          <cell r="E282" t="str">
            <v>Sale Units</v>
          </cell>
          <cell r="J282" t="str">
            <v>u</v>
          </cell>
          <cell r="Q282">
            <v>0</v>
          </cell>
          <cell r="S282" t="e">
            <v>#NAME?</v>
          </cell>
          <cell r="U282" t="e">
            <v>#NAME?</v>
          </cell>
          <cell r="W282" t="e">
            <v>#NAME?</v>
          </cell>
          <cell r="Y282" t="e">
            <v>#NAME?</v>
          </cell>
        </row>
        <row r="283">
          <cell r="F283" t="str">
            <v>% Growth</v>
          </cell>
          <cell r="I283" t="str">
            <v>g</v>
          </cell>
          <cell r="M283">
            <v>0</v>
          </cell>
          <cell r="N283">
            <v>0</v>
          </cell>
          <cell r="O283">
            <v>0</v>
          </cell>
          <cell r="P283">
            <v>0</v>
          </cell>
          <cell r="Q283">
            <v>0</v>
          </cell>
          <cell r="R283">
            <v>0</v>
          </cell>
          <cell r="S283" t="e">
            <v>#NAME?</v>
          </cell>
          <cell r="T283" t="e">
            <v>#NAME?</v>
          </cell>
          <cell r="U283" t="e">
            <v>#NAME?</v>
          </cell>
          <cell r="V283" t="e">
            <v>#NAME?</v>
          </cell>
          <cell r="W283" t="e">
            <v>#NAME?</v>
          </cell>
          <cell r="X283" t="e">
            <v>#NAME?</v>
          </cell>
          <cell r="Y283" t="e">
            <v>#NAME?</v>
          </cell>
          <cell r="Z283">
            <v>0</v>
          </cell>
        </row>
        <row r="284">
          <cell r="F284" t="str">
            <v>Estimate</v>
          </cell>
        </row>
        <row r="285">
          <cell r="A285" t="str">
            <v>PS</v>
          </cell>
          <cell r="E285" t="str">
            <v>Sale Value</v>
          </cell>
          <cell r="Q285">
            <v>0</v>
          </cell>
          <cell r="S285" t="e">
            <v>#NAME?</v>
          </cell>
          <cell r="U285" t="e">
            <v>#NAME?</v>
          </cell>
          <cell r="W285" t="e">
            <v>#NAME?</v>
          </cell>
          <cell r="Y285" t="e">
            <v>#NAME?</v>
          </cell>
        </row>
        <row r="286">
          <cell r="F286" t="str">
            <v>% Growth</v>
          </cell>
          <cell r="I286" t="str">
            <v>g</v>
          </cell>
          <cell r="M286">
            <v>0</v>
          </cell>
          <cell r="N286">
            <v>0</v>
          </cell>
          <cell r="O286">
            <v>0</v>
          </cell>
          <cell r="P286">
            <v>0</v>
          </cell>
          <cell r="Q286">
            <v>0</v>
          </cell>
          <cell r="R286">
            <v>0</v>
          </cell>
          <cell r="S286" t="e">
            <v>#NAME?</v>
          </cell>
          <cell r="T286" t="e">
            <v>#NAME?</v>
          </cell>
          <cell r="U286" t="e">
            <v>#NAME?</v>
          </cell>
          <cell r="V286" t="e">
            <v>#NAME?</v>
          </cell>
          <cell r="W286" t="e">
            <v>#NAME?</v>
          </cell>
          <cell r="X286" t="e">
            <v>#NAME?</v>
          </cell>
          <cell r="Y286" t="e">
            <v>#NAME?</v>
          </cell>
          <cell r="Z286">
            <v>0</v>
          </cell>
        </row>
        <row r="287">
          <cell r="F287" t="str">
            <v>Estimate</v>
          </cell>
        </row>
        <row r="288">
          <cell r="E288" t="str">
            <v>Selling Price</v>
          </cell>
          <cell r="J288" t="str">
            <v>Rs.</v>
          </cell>
          <cell r="L288">
            <v>0</v>
          </cell>
          <cell r="M288">
            <v>0</v>
          </cell>
          <cell r="N288">
            <v>0</v>
          </cell>
          <cell r="O288">
            <v>0</v>
          </cell>
          <cell r="P288">
            <v>0</v>
          </cell>
          <cell r="Q288">
            <v>0</v>
          </cell>
          <cell r="R288">
            <v>0</v>
          </cell>
          <cell r="S288" t="e">
            <v>#NAME?</v>
          </cell>
          <cell r="T288">
            <v>0</v>
          </cell>
          <cell r="U288" t="e">
            <v>#NAME?</v>
          </cell>
          <cell r="V288">
            <v>0</v>
          </cell>
          <cell r="W288" t="e">
            <v>#NAME?</v>
          </cell>
          <cell r="X288">
            <v>0</v>
          </cell>
          <cell r="Y288" t="e">
            <v>#NAME?</v>
          </cell>
          <cell r="Z288">
            <v>0</v>
          </cell>
        </row>
        <row r="289">
          <cell r="E289" t="str">
            <v>Closing stock units</v>
          </cell>
          <cell r="J289" t="str">
            <v>u</v>
          </cell>
        </row>
        <row r="290">
          <cell r="E290" t="str">
            <v>Closing Stock Value</v>
          </cell>
        </row>
        <row r="424">
          <cell r="C424">
            <v>8</v>
          </cell>
          <cell r="D424">
            <v>0</v>
          </cell>
          <cell r="J424">
            <v>0</v>
          </cell>
          <cell r="AF424" t="str">
            <v>D</v>
          </cell>
        </row>
        <row r="425">
          <cell r="E425" t="str">
            <v>Input Units</v>
          </cell>
          <cell r="Q425" t="e">
            <v>#NAME?</v>
          </cell>
          <cell r="S425" t="e">
            <v>#NAME?</v>
          </cell>
          <cell r="U425" t="e">
            <v>#NAME?</v>
          </cell>
          <cell r="W425" t="e">
            <v>#NAME?</v>
          </cell>
          <cell r="Y425" t="e">
            <v>#NAME?</v>
          </cell>
          <cell r="AF425" t="str">
            <v>D</v>
          </cell>
        </row>
        <row r="426">
          <cell r="F426" t="str">
            <v>% Growth</v>
          </cell>
          <cell r="I426" t="str">
            <v>g</v>
          </cell>
          <cell r="M426">
            <v>0</v>
          </cell>
          <cell r="N426">
            <v>0</v>
          </cell>
          <cell r="O426">
            <v>0</v>
          </cell>
          <cell r="P426">
            <v>0</v>
          </cell>
          <cell r="Q426" t="e">
            <v>#NAME?</v>
          </cell>
          <cell r="R426">
            <v>0</v>
          </cell>
          <cell r="S426" t="e">
            <v>#NAME?</v>
          </cell>
          <cell r="T426" t="e">
            <v>#NAME?</v>
          </cell>
          <cell r="U426" t="e">
            <v>#NAME?</v>
          </cell>
          <cell r="V426" t="e">
            <v>#NAME?</v>
          </cell>
          <cell r="W426" t="e">
            <v>#NAME?</v>
          </cell>
          <cell r="X426" t="e">
            <v>#NAME?</v>
          </cell>
          <cell r="Y426" t="e">
            <v>#NAME?</v>
          </cell>
          <cell r="Z426">
            <v>0</v>
          </cell>
          <cell r="AF426" t="str">
            <v>D</v>
          </cell>
        </row>
        <row r="427">
          <cell r="F427" t="str">
            <v>% Net Sales</v>
          </cell>
          <cell r="I427" t="str">
            <v>s</v>
          </cell>
          <cell r="L427" t="e">
            <v>#NAME?</v>
          </cell>
          <cell r="M427" t="e">
            <v>#NAME?</v>
          </cell>
          <cell r="N427" t="e">
            <v>#NAME?</v>
          </cell>
          <cell r="O427" t="e">
            <v>#NAME?</v>
          </cell>
          <cell r="P427" t="e">
            <v>#NAME?</v>
          </cell>
          <cell r="Q427" t="e">
            <v>#NAME?</v>
          </cell>
          <cell r="R427" t="e">
            <v>#NAME?</v>
          </cell>
          <cell r="S427" t="e">
            <v>#NAME?</v>
          </cell>
          <cell r="T427" t="e">
            <v>#NAME?</v>
          </cell>
          <cell r="U427" t="e">
            <v>#NAME?</v>
          </cell>
          <cell r="V427" t="e">
            <v>#NAME?</v>
          </cell>
          <cell r="W427" t="e">
            <v>#NAME?</v>
          </cell>
          <cell r="X427" t="e">
            <v>#NAME?</v>
          </cell>
          <cell r="Y427" t="e">
            <v>#NAME?</v>
          </cell>
          <cell r="Z427" t="e">
            <v>#NAME?</v>
          </cell>
          <cell r="AF427" t="str">
            <v>D</v>
          </cell>
        </row>
        <row r="428">
          <cell r="F428" t="str">
            <v>% Input / Output</v>
          </cell>
          <cell r="AF428" t="str">
            <v>D</v>
          </cell>
        </row>
        <row r="429">
          <cell r="F429" t="str">
            <v>Estimate</v>
          </cell>
          <cell r="AF429" t="str">
            <v>D</v>
          </cell>
        </row>
        <row r="430">
          <cell r="A430" t="str">
            <v>RC</v>
          </cell>
          <cell r="E430" t="str">
            <v>Input Cost</v>
          </cell>
          <cell r="Q430" t="e">
            <v>#NAME?</v>
          </cell>
          <cell r="S430" t="e">
            <v>#NAME?</v>
          </cell>
          <cell r="U430" t="e">
            <v>#NAME?</v>
          </cell>
          <cell r="W430" t="e">
            <v>#NAME?</v>
          </cell>
          <cell r="Y430" t="e">
            <v>#NAME?</v>
          </cell>
          <cell r="AF430" t="str">
            <v>D</v>
          </cell>
        </row>
        <row r="431">
          <cell r="F431" t="str">
            <v>% Growth</v>
          </cell>
          <cell r="I431" t="str">
            <v>g</v>
          </cell>
          <cell r="M431">
            <v>0</v>
          </cell>
          <cell r="N431">
            <v>0</v>
          </cell>
          <cell r="O431">
            <v>0</v>
          </cell>
          <cell r="P431">
            <v>0</v>
          </cell>
          <cell r="Q431" t="e">
            <v>#NAME?</v>
          </cell>
          <cell r="R431">
            <v>0</v>
          </cell>
          <cell r="S431" t="e">
            <v>#NAME?</v>
          </cell>
          <cell r="T431" t="e">
            <v>#NAME?</v>
          </cell>
          <cell r="U431" t="e">
            <v>#NAME?</v>
          </cell>
          <cell r="V431" t="e">
            <v>#NAME?</v>
          </cell>
          <cell r="W431" t="e">
            <v>#NAME?</v>
          </cell>
          <cell r="X431" t="e">
            <v>#NAME?</v>
          </cell>
          <cell r="Y431" t="e">
            <v>#NAME?</v>
          </cell>
          <cell r="Z431">
            <v>0</v>
          </cell>
          <cell r="AF431" t="str">
            <v>D</v>
          </cell>
        </row>
        <row r="432">
          <cell r="F432" t="str">
            <v>% Net Sales</v>
          </cell>
          <cell r="L432" t="e">
            <v>#NAME?</v>
          </cell>
          <cell r="M432" t="e">
            <v>#NAME?</v>
          </cell>
          <cell r="N432" t="e">
            <v>#NAME?</v>
          </cell>
          <cell r="O432" t="e">
            <v>#NAME?</v>
          </cell>
          <cell r="P432" t="e">
            <v>#NAME?</v>
          </cell>
          <cell r="Q432" t="e">
            <v>#NAME?</v>
          </cell>
          <cell r="R432" t="e">
            <v>#NAME?</v>
          </cell>
          <cell r="S432" t="e">
            <v>#NAME?</v>
          </cell>
          <cell r="T432" t="e">
            <v>#NAME?</v>
          </cell>
          <cell r="U432" t="e">
            <v>#NAME?</v>
          </cell>
          <cell r="V432" t="e">
            <v>#NAME?</v>
          </cell>
          <cell r="W432" t="e">
            <v>#NAME?</v>
          </cell>
          <cell r="X432" t="e">
            <v>#NAME?</v>
          </cell>
          <cell r="Y432" t="e">
            <v>#NAME?</v>
          </cell>
          <cell r="Z432" t="e">
            <v>#NAME?</v>
          </cell>
          <cell r="AF432" t="str">
            <v>D</v>
          </cell>
        </row>
        <row r="433">
          <cell r="F433" t="str">
            <v>% Input / Output</v>
          </cell>
          <cell r="AF433" t="str">
            <v>D</v>
          </cell>
        </row>
        <row r="434">
          <cell r="F434" t="str">
            <v>Estimate</v>
          </cell>
          <cell r="AF434" t="str">
            <v>D</v>
          </cell>
        </row>
        <row r="435">
          <cell r="E435" t="str">
            <v>Import / Local</v>
          </cell>
          <cell r="J435" t="str">
            <v>L</v>
          </cell>
          <cell r="AF435" t="str">
            <v>D</v>
          </cell>
        </row>
        <row r="436">
          <cell r="E436" t="str">
            <v xml:space="preserve">Import Duty </v>
          </cell>
          <cell r="J436" t="str">
            <v>%</v>
          </cell>
          <cell r="AF436" t="str">
            <v>D</v>
          </cell>
        </row>
        <row r="437">
          <cell r="E437" t="str">
            <v>Excise</v>
          </cell>
          <cell r="J437" t="str">
            <v>%</v>
          </cell>
          <cell r="AF437" t="str">
            <v>D</v>
          </cell>
        </row>
        <row r="438">
          <cell r="AF438" t="str">
            <v>D</v>
          </cell>
        </row>
        <row r="497">
          <cell r="A497" t="str">
            <v>ME</v>
          </cell>
          <cell r="C497">
            <v>8</v>
          </cell>
          <cell r="D497">
            <v>0</v>
          </cell>
          <cell r="Q497" t="e">
            <v>#NAME?</v>
          </cell>
          <cell r="S497" t="e">
            <v>#NAME?</v>
          </cell>
          <cell r="U497" t="e">
            <v>#NAME?</v>
          </cell>
          <cell r="W497" t="e">
            <v>#NAME?</v>
          </cell>
          <cell r="Y497" t="e">
            <v>#NAME?</v>
          </cell>
          <cell r="AF497" t="str">
            <v>D</v>
          </cell>
        </row>
        <row r="498">
          <cell r="E498" t="str">
            <v>% Growth</v>
          </cell>
          <cell r="I498" t="str">
            <v>g</v>
          </cell>
          <cell r="K498" t="str">
            <v>*</v>
          </cell>
          <cell r="M498">
            <v>0</v>
          </cell>
          <cell r="N498">
            <v>0</v>
          </cell>
          <cell r="O498">
            <v>0</v>
          </cell>
          <cell r="P498">
            <v>0</v>
          </cell>
          <cell r="R498">
            <v>0</v>
          </cell>
          <cell r="T498">
            <v>0</v>
          </cell>
          <cell r="V498">
            <v>0</v>
          </cell>
          <cell r="X498">
            <v>0</v>
          </cell>
          <cell r="Z498">
            <v>0</v>
          </cell>
          <cell r="AE498" t="str">
            <v>X</v>
          </cell>
          <cell r="AF498" t="str">
            <v>D</v>
          </cell>
        </row>
        <row r="499">
          <cell r="E499" t="str">
            <v>% to Net Sales</v>
          </cell>
          <cell r="I499" t="str">
            <v>p</v>
          </cell>
          <cell r="M499" t="e">
            <v>#NAME?</v>
          </cell>
          <cell r="N499" t="e">
            <v>#NAME?</v>
          </cell>
          <cell r="O499" t="e">
            <v>#NAME?</v>
          </cell>
          <cell r="P499" t="e">
            <v>#NAME?</v>
          </cell>
          <cell r="Q499" t="e">
            <v>#NAME?</v>
          </cell>
          <cell r="R499" t="e">
            <v>#NAME?</v>
          </cell>
          <cell r="S499" t="e">
            <v>#NAME?</v>
          </cell>
          <cell r="T499" t="e">
            <v>#NAME?</v>
          </cell>
          <cell r="U499" t="e">
            <v>#NAME?</v>
          </cell>
          <cell r="V499" t="e">
            <v>#NAME?</v>
          </cell>
          <cell r="W499" t="e">
            <v>#NAME?</v>
          </cell>
          <cell r="X499" t="e">
            <v>#NAME?</v>
          </cell>
          <cell r="Y499" t="e">
            <v>#NAME?</v>
          </cell>
          <cell r="Z499" t="e">
            <v>#NAME?</v>
          </cell>
          <cell r="AF499" t="str">
            <v>D</v>
          </cell>
        </row>
        <row r="500">
          <cell r="E500" t="str">
            <v>Estimate</v>
          </cell>
          <cell r="AF500" t="str">
            <v>D</v>
          </cell>
        </row>
        <row r="515">
          <cell r="C515">
            <v>8</v>
          </cell>
          <cell r="D515">
            <v>0</v>
          </cell>
          <cell r="AF515" t="str">
            <v>D</v>
          </cell>
        </row>
        <row r="531">
          <cell r="C531">
            <v>8</v>
          </cell>
          <cell r="D531">
            <v>0</v>
          </cell>
          <cell r="AF531" t="str">
            <v>D</v>
          </cell>
        </row>
      </sheetData>
      <sheetData sheetId="14" refreshError="1">
        <row r="5">
          <cell r="L5">
            <v>0</v>
          </cell>
        </row>
        <row r="107">
          <cell r="L107">
            <v>0</v>
          </cell>
          <cell r="M107">
            <v>44.472000000000435</v>
          </cell>
          <cell r="N107">
            <v>-1004.8980000000005</v>
          </cell>
          <cell r="O107">
            <v>958.09682999999882</v>
          </cell>
          <cell r="P107">
            <v>123.9072000000005</v>
          </cell>
          <cell r="Q107" t="e">
            <v>#NAME?</v>
          </cell>
          <cell r="R107">
            <v>450.91310000000061</v>
          </cell>
          <cell r="S107" t="e">
            <v>#NAME?</v>
          </cell>
          <cell r="T107">
            <v>536.47690000000091</v>
          </cell>
          <cell r="U107" t="e">
            <v>#NAME?</v>
          </cell>
          <cell r="V107">
            <v>2974.7048813998704</v>
          </cell>
          <cell r="W107" t="e">
            <v>#NAME?</v>
          </cell>
          <cell r="X107">
            <v>4192.4388570119781</v>
          </cell>
          <cell r="Y107">
            <v>893.73140799999987</v>
          </cell>
          <cell r="Z107">
            <v>1127.5141223130236</v>
          </cell>
          <cell r="AA107">
            <v>1040.8361536057819</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e"/>
      <sheetName val="Capital"/>
      <sheetName val="Sales"/>
      <sheetName val="Input"/>
      <sheetName val="Debt"/>
      <sheetName val="Tax"/>
      <sheetName val="CapEx"/>
      <sheetName val="QuanOP"/>
      <sheetName val="Formats"/>
      <sheetName val="Projections"/>
      <sheetName val="Costs"/>
      <sheetName val="Revenues"/>
      <sheetName val="Calc"/>
      <sheetName val="VarName"/>
      <sheetName val="CoSheet"/>
      <sheetName val="Half Yearly"/>
      <sheetName val="Sun"/>
      <sheetName val="Figures"/>
      <sheetName val="Black-Scholes"/>
      <sheetName val="CV Financials"/>
      <sheetName val="Charts"/>
      <sheetName val="EVA"/>
      <sheetName val="Financials"/>
      <sheetName val="Invested capital_VDF"/>
      <sheetName val="NOPAT_VDF"/>
      <sheetName val="PV of Op Leases_VDF"/>
      <sheetName val="check"/>
      <sheetName val="Hi_low"/>
      <sheetName val="Sheet1"/>
      <sheetName val="Sheet5"/>
      <sheetName val="Sheet3"/>
      <sheetName val="BS"/>
    </sheetNames>
    <sheetDataSet>
      <sheetData sheetId="0" refreshError="1"/>
      <sheetData sheetId="1" refreshError="1"/>
      <sheetData sheetId="2" refreshError="1"/>
      <sheetData sheetId="3" refreshError="1">
        <row r="149">
          <cell r="N149">
            <v>83307</v>
          </cell>
        </row>
        <row r="162">
          <cell r="L162">
            <v>0</v>
          </cell>
          <cell r="M162">
            <v>0</v>
          </cell>
          <cell r="N162">
            <v>659115.96751565917</v>
          </cell>
          <cell r="O162">
            <v>673420.58649872069</v>
          </cell>
          <cell r="P162">
            <v>723229.01682177139</v>
          </cell>
          <cell r="Q162">
            <v>0</v>
          </cell>
          <cell r="R162">
            <v>847979.80539207777</v>
          </cell>
          <cell r="S162">
            <v>0</v>
          </cell>
          <cell r="T162">
            <v>964689.38644783257</v>
          </cell>
          <cell r="U162">
            <v>0</v>
          </cell>
          <cell r="V162">
            <v>1049190.4149973544</v>
          </cell>
          <cell r="W162">
            <v>0</v>
          </cell>
          <cell r="X162">
            <v>0</v>
          </cell>
        </row>
        <row r="180">
          <cell r="L180">
            <v>0</v>
          </cell>
          <cell r="M180">
            <v>0</v>
          </cell>
          <cell r="N180">
            <v>11342.713258578682</v>
          </cell>
          <cell r="O180">
            <v>11220.712776884169</v>
          </cell>
          <cell r="P180">
            <v>11192.387929822427</v>
          </cell>
          <cell r="Q180">
            <v>0</v>
          </cell>
          <cell r="R180">
            <v>12139.090015196211</v>
          </cell>
          <cell r="S180">
            <v>0</v>
          </cell>
          <cell r="T180">
            <v>11559.128891338354</v>
          </cell>
          <cell r="U180">
            <v>0</v>
          </cell>
          <cell r="V180">
            <v>10555.316159728296</v>
          </cell>
          <cell r="W180">
            <v>0</v>
          </cell>
          <cell r="X180">
            <v>0</v>
          </cell>
        </row>
        <row r="198">
          <cell r="L198">
            <v>0</v>
          </cell>
          <cell r="M198">
            <v>0</v>
          </cell>
          <cell r="N198">
            <v>161435.2318548387</v>
          </cell>
          <cell r="O198">
            <v>276800.84745762713</v>
          </cell>
          <cell r="P198">
            <v>371383.50608382153</v>
          </cell>
          <cell r="Q198">
            <v>0</v>
          </cell>
          <cell r="R198">
            <v>513252.03252032521</v>
          </cell>
          <cell r="S198">
            <v>0</v>
          </cell>
          <cell r="T198">
            <v>511678.83211678831</v>
          </cell>
          <cell r="U198">
            <v>0</v>
          </cell>
          <cell r="V198">
            <v>482373.67802585196</v>
          </cell>
          <cell r="W198">
            <v>0</v>
          </cell>
          <cell r="X198">
            <v>0</v>
          </cell>
        </row>
        <row r="216">
          <cell r="L216">
            <v>0</v>
          </cell>
          <cell r="M216">
            <v>0</v>
          </cell>
          <cell r="N216">
            <v>50837.541569158762</v>
          </cell>
          <cell r="O216">
            <v>60158.501440922191</v>
          </cell>
          <cell r="P216">
            <v>65732.27402188578</v>
          </cell>
          <cell r="Q216">
            <v>0</v>
          </cell>
          <cell r="R216">
            <v>61737.671922173766</v>
          </cell>
          <cell r="S216">
            <v>0</v>
          </cell>
          <cell r="T216">
            <v>58249.536914527656</v>
          </cell>
          <cell r="U216">
            <v>0</v>
          </cell>
          <cell r="V216">
            <v>61308.468358300212</v>
          </cell>
          <cell r="W216">
            <v>0</v>
          </cell>
          <cell r="X216">
            <v>0</v>
          </cell>
        </row>
        <row r="234">
          <cell r="L234">
            <v>0</v>
          </cell>
          <cell r="M234">
            <v>0</v>
          </cell>
          <cell r="N234">
            <v>97580.475489164732</v>
          </cell>
          <cell r="O234">
            <v>113171.09884596086</v>
          </cell>
          <cell r="P234">
            <v>122933.88429752066</v>
          </cell>
          <cell r="Q234">
            <v>0</v>
          </cell>
          <cell r="R234">
            <v>92955.032119914351</v>
          </cell>
          <cell r="S234">
            <v>0</v>
          </cell>
          <cell r="T234">
            <v>102326.69322709163</v>
          </cell>
          <cell r="U234">
            <v>0</v>
          </cell>
          <cell r="V234">
            <v>90824.330324108334</v>
          </cell>
          <cell r="W234">
            <v>0</v>
          </cell>
          <cell r="X234">
            <v>0</v>
          </cell>
        </row>
        <row r="252">
          <cell r="L252">
            <v>0</v>
          </cell>
          <cell r="M252">
            <v>0</v>
          </cell>
          <cell r="N252">
            <v>50354.947949328984</v>
          </cell>
          <cell r="O252">
            <v>56104.608738799216</v>
          </cell>
          <cell r="P252">
            <v>75574.833656194707</v>
          </cell>
          <cell r="Q252">
            <v>0</v>
          </cell>
          <cell r="R252">
            <v>86447.103729303126</v>
          </cell>
          <cell r="S252">
            <v>0</v>
          </cell>
          <cell r="T252">
            <v>102748.19362652967</v>
          </cell>
          <cell r="U252">
            <v>0</v>
          </cell>
          <cell r="V252">
            <v>96183.965195773766</v>
          </cell>
          <cell r="W252">
            <v>0</v>
          </cell>
          <cell r="X252">
            <v>0</v>
          </cell>
        </row>
        <row r="270">
          <cell r="L270">
            <v>0</v>
          </cell>
          <cell r="M270">
            <v>0</v>
          </cell>
          <cell r="N270">
            <v>0</v>
          </cell>
          <cell r="O270">
            <v>0</v>
          </cell>
          <cell r="P270">
            <v>0</v>
          </cell>
          <cell r="Q270">
            <v>0</v>
          </cell>
          <cell r="R270">
            <v>0</v>
          </cell>
          <cell r="S270">
            <v>0</v>
          </cell>
          <cell r="T270">
            <v>0</v>
          </cell>
          <cell r="U270">
            <v>0</v>
          </cell>
          <cell r="V270">
            <v>0</v>
          </cell>
          <cell r="W270">
            <v>0</v>
          </cell>
          <cell r="X270">
            <v>0</v>
          </cell>
        </row>
        <row r="288">
          <cell r="L288">
            <v>0</v>
          </cell>
          <cell r="M288">
            <v>0</v>
          </cell>
          <cell r="N288">
            <v>0</v>
          </cell>
          <cell r="O288">
            <v>0</v>
          </cell>
          <cell r="P288">
            <v>0</v>
          </cell>
          <cell r="Q288">
            <v>0</v>
          </cell>
          <cell r="R288">
            <v>0</v>
          </cell>
          <cell r="S288">
            <v>0</v>
          </cell>
          <cell r="T288">
            <v>0</v>
          </cell>
          <cell r="U288">
            <v>0</v>
          </cell>
          <cell r="V288">
            <v>0</v>
          </cell>
          <cell r="W288">
            <v>0</v>
          </cell>
          <cell r="X288">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rterly1"/>
      <sheetName val="Disclosures"/>
      <sheetName val="crr-plr "/>
      <sheetName val="SLR-CRR"/>
      <sheetName val="Other relevant data"/>
      <sheetName val="Retail Breakdown"/>
      <sheetName val="Qrtly temp"/>
      <sheetName val="IST-Valn"/>
      <sheetName val="Quarterly "/>
      <sheetName val="CAR"/>
      <sheetName val="MODEL"/>
      <sheetName val="Rep-table"/>
      <sheetName val="iQ_Measure_Validations_Errors"/>
      <sheetName val="iQ_APR_CoreIndustrials"/>
      <sheetName val="EquityTemplate"/>
      <sheetName val="Banking Template"/>
      <sheetName val="Cash Flow"/>
      <sheetName val="Chart5"/>
      <sheetName val="Chts Data "/>
      <sheetName val="US GAAP"/>
      <sheetName val="HDFC Bank-EM-Jun09"/>
      <sheetName val="NPA 2009"/>
      <sheetName val="TB"/>
      <sheetName val="#REF"/>
      <sheetName val="old"/>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row r="5">
          <cell r="C5" t="str">
            <v>BANKIN</v>
          </cell>
        </row>
        <row r="6">
          <cell r="C6" t="str">
            <v>BANKING</v>
          </cell>
        </row>
        <row r="13">
          <cell r="A13" t="str">
            <v xml:space="preserve">      Interest Income ($m)</v>
          </cell>
          <cell r="B13" t="str">
            <v>BA01010000</v>
          </cell>
          <cell r="C13" t="str">
            <v>$m</v>
          </cell>
          <cell r="D13">
            <v>2408</v>
          </cell>
          <cell r="E13">
            <v>3760.7999999999997</v>
          </cell>
          <cell r="F13">
            <v>6798.7</v>
          </cell>
          <cell r="G13">
            <v>12594.599999999999</v>
          </cell>
          <cell r="H13">
            <v>17029.900000000001</v>
          </cell>
          <cell r="I13">
            <v>20229.7</v>
          </cell>
          <cell r="J13">
            <v>25489.300000000003</v>
          </cell>
          <cell r="K13">
            <v>30934.899999999998</v>
          </cell>
          <cell r="L13">
            <v>44753.299999999996</v>
          </cell>
          <cell r="M13">
            <v>66479.3</v>
          </cell>
        </row>
        <row r="14">
          <cell r="A14" t="str">
            <v xml:space="preserve">      Interest Expense ($m)</v>
          </cell>
          <cell r="B14" t="str">
            <v>BA01020000</v>
          </cell>
          <cell r="C14" t="str">
            <v>$m</v>
          </cell>
          <cell r="D14">
            <v>-1375.5</v>
          </cell>
          <cell r="E14">
            <v>-2291.8000000000002</v>
          </cell>
          <cell r="F14">
            <v>-3742.8</v>
          </cell>
          <cell r="G14">
            <v>-7537.5000000000009</v>
          </cell>
          <cell r="H14">
            <v>-10737.400000000001</v>
          </cell>
          <cell r="I14">
            <v>-11919.599999999999</v>
          </cell>
          <cell r="J14">
            <v>-12110.5</v>
          </cell>
          <cell r="K14">
            <v>-13155.6</v>
          </cell>
          <cell r="L14">
            <v>-19294.899999999998</v>
          </cell>
          <cell r="M14">
            <v>-31794.5</v>
          </cell>
        </row>
        <row r="15">
          <cell r="A15" t="str">
            <v xml:space="preserve">   Net Interest Income ($m)</v>
          </cell>
          <cell r="B15" t="str">
            <v>BA01030000</v>
          </cell>
          <cell r="C15" t="str">
            <v>$m</v>
          </cell>
          <cell r="D15">
            <v>1032.5</v>
          </cell>
          <cell r="E15">
            <v>1468.9999999999995</v>
          </cell>
          <cell r="F15">
            <v>3055.8999999999996</v>
          </cell>
          <cell r="G15">
            <v>5057.0999999999976</v>
          </cell>
          <cell r="H15">
            <v>6292.5</v>
          </cell>
          <cell r="I15">
            <v>8310.1000000000022</v>
          </cell>
          <cell r="J15">
            <v>13378.800000000003</v>
          </cell>
          <cell r="K15">
            <v>17779.299999999996</v>
          </cell>
          <cell r="L15">
            <v>25458.399999999998</v>
          </cell>
          <cell r="M15">
            <v>34684.800000000003</v>
          </cell>
        </row>
        <row r="16">
          <cell r="A16" t="str">
            <v xml:space="preserve">      Dividend income ($m)</v>
          </cell>
          <cell r="B16" t="str">
            <v>BA01040000</v>
          </cell>
          <cell r="C16" t="str">
            <v>$m</v>
          </cell>
          <cell r="D16">
            <v>0</v>
          </cell>
          <cell r="E16">
            <v>0</v>
          </cell>
          <cell r="F16">
            <v>0</v>
          </cell>
          <cell r="G16">
            <v>0</v>
          </cell>
          <cell r="H16">
            <v>0</v>
          </cell>
          <cell r="I16">
            <v>0</v>
          </cell>
          <cell r="J16">
            <v>0</v>
          </cell>
          <cell r="K16">
            <v>0</v>
          </cell>
          <cell r="L16">
            <v>0</v>
          </cell>
          <cell r="M16">
            <v>0</v>
          </cell>
        </row>
        <row r="17">
          <cell r="A17" t="str">
            <v xml:space="preserve">      Dealing Profits ($m)</v>
          </cell>
          <cell r="B17" t="str">
            <v>BA01050000</v>
          </cell>
          <cell r="C17" t="str">
            <v>$m</v>
          </cell>
          <cell r="D17">
            <v>209.7</v>
          </cell>
          <cell r="E17">
            <v>151.30000000000001</v>
          </cell>
          <cell r="F17">
            <v>212.7</v>
          </cell>
          <cell r="G17">
            <v>115</v>
          </cell>
          <cell r="H17">
            <v>1038.3</v>
          </cell>
          <cell r="I17">
            <v>1324.6</v>
          </cell>
          <cell r="J17">
            <v>268.8</v>
          </cell>
          <cell r="K17">
            <v>-657.59999999999991</v>
          </cell>
          <cell r="L17">
            <v>-521.20000000000005</v>
          </cell>
          <cell r="M17">
            <v>-684.1</v>
          </cell>
        </row>
        <row r="18">
          <cell r="A18" t="str">
            <v xml:space="preserve">      Other income ($m)</v>
          </cell>
          <cell r="B18" t="str">
            <v>BA01060000</v>
          </cell>
          <cell r="C18" t="str">
            <v>$m</v>
          </cell>
          <cell r="D18">
            <v>106.7</v>
          </cell>
          <cell r="E18">
            <v>529.29999999999995</v>
          </cell>
          <cell r="F18">
            <v>1041.8</v>
          </cell>
          <cell r="G18">
            <v>1746.3</v>
          </cell>
          <cell r="H18">
            <v>2302.3000000000002</v>
          </cell>
          <cell r="I18">
            <v>3395.6000000000004</v>
          </cell>
          <cell r="J18">
            <v>4536.1000000000004</v>
          </cell>
          <cell r="K18">
            <v>7168.9000000000005</v>
          </cell>
          <cell r="L18">
            <v>11758.8</v>
          </cell>
          <cell r="M18">
            <v>15856.9</v>
          </cell>
        </row>
        <row r="19">
          <cell r="A19" t="str">
            <v xml:space="preserve">   Other Operating Income ($m)</v>
          </cell>
          <cell r="B19" t="str">
            <v>BA01070000</v>
          </cell>
          <cell r="C19" t="str">
            <v>$m</v>
          </cell>
          <cell r="D19">
            <v>316.39999999999998</v>
          </cell>
          <cell r="E19">
            <v>680.59999999999991</v>
          </cell>
          <cell r="F19">
            <v>1254.5</v>
          </cell>
          <cell r="G19">
            <v>1861.3</v>
          </cell>
          <cell r="H19">
            <v>3340.6000000000004</v>
          </cell>
          <cell r="I19">
            <v>4720.2000000000007</v>
          </cell>
          <cell r="J19">
            <v>4804.9000000000005</v>
          </cell>
          <cell r="K19">
            <v>6511.3000000000011</v>
          </cell>
          <cell r="L19">
            <v>11237.599999999999</v>
          </cell>
          <cell r="M19">
            <v>15172.8</v>
          </cell>
        </row>
        <row r="20">
          <cell r="A20" t="str">
            <v>Operating Income ($m)</v>
          </cell>
          <cell r="B20" t="str">
            <v>BA01080000</v>
          </cell>
          <cell r="C20" t="str">
            <v>$m</v>
          </cell>
          <cell r="D20">
            <v>1348.9</v>
          </cell>
          <cell r="E20">
            <v>2149.5999999999995</v>
          </cell>
          <cell r="F20">
            <v>4310.3999999999996</v>
          </cell>
          <cell r="G20">
            <v>6918.3999999999978</v>
          </cell>
          <cell r="H20">
            <v>9633.1</v>
          </cell>
          <cell r="I20">
            <v>13030.300000000003</v>
          </cell>
          <cell r="J20">
            <v>18183.700000000004</v>
          </cell>
          <cell r="K20">
            <v>24290.6</v>
          </cell>
          <cell r="L20">
            <v>36696</v>
          </cell>
          <cell r="M20">
            <v>49857.600000000006</v>
          </cell>
        </row>
        <row r="21">
          <cell r="A21" t="str">
            <v xml:space="preserve">   Staff costs ($m)</v>
          </cell>
          <cell r="B21" t="str">
            <v>BA01090000</v>
          </cell>
          <cell r="C21" t="str">
            <v>$m</v>
          </cell>
          <cell r="D21">
            <v>-148.5</v>
          </cell>
          <cell r="E21">
            <v>-220.6</v>
          </cell>
          <cell r="F21">
            <v>-485.3</v>
          </cell>
          <cell r="G21">
            <v>-780</v>
          </cell>
          <cell r="H21">
            <v>-1092.4000000000001</v>
          </cell>
          <cell r="I21">
            <v>-1519.5</v>
          </cell>
          <cell r="J21">
            <v>-2040.9</v>
          </cell>
          <cell r="K21">
            <v>-2766.7</v>
          </cell>
          <cell r="L21">
            <v>-4868.2</v>
          </cell>
          <cell r="M21">
            <v>-7768.6</v>
          </cell>
        </row>
        <row r="22">
          <cell r="A22" t="str">
            <v xml:space="preserve">      Premises and equipment expenses ($m)</v>
          </cell>
          <cell r="B22" t="str">
            <v>BA01100000</v>
          </cell>
          <cell r="C22" t="str">
            <v>$m</v>
          </cell>
          <cell r="D22">
            <v>0</v>
          </cell>
          <cell r="E22">
            <v>0</v>
          </cell>
          <cell r="F22">
            <v>0</v>
          </cell>
          <cell r="G22">
            <v>0</v>
          </cell>
          <cell r="H22">
            <v>0</v>
          </cell>
          <cell r="I22">
            <v>0</v>
          </cell>
          <cell r="J22">
            <v>0</v>
          </cell>
          <cell r="K22">
            <v>0</v>
          </cell>
          <cell r="L22">
            <v>0</v>
          </cell>
          <cell r="M22">
            <v>0</v>
          </cell>
        </row>
        <row r="23">
          <cell r="A23" t="str">
            <v xml:space="preserve">      Depreciation ($m)</v>
          </cell>
          <cell r="B23" t="str">
            <v>BA01110000</v>
          </cell>
          <cell r="C23" t="str">
            <v>$m</v>
          </cell>
          <cell r="D23">
            <v>-106.9</v>
          </cell>
          <cell r="E23">
            <v>-150.19999999999999</v>
          </cell>
          <cell r="F23">
            <v>-264.60000000000002</v>
          </cell>
          <cell r="G23">
            <v>-539.4</v>
          </cell>
          <cell r="H23">
            <v>-690.2</v>
          </cell>
          <cell r="I23">
            <v>-1061.4000000000001</v>
          </cell>
          <cell r="J23">
            <v>-1257.2</v>
          </cell>
          <cell r="K23">
            <v>-1440.7</v>
          </cell>
          <cell r="L23">
            <v>-1785.9</v>
          </cell>
          <cell r="M23">
            <v>-2196</v>
          </cell>
        </row>
        <row r="24">
          <cell r="A24" t="str">
            <v xml:space="preserve">   Premises and equipment ($m)</v>
          </cell>
          <cell r="B24" t="str">
            <v>BA01120000</v>
          </cell>
          <cell r="C24" t="str">
            <v>$m</v>
          </cell>
          <cell r="D24">
            <v>-106.9</v>
          </cell>
          <cell r="E24">
            <v>-150.19999999999999</v>
          </cell>
          <cell r="F24">
            <v>-264.60000000000002</v>
          </cell>
          <cell r="G24">
            <v>-539.4</v>
          </cell>
          <cell r="H24">
            <v>-690.2</v>
          </cell>
          <cell r="I24">
            <v>-1061.4000000000001</v>
          </cell>
          <cell r="J24">
            <v>-1257.2</v>
          </cell>
          <cell r="K24">
            <v>-1440.7</v>
          </cell>
          <cell r="L24">
            <v>-1785.9</v>
          </cell>
          <cell r="M24">
            <v>-2196</v>
          </cell>
        </row>
        <row r="25">
          <cell r="A25" t="str">
            <v xml:space="preserve">   Other operating expenses ($m)</v>
          </cell>
          <cell r="B25" t="str">
            <v>BA01130000</v>
          </cell>
          <cell r="C25" t="str">
            <v>$m</v>
          </cell>
          <cell r="D25">
            <v>-371.70000000000005</v>
          </cell>
          <cell r="E25">
            <v>-517.09999999999991</v>
          </cell>
          <cell r="F25">
            <v>-964.00000000000011</v>
          </cell>
          <cell r="G25">
            <v>-1776.5</v>
          </cell>
          <cell r="H25">
            <v>-2396.9</v>
          </cell>
          <cell r="I25">
            <v>-3337.4</v>
          </cell>
          <cell r="J25">
            <v>-4801.9000000000005</v>
          </cell>
          <cell r="K25">
            <v>-6646.6</v>
          </cell>
          <cell r="L25">
            <v>-10256.800000000001</v>
          </cell>
          <cell r="M25">
            <v>-14243.400000000001</v>
          </cell>
        </row>
        <row r="26">
          <cell r="A26" t="str">
            <v>Operating expenses ($m)</v>
          </cell>
          <cell r="B26" t="str">
            <v>BA01140000</v>
          </cell>
          <cell r="C26" t="str">
            <v>$m</v>
          </cell>
          <cell r="D26">
            <v>-627.1</v>
          </cell>
          <cell r="E26">
            <v>-887.89999999999986</v>
          </cell>
          <cell r="F26">
            <v>-1713.9</v>
          </cell>
          <cell r="G26">
            <v>-3095.9</v>
          </cell>
          <cell r="H26">
            <v>-4179.5</v>
          </cell>
          <cell r="I26">
            <v>-5918.3</v>
          </cell>
          <cell r="J26">
            <v>-8100.0000000000009</v>
          </cell>
          <cell r="K26">
            <v>-10854</v>
          </cell>
          <cell r="L26">
            <v>-16910.900000000001</v>
          </cell>
          <cell r="M26">
            <v>-24208</v>
          </cell>
        </row>
        <row r="27">
          <cell r="A27" t="str">
            <v>Pre-provision profit ($m)</v>
          </cell>
          <cell r="B27" t="str">
            <v>BA01150000</v>
          </cell>
          <cell r="C27" t="str">
            <v>$m</v>
          </cell>
          <cell r="D27">
            <v>721.80000000000007</v>
          </cell>
          <cell r="E27">
            <v>1261.6999999999996</v>
          </cell>
          <cell r="F27">
            <v>2596.4999999999995</v>
          </cell>
          <cell r="G27">
            <v>3822.4999999999977</v>
          </cell>
          <cell r="H27">
            <v>5453.6</v>
          </cell>
          <cell r="I27">
            <v>7112.0000000000027</v>
          </cell>
          <cell r="J27">
            <v>10083.700000000004</v>
          </cell>
          <cell r="K27">
            <v>13436.599999999999</v>
          </cell>
          <cell r="L27">
            <v>19785.099999999999</v>
          </cell>
          <cell r="M27">
            <v>25649.600000000006</v>
          </cell>
        </row>
        <row r="30">
          <cell r="A30" t="str">
            <v xml:space="preserve">   Charge for bad and doubtful debts ($m)</v>
          </cell>
          <cell r="B30" t="str">
            <v>BA01180000</v>
          </cell>
          <cell r="C30" t="str">
            <v>$m</v>
          </cell>
          <cell r="D30" t="e">
            <v>#REF!</v>
          </cell>
          <cell r="E30" t="e">
            <v>#REF!</v>
          </cell>
          <cell r="F30" t="e">
            <v>#REF!</v>
          </cell>
          <cell r="G30">
            <v>-529.6</v>
          </cell>
          <cell r="H30">
            <v>-857.7</v>
          </cell>
          <cell r="I30">
            <v>-883.9</v>
          </cell>
          <cell r="J30">
            <v>-1783</v>
          </cell>
          <cell r="K30">
            <v>-1762.2</v>
          </cell>
          <cell r="L30">
            <v>-4797.6000000000004</v>
          </cell>
          <cell r="M30">
            <v>-8610.1</v>
          </cell>
        </row>
        <row r="31">
          <cell r="A31" t="str">
            <v>Operating Profit ($m)</v>
          </cell>
          <cell r="B31" t="str">
            <v>BA01190000</v>
          </cell>
          <cell r="C31" t="str">
            <v>$m</v>
          </cell>
          <cell r="D31" t="e">
            <v>#REF!</v>
          </cell>
          <cell r="E31" t="e">
            <v>#REF!</v>
          </cell>
          <cell r="F31" t="e">
            <v>#REF!</v>
          </cell>
          <cell r="G31">
            <v>3292.8999999999978</v>
          </cell>
          <cell r="H31">
            <v>4595.9000000000005</v>
          </cell>
          <cell r="I31">
            <v>6228.1000000000031</v>
          </cell>
          <cell r="J31">
            <v>8300.7000000000044</v>
          </cell>
          <cell r="K31">
            <v>11674.399999999998</v>
          </cell>
          <cell r="L31">
            <v>14987.499999999998</v>
          </cell>
          <cell r="M31">
            <v>17039.500000000007</v>
          </cell>
        </row>
        <row r="32">
          <cell r="A32" t="str">
            <v xml:space="preserve">   Associated companies ($m)</v>
          </cell>
          <cell r="B32" t="str">
            <v>BA01200000</v>
          </cell>
          <cell r="C32" t="str">
            <v>$m</v>
          </cell>
          <cell r="D32">
            <v>0</v>
          </cell>
          <cell r="E32">
            <v>0</v>
          </cell>
          <cell r="F32">
            <v>0</v>
          </cell>
          <cell r="G32">
            <v>0</v>
          </cell>
          <cell r="H32">
            <v>0</v>
          </cell>
          <cell r="I32">
            <v>0</v>
          </cell>
          <cell r="J32">
            <v>0</v>
          </cell>
          <cell r="K32">
            <v>0</v>
          </cell>
          <cell r="L32">
            <v>0</v>
          </cell>
          <cell r="M32">
            <v>0</v>
          </cell>
        </row>
        <row r="33">
          <cell r="A33" t="str">
            <v xml:space="preserve">   Disposal of fixed assets and long term investments ($m)</v>
          </cell>
          <cell r="B33" t="str">
            <v>BA01210000</v>
          </cell>
          <cell r="C33" t="str">
            <v>$m</v>
          </cell>
          <cell r="D33">
            <v>-1</v>
          </cell>
          <cell r="E33">
            <v>0.1</v>
          </cell>
          <cell r="F33">
            <v>-1</v>
          </cell>
          <cell r="G33">
            <v>-6</v>
          </cell>
          <cell r="H33">
            <v>-8.1</v>
          </cell>
          <cell r="I33">
            <v>10.8</v>
          </cell>
          <cell r="J33">
            <v>-4.5</v>
          </cell>
          <cell r="K33">
            <v>2.1</v>
          </cell>
          <cell r="L33">
            <v>2.7</v>
          </cell>
          <cell r="M33">
            <v>-10.5</v>
          </cell>
        </row>
        <row r="34">
          <cell r="A34" t="str">
            <v xml:space="preserve">   Other exceptional items ($m)</v>
          </cell>
          <cell r="B34" t="str">
            <v>BA01220000</v>
          </cell>
          <cell r="C34" t="str">
            <v>$m</v>
          </cell>
          <cell r="D34" t="e">
            <v>#REF!</v>
          </cell>
          <cell r="E34" t="e">
            <v>#REF!</v>
          </cell>
          <cell r="F34" t="e">
            <v>#REF!</v>
          </cell>
          <cell r="G34" t="e">
            <v>#REF!</v>
          </cell>
          <cell r="H34" t="e">
            <v>#REF!</v>
          </cell>
          <cell r="I34" t="e">
            <v>#REF!</v>
          </cell>
          <cell r="J34" t="e">
            <v>#REF!</v>
          </cell>
          <cell r="K34" t="e">
            <v>#REF!</v>
          </cell>
          <cell r="L34" t="e">
            <v>#REF!</v>
          </cell>
          <cell r="M34" t="e">
            <v>#REF!</v>
          </cell>
        </row>
        <row r="35">
          <cell r="A35" t="str">
            <v>Profit before taxation ($m)</v>
          </cell>
          <cell r="B35" t="str">
            <v>BA01230000</v>
          </cell>
          <cell r="C35" t="str">
            <v>$m</v>
          </cell>
          <cell r="D35" t="e">
            <v>#REF!</v>
          </cell>
          <cell r="E35" t="e">
            <v>#REF!</v>
          </cell>
          <cell r="F35" t="e">
            <v>#REF!</v>
          </cell>
          <cell r="G35" t="e">
            <v>#REF!</v>
          </cell>
          <cell r="H35" t="e">
            <v>#REF!</v>
          </cell>
          <cell r="I35" t="e">
            <v>#REF!</v>
          </cell>
          <cell r="J35" t="e">
            <v>#REF!</v>
          </cell>
          <cell r="K35" t="e">
            <v>#REF!</v>
          </cell>
          <cell r="L35" t="e">
            <v>#REF!</v>
          </cell>
          <cell r="M35" t="e">
            <v>#REF!</v>
          </cell>
        </row>
        <row r="37">
          <cell r="A37" t="str">
            <v xml:space="preserve">   Minority interests ($m)</v>
          </cell>
          <cell r="B37" t="str">
            <v>BA01250000</v>
          </cell>
          <cell r="C37" t="str">
            <v>$m</v>
          </cell>
          <cell r="D37">
            <v>0</v>
          </cell>
          <cell r="E37">
            <v>0</v>
          </cell>
          <cell r="F37">
            <v>0</v>
          </cell>
          <cell r="G37">
            <v>0</v>
          </cell>
          <cell r="H37">
            <v>0</v>
          </cell>
          <cell r="I37">
            <v>0</v>
          </cell>
          <cell r="J37">
            <v>0</v>
          </cell>
          <cell r="K37">
            <v>0</v>
          </cell>
          <cell r="L37">
            <v>0</v>
          </cell>
          <cell r="M37">
            <v>0</v>
          </cell>
        </row>
        <row r="38">
          <cell r="A38" t="str">
            <v>Profit attributable to shareholders ($m)</v>
          </cell>
          <cell r="B38" t="str">
            <v>BA01260000</v>
          </cell>
          <cell r="C38" t="str">
            <v>$m</v>
          </cell>
          <cell r="D38" t="e">
            <v>#REF!</v>
          </cell>
          <cell r="E38" t="e">
            <v>#REF!</v>
          </cell>
          <cell r="F38" t="e">
            <v>#REF!</v>
          </cell>
          <cell r="G38" t="e">
            <v>#REF!</v>
          </cell>
          <cell r="H38" t="e">
            <v>#REF!</v>
          </cell>
          <cell r="I38" t="e">
            <v>#REF!</v>
          </cell>
          <cell r="J38" t="e">
            <v>#REF!</v>
          </cell>
          <cell r="K38" t="e">
            <v>#REF!</v>
          </cell>
          <cell r="L38" t="e">
            <v>#REF!</v>
          </cell>
          <cell r="M38" t="e">
            <v>#REF!</v>
          </cell>
        </row>
        <row r="39">
          <cell r="A39" t="str">
            <v xml:space="preserve">   Dividends ($m)</v>
          </cell>
          <cell r="B39" t="str">
            <v>BA01270000</v>
          </cell>
          <cell r="C39" t="str">
            <v>$m</v>
          </cell>
          <cell r="D39">
            <v>-242</v>
          </cell>
          <cell r="E39">
            <v>-286</v>
          </cell>
          <cell r="F39">
            <v>-362.09999999999997</v>
          </cell>
          <cell r="G39">
            <v>-535.91999999999996</v>
          </cell>
          <cell r="H39">
            <v>-773.76749999999993</v>
          </cell>
          <cell r="I39">
            <v>-958.3</v>
          </cell>
          <cell r="J39">
            <v>-1128.7</v>
          </cell>
          <cell r="K39">
            <v>-1597.1000000000001</v>
          </cell>
          <cell r="L39">
            <v>-1964.27</v>
          </cell>
          <cell r="M39">
            <v>-2619.1999999999998</v>
          </cell>
        </row>
        <row r="40">
          <cell r="A40" t="str">
            <v>Retained profit ($m)</v>
          </cell>
          <cell r="B40" t="str">
            <v>BA01280000</v>
          </cell>
          <cell r="C40" t="str">
            <v>$m</v>
          </cell>
          <cell r="D40" t="e">
            <v>#REF!</v>
          </cell>
          <cell r="E40" t="e">
            <v>#REF!</v>
          </cell>
          <cell r="F40" t="e">
            <v>#REF!</v>
          </cell>
          <cell r="G40" t="e">
            <v>#REF!</v>
          </cell>
          <cell r="H40" t="e">
            <v>#REF!</v>
          </cell>
          <cell r="I40" t="e">
            <v>#REF!</v>
          </cell>
          <cell r="J40" t="e">
            <v>#REF!</v>
          </cell>
          <cell r="K40" t="e">
            <v>#REF!</v>
          </cell>
          <cell r="L40" t="e">
            <v>#REF!</v>
          </cell>
          <cell r="M40" t="e">
            <v>#REF!</v>
          </cell>
        </row>
        <row r="43">
          <cell r="A43" t="str">
            <v>Earnings per share ($)</v>
          </cell>
          <cell r="B43" t="str">
            <v>BB02010000</v>
          </cell>
          <cell r="C43" t="str">
            <v>$</v>
          </cell>
          <cell r="D43" t="e">
            <v>#REF!</v>
          </cell>
          <cell r="E43" t="e">
            <v>#REF!</v>
          </cell>
          <cell r="F43" t="e">
            <v>#REF!</v>
          </cell>
          <cell r="G43" t="e">
            <v>#REF!</v>
          </cell>
          <cell r="H43" t="e">
            <v>#REF!</v>
          </cell>
          <cell r="I43" t="e">
            <v>#REF!</v>
          </cell>
          <cell r="J43" t="e">
            <v>#REF!</v>
          </cell>
          <cell r="K43" t="e">
            <v>#REF!</v>
          </cell>
          <cell r="L43" t="e">
            <v>#REF!</v>
          </cell>
          <cell r="M43" t="e">
            <v>#REF!</v>
          </cell>
        </row>
        <row r="44">
          <cell r="A44" t="str">
            <v xml:space="preserve">   Dividend per share ($)</v>
          </cell>
          <cell r="B44" t="str">
            <v>BB02020000</v>
          </cell>
          <cell r="C44" t="str">
            <v>$</v>
          </cell>
          <cell r="D44">
            <v>1</v>
          </cell>
          <cell r="E44">
            <v>1.3</v>
          </cell>
          <cell r="F44">
            <v>1.6</v>
          </cell>
          <cell r="G44">
            <v>2</v>
          </cell>
          <cell r="H44">
            <v>2.5</v>
          </cell>
          <cell r="I44">
            <v>3</v>
          </cell>
          <cell r="J44">
            <v>3.5</v>
          </cell>
          <cell r="K44">
            <v>4.5</v>
          </cell>
          <cell r="L44">
            <v>5.5</v>
          </cell>
          <cell r="M44">
            <v>7</v>
          </cell>
        </row>
        <row r="45">
          <cell r="A45" t="str">
            <v xml:space="preserve">   Dividend cover (X)</v>
          </cell>
          <cell r="B45" t="str">
            <v>BB02030000</v>
          </cell>
          <cell r="C45" t="str">
            <v>X</v>
          </cell>
          <cell r="D45" t="e">
            <v>#REF!</v>
          </cell>
          <cell r="E45" t="e">
            <v>#REF!</v>
          </cell>
          <cell r="F45" t="e">
            <v>#REF!</v>
          </cell>
          <cell r="G45" t="e">
            <v>#REF!</v>
          </cell>
          <cell r="H45" t="e">
            <v>#REF!</v>
          </cell>
          <cell r="I45" t="e">
            <v>#REF!</v>
          </cell>
          <cell r="J45" t="e">
            <v>#REF!</v>
          </cell>
          <cell r="K45" t="e">
            <v>#REF!</v>
          </cell>
          <cell r="L45" t="e">
            <v>#REF!</v>
          </cell>
          <cell r="M45" t="e">
            <v>#REF!</v>
          </cell>
        </row>
        <row r="46">
          <cell r="A46" t="str">
            <v>Pre-exceptional earnings per share ($)</v>
          </cell>
          <cell r="B46" t="str">
            <v>BB02040000</v>
          </cell>
          <cell r="C46" t="str">
            <v>$</v>
          </cell>
          <cell r="D46" t="e">
            <v>#REF!</v>
          </cell>
          <cell r="E46" t="e">
            <v>#REF!</v>
          </cell>
          <cell r="F46" t="e">
            <v>#REF!</v>
          </cell>
          <cell r="G46" t="e">
            <v>#REF!</v>
          </cell>
          <cell r="H46" t="e">
            <v>#REF!</v>
          </cell>
          <cell r="I46" t="e">
            <v>#REF!</v>
          </cell>
          <cell r="J46" t="e">
            <v>#REF!</v>
          </cell>
          <cell r="K46" t="e">
            <v>#REF!</v>
          </cell>
          <cell r="L46" t="e">
            <v>#REF!</v>
          </cell>
          <cell r="M46" t="e">
            <v>#REF!</v>
          </cell>
        </row>
        <row r="48">
          <cell r="A48" t="str">
            <v xml:space="preserve">   Pre-exceptional dividend cover (X)</v>
          </cell>
          <cell r="B48" t="str">
            <v>BB02060000</v>
          </cell>
          <cell r="C48" t="str">
            <v>X</v>
          </cell>
          <cell r="D48" t="e">
            <v>#REF!</v>
          </cell>
          <cell r="E48" t="e">
            <v>#REF!</v>
          </cell>
          <cell r="F48" t="e">
            <v>#REF!</v>
          </cell>
          <cell r="G48" t="e">
            <v>#REF!</v>
          </cell>
          <cell r="H48" t="e">
            <v>#REF!</v>
          </cell>
          <cell r="I48" t="e">
            <v>#REF!</v>
          </cell>
          <cell r="J48" t="e">
            <v>#REF!</v>
          </cell>
          <cell r="K48" t="e">
            <v>#REF!</v>
          </cell>
          <cell r="L48" t="e">
            <v>#REF!</v>
          </cell>
          <cell r="M48" t="e">
            <v>#REF!</v>
          </cell>
        </row>
        <row r="49">
          <cell r="A49" t="str">
            <v xml:space="preserve">   Shares in issue (m shrs)</v>
          </cell>
          <cell r="B49" t="str">
            <v>BB02070000</v>
          </cell>
          <cell r="C49" t="str">
            <v>m shrs</v>
          </cell>
          <cell r="D49">
            <v>200</v>
          </cell>
          <cell r="E49">
            <v>200</v>
          </cell>
          <cell r="F49">
            <v>243.28000000000003</v>
          </cell>
          <cell r="G49">
            <v>243.6</v>
          </cell>
          <cell r="H49">
            <v>281.37</v>
          </cell>
          <cell r="I49">
            <v>282.05</v>
          </cell>
          <cell r="J49">
            <v>284.79000000000002</v>
          </cell>
          <cell r="K49">
            <v>309.88</v>
          </cell>
          <cell r="L49">
            <v>313.14</v>
          </cell>
          <cell r="M49">
            <v>319.39</v>
          </cell>
        </row>
        <row r="50">
          <cell r="A50" t="str">
            <v>Average shares in issue (m shrs)</v>
          </cell>
          <cell r="B50" t="str">
            <v>BB02080000</v>
          </cell>
          <cell r="C50" t="str">
            <v>m shrs</v>
          </cell>
          <cell r="D50">
            <v>200</v>
          </cell>
          <cell r="E50">
            <v>200</v>
          </cell>
          <cell r="F50">
            <v>221.64000000000001</v>
          </cell>
          <cell r="G50">
            <v>243.44</v>
          </cell>
          <cell r="H50">
            <v>262.48500000000001</v>
          </cell>
          <cell r="I50">
            <v>281.70999999999998</v>
          </cell>
          <cell r="J50">
            <v>283.41999999999996</v>
          </cell>
          <cell r="K50">
            <v>297.33500000000004</v>
          </cell>
          <cell r="L50">
            <v>311.51000000000005</v>
          </cell>
          <cell r="M50">
            <v>316.26499999999999</v>
          </cell>
        </row>
        <row r="53">
          <cell r="A53" t="str">
            <v xml:space="preserve">   Additional after tax income from transaction ($m)</v>
          </cell>
          <cell r="B53" t="str">
            <v>BC03010000</v>
          </cell>
          <cell r="C53" t="str">
            <v>$m</v>
          </cell>
          <cell r="D53">
            <v>0</v>
          </cell>
          <cell r="E53">
            <v>0</v>
          </cell>
          <cell r="F53">
            <v>0</v>
          </cell>
          <cell r="G53">
            <v>0</v>
          </cell>
          <cell r="H53">
            <v>0</v>
          </cell>
          <cell r="I53">
            <v>0</v>
          </cell>
          <cell r="J53">
            <v>0</v>
          </cell>
          <cell r="K53">
            <v>0</v>
          </cell>
          <cell r="L53">
            <v>0</v>
          </cell>
          <cell r="M53">
            <v>0</v>
          </cell>
        </row>
        <row r="54">
          <cell r="A54" t="str">
            <v>Fully-diluted earnings per share ($)</v>
          </cell>
          <cell r="B54" t="str">
            <v>BC03020000</v>
          </cell>
          <cell r="C54" t="str">
            <v>$</v>
          </cell>
          <cell r="D54" t="e">
            <v>#REF!</v>
          </cell>
          <cell r="E54" t="e">
            <v>#REF!</v>
          </cell>
          <cell r="F54" t="e">
            <v>#REF!</v>
          </cell>
          <cell r="G54" t="e">
            <v>#REF!</v>
          </cell>
          <cell r="H54" t="e">
            <v>#REF!</v>
          </cell>
          <cell r="I54" t="e">
            <v>#REF!</v>
          </cell>
          <cell r="J54" t="e">
            <v>#REF!</v>
          </cell>
          <cell r="K54" t="e">
            <v>#REF!</v>
          </cell>
          <cell r="L54" t="e">
            <v>#REF!</v>
          </cell>
          <cell r="M54" t="e">
            <v>#REF!</v>
          </cell>
        </row>
        <row r="56">
          <cell r="A56" t="str">
            <v xml:space="preserve">   Fully-diluted dividend cover (X)</v>
          </cell>
          <cell r="B56" t="str">
            <v>BC03040000</v>
          </cell>
          <cell r="C56" t="str">
            <v>X</v>
          </cell>
          <cell r="D56" t="e">
            <v>#REF!</v>
          </cell>
          <cell r="E56" t="e">
            <v>#REF!</v>
          </cell>
          <cell r="F56" t="e">
            <v>#REF!</v>
          </cell>
          <cell r="G56" t="e">
            <v>#REF!</v>
          </cell>
          <cell r="H56" t="e">
            <v>#REF!</v>
          </cell>
          <cell r="I56" t="e">
            <v>#REF!</v>
          </cell>
          <cell r="J56" t="e">
            <v>#REF!</v>
          </cell>
          <cell r="K56" t="e">
            <v>#REF!</v>
          </cell>
          <cell r="L56" t="e">
            <v>#REF!</v>
          </cell>
          <cell r="M56" t="e">
            <v>#REF!</v>
          </cell>
        </row>
        <row r="57">
          <cell r="A57" t="str">
            <v>Fully-diluted pre-exceptional earnings per share ($)</v>
          </cell>
          <cell r="B57" t="str">
            <v>BC03050000</v>
          </cell>
          <cell r="C57" t="str">
            <v>$</v>
          </cell>
          <cell r="D57" t="e">
            <v>#REF!</v>
          </cell>
          <cell r="E57" t="e">
            <v>#REF!</v>
          </cell>
          <cell r="F57" t="e">
            <v>#REF!</v>
          </cell>
          <cell r="G57" t="e">
            <v>#REF!</v>
          </cell>
          <cell r="H57" t="e">
            <v>#REF!</v>
          </cell>
          <cell r="I57" t="e">
            <v>#REF!</v>
          </cell>
          <cell r="J57" t="e">
            <v>#REF!</v>
          </cell>
          <cell r="K57" t="e">
            <v>#REF!</v>
          </cell>
          <cell r="L57" t="e">
            <v>#REF!</v>
          </cell>
          <cell r="M57" t="e">
            <v>#REF!</v>
          </cell>
        </row>
        <row r="59">
          <cell r="A59" t="str">
            <v xml:space="preserve">   Fully-diluted pre-exceptional dividend cover (X)</v>
          </cell>
          <cell r="B59" t="str">
            <v>BC03070000</v>
          </cell>
          <cell r="C59" t="str">
            <v>X</v>
          </cell>
          <cell r="D59" t="e">
            <v>#REF!</v>
          </cell>
          <cell r="E59" t="e">
            <v>#REF!</v>
          </cell>
          <cell r="F59" t="e">
            <v>#REF!</v>
          </cell>
          <cell r="G59" t="e">
            <v>#REF!</v>
          </cell>
          <cell r="H59" t="e">
            <v>#REF!</v>
          </cell>
          <cell r="I59" t="e">
            <v>#REF!</v>
          </cell>
          <cell r="J59" t="e">
            <v>#REF!</v>
          </cell>
          <cell r="K59" t="e">
            <v>#REF!</v>
          </cell>
          <cell r="L59" t="e">
            <v>#REF!</v>
          </cell>
          <cell r="M59" t="e">
            <v>#REF!</v>
          </cell>
        </row>
        <row r="60">
          <cell r="A60" t="str">
            <v xml:space="preserve">   Cumulative additional shares issued (m shrs)</v>
          </cell>
          <cell r="B60" t="str">
            <v>BC03080000</v>
          </cell>
          <cell r="C60" t="str">
            <v>m shrs</v>
          </cell>
          <cell r="D60">
            <v>0</v>
          </cell>
          <cell r="E60">
            <v>0</v>
          </cell>
          <cell r="F60">
            <v>0</v>
          </cell>
          <cell r="G60">
            <v>0</v>
          </cell>
          <cell r="H60">
            <v>0</v>
          </cell>
          <cell r="I60">
            <v>0</v>
          </cell>
          <cell r="J60">
            <v>0</v>
          </cell>
          <cell r="K60">
            <v>0</v>
          </cell>
          <cell r="L60">
            <v>0</v>
          </cell>
          <cell r="M60">
            <v>0</v>
          </cell>
        </row>
        <row r="61">
          <cell r="A61" t="str">
            <v xml:space="preserve">   Fully-diluted shares in issue (m shrs)</v>
          </cell>
          <cell r="B61" t="str">
            <v>BC03090000</v>
          </cell>
          <cell r="C61" t="str">
            <v>m shrs</v>
          </cell>
          <cell r="D61">
            <v>200</v>
          </cell>
          <cell r="E61">
            <v>200</v>
          </cell>
          <cell r="F61">
            <v>243.28000000000003</v>
          </cell>
          <cell r="G61">
            <v>243.6</v>
          </cell>
          <cell r="H61">
            <v>281.37</v>
          </cell>
          <cell r="I61">
            <v>282.05</v>
          </cell>
          <cell r="J61">
            <v>284.79000000000002</v>
          </cell>
          <cell r="K61">
            <v>309.88</v>
          </cell>
          <cell r="L61">
            <v>313.14</v>
          </cell>
          <cell r="M61">
            <v>319.39</v>
          </cell>
        </row>
        <row r="62">
          <cell r="A62" t="str">
            <v>Average fully-diluted shares in issue (m shrs)</v>
          </cell>
          <cell r="B62" t="str">
            <v>BC03100000</v>
          </cell>
          <cell r="C62" t="str">
            <v>m shrs</v>
          </cell>
          <cell r="D62" t="e">
            <v>#REF!</v>
          </cell>
          <cell r="E62" t="e">
            <v>#REF!</v>
          </cell>
          <cell r="F62" t="e">
            <v>#REF!</v>
          </cell>
          <cell r="G62" t="e">
            <v>#REF!</v>
          </cell>
          <cell r="H62" t="e">
            <v>#REF!</v>
          </cell>
          <cell r="I62">
            <v>281.71000000000004</v>
          </cell>
          <cell r="J62">
            <v>283.42</v>
          </cell>
          <cell r="K62">
            <v>297.33500000000004</v>
          </cell>
          <cell r="L62">
            <v>311.51</v>
          </cell>
          <cell r="M62">
            <v>316.26499999999999</v>
          </cell>
        </row>
        <row r="65">
          <cell r="A65" t="str">
            <v xml:space="preserve">   Average interest earnings assets ($m)</v>
          </cell>
          <cell r="B65" t="str">
            <v>BD04010000</v>
          </cell>
          <cell r="C65" t="str">
            <v>$m</v>
          </cell>
          <cell r="D65">
            <v>20363.099999999999</v>
          </cell>
          <cell r="E65">
            <v>31741.35</v>
          </cell>
          <cell r="F65">
            <v>72860.3</v>
          </cell>
          <cell r="G65">
            <v>125608.19999999998</v>
          </cell>
          <cell r="H65">
            <v>183346.9</v>
          </cell>
          <cell r="I65">
            <v>252940.45</v>
          </cell>
          <cell r="J65">
            <v>344855.05</v>
          </cell>
          <cell r="K65">
            <v>450244.8</v>
          </cell>
          <cell r="L65">
            <v>598821.64999999991</v>
          </cell>
          <cell r="M65">
            <v>785188.40000000014</v>
          </cell>
        </row>
        <row r="67">
          <cell r="A67" t="str">
            <v>Net interest margin (%)</v>
          </cell>
          <cell r="B67" t="str">
            <v>BD04030000</v>
          </cell>
          <cell r="C67" t="str">
            <v>%</v>
          </cell>
          <cell r="D67">
            <v>5.0704460519272611E-2</v>
          </cell>
          <cell r="E67">
            <v>4.6280325190957525E-2</v>
          </cell>
          <cell r="F67">
            <v>4.1941908007515745E-2</v>
          </cell>
          <cell r="G67">
            <v>4.0260906533172186E-2</v>
          </cell>
          <cell r="H67">
            <v>3.4320187578846438E-2</v>
          </cell>
          <cell r="I67">
            <v>3.2853978080611468E-2</v>
          </cell>
          <cell r="J67">
            <v>3.8795430137966672E-2</v>
          </cell>
          <cell r="K67">
            <v>3.9488074043276006E-2</v>
          </cell>
          <cell r="L67">
            <v>4.2514160935898028E-2</v>
          </cell>
          <cell r="M67">
            <v>4.4173856873076574E-2</v>
          </cell>
        </row>
        <row r="69">
          <cell r="A69" t="str">
            <v xml:space="preserve">   Post-provision net interest income ($m)</v>
          </cell>
          <cell r="B69" t="str">
            <v>BD04050000</v>
          </cell>
          <cell r="C69" t="str">
            <v>$m</v>
          </cell>
          <cell r="D69" t="e">
            <v>#REF!</v>
          </cell>
          <cell r="E69" t="e">
            <v>#REF!</v>
          </cell>
          <cell r="F69" t="e">
            <v>#REF!</v>
          </cell>
          <cell r="G69">
            <v>4527.4999999999973</v>
          </cell>
          <cell r="H69">
            <v>5434.8</v>
          </cell>
          <cell r="I69">
            <v>7426.2000000000025</v>
          </cell>
          <cell r="J69">
            <v>11595.800000000003</v>
          </cell>
          <cell r="K69">
            <v>16017.099999999995</v>
          </cell>
          <cell r="L69">
            <v>20660.799999999996</v>
          </cell>
          <cell r="M69">
            <v>26074.700000000004</v>
          </cell>
        </row>
        <row r="70">
          <cell r="A70" t="str">
            <v>Post-provision net interest margin (%)</v>
          </cell>
          <cell r="B70" t="str">
            <v>BD04060000</v>
          </cell>
          <cell r="C70" t="str">
            <v>%</v>
          </cell>
          <cell r="D70" t="e">
            <v>#REF!</v>
          </cell>
          <cell r="E70" t="e">
            <v>#REF!</v>
          </cell>
          <cell r="F70" t="e">
            <v>#REF!</v>
          </cell>
          <cell r="G70">
            <v>3.6044621290648206E-2</v>
          </cell>
          <cell r="H70">
            <v>2.9642170115775072E-2</v>
          </cell>
          <cell r="I70">
            <v>2.9359479671993951E-2</v>
          </cell>
          <cell r="J70">
            <v>3.3625141925571346E-2</v>
          </cell>
          <cell r="K70">
            <v>3.5574203189020714E-2</v>
          </cell>
          <cell r="L70">
            <v>3.450242655722284E-2</v>
          </cell>
          <cell r="M70">
            <v>3.3208208373939299E-2</v>
          </cell>
        </row>
        <row r="74">
          <cell r="A74" t="str">
            <v>Non-interest income/operating income (%)</v>
          </cell>
          <cell r="B74" t="str">
            <v>BD04100000</v>
          </cell>
          <cell r="C74" t="str">
            <v>%</v>
          </cell>
          <cell r="D74">
            <v>0.23456149455111569</v>
          </cell>
          <cell r="E74">
            <v>0.31661704503163385</v>
          </cell>
          <cell r="F74">
            <v>0.29104027468448407</v>
          </cell>
          <cell r="G74">
            <v>0.26903619333950052</v>
          </cell>
          <cell r="H74">
            <v>0.34678348610519982</v>
          </cell>
          <cell r="I74">
            <v>0.36224799122046303</v>
          </cell>
          <cell r="J74">
            <v>0.26424215093737796</v>
          </cell>
          <cell r="K74">
            <v>0.26805842589314394</v>
          </cell>
          <cell r="L74">
            <v>0.30623501199040765</v>
          </cell>
          <cell r="M74">
            <v>0.3043227110811591</v>
          </cell>
        </row>
        <row r="75">
          <cell r="A75" t="str">
            <v>Cost/income ratio (%)</v>
          </cell>
          <cell r="B75" t="str">
            <v>BD04110000</v>
          </cell>
          <cell r="C75" t="str">
            <v>%</v>
          </cell>
          <cell r="D75">
            <v>0.46489732374527393</v>
          </cell>
          <cell r="E75">
            <v>0.41305359136583553</v>
          </cell>
          <cell r="F75">
            <v>0.39761971046770606</v>
          </cell>
          <cell r="G75">
            <v>0.44748785846438499</v>
          </cell>
          <cell r="H75">
            <v>0.43386864041689588</v>
          </cell>
          <cell r="I75">
            <v>0.45419522190586548</v>
          </cell>
          <cell r="J75">
            <v>0.44545389552181341</v>
          </cell>
          <cell r="K75">
            <v>0.4468395181675216</v>
          </cell>
          <cell r="L75">
            <v>0.46083769348157844</v>
          </cell>
          <cell r="M75">
            <v>0.48554282596835785</v>
          </cell>
        </row>
        <row r="78">
          <cell r="A78" t="str">
            <v>Number of employees</v>
          </cell>
          <cell r="B78" t="str">
            <v>BE05010000</v>
          </cell>
          <cell r="C78" t="str">
            <v>X</v>
          </cell>
          <cell r="D78">
            <v>680</v>
          </cell>
          <cell r="E78">
            <v>800</v>
          </cell>
          <cell r="F78">
            <v>1000</v>
          </cell>
          <cell r="G78">
            <v>2800</v>
          </cell>
          <cell r="H78">
            <v>3742</v>
          </cell>
          <cell r="I78">
            <v>4791</v>
          </cell>
          <cell r="J78">
            <v>4791</v>
          </cell>
          <cell r="K78">
            <v>4791</v>
          </cell>
          <cell r="L78">
            <v>4791</v>
          </cell>
          <cell r="M78">
            <v>4791</v>
          </cell>
        </row>
        <row r="79">
          <cell r="A79" t="str">
            <v>Number of branches</v>
          </cell>
          <cell r="B79" t="str">
            <v>BE05020000</v>
          </cell>
          <cell r="C79" t="str">
            <v>X</v>
          </cell>
          <cell r="D79">
            <v>26</v>
          </cell>
          <cell r="E79">
            <v>38</v>
          </cell>
          <cell r="F79">
            <v>48</v>
          </cell>
          <cell r="G79">
            <v>131</v>
          </cell>
          <cell r="H79">
            <v>171</v>
          </cell>
          <cell r="I79">
            <v>231</v>
          </cell>
          <cell r="J79">
            <v>111</v>
          </cell>
          <cell r="K79">
            <v>111</v>
          </cell>
          <cell r="L79">
            <v>111</v>
          </cell>
          <cell r="M79">
            <v>111</v>
          </cell>
        </row>
        <row r="80">
          <cell r="A80" t="str">
            <v xml:space="preserve">   Total assets ($m)</v>
          </cell>
          <cell r="B80" t="str">
            <v>BE05030000</v>
          </cell>
          <cell r="C80" t="str">
            <v>$m</v>
          </cell>
          <cell r="D80">
            <v>28299.799999999996</v>
          </cell>
          <cell r="E80">
            <v>43499.6</v>
          </cell>
          <cell r="F80">
            <v>116561.4</v>
          </cell>
          <cell r="G80">
            <v>156173.29999999999</v>
          </cell>
          <cell r="H80">
            <v>237873.8</v>
          </cell>
          <cell r="I80">
            <v>304240.8</v>
          </cell>
          <cell r="J80">
            <v>423069.89999999991</v>
          </cell>
          <cell r="K80">
            <v>514290</v>
          </cell>
          <cell r="L80">
            <v>735063.9</v>
          </cell>
          <cell r="M80">
            <v>912356.1</v>
          </cell>
        </row>
        <row r="81">
          <cell r="A81" t="str">
            <v xml:space="preserve">   Gross customer advances ($m)</v>
          </cell>
          <cell r="B81" t="str">
            <v>BE05040000</v>
          </cell>
          <cell r="C81" t="str">
            <v>$m</v>
          </cell>
          <cell r="D81">
            <v>13238.5</v>
          </cell>
          <cell r="E81">
            <v>22595.1</v>
          </cell>
          <cell r="F81">
            <v>52285.899999999994</v>
          </cell>
          <cell r="G81">
            <v>73080.899999999994</v>
          </cell>
          <cell r="H81">
            <v>106791.304</v>
          </cell>
          <cell r="I81">
            <v>149773.27599999998</v>
          </cell>
          <cell r="J81">
            <v>226876.6</v>
          </cell>
          <cell r="K81">
            <v>308399.68800000002</v>
          </cell>
          <cell r="L81">
            <v>411814.62199999997</v>
          </cell>
          <cell r="M81">
            <v>526464.43500000006</v>
          </cell>
        </row>
        <row r="82">
          <cell r="A82" t="str">
            <v xml:space="preserve">   Customer deposits ($m)</v>
          </cell>
          <cell r="B82" t="str">
            <v>BE05050000</v>
          </cell>
          <cell r="C82" t="str">
            <v>$m</v>
          </cell>
          <cell r="D82">
            <v>21917.4</v>
          </cell>
          <cell r="E82">
            <v>29151.1</v>
          </cell>
          <cell r="F82">
            <v>84277.2</v>
          </cell>
          <cell r="G82">
            <v>116581.1</v>
          </cell>
          <cell r="H82">
            <v>176538.1</v>
          </cell>
          <cell r="I82">
            <v>223760.7</v>
          </cell>
          <cell r="J82">
            <v>304088.59999999998</v>
          </cell>
          <cell r="K82">
            <v>363542.5</v>
          </cell>
          <cell r="L82">
            <v>557968.19999999995</v>
          </cell>
          <cell r="M82">
            <v>682979.39999999991</v>
          </cell>
        </row>
        <row r="88">
          <cell r="A88" t="str">
            <v xml:space="preserve">   Total assets per employee (000s)</v>
          </cell>
          <cell r="B88" t="str">
            <v>BE05110000</v>
          </cell>
          <cell r="C88" t="str">
            <v>000s</v>
          </cell>
          <cell r="D88">
            <v>41617.352941176461</v>
          </cell>
          <cell r="E88">
            <v>54374.5</v>
          </cell>
          <cell r="F88">
            <v>116561.4</v>
          </cell>
          <cell r="G88">
            <v>55776.178571428565</v>
          </cell>
          <cell r="H88">
            <v>63568.626402993046</v>
          </cell>
          <cell r="I88">
            <v>63502.567313713211</v>
          </cell>
          <cell r="J88">
            <v>88305.134627426407</v>
          </cell>
          <cell r="K88">
            <v>107345.02191609268</v>
          </cell>
          <cell r="L88">
            <v>153425.98622417031</v>
          </cell>
          <cell r="M88">
            <v>190431.24608641202</v>
          </cell>
        </row>
        <row r="89">
          <cell r="A89" t="str">
            <v xml:space="preserve">   Gross customer advances per employee (000s)</v>
          </cell>
          <cell r="B89" t="str">
            <v>BE05120000</v>
          </cell>
          <cell r="C89" t="str">
            <v>000s</v>
          </cell>
          <cell r="D89">
            <v>19468.382352941178</v>
          </cell>
          <cell r="E89">
            <v>28243.875</v>
          </cell>
          <cell r="F89">
            <v>52285.899999999994</v>
          </cell>
          <cell r="G89">
            <v>26100.321428571428</v>
          </cell>
          <cell r="H89">
            <v>28538.563335114912</v>
          </cell>
          <cell r="I89">
            <v>31261.380922563134</v>
          </cell>
          <cell r="J89">
            <v>47354.748486745986</v>
          </cell>
          <cell r="K89">
            <v>64370.629931120857</v>
          </cell>
          <cell r="L89">
            <v>85955.880192026714</v>
          </cell>
          <cell r="M89">
            <v>109886.12711333753</v>
          </cell>
        </row>
        <row r="90">
          <cell r="A90" t="str">
            <v xml:space="preserve">   Customer deposits per employee (000s)</v>
          </cell>
          <cell r="B90" t="str">
            <v>BE05130000</v>
          </cell>
          <cell r="C90" t="str">
            <v>000s</v>
          </cell>
          <cell r="D90">
            <v>32231.470588235297</v>
          </cell>
          <cell r="E90">
            <v>36438.874999999993</v>
          </cell>
          <cell r="F90">
            <v>84277.2</v>
          </cell>
          <cell r="G90">
            <v>41636.107142857145</v>
          </cell>
          <cell r="H90">
            <v>47177.471940138967</v>
          </cell>
          <cell r="I90">
            <v>46704.383218534756</v>
          </cell>
          <cell r="J90">
            <v>63470.799415570858</v>
          </cell>
          <cell r="K90">
            <v>75880.296389062816</v>
          </cell>
          <cell r="L90">
            <v>116461.74076393236</v>
          </cell>
          <cell r="M90">
            <v>142554.66499686913</v>
          </cell>
        </row>
        <row r="91">
          <cell r="A91" t="str">
            <v xml:space="preserve">   Operating income per employee (000s)</v>
          </cell>
          <cell r="B91" t="str">
            <v>BE05140000</v>
          </cell>
          <cell r="C91" t="str">
            <v>000s</v>
          </cell>
          <cell r="D91">
            <v>1983.6764705882356</v>
          </cell>
          <cell r="E91">
            <v>2686.9999999999995</v>
          </cell>
          <cell r="F91">
            <v>4310.3999999999996</v>
          </cell>
          <cell r="G91">
            <v>2470.8571428571422</v>
          </cell>
          <cell r="H91">
            <v>2574.3185462319616</v>
          </cell>
          <cell r="I91">
            <v>2719.7453558756006</v>
          </cell>
          <cell r="J91">
            <v>3795.3871843039042</v>
          </cell>
          <cell r="K91">
            <v>5070.0480066791897</v>
          </cell>
          <cell r="L91">
            <v>7659.3613024420792</v>
          </cell>
          <cell r="M91">
            <v>10406.51221039449</v>
          </cell>
        </row>
        <row r="92">
          <cell r="A92" t="str">
            <v xml:space="preserve">   Operating expenses per employee (000s)</v>
          </cell>
          <cell r="B92" t="str">
            <v>BE05150000</v>
          </cell>
          <cell r="C92" t="str">
            <v>000s</v>
          </cell>
          <cell r="D92">
            <v>922.20588235294122</v>
          </cell>
          <cell r="E92">
            <v>1109.8749999999998</v>
          </cell>
          <cell r="F92">
            <v>1713.9</v>
          </cell>
          <cell r="G92">
            <v>1105.6785714285716</v>
          </cell>
          <cell r="H92">
            <v>1116.9160876536612</v>
          </cell>
          <cell r="I92">
            <v>1235.2953454393655</v>
          </cell>
          <cell r="J92">
            <v>1690.670006261741</v>
          </cell>
          <cell r="K92">
            <v>2265.4978083907326</v>
          </cell>
          <cell r="L92">
            <v>3529.7223961594664</v>
          </cell>
          <cell r="M92">
            <v>5052.8073471091629</v>
          </cell>
        </row>
        <row r="93">
          <cell r="A93" t="str">
            <v>Pre-provision profit per employee (000s)</v>
          </cell>
          <cell r="B93" t="str">
            <v>BE05160000</v>
          </cell>
          <cell r="C93" t="str">
            <v>000s</v>
          </cell>
          <cell r="D93">
            <v>1061.4705882352941</v>
          </cell>
          <cell r="E93">
            <v>1577.1249999999995</v>
          </cell>
          <cell r="F93">
            <v>2596.4999999999995</v>
          </cell>
          <cell r="G93">
            <v>1365.1785714285706</v>
          </cell>
          <cell r="H93">
            <v>1457.4024585783006</v>
          </cell>
          <cell r="I93">
            <v>1484.4500104362353</v>
          </cell>
          <cell r="J93">
            <v>2104.7171780421631</v>
          </cell>
          <cell r="K93">
            <v>2804.5501982884571</v>
          </cell>
          <cell r="L93">
            <v>4129.6389062826129</v>
          </cell>
          <cell r="M93">
            <v>5353.7048632853284</v>
          </cell>
        </row>
        <row r="94">
          <cell r="A94" t="str">
            <v>Operating profit per employee (000s)</v>
          </cell>
          <cell r="B94" t="str">
            <v>BE05170000</v>
          </cell>
          <cell r="C94" t="str">
            <v>000s</v>
          </cell>
          <cell r="D94" t="e">
            <v>#REF!</v>
          </cell>
          <cell r="E94" t="e">
            <v>#REF!</v>
          </cell>
          <cell r="F94" t="e">
            <v>#REF!</v>
          </cell>
          <cell r="G94">
            <v>1176.0357142857133</v>
          </cell>
          <cell r="H94">
            <v>1228.1934794227686</v>
          </cell>
          <cell r="I94">
            <v>1299.9582550615744</v>
          </cell>
          <cell r="J94">
            <v>1732.5610519724491</v>
          </cell>
          <cell r="K94">
            <v>2436.7355458150696</v>
          </cell>
          <cell r="L94">
            <v>3128.2613233145476</v>
          </cell>
          <cell r="M94">
            <v>3556.5643915675241</v>
          </cell>
        </row>
        <row r="95">
          <cell r="A95" t="str">
            <v>Net profit per employee (000s)</v>
          </cell>
          <cell r="B95" t="str">
            <v>BE05180000</v>
          </cell>
          <cell r="C95" t="str">
            <v>000s</v>
          </cell>
          <cell r="D95" t="e">
            <v>#REF!</v>
          </cell>
          <cell r="E95" t="e">
            <v>#REF!</v>
          </cell>
          <cell r="F95" t="e">
            <v>#REF!</v>
          </cell>
          <cell r="G95" t="e">
            <v>#REF!</v>
          </cell>
          <cell r="H95" t="e">
            <v>#REF!</v>
          </cell>
          <cell r="I95" t="e">
            <v>#REF!</v>
          </cell>
          <cell r="J95" t="e">
            <v>#REF!</v>
          </cell>
          <cell r="K95" t="e">
            <v>#REF!</v>
          </cell>
          <cell r="L95" t="e">
            <v>#REF!</v>
          </cell>
          <cell r="M95" t="e">
            <v>#REF!</v>
          </cell>
        </row>
        <row r="96">
          <cell r="A96" t="str">
            <v xml:space="preserve">   Total assets per branch (000s)</v>
          </cell>
          <cell r="B96" t="str">
            <v>BE05190000</v>
          </cell>
          <cell r="C96" t="str">
            <v>000s</v>
          </cell>
          <cell r="D96">
            <v>1088.4538461538459</v>
          </cell>
          <cell r="E96">
            <v>1144.7263157894736</v>
          </cell>
          <cell r="F96">
            <v>2428.3624999999997</v>
          </cell>
          <cell r="G96">
            <v>1192.1625954198473</v>
          </cell>
          <cell r="H96">
            <v>1391.0748538011694</v>
          </cell>
          <cell r="I96">
            <v>1317.0597402597402</v>
          </cell>
          <cell r="J96">
            <v>3811.4405405405396</v>
          </cell>
          <cell r="K96">
            <v>4633.2432432432433</v>
          </cell>
          <cell r="L96">
            <v>6622.1972972972972</v>
          </cell>
          <cell r="M96">
            <v>8219.4243243243236</v>
          </cell>
        </row>
        <row r="97">
          <cell r="A97" t="str">
            <v xml:space="preserve">   Gross customer advances per branch (000s)</v>
          </cell>
          <cell r="B97" t="str">
            <v>BE05200000</v>
          </cell>
          <cell r="C97" t="str">
            <v>000s</v>
          </cell>
          <cell r="D97">
            <v>509.17307692307691</v>
          </cell>
          <cell r="E97">
            <v>594.60789473684201</v>
          </cell>
          <cell r="F97">
            <v>1089.2895833333332</v>
          </cell>
          <cell r="G97">
            <v>557.86946564885488</v>
          </cell>
          <cell r="H97">
            <v>624.51054970760231</v>
          </cell>
          <cell r="I97">
            <v>648.36916017316014</v>
          </cell>
          <cell r="J97">
            <v>2043.9333333333334</v>
          </cell>
          <cell r="K97">
            <v>2778.3755675675679</v>
          </cell>
          <cell r="L97">
            <v>3710.0416396396395</v>
          </cell>
          <cell r="M97">
            <v>4742.9228378378384</v>
          </cell>
        </row>
        <row r="98">
          <cell r="A98" t="str">
            <v xml:space="preserve">   Customer deposits per branch (000s)</v>
          </cell>
          <cell r="B98" t="str">
            <v>BE05210000</v>
          </cell>
          <cell r="C98" t="str">
            <v>000s</v>
          </cell>
          <cell r="D98">
            <v>842.97692307692319</v>
          </cell>
          <cell r="E98">
            <v>767.13421052631577</v>
          </cell>
          <cell r="F98">
            <v>1755.7749999999999</v>
          </cell>
          <cell r="G98">
            <v>889.9320610687023</v>
          </cell>
          <cell r="H98">
            <v>1032.3865497076024</v>
          </cell>
          <cell r="I98">
            <v>968.66103896103903</v>
          </cell>
          <cell r="J98">
            <v>2739.5369369369369</v>
          </cell>
          <cell r="K98">
            <v>3275.1576576576576</v>
          </cell>
          <cell r="L98">
            <v>5026.7405405405398</v>
          </cell>
          <cell r="M98">
            <v>6152.9675675675671</v>
          </cell>
        </row>
        <row r="99">
          <cell r="A99" t="str">
            <v xml:space="preserve">   Operating income per branch (000s)</v>
          </cell>
          <cell r="B99" t="str">
            <v>BE05220000</v>
          </cell>
          <cell r="C99" t="str">
            <v>000s</v>
          </cell>
          <cell r="D99">
            <v>51.880769230769232</v>
          </cell>
          <cell r="E99">
            <v>56.568421052631564</v>
          </cell>
          <cell r="F99">
            <v>89.8</v>
          </cell>
          <cell r="G99">
            <v>52.812213740457999</v>
          </cell>
          <cell r="H99">
            <v>56.333918128654972</v>
          </cell>
          <cell r="I99">
            <v>56.408225108225118</v>
          </cell>
          <cell r="J99">
            <v>163.81711711711716</v>
          </cell>
          <cell r="K99">
            <v>218.83423423423423</v>
          </cell>
          <cell r="L99">
            <v>330.59459459459458</v>
          </cell>
          <cell r="M99">
            <v>449.16756756756763</v>
          </cell>
        </row>
        <row r="100">
          <cell r="A100" t="str">
            <v xml:space="preserve">   Operating expenses per branch (000s)</v>
          </cell>
          <cell r="B100" t="str">
            <v>BE05230000</v>
          </cell>
          <cell r="C100" t="str">
            <v>000s</v>
          </cell>
          <cell r="D100">
            <v>24.119230769230771</v>
          </cell>
          <cell r="E100">
            <v>23.365789473684206</v>
          </cell>
          <cell r="F100">
            <v>35.706250000000004</v>
          </cell>
          <cell r="G100">
            <v>23.632824427480916</v>
          </cell>
          <cell r="H100">
            <v>24.441520467836256</v>
          </cell>
          <cell r="I100">
            <v>25.620346320346322</v>
          </cell>
          <cell r="J100">
            <v>72.972972972972983</v>
          </cell>
          <cell r="K100">
            <v>97.78378378378379</v>
          </cell>
          <cell r="L100">
            <v>152.35045045045047</v>
          </cell>
          <cell r="M100">
            <v>218.09009009009009</v>
          </cell>
        </row>
        <row r="101">
          <cell r="A101" t="str">
            <v>Pre-provision profit per branch (000s)</v>
          </cell>
          <cell r="B101" t="str">
            <v>BE05240000</v>
          </cell>
          <cell r="C101" t="str">
            <v>000s</v>
          </cell>
          <cell r="D101">
            <v>27.761538461538464</v>
          </cell>
          <cell r="E101">
            <v>33.202631578947354</v>
          </cell>
          <cell r="F101">
            <v>54.093749999999993</v>
          </cell>
          <cell r="G101">
            <v>29.179389312977083</v>
          </cell>
          <cell r="H101">
            <v>31.892397660818716</v>
          </cell>
          <cell r="I101">
            <v>30.7878787878788</v>
          </cell>
          <cell r="J101">
            <v>90.844144144144181</v>
          </cell>
          <cell r="K101">
            <v>121.05045045045044</v>
          </cell>
          <cell r="L101">
            <v>178.24414414414414</v>
          </cell>
          <cell r="M101">
            <v>231.07747747747754</v>
          </cell>
        </row>
        <row r="102">
          <cell r="A102" t="str">
            <v>Operating profit per branch (000s)</v>
          </cell>
          <cell r="B102" t="str">
            <v>BE05250000</v>
          </cell>
          <cell r="C102" t="str">
            <v>000s</v>
          </cell>
          <cell r="D102" t="e">
            <v>#REF!</v>
          </cell>
          <cell r="E102" t="e">
            <v>#REF!</v>
          </cell>
          <cell r="F102" t="e">
            <v>#REF!</v>
          </cell>
          <cell r="G102">
            <v>25.136641221374028</v>
          </cell>
          <cell r="H102">
            <v>26.876608187134504</v>
          </cell>
          <cell r="I102">
            <v>26.961471861471875</v>
          </cell>
          <cell r="J102">
            <v>74.781081081081126</v>
          </cell>
          <cell r="K102">
            <v>105.17477477477476</v>
          </cell>
          <cell r="L102">
            <v>135.02252252252251</v>
          </cell>
          <cell r="M102">
            <v>153.50900900900908</v>
          </cell>
        </row>
        <row r="103">
          <cell r="A103" t="str">
            <v>Net profit per branch (000s)</v>
          </cell>
          <cell r="B103" t="str">
            <v>BE05260000</v>
          </cell>
          <cell r="C103" t="str">
            <v>000s</v>
          </cell>
          <cell r="D103" t="e">
            <v>#REF!</v>
          </cell>
          <cell r="E103" t="e">
            <v>#REF!</v>
          </cell>
          <cell r="F103" t="e">
            <v>#REF!</v>
          </cell>
          <cell r="G103" t="e">
            <v>#REF!</v>
          </cell>
          <cell r="H103" t="e">
            <v>#REF!</v>
          </cell>
          <cell r="I103" t="e">
            <v>#REF!</v>
          </cell>
          <cell r="J103" t="e">
            <v>#REF!</v>
          </cell>
          <cell r="K103" t="e">
            <v>#REF!</v>
          </cell>
          <cell r="L103" t="e">
            <v>#REF!</v>
          </cell>
          <cell r="M103" t="e">
            <v>#REF!</v>
          </cell>
        </row>
        <row r="106">
          <cell r="A106" t="str">
            <v xml:space="preserve">   Average gross advances to customers ($m)</v>
          </cell>
          <cell r="B106" t="str">
            <v>BF06010000</v>
          </cell>
          <cell r="C106" t="str">
            <v>$m</v>
          </cell>
          <cell r="D106">
            <v>11043.9</v>
          </cell>
          <cell r="E106">
            <v>17916.8</v>
          </cell>
          <cell r="F106">
            <v>37440.5</v>
          </cell>
          <cell r="G106">
            <v>62216.749999999993</v>
          </cell>
          <cell r="H106">
            <v>95676.5</v>
          </cell>
          <cell r="I106">
            <v>139209.9</v>
          </cell>
          <cell r="J106">
            <v>188552.89999999997</v>
          </cell>
          <cell r="K106">
            <v>270771.15000000002</v>
          </cell>
          <cell r="L106">
            <v>377740.85</v>
          </cell>
          <cell r="M106">
            <v>487588.55</v>
          </cell>
        </row>
        <row r="107">
          <cell r="A107" t="str">
            <v xml:space="preserve">   Specific charge as % of average advances (%)</v>
          </cell>
          <cell r="B107" t="str">
            <v>BF06020000</v>
          </cell>
          <cell r="C107" t="str">
            <v>%</v>
          </cell>
          <cell r="D107">
            <v>6.5194360687800511E-3</v>
          </cell>
          <cell r="E107">
            <v>4.2306661903911413E-3</v>
          </cell>
          <cell r="F107" t="e">
            <v>#REF!</v>
          </cell>
          <cell r="G107">
            <v>5.319837503566161E-3</v>
          </cell>
          <cell r="H107">
            <v>5.5216840080897613E-3</v>
          </cell>
          <cell r="I107">
            <v>3.4753993789234795E-3</v>
          </cell>
          <cell r="J107">
            <v>7.547985737689532E-3</v>
          </cell>
          <cell r="K107">
            <v>6.8179346285599475E-3</v>
          </cell>
          <cell r="L107">
            <v>1.1735558915589882E-2</v>
          </cell>
          <cell r="M107">
            <v>1.4440248853259579E-2</v>
          </cell>
        </row>
        <row r="108">
          <cell r="A108" t="str">
            <v>Specific provisions charge ($m)</v>
          </cell>
          <cell r="B108" t="str">
            <v>BF06030000</v>
          </cell>
          <cell r="C108" t="str">
            <v>$m</v>
          </cell>
          <cell r="D108">
            <v>72</v>
          </cell>
          <cell r="E108">
            <v>75.8</v>
          </cell>
          <cell r="F108" t="e">
            <v>#REF!</v>
          </cell>
          <cell r="G108">
            <v>330.98299999999989</v>
          </cell>
          <cell r="H108">
            <v>528.29540000000009</v>
          </cell>
          <cell r="I108">
            <v>483.80999999999966</v>
          </cell>
          <cell r="J108">
            <v>1423.1946000000003</v>
          </cell>
          <cell r="K108">
            <v>1846.1</v>
          </cell>
          <cell r="L108">
            <v>4433</v>
          </cell>
          <cell r="M108">
            <v>7040.9000000000005</v>
          </cell>
        </row>
        <row r="110">
          <cell r="A110" t="str">
            <v xml:space="preserve">   General charge as % of average advances (%)</v>
          </cell>
          <cell r="B110" t="str">
            <v>BF06050000</v>
          </cell>
          <cell r="C110" t="str">
            <v>%</v>
          </cell>
          <cell r="D110" t="e">
            <v>#REF!</v>
          </cell>
          <cell r="E110" t="e">
            <v>#REF!</v>
          </cell>
          <cell r="F110" t="e">
            <v>#REF!</v>
          </cell>
          <cell r="G110">
            <v>3.1923396834453769E-3</v>
          </cell>
          <cell r="H110">
            <v>3.4428997716262608E-3</v>
          </cell>
          <cell r="I110">
            <v>2.8740053688710381E-3</v>
          </cell>
          <cell r="J110">
            <v>1.9082464390629886E-3</v>
          </cell>
          <cell r="K110">
            <v>-3.0985575826671287E-4</v>
          </cell>
          <cell r="L110">
            <v>9.6521199653148428E-4</v>
          </cell>
          <cell r="M110">
            <v>3.2182872218800051E-3</v>
          </cell>
        </row>
        <row r="111">
          <cell r="A111" t="str">
            <v>General provisions charge ($m)</v>
          </cell>
          <cell r="B111" t="str">
            <v>BF06060000</v>
          </cell>
          <cell r="C111" t="str">
            <v>$m</v>
          </cell>
          <cell r="D111" t="e">
            <v>#REF!</v>
          </cell>
          <cell r="E111" t="e">
            <v>#REF!</v>
          </cell>
          <cell r="F111" t="e">
            <v>#REF!</v>
          </cell>
          <cell r="G111">
            <v>198.61700000000013</v>
          </cell>
          <cell r="H111">
            <v>329.40459999999996</v>
          </cell>
          <cell r="I111">
            <v>400.09000000000032</v>
          </cell>
          <cell r="J111">
            <v>359.80539999999974</v>
          </cell>
          <cell r="K111">
            <v>-83.899999999999864</v>
          </cell>
          <cell r="L111">
            <v>364.59999999999991</v>
          </cell>
          <cell r="M111">
            <v>1569.1999999999998</v>
          </cell>
        </row>
        <row r="113">
          <cell r="A113" t="str">
            <v xml:space="preserve">   Provision Charge as % of average advances (%)</v>
          </cell>
          <cell r="B113" t="str">
            <v>BF06080000</v>
          </cell>
          <cell r="C113" t="str">
            <v>%</v>
          </cell>
          <cell r="D113" t="e">
            <v>#REF!</v>
          </cell>
          <cell r="E113" t="e">
            <v>#REF!</v>
          </cell>
          <cell r="F113" t="e">
            <v>#REF!</v>
          </cell>
          <cell r="G113">
            <v>8.5121771870115374E-3</v>
          </cell>
          <cell r="H113">
            <v>8.9645837797160226E-3</v>
          </cell>
          <cell r="I113">
            <v>6.3494047477945176E-3</v>
          </cell>
          <cell r="J113">
            <v>9.4562321767525208E-3</v>
          </cell>
          <cell r="K113">
            <v>6.5080788702932347E-3</v>
          </cell>
          <cell r="L113">
            <v>1.2700770912121368E-2</v>
          </cell>
          <cell r="M113">
            <v>1.7658536075139585E-2</v>
          </cell>
        </row>
        <row r="116">
          <cell r="A116" t="str">
            <v xml:space="preserve">   Specific allowance as % of period end advances (%)</v>
          </cell>
          <cell r="B116" t="str">
            <v>BF06110000</v>
          </cell>
          <cell r="C116" t="str">
            <v>%</v>
          </cell>
          <cell r="D116">
            <v>8.233561204063905E-3</v>
          </cell>
          <cell r="E116">
            <v>5.8641032790295242E-3</v>
          </cell>
          <cell r="F116">
            <v>1.6229996997278427E-2</v>
          </cell>
          <cell r="G116">
            <v>1.7253482099974141E-2</v>
          </cell>
          <cell r="H116">
            <v>1.7651249955708003E-2</v>
          </cell>
          <cell r="I116">
            <v>1.4857790785053004E-2</v>
          </cell>
          <cell r="J116">
            <v>1.3560675715344816E-2</v>
          </cell>
          <cell r="K116">
            <v>1.2274331483759476E-2</v>
          </cell>
          <cell r="L116">
            <v>8.5890587925748791E-3</v>
          </cell>
          <cell r="M116">
            <v>8.6400898096753685E-3</v>
          </cell>
        </row>
        <row r="117">
          <cell r="A117" t="str">
            <v>Specific allowance ($m)</v>
          </cell>
          <cell r="B117" t="str">
            <v>BF06120000</v>
          </cell>
          <cell r="C117" t="str">
            <v>$m</v>
          </cell>
          <cell r="D117">
            <v>109</v>
          </cell>
          <cell r="E117">
            <v>132.5</v>
          </cell>
          <cell r="F117">
            <v>848.6</v>
          </cell>
          <cell r="G117">
            <v>1260.9000000000001</v>
          </cell>
          <cell r="H117">
            <v>1885</v>
          </cell>
          <cell r="I117">
            <v>2225.3000000000002</v>
          </cell>
          <cell r="J117">
            <v>3076.6</v>
          </cell>
          <cell r="K117">
            <v>3785.4</v>
          </cell>
          <cell r="L117">
            <v>3537.1000000000004</v>
          </cell>
          <cell r="M117">
            <v>4548.7000000000007</v>
          </cell>
          <cell r="N117">
            <v>6084.5000000000009</v>
          </cell>
          <cell r="O117">
            <v>13604.499999999996</v>
          </cell>
          <cell r="P117">
            <v>23206.303208622398</v>
          </cell>
          <cell r="Q117">
            <v>34478.907480479123</v>
          </cell>
          <cell r="R117">
            <v>53243.938101628679</v>
          </cell>
        </row>
        <row r="119">
          <cell r="A119" t="str">
            <v xml:space="preserve">   General allowance as % of period end advances (%)</v>
          </cell>
          <cell r="B119" t="str">
            <v>BF06140000</v>
          </cell>
          <cell r="C119" t="str">
            <v>%</v>
          </cell>
          <cell r="D119">
            <v>0</v>
          </cell>
          <cell r="E119">
            <v>6.1985120667755397E-3</v>
          </cell>
          <cell r="F119">
            <v>6.4305481975064022E-3</v>
          </cell>
          <cell r="G119">
            <v>6.8417329288500833E-3</v>
          </cell>
          <cell r="H119">
            <v>7.7665930551798481E-3</v>
          </cell>
          <cell r="I119">
            <v>8.2090385737439587E-3</v>
          </cell>
          <cell r="J119">
            <v>7.0051296607935767E-3</v>
          </cell>
          <cell r="K119">
            <v>4.8813278955068201E-3</v>
          </cell>
          <cell r="L119">
            <v>4.5408781041290959E-3</v>
          </cell>
          <cell r="M119">
            <v>6.5326350107581333E-3</v>
          </cell>
        </row>
        <row r="120">
          <cell r="A120" t="str">
            <v>General allowance ($m)</v>
          </cell>
          <cell r="B120" t="str">
            <v>BF06150000</v>
          </cell>
          <cell r="C120" t="str">
            <v>$m</v>
          </cell>
          <cell r="D120">
            <v>0</v>
          </cell>
          <cell r="E120">
            <v>140.05599999999998</v>
          </cell>
          <cell r="F120">
            <v>336.22699999999998</v>
          </cell>
          <cell r="G120">
            <v>500</v>
          </cell>
          <cell r="H120">
            <v>829.40459999999996</v>
          </cell>
          <cell r="I120">
            <v>1229.4946000000002</v>
          </cell>
          <cell r="J120">
            <v>1589.3</v>
          </cell>
          <cell r="K120">
            <v>1505.4</v>
          </cell>
          <cell r="L120">
            <v>1870</v>
          </cell>
          <cell r="M120">
            <v>3439.2</v>
          </cell>
          <cell r="N120">
            <v>5335.7999999999993</v>
          </cell>
          <cell r="O120">
            <v>5978.0906816400002</v>
          </cell>
          <cell r="P120">
            <v>11044.207473017601</v>
          </cell>
          <cell r="Q120">
            <v>17289.748801160873</v>
          </cell>
          <cell r="R120">
            <v>21746.492900011315</v>
          </cell>
        </row>
        <row r="122">
          <cell r="A122" t="str">
            <v xml:space="preserve">   Provisions allowance as % of period end advances (%)</v>
          </cell>
          <cell r="B122" t="str">
            <v>BF06170000</v>
          </cell>
          <cell r="C122" t="str">
            <v>%</v>
          </cell>
          <cell r="D122">
            <v>8.233561204063905E-3</v>
          </cell>
          <cell r="E122">
            <v>1.2062615345805064E-2</v>
          </cell>
          <cell r="F122">
            <v>2.2660545194784831E-2</v>
          </cell>
          <cell r="G122">
            <v>2.4095215028824224E-2</v>
          </cell>
          <cell r="H122">
            <v>2.5417843010887852E-2</v>
          </cell>
          <cell r="I122">
            <v>2.3066829358796961E-2</v>
          </cell>
          <cell r="J122">
            <v>2.0565805376138391E-2</v>
          </cell>
          <cell r="K122">
            <v>1.7155659379266296E-2</v>
          </cell>
          <cell r="L122">
            <v>1.3129936896703975E-2</v>
          </cell>
          <cell r="M122">
            <v>1.5172724820433501E-2</v>
          </cell>
        </row>
        <row r="123">
          <cell r="A123" t="str">
            <v>Provisions allowance ($m)</v>
          </cell>
          <cell r="B123" t="str">
            <v>BF06180000</v>
          </cell>
          <cell r="C123" t="str">
            <v>$m</v>
          </cell>
          <cell r="D123">
            <v>109</v>
          </cell>
          <cell r="E123">
            <v>272.55599999999998</v>
          </cell>
          <cell r="F123">
            <v>1184.827</v>
          </cell>
          <cell r="G123">
            <v>1760.9</v>
          </cell>
          <cell r="H123">
            <v>2714.4045999999998</v>
          </cell>
          <cell r="I123">
            <v>3454.7946000000002</v>
          </cell>
          <cell r="J123">
            <v>4665.8999999999996</v>
          </cell>
          <cell r="K123">
            <v>5290.8</v>
          </cell>
          <cell r="L123">
            <v>5407.1</v>
          </cell>
          <cell r="M123">
            <v>7987.9000000000005</v>
          </cell>
        </row>
        <row r="125">
          <cell r="A125" t="str">
            <v xml:space="preserve">   Interest accured as % of advances to customers (%)</v>
          </cell>
          <cell r="B125" t="str">
            <v>BF06200000</v>
          </cell>
          <cell r="C125" t="str">
            <v>%</v>
          </cell>
          <cell r="D125">
            <v>0</v>
          </cell>
          <cell r="E125">
            <v>0</v>
          </cell>
          <cell r="F125">
            <v>0</v>
          </cell>
          <cell r="G125">
            <v>0</v>
          </cell>
          <cell r="H125">
            <v>0</v>
          </cell>
          <cell r="I125">
            <v>0</v>
          </cell>
          <cell r="J125">
            <v>0</v>
          </cell>
          <cell r="K125">
            <v>0</v>
          </cell>
          <cell r="L125">
            <v>0</v>
          </cell>
          <cell r="M125">
            <v>0</v>
          </cell>
        </row>
        <row r="126">
          <cell r="A126" t="str">
            <v>Interest accrued ($m)</v>
          </cell>
          <cell r="B126" t="str">
            <v>BF06210000</v>
          </cell>
          <cell r="C126" t="str">
            <v>$m</v>
          </cell>
          <cell r="D126">
            <v>0</v>
          </cell>
          <cell r="E126">
            <v>0</v>
          </cell>
          <cell r="F126">
            <v>0</v>
          </cell>
          <cell r="G126">
            <v>0</v>
          </cell>
          <cell r="H126">
            <v>0</v>
          </cell>
          <cell r="I126">
            <v>0</v>
          </cell>
          <cell r="J126">
            <v>0</v>
          </cell>
          <cell r="K126">
            <v>0</v>
          </cell>
          <cell r="L126">
            <v>0</v>
          </cell>
          <cell r="M126">
            <v>0</v>
          </cell>
        </row>
        <row r="128">
          <cell r="A128" t="str">
            <v xml:space="preserve">   Non-performing loans as % of advances to customers (%)</v>
          </cell>
          <cell r="B128" t="str">
            <v>BF06230000</v>
          </cell>
          <cell r="C128" t="str">
            <v>%</v>
          </cell>
          <cell r="D128">
            <v>1.4805302715564453E-2</v>
          </cell>
          <cell r="E128" t="e">
            <v>#REF!</v>
          </cell>
          <cell r="F128">
            <v>2.3300736909950867E-2</v>
          </cell>
          <cell r="G128">
            <v>2.0085959532518075E-2</v>
          </cell>
          <cell r="H128">
            <v>2.0868740398562787E-2</v>
          </cell>
          <cell r="I128">
            <v>1.7723455551576506E-2</v>
          </cell>
          <cell r="J128">
            <v>1.47926229500971E-2</v>
          </cell>
          <cell r="K128">
            <v>1.4240286780056663E-2</v>
          </cell>
          <cell r="L128">
            <v>1.235725913588372E-2</v>
          </cell>
          <cell r="M128">
            <v>1.2493911388335284E-2</v>
          </cell>
        </row>
        <row r="129">
          <cell r="A129" t="str">
            <v>Non-performing loans ($m)</v>
          </cell>
          <cell r="B129" t="str">
            <v>BF06240000</v>
          </cell>
          <cell r="C129" t="str">
            <v>$m</v>
          </cell>
          <cell r="D129">
            <v>196</v>
          </cell>
          <cell r="E129" t="e">
            <v>#REF!</v>
          </cell>
          <cell r="F129">
            <v>1218.3</v>
          </cell>
          <cell r="G129">
            <v>1467.9</v>
          </cell>
          <cell r="H129">
            <v>2228.6</v>
          </cell>
          <cell r="I129">
            <v>2654.5</v>
          </cell>
          <cell r="J129">
            <v>3356.1</v>
          </cell>
          <cell r="K129">
            <v>4391.7</v>
          </cell>
          <cell r="L129">
            <v>5088.9000000000005</v>
          </cell>
          <cell r="M129">
            <v>6577.6000000000013</v>
          </cell>
        </row>
        <row r="131">
          <cell r="A131" t="str">
            <v xml:space="preserve">   Coverage of non-performing loans (%)</v>
          </cell>
          <cell r="B131" t="str">
            <v>BF06260000</v>
          </cell>
          <cell r="C131" t="str">
            <v>%</v>
          </cell>
          <cell r="D131">
            <v>0.55612244897959184</v>
          </cell>
          <cell r="E131" t="e">
            <v>#REF!</v>
          </cell>
          <cell r="F131">
            <v>0.97252482968070264</v>
          </cell>
          <cell r="G131">
            <v>1.1996048777164656</v>
          </cell>
          <cell r="H131">
            <v>1.217986448891681</v>
          </cell>
          <cell r="I131">
            <v>1.3014860048973442</v>
          </cell>
          <cell r="J131">
            <v>1.3902744256726558</v>
          </cell>
          <cell r="K131">
            <v>1.2047270988455496</v>
          </cell>
          <cell r="L131">
            <v>1.0625282477549176</v>
          </cell>
          <cell r="M131">
            <v>1.2144095110678665</v>
          </cell>
        </row>
        <row r="136">
          <cell r="A136" t="str">
            <v xml:space="preserve">   Tax rate on operating profit (%)</v>
          </cell>
          <cell r="B136" t="str">
            <v>BG07020000</v>
          </cell>
          <cell r="C136" t="str">
            <v>%</v>
          </cell>
          <cell r="D136" t="e">
            <v>#REF!</v>
          </cell>
          <cell r="E136" t="e">
            <v>#REF!</v>
          </cell>
          <cell r="F136" t="e">
            <v>#REF!</v>
          </cell>
          <cell r="G136">
            <v>0.31944486622733786</v>
          </cell>
          <cell r="H136">
            <v>0.27964054918514325</v>
          </cell>
          <cell r="I136">
            <v>0.29498562964628045</v>
          </cell>
          <cell r="J136">
            <v>0.25234016408254711</v>
          </cell>
          <cell r="K136">
            <v>0.26899026930720216</v>
          </cell>
          <cell r="L136">
            <v>0.25556630525437868</v>
          </cell>
          <cell r="M136">
            <v>0.2920860353883622</v>
          </cell>
        </row>
        <row r="137">
          <cell r="A137" t="str">
            <v>Charge for taxation ($m)</v>
          </cell>
          <cell r="B137" t="str">
            <v>BG07030000</v>
          </cell>
          <cell r="C137" t="str">
            <v>$m</v>
          </cell>
          <cell r="D137">
            <v>312.2</v>
          </cell>
          <cell r="E137">
            <v>344.7</v>
          </cell>
          <cell r="F137">
            <v>748.4</v>
          </cell>
          <cell r="G137">
            <v>1051.9000000000001</v>
          </cell>
          <cell r="H137">
            <v>1285.2</v>
          </cell>
          <cell r="I137">
            <v>1837.2</v>
          </cell>
          <cell r="J137">
            <v>2094.6</v>
          </cell>
          <cell r="K137">
            <v>3140.3</v>
          </cell>
          <cell r="L137">
            <v>3830.3</v>
          </cell>
          <cell r="M137">
            <v>4977</v>
          </cell>
        </row>
        <row r="139">
          <cell r="A139" t="str">
            <v xml:space="preserve">   Effective tax rate (%)</v>
          </cell>
          <cell r="B139" t="str">
            <v>BG07050000</v>
          </cell>
          <cell r="C139" t="str">
            <v>%</v>
          </cell>
          <cell r="D139" t="e">
            <v>#REF!</v>
          </cell>
          <cell r="E139" t="e">
            <v>#REF!</v>
          </cell>
          <cell r="F139" t="e">
            <v>#REF!</v>
          </cell>
          <cell r="G139" t="e">
            <v>#REF!</v>
          </cell>
          <cell r="H139" t="e">
            <v>#REF!</v>
          </cell>
          <cell r="I139" t="e">
            <v>#REF!</v>
          </cell>
          <cell r="J139" t="e">
            <v>#REF!</v>
          </cell>
          <cell r="K139" t="e">
            <v>#REF!</v>
          </cell>
          <cell r="L139" t="e">
            <v>#REF!</v>
          </cell>
          <cell r="M139" t="e">
            <v>#REF!</v>
          </cell>
        </row>
        <row r="144">
          <cell r="A144" t="str">
            <v xml:space="preserve">   Weighted risk assets ($m)</v>
          </cell>
          <cell r="B144" t="str">
            <v>BH08020000</v>
          </cell>
          <cell r="C144" t="str">
            <v>$m</v>
          </cell>
          <cell r="D144">
            <v>27810</v>
          </cell>
          <cell r="E144">
            <v>40356.6</v>
          </cell>
          <cell r="F144">
            <v>78472.399999999994</v>
          </cell>
          <cell r="G144">
            <v>105101.9</v>
          </cell>
          <cell r="H144">
            <v>156522</v>
          </cell>
          <cell r="I144">
            <v>209177.1</v>
          </cell>
          <cell r="J144">
            <v>277738.2</v>
          </cell>
          <cell r="K144">
            <v>412710.3</v>
          </cell>
          <cell r="L144">
            <v>602176.19999999995</v>
          </cell>
          <cell r="M144">
            <v>740819.2</v>
          </cell>
        </row>
        <row r="145">
          <cell r="A145" t="str">
            <v xml:space="preserve">   Shareholders' funds ($m)</v>
          </cell>
          <cell r="B145" t="str">
            <v>BH08030000</v>
          </cell>
          <cell r="C145" t="str">
            <v>$m</v>
          </cell>
          <cell r="D145">
            <v>2851.3</v>
          </cell>
          <cell r="E145">
            <v>3389.3</v>
          </cell>
          <cell r="F145">
            <v>7515.2</v>
          </cell>
          <cell r="G145">
            <v>9130.9000000000015</v>
          </cell>
          <cell r="H145">
            <v>19422.800000000003</v>
          </cell>
          <cell r="I145">
            <v>22448.3</v>
          </cell>
          <cell r="J145">
            <v>26918.800000000003</v>
          </cell>
          <cell r="K145">
            <v>45198.5</v>
          </cell>
          <cell r="L145">
            <v>52995.299999999996</v>
          </cell>
          <cell r="M145">
            <v>64331.500000000007</v>
          </cell>
        </row>
        <row r="146">
          <cell r="A146" t="str">
            <v xml:space="preserve">      Tier 1 capital ($m)</v>
          </cell>
          <cell r="B146" t="str">
            <v>BH08040000</v>
          </cell>
          <cell r="C146" t="str">
            <v>$m</v>
          </cell>
          <cell r="D146">
            <v>2839</v>
          </cell>
          <cell r="E146" t="e">
            <v>#REF!</v>
          </cell>
          <cell r="F146" t="e">
            <v>#REF!</v>
          </cell>
          <cell r="G146" t="e">
            <v>#REF!</v>
          </cell>
          <cell r="H146" t="e">
            <v>#REF!</v>
          </cell>
          <cell r="I146" t="e">
            <v>#REF!</v>
          </cell>
          <cell r="J146" t="e">
            <v>#REF!</v>
          </cell>
          <cell r="K146" t="e">
            <v>#REF!</v>
          </cell>
          <cell r="L146" t="e">
            <v>#REF!</v>
          </cell>
          <cell r="M146" t="e">
            <v>#REF!</v>
          </cell>
        </row>
        <row r="147">
          <cell r="A147" t="str">
            <v xml:space="preserve">      Tier 2 capital ($m)</v>
          </cell>
          <cell r="B147" t="str">
            <v>BH08050000</v>
          </cell>
          <cell r="C147" t="str">
            <v>$m</v>
          </cell>
          <cell r="D147">
            <v>1031</v>
          </cell>
          <cell r="E147" t="e">
            <v>#REF!</v>
          </cell>
          <cell r="F147" t="e">
            <v>#REF!</v>
          </cell>
          <cell r="G147" t="e">
            <v>#REF!</v>
          </cell>
          <cell r="H147" t="e">
            <v>#REF!</v>
          </cell>
          <cell r="I147" t="e">
            <v>#REF!</v>
          </cell>
          <cell r="J147" t="e">
            <v>#REF!</v>
          </cell>
          <cell r="K147" t="e">
            <v>#REF!</v>
          </cell>
          <cell r="L147" t="e">
            <v>#REF!</v>
          </cell>
          <cell r="M147" t="e">
            <v>#REF!</v>
          </cell>
        </row>
        <row r="148">
          <cell r="A148" t="str">
            <v xml:space="preserve">   Capital resources ($m)</v>
          </cell>
          <cell r="B148" t="str">
            <v>BH08060000</v>
          </cell>
          <cell r="C148" t="str">
            <v>$m</v>
          </cell>
          <cell r="D148">
            <v>3870</v>
          </cell>
          <cell r="E148" t="e">
            <v>#REF!</v>
          </cell>
          <cell r="F148" t="e">
            <v>#REF!</v>
          </cell>
          <cell r="G148" t="e">
            <v>#REF!</v>
          </cell>
          <cell r="H148" t="e">
            <v>#REF!</v>
          </cell>
          <cell r="I148" t="e">
            <v>#REF!</v>
          </cell>
          <cell r="J148" t="e">
            <v>#REF!</v>
          </cell>
          <cell r="K148" t="e">
            <v>#REF!</v>
          </cell>
          <cell r="L148" t="e">
            <v>#REF!</v>
          </cell>
          <cell r="M148" t="e">
            <v>#REF!</v>
          </cell>
        </row>
        <row r="149">
          <cell r="A149" t="str">
            <v xml:space="preserve">   Equity/assets ratio (%)</v>
          </cell>
          <cell r="B149" t="str">
            <v>BH08070000</v>
          </cell>
          <cell r="C149" t="str">
            <v>%</v>
          </cell>
          <cell r="D149">
            <v>0.10075336221457398</v>
          </cell>
          <cell r="E149">
            <v>7.791565899456547E-2</v>
          </cell>
          <cell r="F149">
            <v>6.4474174126254488E-2</v>
          </cell>
          <cell r="G149">
            <v>5.8466460015892618E-2</v>
          </cell>
          <cell r="H149">
            <v>8.1651699346460202E-2</v>
          </cell>
          <cell r="I149">
            <v>7.3784646898114911E-2</v>
          </cell>
          <cell r="J149">
            <v>6.3627310758813158E-2</v>
          </cell>
          <cell r="K149">
            <v>8.7885239845223506E-2</v>
          </cell>
          <cell r="L149">
            <v>7.2096181025894476E-2</v>
          </cell>
          <cell r="M149">
            <v>7.0511393522770346E-2</v>
          </cell>
        </row>
        <row r="150">
          <cell r="A150" t="str">
            <v>Capital adequacy ratio (%)</v>
          </cell>
          <cell r="B150" t="str">
            <v>BH08080000</v>
          </cell>
          <cell r="C150" t="str">
            <v>%</v>
          </cell>
          <cell r="D150">
            <v>0.13915857605177995</v>
          </cell>
          <cell r="E150" t="e">
            <v>#REF!</v>
          </cell>
          <cell r="F150" t="e">
            <v>#REF!</v>
          </cell>
          <cell r="G150" t="e">
            <v>#REF!</v>
          </cell>
          <cell r="H150" t="e">
            <v>#REF!</v>
          </cell>
          <cell r="I150" t="e">
            <v>#REF!</v>
          </cell>
          <cell r="J150" t="e">
            <v>#REF!</v>
          </cell>
          <cell r="K150" t="e">
            <v>#REF!</v>
          </cell>
          <cell r="L150" t="e">
            <v>#REF!</v>
          </cell>
          <cell r="M150" t="e">
            <v>#REF!</v>
          </cell>
        </row>
        <row r="151">
          <cell r="A151" t="str">
            <v>Tier 1 capital ratio (%)</v>
          </cell>
          <cell r="B151" t="str">
            <v>BH08090000</v>
          </cell>
          <cell r="C151" t="str">
            <v>%</v>
          </cell>
          <cell r="D151">
            <v>0.10208558072635743</v>
          </cell>
          <cell r="E151" t="e">
            <v>#REF!</v>
          </cell>
          <cell r="F151" t="e">
            <v>#REF!</v>
          </cell>
          <cell r="G151" t="e">
            <v>#REF!</v>
          </cell>
          <cell r="H151" t="e">
            <v>#REF!</v>
          </cell>
          <cell r="I151" t="e">
            <v>#REF!</v>
          </cell>
          <cell r="J151" t="e">
            <v>#REF!</v>
          </cell>
          <cell r="K151" t="e">
            <v>#REF!</v>
          </cell>
          <cell r="L151" t="e">
            <v>#REF!</v>
          </cell>
          <cell r="M151" t="e">
            <v>#REF!</v>
          </cell>
        </row>
        <row r="154">
          <cell r="A154" t="str">
            <v xml:space="preserve">   Average assets ($m)</v>
          </cell>
          <cell r="B154" t="str">
            <v>BI09010000</v>
          </cell>
          <cell r="C154" t="str">
            <v>$m</v>
          </cell>
          <cell r="D154">
            <v>23227.85</v>
          </cell>
          <cell r="E154">
            <v>35899.699999999997</v>
          </cell>
          <cell r="F154">
            <v>80030.5</v>
          </cell>
          <cell r="G154">
            <v>136367.34999999998</v>
          </cell>
          <cell r="H154">
            <v>197023.55</v>
          </cell>
          <cell r="I154">
            <v>271057.3</v>
          </cell>
          <cell r="J154">
            <v>363655.35</v>
          </cell>
          <cell r="K154">
            <v>468679.94999999995</v>
          </cell>
          <cell r="L154">
            <v>624676.94999999995</v>
          </cell>
          <cell r="M154">
            <v>823710</v>
          </cell>
        </row>
        <row r="155">
          <cell r="A155" t="str">
            <v xml:space="preserve">   Average shareholders' funds ($m)</v>
          </cell>
          <cell r="B155" t="str">
            <v>BI09020000</v>
          </cell>
          <cell r="C155" t="str">
            <v>$m</v>
          </cell>
          <cell r="D155">
            <v>2645.55</v>
          </cell>
          <cell r="E155">
            <v>3120.3</v>
          </cell>
          <cell r="F155">
            <v>5452.25</v>
          </cell>
          <cell r="G155">
            <v>8323.0500000000011</v>
          </cell>
          <cell r="H155">
            <v>14276.850000000002</v>
          </cell>
          <cell r="I155">
            <v>20935.550000000003</v>
          </cell>
          <cell r="J155">
            <v>24683.550000000003</v>
          </cell>
          <cell r="K155">
            <v>36058.65</v>
          </cell>
          <cell r="L155">
            <v>49096.899999999994</v>
          </cell>
          <cell r="M155">
            <v>58663.4</v>
          </cell>
        </row>
        <row r="157">
          <cell r="A157" t="str">
            <v>Pre-exceptional attributable profit ($m)</v>
          </cell>
          <cell r="B157" t="str">
            <v>BI09040000</v>
          </cell>
          <cell r="C157" t="str">
            <v>$m</v>
          </cell>
          <cell r="D157" t="e">
            <v>#REF!</v>
          </cell>
          <cell r="E157" t="e">
            <v>#REF!</v>
          </cell>
          <cell r="F157" t="e">
            <v>#REF!</v>
          </cell>
          <cell r="G157" t="e">
            <v>#REF!</v>
          </cell>
          <cell r="H157" t="e">
            <v>#REF!</v>
          </cell>
          <cell r="I157" t="e">
            <v>#REF!</v>
          </cell>
          <cell r="J157" t="e">
            <v>#REF!</v>
          </cell>
          <cell r="K157" t="e">
            <v>#REF!</v>
          </cell>
          <cell r="L157" t="e">
            <v>#REF!</v>
          </cell>
          <cell r="M157" t="e">
            <v>#REF!</v>
          </cell>
        </row>
        <row r="158">
          <cell r="A158" t="str">
            <v>Pre-provision profit ($m)</v>
          </cell>
          <cell r="B158" t="str">
            <v>BI09050000</v>
          </cell>
          <cell r="C158" t="str">
            <v>$m</v>
          </cell>
          <cell r="D158">
            <v>721.80000000000007</v>
          </cell>
          <cell r="E158">
            <v>1261.6999999999996</v>
          </cell>
          <cell r="F158">
            <v>2596.4999999999995</v>
          </cell>
          <cell r="G158">
            <v>3822.4999999999977</v>
          </cell>
          <cell r="H158">
            <v>5453.6</v>
          </cell>
          <cell r="I158">
            <v>7112.0000000000027</v>
          </cell>
          <cell r="J158">
            <v>10083.700000000004</v>
          </cell>
          <cell r="K158">
            <v>13436.599999999999</v>
          </cell>
          <cell r="L158">
            <v>19785.099999999999</v>
          </cell>
          <cell r="M158">
            <v>25649.600000000006</v>
          </cell>
        </row>
        <row r="159">
          <cell r="A159" t="str">
            <v>Return on average assets (%)</v>
          </cell>
          <cell r="B159" t="str">
            <v>BI09060000</v>
          </cell>
          <cell r="C159" t="str">
            <v>%</v>
          </cell>
          <cell r="D159" t="e">
            <v>#REF!</v>
          </cell>
          <cell r="E159" t="e">
            <v>#REF!</v>
          </cell>
          <cell r="F159" t="e">
            <v>#REF!</v>
          </cell>
          <cell r="G159" t="e">
            <v>#REF!</v>
          </cell>
          <cell r="H159" t="e">
            <v>#REF!</v>
          </cell>
          <cell r="I159" t="e">
            <v>#REF!</v>
          </cell>
          <cell r="J159" t="e">
            <v>#REF!</v>
          </cell>
          <cell r="K159" t="e">
            <v>#REF!</v>
          </cell>
          <cell r="L159" t="e">
            <v>#REF!</v>
          </cell>
          <cell r="M159" t="e">
            <v>#REF!</v>
          </cell>
        </row>
        <row r="160">
          <cell r="A160" t="str">
            <v xml:space="preserve">   Pre-exceptional return on average assets (%)</v>
          </cell>
          <cell r="B160" t="str">
            <v>BI09070000</v>
          </cell>
          <cell r="C160" t="str">
            <v>%</v>
          </cell>
          <cell r="D160" t="e">
            <v>#REF!</v>
          </cell>
          <cell r="E160" t="e">
            <v>#REF!</v>
          </cell>
          <cell r="F160" t="e">
            <v>#REF!</v>
          </cell>
          <cell r="G160" t="e">
            <v>#REF!</v>
          </cell>
          <cell r="H160" t="e">
            <v>#REF!</v>
          </cell>
          <cell r="I160" t="e">
            <v>#REF!</v>
          </cell>
          <cell r="J160" t="e">
            <v>#REF!</v>
          </cell>
          <cell r="K160" t="e">
            <v>#REF!</v>
          </cell>
          <cell r="L160" t="e">
            <v>#REF!</v>
          </cell>
          <cell r="M160" t="e">
            <v>#REF!</v>
          </cell>
        </row>
        <row r="161">
          <cell r="A161" t="str">
            <v xml:space="preserve">   Pre-provision return on average assets (%)</v>
          </cell>
          <cell r="B161" t="str">
            <v>BI09080000</v>
          </cell>
          <cell r="C161" t="str">
            <v>%</v>
          </cell>
          <cell r="D161">
            <v>3.1074765852198982E-2</v>
          </cell>
          <cell r="E161">
            <v>3.5145140488639169E-2</v>
          </cell>
          <cell r="F161">
            <v>3.2443880770456256E-2</v>
          </cell>
          <cell r="G161">
            <v>2.8030903291733678E-2</v>
          </cell>
          <cell r="H161">
            <v>2.7679939783848178E-2</v>
          </cell>
          <cell r="I161">
            <v>2.6237994697062218E-2</v>
          </cell>
          <cell r="J161">
            <v>2.7728727213830361E-2</v>
          </cell>
          <cell r="K161">
            <v>2.8669030966654324E-2</v>
          </cell>
          <cell r="L161">
            <v>3.1672530897770439E-2</v>
          </cell>
          <cell r="M161">
            <v>3.1139114494178784E-2</v>
          </cell>
        </row>
        <row r="162">
          <cell r="A162" t="str">
            <v>Return on average equity (%)</v>
          </cell>
          <cell r="B162" t="str">
            <v>BI09090000</v>
          </cell>
          <cell r="C162" t="str">
            <v>%</v>
          </cell>
          <cell r="D162" t="e">
            <v>#REF!</v>
          </cell>
          <cell r="E162" t="e">
            <v>#REF!</v>
          </cell>
          <cell r="F162" t="e">
            <v>#REF!</v>
          </cell>
          <cell r="G162" t="e">
            <v>#REF!</v>
          </cell>
          <cell r="H162" t="e">
            <v>#REF!</v>
          </cell>
          <cell r="I162" t="e">
            <v>#REF!</v>
          </cell>
          <cell r="J162" t="e">
            <v>#REF!</v>
          </cell>
          <cell r="K162" t="e">
            <v>#REF!</v>
          </cell>
          <cell r="L162" t="e">
            <v>#REF!</v>
          </cell>
          <cell r="M162" t="e">
            <v>#REF!</v>
          </cell>
        </row>
        <row r="163">
          <cell r="A163" t="str">
            <v xml:space="preserve">   Pre-exceptional return on average equity (%)</v>
          </cell>
          <cell r="B163" t="str">
            <v>BI09100000</v>
          </cell>
          <cell r="C163" t="str">
            <v>%</v>
          </cell>
          <cell r="D163" t="e">
            <v>#REF!</v>
          </cell>
          <cell r="E163" t="e">
            <v>#REF!</v>
          </cell>
          <cell r="F163" t="e">
            <v>#REF!</v>
          </cell>
          <cell r="G163" t="e">
            <v>#REF!</v>
          </cell>
          <cell r="H163" t="e">
            <v>#REF!</v>
          </cell>
          <cell r="I163" t="e">
            <v>#REF!</v>
          </cell>
          <cell r="J163" t="e">
            <v>#REF!</v>
          </cell>
          <cell r="K163" t="e">
            <v>#REF!</v>
          </cell>
          <cell r="L163" t="e">
            <v>#REF!</v>
          </cell>
          <cell r="M163" t="e">
            <v>#REF!</v>
          </cell>
        </row>
        <row r="164">
          <cell r="A164" t="str">
            <v xml:space="preserve">   Pre-provision return on average equity (%)</v>
          </cell>
          <cell r="B164" t="str">
            <v>BI09110000</v>
          </cell>
          <cell r="C164" t="str">
            <v>%</v>
          </cell>
          <cell r="D164">
            <v>0.27283551624425922</v>
          </cell>
          <cell r="E164">
            <v>0.40435214562702287</v>
          </cell>
          <cell r="F164">
            <v>0.47622541152735098</v>
          </cell>
          <cell r="G164">
            <v>0.45926673515117622</v>
          </cell>
          <cell r="H164">
            <v>0.38198902418950959</v>
          </cell>
          <cell r="I164">
            <v>0.33970925053318407</v>
          </cell>
          <cell r="J164">
            <v>0.40851903393150513</v>
          </cell>
          <cell r="K164">
            <v>0.37263180956580455</v>
          </cell>
          <cell r="L164">
            <v>0.40298063625198333</v>
          </cell>
          <cell r="M164">
            <v>0.43723343686182536</v>
          </cell>
        </row>
        <row r="175">
          <cell r="A175" t="str">
            <v xml:space="preserve">      Other income/(expenses) ($m)</v>
          </cell>
          <cell r="B175" t="str">
            <v>BJ10090000</v>
          </cell>
          <cell r="C175" t="str">
            <v>$m</v>
          </cell>
          <cell r="D175" t="e">
            <v>#REF!</v>
          </cell>
          <cell r="E175" t="e">
            <v>#REF!</v>
          </cell>
          <cell r="F175" t="e">
            <v>#REF!</v>
          </cell>
          <cell r="G175" t="e">
            <v>#REF!</v>
          </cell>
          <cell r="H175" t="e">
            <v>#REF!</v>
          </cell>
          <cell r="I175" t="e">
            <v>#REF!</v>
          </cell>
          <cell r="J175" t="e">
            <v>#REF!</v>
          </cell>
          <cell r="K175" t="e">
            <v>#REF!</v>
          </cell>
          <cell r="L175" t="e">
            <v>#REF!</v>
          </cell>
          <cell r="M175" t="e">
            <v>#REF!</v>
          </cell>
        </row>
        <row r="177">
          <cell r="A177" t="str">
            <v xml:space="preserve">      Taxation and minority interests ($m)</v>
          </cell>
          <cell r="B177" t="str">
            <v>BJ10110000</v>
          </cell>
          <cell r="C177" t="str">
            <v>$m</v>
          </cell>
          <cell r="D177">
            <v>-312.2</v>
          </cell>
          <cell r="E177">
            <v>-344.7</v>
          </cell>
          <cell r="F177">
            <v>-748.4</v>
          </cell>
          <cell r="G177">
            <v>-1051.9000000000001</v>
          </cell>
          <cell r="H177">
            <v>-1285.2</v>
          </cell>
          <cell r="I177">
            <v>-1837.2</v>
          </cell>
          <cell r="J177">
            <v>-2094.6</v>
          </cell>
          <cell r="K177">
            <v>-3140.3</v>
          </cell>
          <cell r="L177">
            <v>-3830.3</v>
          </cell>
          <cell r="M177">
            <v>-4977</v>
          </cell>
        </row>
        <row r="179">
          <cell r="A179" t="str">
            <v xml:space="preserve">      Net interest income/average assets (%)</v>
          </cell>
          <cell r="B179" t="str">
            <v>BJ10130000</v>
          </cell>
          <cell r="C179" t="str">
            <v>%</v>
          </cell>
          <cell r="D179">
            <v>4.445095004488147E-2</v>
          </cell>
          <cell r="E179">
            <v>4.0919562001910867E-2</v>
          </cell>
          <cell r="F179">
            <v>3.8184192276694506E-2</v>
          </cell>
          <cell r="G179">
            <v>3.7084390068443794E-2</v>
          </cell>
          <cell r="H179">
            <v>3.1937806419587912E-2</v>
          </cell>
          <cell r="I179">
            <v>3.0658093325654768E-2</v>
          </cell>
          <cell r="J179">
            <v>3.6789779113658036E-2</v>
          </cell>
          <cell r="K179">
            <v>3.793484231616906E-2</v>
          </cell>
          <cell r="L179">
            <v>4.0754505188641904E-2</v>
          </cell>
          <cell r="M179">
            <v>4.2108023454856688E-2</v>
          </cell>
        </row>
        <row r="180">
          <cell r="A180" t="str">
            <v xml:space="preserve">      Other operating income/average assets (%)</v>
          </cell>
          <cell r="B180" t="str">
            <v>BJ10140000</v>
          </cell>
          <cell r="C180" t="str">
            <v>%</v>
          </cell>
          <cell r="D180">
            <v>1.3621579267990796E-2</v>
          </cell>
          <cell r="E180">
            <v>1.8958375696732841E-2</v>
          </cell>
          <cell r="F180">
            <v>1.5675273801863041E-2</v>
          </cell>
          <cell r="G180">
            <v>1.3649161621165185E-2</v>
          </cell>
          <cell r="H180">
            <v>1.6955333512161365E-2</v>
          </cell>
          <cell r="I180">
            <v>1.741403017000465E-2</v>
          </cell>
          <cell r="J180">
            <v>1.3212785127456534E-2</v>
          </cell>
          <cell r="K180">
            <v>1.3892849480759742E-2</v>
          </cell>
          <cell r="L180">
            <v>1.7989458391253269E-2</v>
          </cell>
          <cell r="M180">
            <v>1.8420075026404924E-2</v>
          </cell>
        </row>
        <row r="181">
          <cell r="A181" t="str">
            <v xml:space="preserve">   Operating income/average assets (%)</v>
          </cell>
          <cell r="B181" t="str">
            <v>BJ10150000</v>
          </cell>
          <cell r="C181" t="str">
            <v>%</v>
          </cell>
          <cell r="D181">
            <v>5.8072529312872267E-2</v>
          </cell>
          <cell r="E181">
            <v>5.9877937698643711E-2</v>
          </cell>
          <cell r="F181">
            <v>5.3859466078557544E-2</v>
          </cell>
          <cell r="G181">
            <v>5.0733551689608976E-2</v>
          </cell>
          <cell r="H181">
            <v>4.8893139931749277E-2</v>
          </cell>
          <cell r="I181">
            <v>4.8072123495659418E-2</v>
          </cell>
          <cell r="J181">
            <v>5.0002564241114579E-2</v>
          </cell>
          <cell r="K181">
            <v>5.1827691796928803E-2</v>
          </cell>
          <cell r="L181">
            <v>5.8743963579895184E-2</v>
          </cell>
          <cell r="M181">
            <v>6.0528098481261616E-2</v>
          </cell>
        </row>
        <row r="182">
          <cell r="A182" t="str">
            <v xml:space="preserve">   Operating expenses/average assets (%)</v>
          </cell>
          <cell r="B182" t="str">
            <v>BJ10160000</v>
          </cell>
          <cell r="C182" t="str">
            <v>%</v>
          </cell>
          <cell r="D182">
            <v>-2.6997763460673289E-2</v>
          </cell>
          <cell r="E182">
            <v>-2.4732797210004539E-2</v>
          </cell>
          <cell r="F182">
            <v>-2.1415585308101288E-2</v>
          </cell>
          <cell r="G182">
            <v>-2.2702648397875301E-2</v>
          </cell>
          <cell r="H182">
            <v>-2.1213200147901103E-2</v>
          </cell>
          <cell r="I182">
            <v>-2.18341287985972E-2</v>
          </cell>
          <cell r="J182">
            <v>-2.2273837027284218E-2</v>
          </cell>
          <cell r="K182">
            <v>-2.3158660830274479E-2</v>
          </cell>
          <cell r="L182">
            <v>-2.7071432682124742E-2</v>
          </cell>
          <cell r="M182">
            <v>-2.9388983987082833E-2</v>
          </cell>
        </row>
        <row r="183">
          <cell r="A183" t="str">
            <v>Pre-provision profit/average assets (%)</v>
          </cell>
          <cell r="B183" t="str">
            <v>BJ10170000</v>
          </cell>
          <cell r="C183" t="str">
            <v>%</v>
          </cell>
          <cell r="D183">
            <v>3.1074765852198982E-2</v>
          </cell>
          <cell r="E183">
            <v>3.5145140488639169E-2</v>
          </cell>
          <cell r="F183">
            <v>3.2443880770456256E-2</v>
          </cell>
          <cell r="G183">
            <v>2.8030903291733678E-2</v>
          </cell>
          <cell r="H183">
            <v>2.7679939783848178E-2</v>
          </cell>
          <cell r="I183">
            <v>2.6237994697062218E-2</v>
          </cell>
          <cell r="J183">
            <v>2.7728727213830361E-2</v>
          </cell>
          <cell r="K183">
            <v>2.8669030966654324E-2</v>
          </cell>
          <cell r="L183">
            <v>3.1672530897770439E-2</v>
          </cell>
          <cell r="M183">
            <v>3.1139114494178784E-2</v>
          </cell>
        </row>
        <row r="184">
          <cell r="A184" t="str">
            <v xml:space="preserve">   Charge for bad and doubtful debts/average assets (%)</v>
          </cell>
          <cell r="B184" t="str">
            <v>BJ10180000</v>
          </cell>
          <cell r="C184" t="str">
            <v>%</v>
          </cell>
          <cell r="D184" t="e">
            <v>#REF!</v>
          </cell>
          <cell r="E184" t="e">
            <v>#REF!</v>
          </cell>
          <cell r="F184" t="e">
            <v>#REF!</v>
          </cell>
          <cell r="G184">
            <v>-3.8836275692091995E-3</v>
          </cell>
          <cell r="H184">
            <v>-4.353286701006048E-3</v>
          </cell>
          <cell r="I184">
            <v>-3.2609341272122169E-3</v>
          </cell>
          <cell r="J184">
            <v>-4.902994002425649E-3</v>
          </cell>
          <cell r="K184">
            <v>-3.759921882726155E-3</v>
          </cell>
          <cell r="L184">
            <v>-7.68012970544215E-3</v>
          </cell>
          <cell r="M184">
            <v>-1.0452829272438116E-2</v>
          </cell>
        </row>
        <row r="185">
          <cell r="A185" t="str">
            <v>Operating profit/average assets (%)</v>
          </cell>
          <cell r="B185" t="str">
            <v>BJ10190000</v>
          </cell>
          <cell r="C185" t="str">
            <v>%</v>
          </cell>
          <cell r="D185" t="e">
            <v>#REF!</v>
          </cell>
          <cell r="E185" t="e">
            <v>#REF!</v>
          </cell>
          <cell r="F185" t="e">
            <v>#REF!</v>
          </cell>
          <cell r="G185">
            <v>2.4147275722524477E-2</v>
          </cell>
          <cell r="H185">
            <v>2.3326653082842132E-2</v>
          </cell>
          <cell r="I185">
            <v>2.2977060569850005E-2</v>
          </cell>
          <cell r="J185">
            <v>2.2825733211404714E-2</v>
          </cell>
          <cell r="K185">
            <v>2.4909109083928165E-2</v>
          </cell>
          <cell r="L185">
            <v>2.3992401192328289E-2</v>
          </cell>
          <cell r="M185">
            <v>2.068628522174067E-2</v>
          </cell>
        </row>
        <row r="186">
          <cell r="A186" t="str">
            <v xml:space="preserve">   Other income/(expense)/average assets (%)</v>
          </cell>
          <cell r="B186" t="str">
            <v>BJ10200000</v>
          </cell>
          <cell r="C186" t="str">
            <v>%</v>
          </cell>
          <cell r="D186" t="e">
            <v>#REF!</v>
          </cell>
          <cell r="E186" t="e">
            <v>#REF!</v>
          </cell>
          <cell r="F186" t="e">
            <v>#REF!</v>
          </cell>
          <cell r="G186" t="e">
            <v>#REF!</v>
          </cell>
          <cell r="H186" t="e">
            <v>#REF!</v>
          </cell>
          <cell r="I186" t="e">
            <v>#REF!</v>
          </cell>
          <cell r="J186" t="e">
            <v>#REF!</v>
          </cell>
          <cell r="K186" t="e">
            <v>#REF!</v>
          </cell>
          <cell r="L186" t="e">
            <v>#REF!</v>
          </cell>
          <cell r="M186" t="e">
            <v>#REF!</v>
          </cell>
        </row>
        <row r="187">
          <cell r="A187" t="str">
            <v>Profit before taxation/average assets (%)</v>
          </cell>
          <cell r="B187" t="str">
            <v>BJ10210000</v>
          </cell>
          <cell r="C187" t="str">
            <v>%</v>
          </cell>
          <cell r="D187" t="e">
            <v>#REF!</v>
          </cell>
          <cell r="E187" t="e">
            <v>#REF!</v>
          </cell>
          <cell r="F187" t="e">
            <v>#REF!</v>
          </cell>
          <cell r="G187" t="e">
            <v>#REF!</v>
          </cell>
          <cell r="H187" t="e">
            <v>#REF!</v>
          </cell>
          <cell r="I187" t="e">
            <v>#REF!</v>
          </cell>
          <cell r="J187" t="e">
            <v>#REF!</v>
          </cell>
          <cell r="K187" t="e">
            <v>#REF!</v>
          </cell>
          <cell r="L187" t="e">
            <v>#REF!</v>
          </cell>
          <cell r="M187" t="e">
            <v>#REF!</v>
          </cell>
        </row>
        <row r="188">
          <cell r="A188" t="str">
            <v xml:space="preserve">   Taxation and minority interests /average assets (%)</v>
          </cell>
          <cell r="B188" t="str">
            <v>BJ10220000</v>
          </cell>
          <cell r="C188" t="str">
            <v>%</v>
          </cell>
          <cell r="D188">
            <v>-1.3440761844079413E-2</v>
          </cell>
          <cell r="E188">
            <v>-9.6017515466703066E-3</v>
          </cell>
          <cell r="F188">
            <v>-9.3514347654956552E-3</v>
          </cell>
          <cell r="G188">
            <v>-7.7137232629364743E-3</v>
          </cell>
          <cell r="H188">
            <v>-6.5230780787372883E-3</v>
          </cell>
          <cell r="I188">
            <v>-6.7779026796179259E-3</v>
          </cell>
          <cell r="J188">
            <v>-5.7598492638703102E-3</v>
          </cell>
          <cell r="K188">
            <v>-6.7003079606883127E-3</v>
          </cell>
          <cell r="L188">
            <v>-6.1316493269040909E-3</v>
          </cell>
          <cell r="M188">
            <v>-6.0421750373310995E-3</v>
          </cell>
        </row>
        <row r="189">
          <cell r="A189" t="str">
            <v>Profit attributable to shareholders/average assets (%)</v>
          </cell>
          <cell r="B189" t="str">
            <v>BJ10230000</v>
          </cell>
          <cell r="C189" t="str">
            <v>%</v>
          </cell>
          <cell r="D189" t="e">
            <v>#REF!</v>
          </cell>
          <cell r="E189" t="e">
            <v>#REF!</v>
          </cell>
          <cell r="F189" t="e">
            <v>#REF!</v>
          </cell>
          <cell r="G189" t="e">
            <v>#REF!</v>
          </cell>
          <cell r="H189" t="e">
            <v>#REF!</v>
          </cell>
          <cell r="I189" t="e">
            <v>#REF!</v>
          </cell>
          <cell r="J189" t="e">
            <v>#REF!</v>
          </cell>
          <cell r="K189" t="e">
            <v>#REF!</v>
          </cell>
          <cell r="L189" t="e">
            <v>#REF!</v>
          </cell>
          <cell r="M189" t="e">
            <v>#REF!</v>
          </cell>
        </row>
        <row r="193">
          <cell r="A193" t="str">
            <v xml:space="preserve">   Liquid assets ($m)</v>
          </cell>
          <cell r="B193" t="str">
            <v>BK11020000</v>
          </cell>
          <cell r="C193" t="str">
            <v>$m</v>
          </cell>
          <cell r="D193">
            <v>11143.8</v>
          </cell>
          <cell r="E193">
            <v>14071.1</v>
          </cell>
          <cell r="F193">
            <v>48470.5</v>
          </cell>
          <cell r="G193">
            <v>60362.1</v>
          </cell>
          <cell r="H193">
            <v>87650.6</v>
          </cell>
          <cell r="I193">
            <v>95373.1</v>
          </cell>
          <cell r="J193">
            <v>151946</v>
          </cell>
          <cell r="K193">
            <v>157078</v>
          </cell>
          <cell r="L193">
            <v>265575.69999999995</v>
          </cell>
          <cell r="M193">
            <v>316987.8</v>
          </cell>
        </row>
        <row r="195">
          <cell r="A195" t="str">
            <v xml:space="preserve">   Certificates of deposit ($m)</v>
          </cell>
          <cell r="B195" t="str">
            <v>BK11040000</v>
          </cell>
          <cell r="C195" t="str">
            <v>$m</v>
          </cell>
          <cell r="D195">
            <v>0</v>
          </cell>
          <cell r="E195">
            <v>0</v>
          </cell>
          <cell r="F195">
            <v>0</v>
          </cell>
          <cell r="G195">
            <v>0</v>
          </cell>
          <cell r="H195">
            <v>0</v>
          </cell>
          <cell r="I195">
            <v>0</v>
          </cell>
          <cell r="J195">
            <v>0</v>
          </cell>
          <cell r="K195">
            <v>0</v>
          </cell>
          <cell r="L195">
            <v>0</v>
          </cell>
          <cell r="M195">
            <v>0</v>
          </cell>
        </row>
        <row r="196">
          <cell r="A196" t="str">
            <v xml:space="preserve">   Other non-equity funding ($m)</v>
          </cell>
          <cell r="B196" t="str">
            <v>BK11050000</v>
          </cell>
          <cell r="C196" t="str">
            <v>$m</v>
          </cell>
          <cell r="D196">
            <v>1547</v>
          </cell>
          <cell r="E196">
            <v>5828.7999999999993</v>
          </cell>
          <cell r="F196">
            <v>15787.4</v>
          </cell>
          <cell r="G196">
            <v>14329</v>
          </cell>
          <cell r="H196">
            <v>20230.2</v>
          </cell>
          <cell r="I196">
            <v>22846.5</v>
          </cell>
          <cell r="J196">
            <v>29078.2</v>
          </cell>
          <cell r="K196">
            <v>52900.1</v>
          </cell>
          <cell r="L196">
            <v>45604.800000000003</v>
          </cell>
          <cell r="M196">
            <v>60979.9</v>
          </cell>
        </row>
        <row r="197">
          <cell r="A197" t="str">
            <v xml:space="preserve">   Loan/deposit ratio (%)</v>
          </cell>
          <cell r="B197" t="str">
            <v>BK11060000</v>
          </cell>
          <cell r="C197" t="str">
            <v>%</v>
          </cell>
          <cell r="D197">
            <v>0.60401781233175467</v>
          </cell>
          <cell r="E197">
            <v>0.77510282630844118</v>
          </cell>
          <cell r="F197">
            <v>0.62040385774562989</v>
          </cell>
          <cell r="G197">
            <v>0.62686747680370136</v>
          </cell>
          <cell r="H197">
            <v>0.60491930070619315</v>
          </cell>
          <cell r="I197">
            <v>0.6693457608954565</v>
          </cell>
          <cell r="J197">
            <v>0.74608716012372722</v>
          </cell>
          <cell r="K197">
            <v>0.84831811411320557</v>
          </cell>
          <cell r="L197">
            <v>0.73806109738870429</v>
          </cell>
          <cell r="M197">
            <v>0.77083501347185601</v>
          </cell>
        </row>
        <row r="198">
          <cell r="A198" t="str">
            <v>Loan/deposit and CD ratio (%)</v>
          </cell>
          <cell r="B198" t="str">
            <v>BK11070000</v>
          </cell>
          <cell r="C198" t="str">
            <v>%</v>
          </cell>
          <cell r="D198">
            <v>0.60401781233175467</v>
          </cell>
          <cell r="E198">
            <v>0.77510282630844118</v>
          </cell>
          <cell r="F198">
            <v>0.62040385774562989</v>
          </cell>
          <cell r="G198">
            <v>0.62686747680370136</v>
          </cell>
          <cell r="H198">
            <v>0.60491930070619315</v>
          </cell>
          <cell r="I198">
            <v>0.6693457608954565</v>
          </cell>
          <cell r="J198">
            <v>0.74608716012372722</v>
          </cell>
          <cell r="K198">
            <v>0.84831811411320557</v>
          </cell>
          <cell r="L198">
            <v>0.73806109738870429</v>
          </cell>
          <cell r="M198">
            <v>0.77083501347185601</v>
          </cell>
        </row>
        <row r="199">
          <cell r="A199" t="str">
            <v xml:space="preserve">   Loan/total funding ratio (%)</v>
          </cell>
          <cell r="B199" t="str">
            <v>BK11080000</v>
          </cell>
          <cell r="C199" t="str">
            <v>%</v>
          </cell>
          <cell r="D199">
            <v>0.56419512111965353</v>
          </cell>
          <cell r="E199">
            <v>0.64594524283945931</v>
          </cell>
          <cell r="F199">
            <v>0.52252145114256188</v>
          </cell>
          <cell r="G199">
            <v>0.55825257180309229</v>
          </cell>
          <cell r="H199">
            <v>0.54272616066713997</v>
          </cell>
          <cell r="I199">
            <v>0.60733537382525726</v>
          </cell>
          <cell r="J199">
            <v>0.68097001261830414</v>
          </cell>
          <cell r="K199">
            <v>0.74055749339764965</v>
          </cell>
          <cell r="L199">
            <v>0.68229463875952034</v>
          </cell>
          <cell r="M199">
            <v>0.70765219952220515</v>
          </cell>
        </row>
        <row r="200">
          <cell r="A200" t="str">
            <v>Liquidity ratio (%)</v>
          </cell>
          <cell r="B200" t="str">
            <v>BK11090000</v>
          </cell>
          <cell r="C200" t="str">
            <v>%</v>
          </cell>
          <cell r="D200">
            <v>0.50844534479454673</v>
          </cell>
          <cell r="E200">
            <v>0.48269533568201545</v>
          </cell>
          <cell r="F200">
            <v>0.5751318268760709</v>
          </cell>
          <cell r="G200">
            <v>0.51776917527798239</v>
          </cell>
          <cell r="H200">
            <v>0.49649679021129151</v>
          </cell>
          <cell r="I200">
            <v>0.42622810886808987</v>
          </cell>
          <cell r="J200">
            <v>0.49967673895042436</v>
          </cell>
          <cell r="K200">
            <v>0.43207602962514702</v>
          </cell>
          <cell r="L200">
            <v>0.47596923982406164</v>
          </cell>
          <cell r="M200">
            <v>0.46412497946497366</v>
          </cell>
        </row>
        <row r="203">
          <cell r="A203" t="str">
            <v xml:space="preserve">      Local currency assets ($m)</v>
          </cell>
          <cell r="B203" t="str">
            <v>BL12010000</v>
          </cell>
          <cell r="C203" t="str">
            <v>$m</v>
          </cell>
          <cell r="D203" t="e">
            <v>#REF!</v>
          </cell>
          <cell r="E203" t="e">
            <v>#REF!</v>
          </cell>
          <cell r="F203" t="e">
            <v>#REF!</v>
          </cell>
          <cell r="G203" t="e">
            <v>#REF!</v>
          </cell>
          <cell r="H203" t="e">
            <v>#REF!</v>
          </cell>
          <cell r="I203" t="e">
            <v>#REF!</v>
          </cell>
          <cell r="J203" t="e">
            <v>#REF!</v>
          </cell>
          <cell r="K203" t="e">
            <v>#REF!</v>
          </cell>
          <cell r="L203" t="e">
            <v>#REF!</v>
          </cell>
          <cell r="M203" t="e">
            <v>#REF!</v>
          </cell>
        </row>
        <row r="204">
          <cell r="A204" t="str">
            <v xml:space="preserve">      Foreign currency assets ($m)</v>
          </cell>
          <cell r="B204" t="str">
            <v>BL12020000</v>
          </cell>
          <cell r="C204" t="str">
            <v>$m</v>
          </cell>
          <cell r="D204" t="e">
            <v>#REF!</v>
          </cell>
          <cell r="E204" t="e">
            <v>#REF!</v>
          </cell>
          <cell r="F204" t="e">
            <v>#REF!</v>
          </cell>
          <cell r="G204" t="e">
            <v>#REF!</v>
          </cell>
          <cell r="H204" t="e">
            <v>#REF!</v>
          </cell>
          <cell r="I204" t="e">
            <v>#REF!</v>
          </cell>
          <cell r="J204" t="e">
            <v>#REF!</v>
          </cell>
          <cell r="K204" t="e">
            <v>#REF!</v>
          </cell>
          <cell r="L204" t="e">
            <v>#REF!</v>
          </cell>
          <cell r="M204" t="e">
            <v>#REF!</v>
          </cell>
        </row>
        <row r="206">
          <cell r="A206" t="str">
            <v xml:space="preserve">      Local currency Liabilities ($m)</v>
          </cell>
          <cell r="B206" t="str">
            <v>BL12040000</v>
          </cell>
          <cell r="C206" t="str">
            <v>$m</v>
          </cell>
          <cell r="D206" t="e">
            <v>#REF!</v>
          </cell>
          <cell r="E206" t="e">
            <v>#REF!</v>
          </cell>
          <cell r="F206" t="e">
            <v>#REF!</v>
          </cell>
          <cell r="G206" t="e">
            <v>#REF!</v>
          </cell>
          <cell r="H206" t="e">
            <v>#REF!</v>
          </cell>
          <cell r="I206" t="e">
            <v>#REF!</v>
          </cell>
          <cell r="J206" t="e">
            <v>#REF!</v>
          </cell>
          <cell r="K206" t="e">
            <v>#REF!</v>
          </cell>
          <cell r="L206" t="e">
            <v>#REF!</v>
          </cell>
          <cell r="M206" t="e">
            <v>#REF!</v>
          </cell>
        </row>
        <row r="207">
          <cell r="A207" t="str">
            <v xml:space="preserve">      Foreign currency liabilities ($m)</v>
          </cell>
          <cell r="B207" t="str">
            <v>BL12050000</v>
          </cell>
          <cell r="C207" t="str">
            <v>$m</v>
          </cell>
          <cell r="D207" t="e">
            <v>#REF!</v>
          </cell>
          <cell r="E207" t="e">
            <v>#REF!</v>
          </cell>
          <cell r="F207" t="e">
            <v>#REF!</v>
          </cell>
          <cell r="G207" t="e">
            <v>#REF!</v>
          </cell>
          <cell r="H207" t="e">
            <v>#REF!</v>
          </cell>
          <cell r="I207" t="e">
            <v>#REF!</v>
          </cell>
          <cell r="J207" t="e">
            <v>#REF!</v>
          </cell>
          <cell r="K207" t="e">
            <v>#REF!</v>
          </cell>
          <cell r="L207" t="e">
            <v>#REF!</v>
          </cell>
          <cell r="M207" t="e">
            <v>#REF!</v>
          </cell>
        </row>
        <row r="208">
          <cell r="A208" t="str">
            <v xml:space="preserve">   Total liabilities ($m)</v>
          </cell>
          <cell r="B208" t="str">
            <v>BL12060000</v>
          </cell>
          <cell r="C208" t="str">
            <v>$m</v>
          </cell>
          <cell r="D208">
            <v>28299.799999999996</v>
          </cell>
          <cell r="E208">
            <v>43499.6</v>
          </cell>
          <cell r="F208">
            <v>116561.4</v>
          </cell>
          <cell r="G208">
            <v>156173.29999999999</v>
          </cell>
          <cell r="H208">
            <v>237873.8</v>
          </cell>
          <cell r="I208">
            <v>304240.8</v>
          </cell>
          <cell r="J208">
            <v>423069.89999999991</v>
          </cell>
          <cell r="K208">
            <v>514290</v>
          </cell>
          <cell r="L208">
            <v>735063.9</v>
          </cell>
          <cell r="M208">
            <v>912356.1</v>
          </cell>
        </row>
        <row r="209">
          <cell r="A209" t="str">
            <v>Foreign currency assets/total assets (%)</v>
          </cell>
          <cell r="B209" t="str">
            <v>BL12070000</v>
          </cell>
          <cell r="C209" t="str">
            <v>%</v>
          </cell>
          <cell r="D209" t="e">
            <v>#REF!</v>
          </cell>
          <cell r="E209" t="e">
            <v>#REF!</v>
          </cell>
          <cell r="F209" t="e">
            <v>#REF!</v>
          </cell>
          <cell r="G209" t="e">
            <v>#REF!</v>
          </cell>
          <cell r="H209" t="e">
            <v>#REF!</v>
          </cell>
          <cell r="I209" t="e">
            <v>#REF!</v>
          </cell>
          <cell r="J209" t="e">
            <v>#REF!</v>
          </cell>
          <cell r="K209" t="e">
            <v>#REF!</v>
          </cell>
          <cell r="L209" t="e">
            <v>#REF!</v>
          </cell>
          <cell r="M209" t="e">
            <v>#REF!</v>
          </cell>
        </row>
        <row r="210">
          <cell r="A210" t="str">
            <v>Foreign currency liabilities/total liabilities (%)</v>
          </cell>
          <cell r="B210" t="str">
            <v>BL12080000</v>
          </cell>
          <cell r="C210" t="str">
            <v>%</v>
          </cell>
          <cell r="D210" t="e">
            <v>#REF!</v>
          </cell>
          <cell r="E210" t="e">
            <v>#REF!</v>
          </cell>
          <cell r="F210" t="e">
            <v>#REF!</v>
          </cell>
          <cell r="G210" t="e">
            <v>#REF!</v>
          </cell>
          <cell r="H210" t="e">
            <v>#REF!</v>
          </cell>
          <cell r="I210" t="e">
            <v>#REF!</v>
          </cell>
          <cell r="J210" t="e">
            <v>#REF!</v>
          </cell>
          <cell r="K210" t="e">
            <v>#REF!</v>
          </cell>
          <cell r="L210" t="e">
            <v>#REF!</v>
          </cell>
          <cell r="M210" t="e">
            <v>#REF!</v>
          </cell>
        </row>
        <row r="217">
          <cell r="A217" t="str">
            <v xml:space="preserve">   Less increase in interest accrued ($m)</v>
          </cell>
          <cell r="B217" t="str">
            <v>BM13050000</v>
          </cell>
          <cell r="C217" t="str">
            <v>$m</v>
          </cell>
          <cell r="D217">
            <v>0</v>
          </cell>
          <cell r="E217">
            <v>0</v>
          </cell>
          <cell r="F217">
            <v>0</v>
          </cell>
          <cell r="G217">
            <v>0</v>
          </cell>
          <cell r="H217">
            <v>0</v>
          </cell>
          <cell r="I217">
            <v>0</v>
          </cell>
          <cell r="J217">
            <v>0</v>
          </cell>
          <cell r="K217">
            <v>0</v>
          </cell>
          <cell r="L217">
            <v>0</v>
          </cell>
          <cell r="M217">
            <v>0</v>
          </cell>
        </row>
        <row r="218">
          <cell r="A218" t="str">
            <v>Operating Cashflow ($m)</v>
          </cell>
          <cell r="B218" t="str">
            <v>BM13060000</v>
          </cell>
          <cell r="C218" t="str">
            <v>$m</v>
          </cell>
          <cell r="D218" t="e">
            <v>#REF!</v>
          </cell>
          <cell r="E218" t="e">
            <v>#REF!</v>
          </cell>
          <cell r="F218" t="e">
            <v>#REF!</v>
          </cell>
          <cell r="G218" t="e">
            <v>#REF!</v>
          </cell>
          <cell r="H218" t="e">
            <v>#REF!</v>
          </cell>
          <cell r="I218" t="e">
            <v>#REF!</v>
          </cell>
          <cell r="J218" t="e">
            <v>#REF!</v>
          </cell>
          <cell r="K218" t="e">
            <v>#REF!</v>
          </cell>
          <cell r="L218" t="e">
            <v>#REF!</v>
          </cell>
          <cell r="M218" t="e">
            <v>#REF!</v>
          </cell>
        </row>
        <row r="221">
          <cell r="A221" t="str">
            <v>Current share price ($)</v>
          </cell>
          <cell r="B221" t="str">
            <v>BN14010000</v>
          </cell>
          <cell r="C221" t="str">
            <v>$</v>
          </cell>
          <cell r="D221">
            <v>232</v>
          </cell>
          <cell r="E221">
            <v>232</v>
          </cell>
          <cell r="F221">
            <v>232</v>
          </cell>
          <cell r="G221">
            <v>232</v>
          </cell>
          <cell r="H221">
            <v>232</v>
          </cell>
          <cell r="I221">
            <v>232</v>
          </cell>
          <cell r="J221">
            <v>232</v>
          </cell>
          <cell r="K221">
            <v>232</v>
          </cell>
          <cell r="L221">
            <v>233</v>
          </cell>
          <cell r="M221">
            <v>234</v>
          </cell>
        </row>
        <row r="224">
          <cell r="A224" t="str">
            <v>Market capitalisation ($m)</v>
          </cell>
          <cell r="B224" t="str">
            <v>BN14040000</v>
          </cell>
          <cell r="C224" t="str">
            <v>$m</v>
          </cell>
          <cell r="D224">
            <v>46400</v>
          </cell>
          <cell r="E224">
            <v>46400</v>
          </cell>
          <cell r="F224">
            <v>56440.960000000006</v>
          </cell>
          <cell r="G224">
            <v>56515.199999999997</v>
          </cell>
          <cell r="H224">
            <v>65277.840000000004</v>
          </cell>
          <cell r="I224">
            <v>65435.600000000006</v>
          </cell>
          <cell r="J224">
            <v>66071.28</v>
          </cell>
          <cell r="K224">
            <v>71892.160000000003</v>
          </cell>
          <cell r="L224">
            <v>72961.62</v>
          </cell>
          <cell r="M224">
            <v>74737.259999999995</v>
          </cell>
        </row>
        <row r="226">
          <cell r="A226" t="str">
            <v>Market PER (X)</v>
          </cell>
          <cell r="B226" t="str">
            <v>BN14060000</v>
          </cell>
          <cell r="C226" t="str">
            <v>X</v>
          </cell>
          <cell r="D226">
            <v>26.31</v>
          </cell>
          <cell r="E226">
            <v>28.06</v>
          </cell>
          <cell r="F226">
            <v>24.02</v>
          </cell>
          <cell r="G226">
            <v>17.09</v>
          </cell>
          <cell r="H226">
            <v>15</v>
          </cell>
          <cell r="I226">
            <v>15</v>
          </cell>
          <cell r="J226">
            <v>15</v>
          </cell>
          <cell r="K226">
            <v>15</v>
          </cell>
          <cell r="L226">
            <v>15</v>
          </cell>
          <cell r="M226">
            <v>15</v>
          </cell>
        </row>
        <row r="227">
          <cell r="A227" t="str">
            <v>Pre-exceptional market PER (X)</v>
          </cell>
          <cell r="B227" t="str">
            <v>BN14070000</v>
          </cell>
          <cell r="C227" t="str">
            <v>X</v>
          </cell>
          <cell r="D227">
            <v>26.31</v>
          </cell>
          <cell r="E227">
            <v>28.06</v>
          </cell>
          <cell r="F227">
            <v>24.02</v>
          </cell>
          <cell r="G227">
            <v>17.09</v>
          </cell>
          <cell r="H227">
            <v>15</v>
          </cell>
          <cell r="I227">
            <v>15</v>
          </cell>
          <cell r="J227">
            <v>15</v>
          </cell>
          <cell r="K227">
            <v>15</v>
          </cell>
          <cell r="L227">
            <v>15</v>
          </cell>
          <cell r="M227">
            <v>15</v>
          </cell>
        </row>
        <row r="228">
          <cell r="A228" t="str">
            <v>Market dividend yield (%)</v>
          </cell>
          <cell r="B228" t="str">
            <v>BN14080000</v>
          </cell>
          <cell r="C228" t="str">
            <v>%</v>
          </cell>
          <cell r="D228">
            <v>0.79</v>
          </cell>
          <cell r="E228">
            <v>0.91</v>
          </cell>
          <cell r="F228">
            <v>1.01</v>
          </cell>
          <cell r="G228">
            <v>1.21</v>
          </cell>
          <cell r="H228">
            <v>1.4</v>
          </cell>
          <cell r="I228">
            <v>1.4</v>
          </cell>
          <cell r="J228">
            <v>1.4</v>
          </cell>
          <cell r="K228">
            <v>1.4</v>
          </cell>
          <cell r="L228">
            <v>1.4</v>
          </cell>
          <cell r="M228">
            <v>1.4</v>
          </cell>
        </row>
        <row r="232">
          <cell r="A232" t="str">
            <v>Price/earings ratio (X)</v>
          </cell>
          <cell r="B232" t="str">
            <v>BN14120000</v>
          </cell>
          <cell r="C232" t="str">
            <v>X</v>
          </cell>
          <cell r="D232" t="e">
            <v>#REF!</v>
          </cell>
          <cell r="E232" t="e">
            <v>#REF!</v>
          </cell>
          <cell r="F232" t="e">
            <v>#REF!</v>
          </cell>
          <cell r="G232" t="e">
            <v>#REF!</v>
          </cell>
          <cell r="H232" t="e">
            <v>#REF!</v>
          </cell>
          <cell r="I232" t="e">
            <v>#REF!</v>
          </cell>
          <cell r="J232" t="e">
            <v>#REF!</v>
          </cell>
          <cell r="K232" t="e">
            <v>#REF!</v>
          </cell>
          <cell r="L232" t="e">
            <v>#REF!</v>
          </cell>
          <cell r="M232" t="e">
            <v>#REF!</v>
          </cell>
        </row>
        <row r="233">
          <cell r="A233" t="str">
            <v>PER relative (%)</v>
          </cell>
          <cell r="B233" t="str">
            <v>BN14130000</v>
          </cell>
          <cell r="C233" t="str">
            <v>X</v>
          </cell>
          <cell r="D233">
            <v>7.6016723679209433</v>
          </cell>
          <cell r="E233">
            <v>7.1275837491090526</v>
          </cell>
          <cell r="F233">
            <v>10.128226477935055</v>
          </cell>
          <cell r="G233">
            <v>14.25394967817437</v>
          </cell>
          <cell r="H233">
            <v>18.757999999999999</v>
          </cell>
          <cell r="I233">
            <v>18.803333333333335</v>
          </cell>
          <cell r="J233">
            <v>18.986000000000001</v>
          </cell>
          <cell r="K233">
            <v>20.658666666666665</v>
          </cell>
          <cell r="L233">
            <v>20.875999999999998</v>
          </cell>
          <cell r="M233">
            <v>21.292666666666666</v>
          </cell>
        </row>
        <row r="234">
          <cell r="A234" t="str">
            <v>Pre-exceptional price/earnings ratio (X)</v>
          </cell>
          <cell r="B234" t="str">
            <v>BN14140000</v>
          </cell>
          <cell r="C234" t="str">
            <v>X</v>
          </cell>
          <cell r="D234" t="e">
            <v>#REF!</v>
          </cell>
          <cell r="E234" t="e">
            <v>#REF!</v>
          </cell>
          <cell r="F234" t="e">
            <v>#REF!</v>
          </cell>
          <cell r="G234" t="e">
            <v>#REF!</v>
          </cell>
          <cell r="H234" t="e">
            <v>#REF!</v>
          </cell>
          <cell r="I234" t="e">
            <v>#REF!</v>
          </cell>
          <cell r="J234" t="e">
            <v>#REF!</v>
          </cell>
          <cell r="K234" t="e">
            <v>#REF!</v>
          </cell>
          <cell r="L234" t="e">
            <v>#REF!</v>
          </cell>
          <cell r="M234" t="e">
            <v>#REF!</v>
          </cell>
        </row>
        <row r="235">
          <cell r="A235" t="str">
            <v>Pre-exceptional PER relative (%)</v>
          </cell>
          <cell r="B235" t="str">
            <v>BN14150000</v>
          </cell>
          <cell r="C235" t="str">
            <v>%</v>
          </cell>
          <cell r="D235" t="e">
            <v>#REF!</v>
          </cell>
          <cell r="E235" t="e">
            <v>#REF!</v>
          </cell>
          <cell r="F235" t="e">
            <v>#REF!</v>
          </cell>
          <cell r="G235" t="e">
            <v>#REF!</v>
          </cell>
          <cell r="H235" t="e">
            <v>#REF!</v>
          </cell>
          <cell r="I235" t="e">
            <v>#REF!</v>
          </cell>
          <cell r="J235" t="e">
            <v>#REF!</v>
          </cell>
          <cell r="K235" t="e">
            <v>#REF!</v>
          </cell>
          <cell r="L235" t="e">
            <v>#REF!</v>
          </cell>
          <cell r="M235" t="e">
            <v>#REF!</v>
          </cell>
        </row>
        <row r="236">
          <cell r="A236" t="str">
            <v>Dividend yield (%)</v>
          </cell>
          <cell r="B236" t="str">
            <v>BN14160000</v>
          </cell>
          <cell r="C236" t="str">
            <v>%</v>
          </cell>
          <cell r="D236">
            <v>4.3103448275862068E-3</v>
          </cell>
          <cell r="E236">
            <v>5.6034482758620689E-3</v>
          </cell>
          <cell r="F236">
            <v>6.8965517241379318E-3</v>
          </cell>
          <cell r="G236">
            <v>8.6206896551724137E-3</v>
          </cell>
          <cell r="H236">
            <v>1.0775862068965518E-2</v>
          </cell>
          <cell r="I236">
            <v>1.2931034482758621E-2</v>
          </cell>
          <cell r="J236">
            <v>1.5086206896551725E-2</v>
          </cell>
          <cell r="K236">
            <v>1.9396551724137932E-2</v>
          </cell>
          <cell r="L236">
            <v>2.3605150214592276E-2</v>
          </cell>
          <cell r="M236">
            <v>2.9914529914529916E-2</v>
          </cell>
        </row>
        <row r="237">
          <cell r="A237" t="str">
            <v>Dividend yield relative (%)</v>
          </cell>
          <cell r="B237" t="str">
            <v>BN14170000</v>
          </cell>
          <cell r="C237" t="str">
            <v>%</v>
          </cell>
          <cell r="D237">
            <v>1</v>
          </cell>
          <cell r="E237">
            <v>1</v>
          </cell>
          <cell r="F237">
            <v>1</v>
          </cell>
          <cell r="G237">
            <v>1</v>
          </cell>
          <cell r="H237">
            <v>1</v>
          </cell>
          <cell r="I237">
            <v>1</v>
          </cell>
          <cell r="J237">
            <v>1</v>
          </cell>
          <cell r="K237">
            <v>1</v>
          </cell>
          <cell r="L237">
            <v>1</v>
          </cell>
          <cell r="M237">
            <v>1</v>
          </cell>
        </row>
        <row r="238">
          <cell r="A238" t="str">
            <v>PER/earnings growth ratio (X)</v>
          </cell>
          <cell r="B238" t="str">
            <v>BN14180000</v>
          </cell>
          <cell r="C238" t="str">
            <v>X</v>
          </cell>
          <cell r="E238" t="e">
            <v>#REF!</v>
          </cell>
          <cell r="F238" t="e">
            <v>#REF!</v>
          </cell>
          <cell r="G238" t="e">
            <v>#REF!</v>
          </cell>
          <cell r="H238" t="e">
            <v>#REF!</v>
          </cell>
          <cell r="I238" t="e">
            <v>#REF!</v>
          </cell>
          <cell r="J238" t="e">
            <v>#REF!</v>
          </cell>
          <cell r="K238" t="e">
            <v>#REF!</v>
          </cell>
          <cell r="L238" t="e">
            <v>#REF!</v>
          </cell>
          <cell r="M238" t="e">
            <v>#REF!</v>
          </cell>
        </row>
        <row r="239">
          <cell r="A239" t="str">
            <v>Pre-exceptional PER/earnings growth ratio (X)</v>
          </cell>
          <cell r="B239" t="str">
            <v>BN14190000</v>
          </cell>
          <cell r="C239" t="str">
            <v>X</v>
          </cell>
          <cell r="E239" t="e">
            <v>#REF!</v>
          </cell>
          <cell r="F239" t="e">
            <v>#REF!</v>
          </cell>
          <cell r="G239" t="e">
            <v>#REF!</v>
          </cell>
          <cell r="H239" t="e">
            <v>#REF!</v>
          </cell>
          <cell r="I239" t="e">
            <v>#REF!</v>
          </cell>
          <cell r="J239" t="e">
            <v>#REF!</v>
          </cell>
          <cell r="K239" t="e">
            <v>#REF!</v>
          </cell>
          <cell r="L239" t="e">
            <v>#REF!</v>
          </cell>
          <cell r="M239" t="e">
            <v>#REF!</v>
          </cell>
        </row>
        <row r="242">
          <cell r="A242" t="str">
            <v>Fully-diluted price/earnings ratio (X)</v>
          </cell>
          <cell r="B242" t="str">
            <v>BN14220000</v>
          </cell>
          <cell r="C242" t="str">
            <v>X</v>
          </cell>
          <cell r="D242" t="e">
            <v>#REF!</v>
          </cell>
          <cell r="E242" t="e">
            <v>#REF!</v>
          </cell>
          <cell r="F242" t="e">
            <v>#REF!</v>
          </cell>
          <cell r="G242" t="e">
            <v>#REF!</v>
          </cell>
          <cell r="H242" t="e">
            <v>#REF!</v>
          </cell>
          <cell r="I242" t="e">
            <v>#REF!</v>
          </cell>
          <cell r="J242" t="e">
            <v>#REF!</v>
          </cell>
          <cell r="K242" t="e">
            <v>#REF!</v>
          </cell>
          <cell r="L242" t="e">
            <v>#REF!</v>
          </cell>
          <cell r="M242" t="e">
            <v>#REF!</v>
          </cell>
        </row>
        <row r="243">
          <cell r="A243" t="str">
            <v>Fully-diluted PER relative (%)</v>
          </cell>
          <cell r="B243" t="str">
            <v>BN14230000</v>
          </cell>
          <cell r="C243" t="str">
            <v>%</v>
          </cell>
          <cell r="D243" t="e">
            <v>#REF!</v>
          </cell>
          <cell r="E243" t="e">
            <v>#REF!</v>
          </cell>
          <cell r="F243" t="e">
            <v>#REF!</v>
          </cell>
          <cell r="G243" t="e">
            <v>#REF!</v>
          </cell>
          <cell r="H243" t="e">
            <v>#REF!</v>
          </cell>
          <cell r="I243" t="e">
            <v>#REF!</v>
          </cell>
          <cell r="J243" t="e">
            <v>#REF!</v>
          </cell>
          <cell r="K243" t="e">
            <v>#REF!</v>
          </cell>
          <cell r="L243" t="e">
            <v>#REF!</v>
          </cell>
          <cell r="M243" t="e">
            <v>#REF!</v>
          </cell>
        </row>
        <row r="244">
          <cell r="A244" t="str">
            <v>Fully-diluted pre-exceptional price/earnings ratio (X)</v>
          </cell>
          <cell r="B244" t="str">
            <v>BN14240000</v>
          </cell>
          <cell r="C244" t="str">
            <v>X</v>
          </cell>
          <cell r="D244" t="e">
            <v>#REF!</v>
          </cell>
          <cell r="E244" t="e">
            <v>#REF!</v>
          </cell>
          <cell r="F244" t="e">
            <v>#REF!</v>
          </cell>
          <cell r="G244" t="e">
            <v>#REF!</v>
          </cell>
          <cell r="H244" t="e">
            <v>#REF!</v>
          </cell>
          <cell r="I244" t="e">
            <v>#REF!</v>
          </cell>
          <cell r="J244" t="e">
            <v>#REF!</v>
          </cell>
          <cell r="K244" t="e">
            <v>#REF!</v>
          </cell>
          <cell r="L244" t="e">
            <v>#REF!</v>
          </cell>
          <cell r="M244" t="e">
            <v>#REF!</v>
          </cell>
        </row>
        <row r="245">
          <cell r="A245" t="str">
            <v>Fully-diluted pre-exceptional PER relative (%)</v>
          </cell>
          <cell r="B245" t="str">
            <v>BN14250000</v>
          </cell>
          <cell r="C245" t="str">
            <v>%</v>
          </cell>
          <cell r="D245" t="e">
            <v>#REF!</v>
          </cell>
          <cell r="E245" t="e">
            <v>#REF!</v>
          </cell>
          <cell r="F245" t="e">
            <v>#REF!</v>
          </cell>
          <cell r="G245" t="e">
            <v>#REF!</v>
          </cell>
          <cell r="H245" t="e">
            <v>#REF!</v>
          </cell>
          <cell r="I245" t="e">
            <v>#REF!</v>
          </cell>
          <cell r="J245" t="e">
            <v>#REF!</v>
          </cell>
          <cell r="K245" t="e">
            <v>#REF!</v>
          </cell>
          <cell r="L245" t="e">
            <v>#REF!</v>
          </cell>
          <cell r="M245" t="e">
            <v>#REF!</v>
          </cell>
        </row>
        <row r="246">
          <cell r="A246" t="str">
            <v>Fully-diluted PER/earnings growth ratio (X)</v>
          </cell>
          <cell r="B246" t="str">
            <v>BN14260000</v>
          </cell>
          <cell r="C246" t="str">
            <v>X</v>
          </cell>
          <cell r="E246" t="e">
            <v>#REF!</v>
          </cell>
          <cell r="F246" t="e">
            <v>#REF!</v>
          </cell>
          <cell r="G246" t="e">
            <v>#REF!</v>
          </cell>
          <cell r="H246" t="e">
            <v>#REF!</v>
          </cell>
          <cell r="I246" t="e">
            <v>#REF!</v>
          </cell>
          <cell r="J246" t="e">
            <v>#REF!</v>
          </cell>
          <cell r="K246" t="e">
            <v>#REF!</v>
          </cell>
          <cell r="L246" t="e">
            <v>#REF!</v>
          </cell>
          <cell r="M246" t="e">
            <v>#REF!</v>
          </cell>
        </row>
        <row r="247">
          <cell r="A247" t="str">
            <v>Fully-diluted pre-exceptional PER/earnings growth ratio (X)</v>
          </cell>
          <cell r="B247" t="str">
            <v>BN14270000</v>
          </cell>
          <cell r="C247" t="str">
            <v>X</v>
          </cell>
          <cell r="E247" t="e">
            <v>#REF!</v>
          </cell>
          <cell r="F247" t="e">
            <v>#REF!</v>
          </cell>
          <cell r="G247" t="e">
            <v>#REF!</v>
          </cell>
          <cell r="H247" t="e">
            <v>#REF!</v>
          </cell>
          <cell r="I247" t="e">
            <v>#REF!</v>
          </cell>
          <cell r="J247" t="e">
            <v>#REF!</v>
          </cell>
          <cell r="K247" t="e">
            <v>#REF!</v>
          </cell>
          <cell r="L247" t="e">
            <v>#REF!</v>
          </cell>
          <cell r="M247" t="e">
            <v>#REF!</v>
          </cell>
        </row>
        <row r="251">
          <cell r="A251" t="str">
            <v>Price/pre-provision profit (X)</v>
          </cell>
          <cell r="B251" t="str">
            <v>BN14310000</v>
          </cell>
          <cell r="C251" t="str">
            <v>X</v>
          </cell>
          <cell r="D251">
            <v>64.283735106677739</v>
          </cell>
          <cell r="E251">
            <v>36.775778711262596</v>
          </cell>
          <cell r="F251">
            <v>21.737323319853655</v>
          </cell>
          <cell r="G251">
            <v>14.784879005886209</v>
          </cell>
          <cell r="H251">
            <v>11.969678744315681</v>
          </cell>
          <cell r="I251">
            <v>9.200731158605171</v>
          </cell>
          <cell r="J251">
            <v>6.5522853714410356</v>
          </cell>
          <cell r="K251">
            <v>5.3504725897920613</v>
          </cell>
          <cell r="L251">
            <v>3.6877053944635105</v>
          </cell>
          <cell r="M251">
            <v>2.9137787723785156</v>
          </cell>
        </row>
        <row r="252">
          <cell r="A252" t="str">
            <v>Price/operating profit (X)</v>
          </cell>
          <cell r="B252" t="str">
            <v>BN14320000</v>
          </cell>
          <cell r="C252" t="str">
            <v>X</v>
          </cell>
          <cell r="D252" t="e">
            <v>#REF!</v>
          </cell>
          <cell r="E252" t="e">
            <v>#REF!</v>
          </cell>
          <cell r="F252" t="e">
            <v>#REF!</v>
          </cell>
          <cell r="G252">
            <v>17.162744085760284</v>
          </cell>
          <cell r="H252">
            <v>14.203494418938618</v>
          </cell>
          <cell r="I252">
            <v>10.506510813891873</v>
          </cell>
          <cell r="J252">
            <v>7.9597238787090205</v>
          </cell>
          <cell r="K252">
            <v>6.1581032001644642</v>
          </cell>
          <cell r="L252">
            <v>4.8681648040033361</v>
          </cell>
          <cell r="M252">
            <v>4.3861181372692837</v>
          </cell>
        </row>
        <row r="253">
          <cell r="A253" t="str">
            <v>Price/pre-tax profit (X)</v>
          </cell>
          <cell r="B253" t="str">
            <v>BN14330000</v>
          </cell>
          <cell r="C253" t="str">
            <v>X</v>
          </cell>
          <cell r="D253" t="e">
            <v>#REF!</v>
          </cell>
          <cell r="E253" t="e">
            <v>#REF!</v>
          </cell>
          <cell r="F253" t="e">
            <v>#REF!</v>
          </cell>
          <cell r="G253" t="e">
            <v>#REF!</v>
          </cell>
          <cell r="H253" t="e">
            <v>#REF!</v>
          </cell>
          <cell r="I253" t="e">
            <v>#REF!</v>
          </cell>
          <cell r="J253" t="e">
            <v>#REF!</v>
          </cell>
          <cell r="K253" t="e">
            <v>#REF!</v>
          </cell>
          <cell r="L253" t="e">
            <v>#REF!</v>
          </cell>
          <cell r="M253" t="e">
            <v>#REF!</v>
          </cell>
        </row>
        <row r="254">
          <cell r="A254" t="str">
            <v xml:space="preserve">   Book value per share ($)</v>
          </cell>
          <cell r="B254" t="str">
            <v>BN14340000</v>
          </cell>
          <cell r="C254" t="str">
            <v>$</v>
          </cell>
          <cell r="D254">
            <v>14.256500000000001</v>
          </cell>
          <cell r="E254">
            <v>16.9465</v>
          </cell>
          <cell r="F254">
            <v>30.891154225583684</v>
          </cell>
          <cell r="G254">
            <v>37.483169129720864</v>
          </cell>
          <cell r="H254">
            <v>69.029391903898784</v>
          </cell>
          <cell r="I254">
            <v>79.589789044495646</v>
          </cell>
          <cell r="J254">
            <v>94.521577302573832</v>
          </cell>
          <cell r="K254">
            <v>145.85807409319736</v>
          </cell>
          <cell r="L254">
            <v>169.23835983904962</v>
          </cell>
          <cell r="M254">
            <v>201.41989417326783</v>
          </cell>
        </row>
        <row r="255">
          <cell r="A255" t="str">
            <v>Price/book (X)</v>
          </cell>
          <cell r="B255" t="str">
            <v>BN14350000</v>
          </cell>
          <cell r="C255" t="str">
            <v>X</v>
          </cell>
          <cell r="D255">
            <v>16.273278855259004</v>
          </cell>
          <cell r="E255">
            <v>13.690142507302392</v>
          </cell>
          <cell r="F255">
            <v>7.5102405790930398</v>
          </cell>
          <cell r="G255">
            <v>6.1894446330591713</v>
          </cell>
          <cell r="H255">
            <v>3.3608872047284635</v>
          </cell>
          <cell r="I255">
            <v>2.9149467888436988</v>
          </cell>
          <cell r="J255">
            <v>2.4544660237454865</v>
          </cell>
          <cell r="K255">
            <v>1.5905872982510483</v>
          </cell>
          <cell r="L255">
            <v>1.3767564293437342</v>
          </cell>
          <cell r="M255">
            <v>1.1617521742847592</v>
          </cell>
        </row>
        <row r="258">
          <cell r="A258" t="str">
            <v xml:space="preserve">   Adjusted shareholders funds ($m)</v>
          </cell>
          <cell r="B258" t="str">
            <v>BN14380000</v>
          </cell>
          <cell r="C258" t="str">
            <v>$m</v>
          </cell>
          <cell r="D258">
            <v>2764.3</v>
          </cell>
          <cell r="E258" t="e">
            <v>#REF!</v>
          </cell>
          <cell r="F258">
            <v>7481.7269999999999</v>
          </cell>
          <cell r="G258">
            <v>9423.9000000000015</v>
          </cell>
          <cell r="H258">
            <v>19908.604600000006</v>
          </cell>
          <cell r="I258">
            <v>23248.5946</v>
          </cell>
          <cell r="J258">
            <v>28228.600000000006</v>
          </cell>
          <cell r="K258">
            <v>46097.600000000006</v>
          </cell>
          <cell r="L258">
            <v>53313.499999999993</v>
          </cell>
          <cell r="M258">
            <v>65741.8</v>
          </cell>
        </row>
        <row r="259">
          <cell r="A259" t="str">
            <v xml:space="preserve">   Adjusted book value per share ($)</v>
          </cell>
          <cell r="B259" t="str">
            <v>BN14390000</v>
          </cell>
          <cell r="C259" t="str">
            <v>$</v>
          </cell>
          <cell r="D259">
            <v>13.8215</v>
          </cell>
          <cell r="E259" t="e">
            <v>#REF!</v>
          </cell>
          <cell r="F259">
            <v>30.753563794804336</v>
          </cell>
          <cell r="G259">
            <v>38.685960591133011</v>
          </cell>
          <cell r="H259">
            <v>70.755960479084493</v>
          </cell>
          <cell r="I259">
            <v>82.427210069136677</v>
          </cell>
          <cell r="J259">
            <v>99.120755644509998</v>
          </cell>
          <cell r="K259">
            <v>148.7595198141216</v>
          </cell>
          <cell r="L259">
            <v>170.25451874560898</v>
          </cell>
          <cell r="M259">
            <v>205.8354989198159</v>
          </cell>
        </row>
        <row r="260">
          <cell r="A260" t="str">
            <v>Adjusted price/book (X)</v>
          </cell>
          <cell r="B260" t="str">
            <v>BN14400000</v>
          </cell>
          <cell r="C260" t="str">
            <v>X</v>
          </cell>
          <cell r="D260">
            <v>16.785442969286979</v>
          </cell>
          <cell r="E260" t="e">
            <v>#REF!</v>
          </cell>
          <cell r="F260">
            <v>7.5438411479060932</v>
          </cell>
          <cell r="G260">
            <v>5.9970076083150277</v>
          </cell>
          <cell r="H260">
            <v>3.2788757078434312</v>
          </cell>
          <cell r="I260">
            <v>2.8146045438806868</v>
          </cell>
          <cell r="J260">
            <v>2.3405794123690158</v>
          </cell>
          <cell r="K260">
            <v>1.5595640553955086</v>
          </cell>
          <cell r="L260">
            <v>1.3685393005523931</v>
          </cell>
          <cell r="M260">
            <v>1.1368301445959801</v>
          </cell>
        </row>
        <row r="261">
          <cell r="A261" t="str">
            <v>L.T. Liability to Capital (%)</v>
          </cell>
          <cell r="B261" t="str">
            <v>BN14410000</v>
          </cell>
          <cell r="C261" t="str">
            <v>%</v>
          </cell>
        </row>
        <row r="262">
          <cell r="A262" t="str">
            <v>Free Float (%)</v>
          </cell>
          <cell r="B262" t="str">
            <v>BN14420000</v>
          </cell>
          <cell r="C262" t="str">
            <v>%</v>
          </cell>
        </row>
        <row r="265">
          <cell r="A265" t="str">
            <v>CFPS (Trading Currency $)</v>
          </cell>
          <cell r="B265" t="str">
            <v>BO15010000</v>
          </cell>
          <cell r="C265" t="str">
            <v>$</v>
          </cell>
          <cell r="D265">
            <v>2.3490000000000002</v>
          </cell>
          <cell r="E265">
            <v>5.0604999999999993</v>
          </cell>
          <cell r="F265">
            <v>7.1234791187109483</v>
          </cell>
          <cell r="G265">
            <v>11.926929392446626</v>
          </cell>
          <cell r="H265">
            <v>14.534065465401429</v>
          </cell>
          <cell r="I265">
            <v>19.072327601489107</v>
          </cell>
          <cell r="J265">
            <v>25.435584114610776</v>
          </cell>
          <cell r="K265">
            <v>28.970569252613902</v>
          </cell>
          <cell r="L265">
            <v>41.173277128440937</v>
          </cell>
          <cell r="M265">
            <v>56.093021071417411</v>
          </cell>
        </row>
        <row r="266">
          <cell r="A266" t="str">
            <v>DPS (Trading Currency $)</v>
          </cell>
          <cell r="B266" t="str">
            <v>BO15020000</v>
          </cell>
          <cell r="C266" t="str">
            <v>$</v>
          </cell>
          <cell r="D266">
            <v>1</v>
          </cell>
          <cell r="E266">
            <v>1.3</v>
          </cell>
          <cell r="F266">
            <v>1.6</v>
          </cell>
          <cell r="G266">
            <v>2</v>
          </cell>
          <cell r="H266">
            <v>2.5</v>
          </cell>
          <cell r="I266">
            <v>3</v>
          </cell>
          <cell r="J266">
            <v>3.5</v>
          </cell>
          <cell r="K266">
            <v>4.5</v>
          </cell>
          <cell r="L266">
            <v>5.5</v>
          </cell>
          <cell r="M266">
            <v>7</v>
          </cell>
        </row>
        <row r="267">
          <cell r="A267" t="str">
            <v>EPS (Fully Diluted; Trading Currency $)</v>
          </cell>
          <cell r="B267" t="str">
            <v>BO15030000</v>
          </cell>
          <cell r="C267" t="str">
            <v>$</v>
          </cell>
          <cell r="D267" t="e">
            <v>#REF!</v>
          </cell>
          <cell r="E267" t="e">
            <v>#REF!</v>
          </cell>
          <cell r="F267" t="e">
            <v>#REF!</v>
          </cell>
          <cell r="G267" t="e">
            <v>#REF!</v>
          </cell>
          <cell r="H267" t="e">
            <v>#REF!</v>
          </cell>
          <cell r="I267" t="e">
            <v>#REF!</v>
          </cell>
          <cell r="J267" t="e">
            <v>#REF!</v>
          </cell>
          <cell r="K267" t="e">
            <v>#REF!</v>
          </cell>
          <cell r="L267" t="e">
            <v>#REF!</v>
          </cell>
          <cell r="M267" t="e">
            <v>#REF!</v>
          </cell>
        </row>
        <row r="268">
          <cell r="A268" t="str">
            <v>Net Profit (Trading Currency $m)</v>
          </cell>
          <cell r="B268" t="str">
            <v>BO15040000</v>
          </cell>
          <cell r="C268" t="str">
            <v>$m</v>
          </cell>
          <cell r="D268" t="e">
            <v>#REF!</v>
          </cell>
          <cell r="E268" t="e">
            <v>#REF!</v>
          </cell>
          <cell r="F268" t="e">
            <v>#REF!</v>
          </cell>
          <cell r="G268" t="e">
            <v>#REF!</v>
          </cell>
          <cell r="H268" t="e">
            <v>#REF!</v>
          </cell>
          <cell r="I268" t="e">
            <v>#REF!</v>
          </cell>
          <cell r="J268" t="e">
            <v>#REF!</v>
          </cell>
          <cell r="K268" t="e">
            <v>#REF!</v>
          </cell>
          <cell r="L268" t="e">
            <v>#REF!</v>
          </cell>
          <cell r="M268" t="e">
            <v>#REF!</v>
          </cell>
        </row>
        <row r="269">
          <cell r="A269" t="str">
            <v>Pre-Tax Profit (Profit Before Tax; Trading Currency $m)</v>
          </cell>
          <cell r="B269" t="str">
            <v>BO15050000</v>
          </cell>
          <cell r="C269" t="str">
            <v>$m</v>
          </cell>
          <cell r="D269" t="e">
            <v>#REF!</v>
          </cell>
          <cell r="E269" t="e">
            <v>#REF!</v>
          </cell>
          <cell r="F269" t="e">
            <v>#REF!</v>
          </cell>
          <cell r="G269" t="e">
            <v>#REF!</v>
          </cell>
          <cell r="H269" t="e">
            <v>#REF!</v>
          </cell>
          <cell r="I269" t="e">
            <v>#REF!</v>
          </cell>
          <cell r="J269" t="e">
            <v>#REF!</v>
          </cell>
          <cell r="K269" t="e">
            <v>#REF!</v>
          </cell>
          <cell r="L269" t="e">
            <v>#REF!</v>
          </cell>
          <cell r="M269" t="e">
            <v>#REF!</v>
          </cell>
        </row>
        <row r="272">
          <cell r="A272" t="str">
            <v>ADR Exchange Rate (X)</v>
          </cell>
          <cell r="B272" t="str">
            <v>BP16010000</v>
          </cell>
          <cell r="C272" t="str">
            <v>X</v>
          </cell>
          <cell r="D272">
            <v>39.5</v>
          </cell>
          <cell r="E272">
            <v>42.5</v>
          </cell>
          <cell r="F272">
            <v>43.6</v>
          </cell>
          <cell r="G272">
            <v>47</v>
          </cell>
          <cell r="H272">
            <v>49.35</v>
          </cell>
          <cell r="I272">
            <v>48.2</v>
          </cell>
          <cell r="J272">
            <v>46</v>
          </cell>
          <cell r="K272">
            <v>43</v>
          </cell>
          <cell r="L272">
            <v>42</v>
          </cell>
          <cell r="M272">
            <v>42</v>
          </cell>
        </row>
        <row r="273">
          <cell r="A273" t="str">
            <v>GDR Exchange Rate (X)</v>
          </cell>
          <cell r="B273" t="str">
            <v>BP16020000</v>
          </cell>
          <cell r="C273" t="str">
            <v>X</v>
          </cell>
          <cell r="D273">
            <v>39.5</v>
          </cell>
          <cell r="E273">
            <v>42.5</v>
          </cell>
          <cell r="F273">
            <v>43.6</v>
          </cell>
          <cell r="G273">
            <v>47</v>
          </cell>
          <cell r="H273">
            <v>49.35</v>
          </cell>
          <cell r="I273">
            <v>48.2</v>
          </cell>
          <cell r="J273">
            <v>46</v>
          </cell>
          <cell r="K273">
            <v>43</v>
          </cell>
          <cell r="L273">
            <v>42</v>
          </cell>
          <cell r="M273">
            <v>42</v>
          </cell>
        </row>
      </sheetData>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__FDSCACHE__"/>
      <sheetName val="model"/>
      <sheetName val="ESO Example"/>
      <sheetName val="ESO Template"/>
      <sheetName val="DCF"/>
      <sheetName val="GQ"/>
      <sheetName val="Rep Shet"/>
      <sheetName val="Stock Prices"/>
    </sheetNames>
    <sheetDataSet>
      <sheetData sheetId="0"/>
      <sheetData sheetId="1"/>
      <sheetData sheetId="2"/>
      <sheetData sheetId="3"/>
      <sheetData sheetId="4"/>
      <sheetData sheetId="5"/>
      <sheetData sheetId="6"/>
      <sheetData sheetId="7"/>
      <sheetData sheetId="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F- Cons)"/>
      <sheetName val="P&amp;L(F)"/>
      <sheetName val="BS(F)"/>
      <sheetName val="CF(F)"/>
      <sheetName val="MainData"/>
      <sheetName val="Sum of Parts"/>
      <sheetName val="DCF_Infy_US Discount"/>
      <sheetName val="DCF_Infy"/>
      <sheetName val="DCF_Progeon"/>
      <sheetName val="Estimates_Progeon"/>
      <sheetName val="Estimates_Infy"/>
      <sheetName val="P&amp;L (Dec)"/>
      <sheetName val="P&amp;L (progeon)"/>
      <sheetName val="P&amp;L (cons)"/>
      <sheetName val="P&amp;L (infy)"/>
      <sheetName val="quarterly_US GAAP"/>
      <sheetName val="P&amp;L(US_gaap)"/>
      <sheetName val="balance sheet"/>
      <sheetName val="Datasheet"/>
      <sheetName val="MainData_Qtr"/>
      <sheetName val="Qrly_Datasheet"/>
      <sheetName val="quarterly"/>
      <sheetName val="quarterly(cons)"/>
      <sheetName val="quarterly(progeon)"/>
      <sheetName val="quarterly(BS)"/>
      <sheetName val="du pont analysis"/>
      <sheetName val="cash flow"/>
      <sheetName val="Schedules(BS)"/>
      <sheetName val="coverpage"/>
      <sheetName val="onsite-offshore"/>
      <sheetName val="COR"/>
      <sheetName val="SG&amp;A"/>
      <sheetName val="Other income"/>
      <sheetName val="Tax"/>
      <sheetName val="reconciliation(USvsIndian)"/>
      <sheetName val="BS(US_gaap)"/>
      <sheetName val="CF(US_gaap)"/>
      <sheetName val="Forex schedule"/>
      <sheetName val="depreciation"/>
      <sheetName val="sensitivity"/>
      <sheetName val="DCF - US GAAP"/>
      <sheetName val="#REF"/>
      <sheetName val="Model - US GAAP"/>
      <sheetName val="eva"/>
      <sheetName val="teo model"/>
      <sheetName val="Summary Page_VDF"/>
      <sheetName val="Invested capital_VDF"/>
      <sheetName val="NOPAT_VDF"/>
      <sheetName val="WACC_VDF"/>
      <sheetName val="DCF_VDF"/>
      <sheetName val="PV of Op Leases_VDF"/>
      <sheetName val="DDETABLE "/>
      <sheetName val="F-DCF"/>
      <sheetName val="GS_DCF"/>
      <sheetName val="Rev sum"/>
      <sheetName val="Dem-HH"/>
      <sheetName val="Quarterly "/>
      <sheetName val="EVA1"/>
      <sheetName val="Calculation (2)"/>
      <sheetName val="INFY_model"/>
      <sheetName val="Sheet1"/>
      <sheetName val="Old"/>
      <sheetName val="header"/>
      <sheetName val="BS"/>
      <sheetName val="Database"/>
      <sheetName val="1"/>
      <sheetName val="sheet2"/>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e"/>
      <sheetName val="Capital"/>
      <sheetName val="Sales"/>
      <sheetName val="Input"/>
      <sheetName val="Debt"/>
      <sheetName val="Tax"/>
      <sheetName val="CapEx"/>
      <sheetName val="QuanOP"/>
      <sheetName val="Formats"/>
      <sheetName val="Projections"/>
      <sheetName val="Costs"/>
      <sheetName val="Revenues"/>
      <sheetName val="Calc"/>
      <sheetName val="VarName"/>
      <sheetName val="CoSheet"/>
      <sheetName val="Half Yearly"/>
    </sheetNames>
    <sheetDataSet>
      <sheetData sheetId="0"/>
      <sheetData sheetId="1"/>
      <sheetData sheetId="2"/>
      <sheetData sheetId="3" refreshError="1">
        <row r="149">
          <cell r="N149">
            <v>83307</v>
          </cell>
          <cell r="O149">
            <v>73759</v>
          </cell>
          <cell r="P149">
            <v>78294</v>
          </cell>
          <cell r="R149">
            <v>81396</v>
          </cell>
          <cell r="T149">
            <v>78232</v>
          </cell>
          <cell r="V149">
            <v>72493</v>
          </cell>
        </row>
        <row r="152">
          <cell r="N152">
            <v>37653</v>
          </cell>
          <cell r="O152">
            <v>42251</v>
          </cell>
          <cell r="P152">
            <v>46094</v>
          </cell>
          <cell r="Q152">
            <v>0</v>
          </cell>
          <cell r="R152">
            <v>51445</v>
          </cell>
          <cell r="S152">
            <v>0</v>
          </cell>
          <cell r="T152">
            <v>52127</v>
          </cell>
          <cell r="U152">
            <v>0</v>
          </cell>
          <cell r="V152">
            <v>56365</v>
          </cell>
          <cell r="W152">
            <v>0</v>
          </cell>
        </row>
        <row r="153">
          <cell r="L153">
            <v>0</v>
          </cell>
          <cell r="M153">
            <v>0</v>
          </cell>
          <cell r="N153">
            <v>45.19788253087976</v>
          </cell>
          <cell r="O153">
            <v>57.282501118507575</v>
          </cell>
          <cell r="P153">
            <v>58.87296599994891</v>
          </cell>
          <cell r="Q153">
            <v>0</v>
          </cell>
          <cell r="R153">
            <v>63.203351516045018</v>
          </cell>
          <cell r="S153">
            <v>0</v>
          </cell>
          <cell r="T153">
            <v>66.63130176909705</v>
          </cell>
          <cell r="U153">
            <v>0</v>
          </cell>
          <cell r="V153">
            <v>77.752334708178722</v>
          </cell>
          <cell r="W153">
            <v>0</v>
          </cell>
          <cell r="X153">
            <v>0</v>
          </cell>
          <cell r="Y153" t="e">
            <v>#NAME?</v>
          </cell>
        </row>
        <row r="156">
          <cell r="N156">
            <v>50609</v>
          </cell>
          <cell r="O156">
            <v>60972</v>
          </cell>
          <cell r="P156">
            <v>68126</v>
          </cell>
          <cell r="Q156">
            <v>0</v>
          </cell>
          <cell r="R156">
            <v>68137</v>
          </cell>
          <cell r="S156">
            <v>0</v>
          </cell>
          <cell r="T156">
            <v>67753</v>
          </cell>
          <cell r="U156">
            <v>0</v>
          </cell>
          <cell r="V156">
            <v>66145</v>
          </cell>
          <cell r="W156">
            <v>0</v>
          </cell>
        </row>
        <row r="159">
          <cell r="N159">
            <v>33357.199999999997</v>
          </cell>
          <cell r="O159">
            <v>41059.800000000003</v>
          </cell>
          <cell r="P159">
            <v>49270.7</v>
          </cell>
          <cell r="Q159">
            <v>0</v>
          </cell>
          <cell r="R159">
            <v>57778.8</v>
          </cell>
          <cell r="S159">
            <v>0</v>
          </cell>
          <cell r="T159">
            <v>65360.6</v>
          </cell>
          <cell r="U159">
            <v>0</v>
          </cell>
          <cell r="V159">
            <v>69398.7</v>
          </cell>
          <cell r="W159">
            <v>0</v>
          </cell>
        </row>
        <row r="162">
          <cell r="L162">
            <v>0</v>
          </cell>
          <cell r="M162">
            <v>0</v>
          </cell>
          <cell r="N162">
            <v>659115.96751565917</v>
          </cell>
          <cell r="O162">
            <v>673420.58649872069</v>
          </cell>
          <cell r="P162">
            <v>723229.01682177139</v>
          </cell>
          <cell r="Q162">
            <v>0</v>
          </cell>
          <cell r="R162">
            <v>847979.80539207777</v>
          </cell>
          <cell r="S162">
            <v>0</v>
          </cell>
          <cell r="T162">
            <v>964689.38644783257</v>
          </cell>
          <cell r="U162">
            <v>0</v>
          </cell>
          <cell r="V162">
            <v>1049190.4149973544</v>
          </cell>
          <cell r="W162">
            <v>0</v>
          </cell>
          <cell r="X162">
            <v>0</v>
          </cell>
        </row>
        <row r="170">
          <cell r="Q170">
            <v>0</v>
          </cell>
          <cell r="S170">
            <v>0</v>
          </cell>
          <cell r="U170">
            <v>0</v>
          </cell>
          <cell r="W170">
            <v>0</v>
          </cell>
        </row>
        <row r="171">
          <cell r="L171">
            <v>0</v>
          </cell>
          <cell r="M171">
            <v>0</v>
          </cell>
          <cell r="N171">
            <v>0</v>
          </cell>
          <cell r="O171">
            <v>0</v>
          </cell>
          <cell r="P171">
            <v>0</v>
          </cell>
          <cell r="Q171">
            <v>0</v>
          </cell>
          <cell r="R171">
            <v>0</v>
          </cell>
          <cell r="S171">
            <v>0</v>
          </cell>
          <cell r="T171">
            <v>0</v>
          </cell>
          <cell r="U171">
            <v>0</v>
          </cell>
          <cell r="V171">
            <v>0</v>
          </cell>
          <cell r="W171">
            <v>0</v>
          </cell>
          <cell r="X171">
            <v>0</v>
          </cell>
          <cell r="Y171" t="e">
            <v>#NAME?</v>
          </cell>
        </row>
        <row r="174">
          <cell r="N174">
            <v>435469</v>
          </cell>
          <cell r="O174">
            <v>361207</v>
          </cell>
          <cell r="P174">
            <v>263161</v>
          </cell>
          <cell r="Q174">
            <v>0</v>
          </cell>
          <cell r="R174">
            <v>279675</v>
          </cell>
          <cell r="S174">
            <v>0</v>
          </cell>
          <cell r="T174">
            <v>370149</v>
          </cell>
          <cell r="U174">
            <v>0</v>
          </cell>
          <cell r="V174">
            <v>392191</v>
          </cell>
          <cell r="W174">
            <v>0</v>
          </cell>
        </row>
        <row r="177">
          <cell r="N177">
            <v>4939.3999999999996</v>
          </cell>
          <cell r="O177">
            <v>4053</v>
          </cell>
          <cell r="P177">
            <v>2945.4</v>
          </cell>
          <cell r="Q177">
            <v>0</v>
          </cell>
          <cell r="R177">
            <v>3395</v>
          </cell>
          <cell r="S177">
            <v>0</v>
          </cell>
          <cell r="T177">
            <v>4278.6000000000004</v>
          </cell>
          <cell r="U177">
            <v>0</v>
          </cell>
          <cell r="V177">
            <v>4139.7</v>
          </cell>
          <cell r="W177">
            <v>0</v>
          </cell>
        </row>
        <row r="180">
          <cell r="L180">
            <v>0</v>
          </cell>
          <cell r="M180">
            <v>0</v>
          </cell>
          <cell r="N180">
            <v>11342.713258578682</v>
          </cell>
          <cell r="O180">
            <v>11220.712776884169</v>
          </cell>
          <cell r="P180">
            <v>11192.387929822427</v>
          </cell>
          <cell r="Q180">
            <v>0</v>
          </cell>
          <cell r="R180">
            <v>12139.090015196211</v>
          </cell>
          <cell r="S180">
            <v>0</v>
          </cell>
          <cell r="T180">
            <v>11559.128891338354</v>
          </cell>
          <cell r="U180">
            <v>0</v>
          </cell>
          <cell r="V180">
            <v>10555.316159728296</v>
          </cell>
          <cell r="W180">
            <v>0</v>
          </cell>
          <cell r="X180">
            <v>0</v>
          </cell>
        </row>
        <row r="188">
          <cell r="Q188">
            <v>0</v>
          </cell>
          <cell r="S188">
            <v>0</v>
          </cell>
          <cell r="U188">
            <v>0</v>
          </cell>
          <cell r="W188">
            <v>0</v>
          </cell>
        </row>
        <row r="189">
          <cell r="L189">
            <v>0</v>
          </cell>
          <cell r="M189">
            <v>0</v>
          </cell>
          <cell r="N189">
            <v>0</v>
          </cell>
          <cell r="O189">
            <v>0</v>
          </cell>
          <cell r="P189">
            <v>0</v>
          </cell>
          <cell r="Q189">
            <v>0</v>
          </cell>
          <cell r="R189">
            <v>0</v>
          </cell>
          <cell r="S189">
            <v>0</v>
          </cell>
          <cell r="T189">
            <v>0</v>
          </cell>
          <cell r="U189">
            <v>0</v>
          </cell>
          <cell r="V189">
            <v>0</v>
          </cell>
          <cell r="W189">
            <v>0</v>
          </cell>
          <cell r="X189">
            <v>0</v>
          </cell>
          <cell r="Y189" t="e">
            <v>#NAME?</v>
          </cell>
        </row>
        <row r="192">
          <cell r="N192">
            <v>15872</v>
          </cell>
          <cell r="O192">
            <v>3776</v>
          </cell>
          <cell r="P192">
            <v>2219</v>
          </cell>
          <cell r="Q192">
            <v>0</v>
          </cell>
          <cell r="R192">
            <v>1230</v>
          </cell>
          <cell r="S192">
            <v>0</v>
          </cell>
          <cell r="T192">
            <v>1370</v>
          </cell>
          <cell r="U192">
            <v>0</v>
          </cell>
          <cell r="V192">
            <v>1702</v>
          </cell>
          <cell r="W192">
            <v>0</v>
          </cell>
        </row>
        <row r="195">
          <cell r="N195">
            <v>2562.3000000000002</v>
          </cell>
          <cell r="O195">
            <v>1045.2</v>
          </cell>
          <cell r="P195">
            <v>824.1</v>
          </cell>
          <cell r="Q195">
            <v>0</v>
          </cell>
          <cell r="R195">
            <v>631.29999999999995</v>
          </cell>
          <cell r="S195">
            <v>0</v>
          </cell>
          <cell r="T195">
            <v>701</v>
          </cell>
          <cell r="U195">
            <v>0</v>
          </cell>
          <cell r="V195">
            <v>821</v>
          </cell>
          <cell r="W195">
            <v>0</v>
          </cell>
        </row>
        <row r="198">
          <cell r="L198">
            <v>0</v>
          </cell>
          <cell r="M198">
            <v>0</v>
          </cell>
          <cell r="N198">
            <v>161435.2318548387</v>
          </cell>
          <cell r="O198">
            <v>276800.84745762713</v>
          </cell>
          <cell r="P198">
            <v>371383.50608382153</v>
          </cell>
          <cell r="Q198">
            <v>0</v>
          </cell>
          <cell r="R198">
            <v>513252.03252032521</v>
          </cell>
          <cell r="S198">
            <v>0</v>
          </cell>
          <cell r="T198">
            <v>511678.83211678831</v>
          </cell>
          <cell r="U198">
            <v>0</v>
          </cell>
          <cell r="V198">
            <v>482373.67802585196</v>
          </cell>
          <cell r="W198">
            <v>0</v>
          </cell>
          <cell r="X198">
            <v>0</v>
          </cell>
        </row>
        <row r="203">
          <cell r="N203">
            <v>33000</v>
          </cell>
          <cell r="O203">
            <v>33000</v>
          </cell>
          <cell r="P203">
            <v>33000</v>
          </cell>
          <cell r="R203">
            <v>33000</v>
          </cell>
          <cell r="T203">
            <v>33000</v>
          </cell>
          <cell r="V203">
            <v>33000</v>
          </cell>
        </row>
        <row r="206">
          <cell r="N206">
            <v>18680</v>
          </cell>
          <cell r="O206">
            <v>22575</v>
          </cell>
          <cell r="P206">
            <v>16159</v>
          </cell>
          <cell r="Q206">
            <v>0</v>
          </cell>
          <cell r="R206">
            <v>17701</v>
          </cell>
          <cell r="S206">
            <v>0</v>
          </cell>
          <cell r="T206">
            <v>17347</v>
          </cell>
          <cell r="U206">
            <v>0</v>
          </cell>
          <cell r="V206">
            <v>18841</v>
          </cell>
          <cell r="W206">
            <v>0</v>
          </cell>
        </row>
        <row r="207">
          <cell r="L207">
            <v>0</v>
          </cell>
          <cell r="M207">
            <v>0</v>
          </cell>
          <cell r="N207">
            <v>56.606060606060609</v>
          </cell>
          <cell r="O207">
            <v>68.409090909090907</v>
          </cell>
          <cell r="P207">
            <v>48.966666666666669</v>
          </cell>
          <cell r="Q207">
            <v>0</v>
          </cell>
          <cell r="R207">
            <v>53.639393939393941</v>
          </cell>
          <cell r="S207">
            <v>0</v>
          </cell>
          <cell r="T207">
            <v>52.56666666666667</v>
          </cell>
          <cell r="U207">
            <v>0</v>
          </cell>
          <cell r="V207">
            <v>57.093939393939394</v>
          </cell>
          <cell r="W207">
            <v>0</v>
          </cell>
          <cell r="X207">
            <v>0</v>
          </cell>
          <cell r="Y207" t="e">
            <v>#NAME?</v>
          </cell>
        </row>
        <row r="210">
          <cell r="N210">
            <v>16238</v>
          </cell>
          <cell r="O210">
            <v>19432</v>
          </cell>
          <cell r="P210">
            <v>13342</v>
          </cell>
          <cell r="Q210">
            <v>0</v>
          </cell>
          <cell r="R210">
            <v>14905</v>
          </cell>
          <cell r="S210">
            <v>0</v>
          </cell>
          <cell r="T210">
            <v>15116</v>
          </cell>
          <cell r="U210">
            <v>0</v>
          </cell>
          <cell r="V210">
            <v>16355</v>
          </cell>
          <cell r="W210">
            <v>0</v>
          </cell>
        </row>
        <row r="213">
          <cell r="N213">
            <v>825.5</v>
          </cell>
          <cell r="O213">
            <v>1169</v>
          </cell>
          <cell r="P213">
            <v>877</v>
          </cell>
          <cell r="Q213">
            <v>0</v>
          </cell>
          <cell r="R213">
            <v>920.2</v>
          </cell>
          <cell r="S213">
            <v>0</v>
          </cell>
          <cell r="T213">
            <v>880.5</v>
          </cell>
          <cell r="U213">
            <v>0</v>
          </cell>
          <cell r="V213">
            <v>1002.7</v>
          </cell>
          <cell r="W213">
            <v>0</v>
          </cell>
        </row>
        <row r="216">
          <cell r="L216">
            <v>0</v>
          </cell>
          <cell r="M216">
            <v>0</v>
          </cell>
          <cell r="N216">
            <v>50837.541569158762</v>
          </cell>
          <cell r="O216">
            <v>60158.501440922191</v>
          </cell>
          <cell r="P216">
            <v>65732.27402188578</v>
          </cell>
          <cell r="Q216">
            <v>0</v>
          </cell>
          <cell r="R216">
            <v>61737.671922173766</v>
          </cell>
          <cell r="S216">
            <v>0</v>
          </cell>
          <cell r="T216">
            <v>58249.536914527656</v>
          </cell>
          <cell r="U216">
            <v>0</v>
          </cell>
          <cell r="V216">
            <v>61308.468358300212</v>
          </cell>
          <cell r="W216">
            <v>0</v>
          </cell>
          <cell r="X216">
            <v>0</v>
          </cell>
        </row>
        <row r="224">
          <cell r="Q224">
            <v>0</v>
          </cell>
          <cell r="S224">
            <v>0</v>
          </cell>
          <cell r="U224">
            <v>0</v>
          </cell>
          <cell r="W224">
            <v>0</v>
          </cell>
        </row>
        <row r="225">
          <cell r="L225">
            <v>0</v>
          </cell>
          <cell r="M225">
            <v>0</v>
          </cell>
          <cell r="N225">
            <v>0</v>
          </cell>
          <cell r="O225">
            <v>0</v>
          </cell>
          <cell r="P225">
            <v>0</v>
          </cell>
          <cell r="Q225">
            <v>0</v>
          </cell>
          <cell r="R225">
            <v>0</v>
          </cell>
          <cell r="S225">
            <v>0</v>
          </cell>
          <cell r="T225">
            <v>0</v>
          </cell>
          <cell r="U225">
            <v>0</v>
          </cell>
          <cell r="V225">
            <v>0</v>
          </cell>
          <cell r="W225">
            <v>0</v>
          </cell>
          <cell r="X225">
            <v>0</v>
          </cell>
          <cell r="Y225" t="e">
            <v>#NAME?</v>
          </cell>
        </row>
        <row r="228">
          <cell r="N228">
            <v>4753</v>
          </cell>
          <cell r="O228">
            <v>3986</v>
          </cell>
          <cell r="P228">
            <v>3388</v>
          </cell>
          <cell r="Q228">
            <v>0</v>
          </cell>
          <cell r="R228">
            <v>4670</v>
          </cell>
          <cell r="S228">
            <v>0</v>
          </cell>
          <cell r="T228">
            <v>6275</v>
          </cell>
          <cell r="U228">
            <v>0</v>
          </cell>
          <cell r="V228">
            <v>6757</v>
          </cell>
          <cell r="W228">
            <v>0</v>
          </cell>
        </row>
        <row r="231">
          <cell r="N231">
            <v>463.8</v>
          </cell>
          <cell r="O231">
            <v>451.1</v>
          </cell>
          <cell r="P231">
            <v>416.5</v>
          </cell>
          <cell r="Q231">
            <v>0</v>
          </cell>
          <cell r="R231">
            <v>434.1</v>
          </cell>
          <cell r="S231">
            <v>0</v>
          </cell>
          <cell r="T231">
            <v>642.1</v>
          </cell>
          <cell r="U231">
            <v>0</v>
          </cell>
          <cell r="V231">
            <v>613.70000000000005</v>
          </cell>
          <cell r="W231">
            <v>0</v>
          </cell>
        </row>
        <row r="234">
          <cell r="L234">
            <v>0</v>
          </cell>
          <cell r="M234">
            <v>0</v>
          </cell>
          <cell r="N234">
            <v>97580.475489164732</v>
          </cell>
          <cell r="O234">
            <v>113171.09884596086</v>
          </cell>
          <cell r="P234">
            <v>122933.88429752066</v>
          </cell>
          <cell r="Q234">
            <v>0</v>
          </cell>
          <cell r="R234">
            <v>92955.032119914351</v>
          </cell>
          <cell r="S234">
            <v>0</v>
          </cell>
          <cell r="T234">
            <v>102326.69322709163</v>
          </cell>
          <cell r="U234">
            <v>0</v>
          </cell>
          <cell r="V234">
            <v>90824.330324108334</v>
          </cell>
          <cell r="W234">
            <v>0</v>
          </cell>
          <cell r="X234">
            <v>0</v>
          </cell>
        </row>
        <row r="242">
          <cell r="Q242">
            <v>0</v>
          </cell>
          <cell r="S242">
            <v>0</v>
          </cell>
          <cell r="U242">
            <v>0</v>
          </cell>
          <cell r="W242">
            <v>0</v>
          </cell>
        </row>
        <row r="243">
          <cell r="L243">
            <v>0</v>
          </cell>
          <cell r="M243">
            <v>0</v>
          </cell>
          <cell r="N243">
            <v>0</v>
          </cell>
          <cell r="O243">
            <v>0</v>
          </cell>
          <cell r="P243">
            <v>0</v>
          </cell>
          <cell r="Q243">
            <v>0</v>
          </cell>
          <cell r="R243">
            <v>0</v>
          </cell>
          <cell r="S243">
            <v>0</v>
          </cell>
          <cell r="T243">
            <v>0</v>
          </cell>
          <cell r="U243">
            <v>0</v>
          </cell>
          <cell r="V243">
            <v>0</v>
          </cell>
          <cell r="W243">
            <v>0</v>
          </cell>
          <cell r="X243">
            <v>0</v>
          </cell>
          <cell r="Y243" t="e">
            <v>#NAME?</v>
          </cell>
        </row>
        <row r="246">
          <cell r="N246">
            <v>39865</v>
          </cell>
          <cell r="O246">
            <v>34261</v>
          </cell>
          <cell r="P246">
            <v>35619</v>
          </cell>
          <cell r="Q246">
            <v>0</v>
          </cell>
          <cell r="R246">
            <v>38774</v>
          </cell>
          <cell r="S246">
            <v>0</v>
          </cell>
          <cell r="T246">
            <v>23943</v>
          </cell>
          <cell r="U246">
            <v>0</v>
          </cell>
          <cell r="V246">
            <v>24135</v>
          </cell>
          <cell r="W246">
            <v>0</v>
          </cell>
        </row>
        <row r="249">
          <cell r="N249">
            <v>2007.4</v>
          </cell>
          <cell r="O249">
            <v>1922.2</v>
          </cell>
          <cell r="P249">
            <v>2691.8999999999996</v>
          </cell>
          <cell r="Q249">
            <v>0</v>
          </cell>
          <cell r="R249">
            <v>3351.8999999999996</v>
          </cell>
          <cell r="S249">
            <v>0</v>
          </cell>
          <cell r="T249">
            <v>2460.1</v>
          </cell>
          <cell r="U249">
            <v>0</v>
          </cell>
          <cell r="V249">
            <v>2321.4</v>
          </cell>
          <cell r="W249">
            <v>0</v>
          </cell>
        </row>
        <row r="252">
          <cell r="L252">
            <v>0</v>
          </cell>
          <cell r="M252">
            <v>0</v>
          </cell>
          <cell r="N252">
            <v>50354.947949328984</v>
          </cell>
          <cell r="O252">
            <v>56104.608738799216</v>
          </cell>
          <cell r="P252">
            <v>75574.833656194707</v>
          </cell>
          <cell r="Q252">
            <v>0</v>
          </cell>
          <cell r="R252">
            <v>86447.103729303126</v>
          </cell>
          <cell r="S252">
            <v>0</v>
          </cell>
          <cell r="T252">
            <v>102748.19362652967</v>
          </cell>
          <cell r="U252">
            <v>0</v>
          </cell>
          <cell r="V252">
            <v>96183.965195773766</v>
          </cell>
          <cell r="W252">
            <v>0</v>
          </cell>
          <cell r="X252">
            <v>0</v>
          </cell>
        </row>
        <row r="260">
          <cell r="Q260">
            <v>0</v>
          </cell>
          <cell r="S260">
            <v>0</v>
          </cell>
          <cell r="U260">
            <v>0</v>
          </cell>
          <cell r="W260">
            <v>0</v>
          </cell>
        </row>
        <row r="261">
          <cell r="L261">
            <v>0</v>
          </cell>
          <cell r="M261">
            <v>0</v>
          </cell>
          <cell r="N261">
            <v>0</v>
          </cell>
          <cell r="O261">
            <v>0</v>
          </cell>
          <cell r="P261">
            <v>0</v>
          </cell>
          <cell r="Q261">
            <v>0</v>
          </cell>
          <cell r="R261">
            <v>0</v>
          </cell>
          <cell r="S261">
            <v>0</v>
          </cell>
          <cell r="T261">
            <v>0</v>
          </cell>
          <cell r="U261">
            <v>0</v>
          </cell>
          <cell r="V261">
            <v>0</v>
          </cell>
          <cell r="W261">
            <v>0</v>
          </cell>
          <cell r="X261">
            <v>0</v>
          </cell>
          <cell r="Y261" t="e">
            <v>#NAME?</v>
          </cell>
        </row>
        <row r="264">
          <cell r="Q264">
            <v>0</v>
          </cell>
          <cell r="S264">
            <v>0</v>
          </cell>
          <cell r="U264">
            <v>0</v>
          </cell>
          <cell r="W264">
            <v>0</v>
          </cell>
        </row>
        <row r="267">
          <cell r="N267">
            <v>1138.2</v>
          </cell>
          <cell r="O267">
            <v>1311.4</v>
          </cell>
          <cell r="P267">
            <v>1520</v>
          </cell>
          <cell r="Q267">
            <v>0</v>
          </cell>
          <cell r="R267">
            <v>1748.7</v>
          </cell>
          <cell r="S267">
            <v>0</v>
          </cell>
          <cell r="T267">
            <v>1437.5</v>
          </cell>
          <cell r="U267">
            <v>0</v>
          </cell>
          <cell r="V267">
            <v>1209</v>
          </cell>
          <cell r="W267">
            <v>0</v>
          </cell>
        </row>
        <row r="270">
          <cell r="L270">
            <v>0</v>
          </cell>
          <cell r="M270">
            <v>0</v>
          </cell>
          <cell r="N270">
            <v>0</v>
          </cell>
          <cell r="O270">
            <v>0</v>
          </cell>
          <cell r="P270">
            <v>0</v>
          </cell>
          <cell r="Q270">
            <v>0</v>
          </cell>
          <cell r="R270">
            <v>0</v>
          </cell>
          <cell r="S270">
            <v>0</v>
          </cell>
          <cell r="T270">
            <v>0</v>
          </cell>
          <cell r="U270">
            <v>0</v>
          </cell>
          <cell r="V270">
            <v>0</v>
          </cell>
          <cell r="W270">
            <v>0</v>
          </cell>
          <cell r="X270">
            <v>0</v>
          </cell>
        </row>
        <row r="278">
          <cell r="Q278">
            <v>0</v>
          </cell>
          <cell r="S278">
            <v>0</v>
          </cell>
          <cell r="U278">
            <v>0</v>
          </cell>
          <cell r="W278">
            <v>0</v>
          </cell>
        </row>
        <row r="279">
          <cell r="L279">
            <v>0</v>
          </cell>
          <cell r="M279">
            <v>0</v>
          </cell>
          <cell r="N279">
            <v>0</v>
          </cell>
          <cell r="O279">
            <v>0</v>
          </cell>
          <cell r="P279">
            <v>0</v>
          </cell>
          <cell r="Q279">
            <v>0</v>
          </cell>
          <cell r="R279">
            <v>0</v>
          </cell>
          <cell r="S279">
            <v>0</v>
          </cell>
          <cell r="T279">
            <v>0</v>
          </cell>
          <cell r="U279">
            <v>0</v>
          </cell>
          <cell r="V279">
            <v>0</v>
          </cell>
          <cell r="W279">
            <v>0</v>
          </cell>
          <cell r="X279">
            <v>0</v>
          </cell>
          <cell r="Y279" t="e">
            <v>#NAME?</v>
          </cell>
        </row>
        <row r="282">
          <cell r="Q282">
            <v>0</v>
          </cell>
          <cell r="S282">
            <v>0</v>
          </cell>
          <cell r="U282">
            <v>0</v>
          </cell>
          <cell r="W282">
            <v>0</v>
          </cell>
        </row>
        <row r="285">
          <cell r="Q285">
            <v>0</v>
          </cell>
          <cell r="S285">
            <v>0</v>
          </cell>
          <cell r="U285">
            <v>0</v>
          </cell>
          <cell r="W285">
            <v>0</v>
          </cell>
        </row>
        <row r="288">
          <cell r="L288">
            <v>0</v>
          </cell>
          <cell r="M288">
            <v>0</v>
          </cell>
          <cell r="N288">
            <v>0</v>
          </cell>
          <cell r="O288">
            <v>0</v>
          </cell>
          <cell r="P288">
            <v>0</v>
          </cell>
          <cell r="Q288">
            <v>0</v>
          </cell>
          <cell r="R288">
            <v>0</v>
          </cell>
          <cell r="S288">
            <v>0</v>
          </cell>
          <cell r="T288">
            <v>0</v>
          </cell>
          <cell r="U288">
            <v>0</v>
          </cell>
          <cell r="V288">
            <v>0</v>
          </cell>
          <cell r="W288">
            <v>0</v>
          </cell>
          <cell r="X288">
            <v>0</v>
          </cell>
        </row>
      </sheetData>
      <sheetData sheetId="4" refreshError="1">
        <row r="46">
          <cell r="D46">
            <v>31</v>
          </cell>
          <cell r="F46">
            <v>0</v>
          </cell>
          <cell r="M46">
            <v>0</v>
          </cell>
          <cell r="N46">
            <v>0</v>
          </cell>
          <cell r="O46">
            <v>0</v>
          </cell>
          <cell r="P46">
            <v>0</v>
          </cell>
          <cell r="Q46">
            <v>0</v>
          </cell>
          <cell r="R46">
            <v>0</v>
          </cell>
          <cell r="S46">
            <v>0</v>
          </cell>
          <cell r="T46">
            <v>0</v>
          </cell>
          <cell r="U46">
            <v>0</v>
          </cell>
          <cell r="V46">
            <v>0</v>
          </cell>
          <cell r="W46">
            <v>0</v>
          </cell>
          <cell r="X46">
            <v>0</v>
          </cell>
          <cell r="Z46" t="str">
            <v>S</v>
          </cell>
          <cell r="AA46" t="str">
            <v>F</v>
          </cell>
          <cell r="AD46" t="str">
            <v>D</v>
          </cell>
        </row>
        <row r="57">
          <cell r="D57">
            <v>8</v>
          </cell>
          <cell r="F57">
            <v>0</v>
          </cell>
          <cell r="M57">
            <v>0</v>
          </cell>
          <cell r="N57">
            <v>0</v>
          </cell>
          <cell r="O57">
            <v>0</v>
          </cell>
          <cell r="P57">
            <v>0</v>
          </cell>
          <cell r="Q57">
            <v>0</v>
          </cell>
          <cell r="R57">
            <v>0</v>
          </cell>
          <cell r="S57">
            <v>0</v>
          </cell>
          <cell r="T57">
            <v>0</v>
          </cell>
          <cell r="U57">
            <v>0</v>
          </cell>
          <cell r="V57">
            <v>0</v>
          </cell>
          <cell r="W57">
            <v>0</v>
          </cell>
          <cell r="X57">
            <v>0</v>
          </cell>
          <cell r="Z57" t="str">
            <v>S</v>
          </cell>
          <cell r="AA57" t="str">
            <v>F</v>
          </cell>
          <cell r="AD57" t="str">
            <v>D</v>
          </cell>
        </row>
        <row r="92">
          <cell r="D92">
            <v>31</v>
          </cell>
          <cell r="F92">
            <v>0</v>
          </cell>
          <cell r="L92">
            <v>0</v>
          </cell>
          <cell r="M92">
            <v>0</v>
          </cell>
          <cell r="N92">
            <v>0</v>
          </cell>
          <cell r="O92">
            <v>0</v>
          </cell>
          <cell r="P92">
            <v>0</v>
          </cell>
          <cell r="R92">
            <v>0</v>
          </cell>
          <cell r="T92">
            <v>0</v>
          </cell>
          <cell r="V92">
            <v>0</v>
          </cell>
          <cell r="X92">
            <v>0</v>
          </cell>
          <cell r="Z92" t="str">
            <v>F</v>
          </cell>
          <cell r="AA92" t="str">
            <v>E</v>
          </cell>
          <cell r="AD92" t="str">
            <v>D</v>
          </cell>
        </row>
        <row r="103">
          <cell r="D103">
            <v>8</v>
          </cell>
          <cell r="F103">
            <v>0</v>
          </cell>
          <cell r="L103">
            <v>0</v>
          </cell>
          <cell r="M103">
            <v>0</v>
          </cell>
          <cell r="N103">
            <v>0</v>
          </cell>
          <cell r="O103">
            <v>0</v>
          </cell>
          <cell r="P103">
            <v>0</v>
          </cell>
          <cell r="R103">
            <v>0</v>
          </cell>
          <cell r="T103">
            <v>0</v>
          </cell>
          <cell r="V103">
            <v>0</v>
          </cell>
          <cell r="X103">
            <v>0</v>
          </cell>
          <cell r="Z103" t="str">
            <v>F</v>
          </cell>
          <cell r="AA103" t="str">
            <v>E</v>
          </cell>
          <cell r="AD103" t="str">
            <v>D</v>
          </cell>
        </row>
        <row r="138">
          <cell r="D138">
            <v>31</v>
          </cell>
          <cell r="F138">
            <v>0</v>
          </cell>
          <cell r="Q138">
            <v>0</v>
          </cell>
          <cell r="S138">
            <v>0</v>
          </cell>
          <cell r="U138">
            <v>0</v>
          </cell>
          <cell r="W138">
            <v>0</v>
          </cell>
          <cell r="Z138" t="str">
            <v>E</v>
          </cell>
          <cell r="AA138" t="str">
            <v>F</v>
          </cell>
          <cell r="AD138" t="str">
            <v>D</v>
          </cell>
        </row>
        <row r="149">
          <cell r="D149">
            <v>8</v>
          </cell>
          <cell r="F149">
            <v>0</v>
          </cell>
          <cell r="Q149">
            <v>0</v>
          </cell>
          <cell r="S149">
            <v>0</v>
          </cell>
          <cell r="U149">
            <v>0</v>
          </cell>
          <cell r="W149">
            <v>0</v>
          </cell>
          <cell r="Z149" t="str">
            <v>E</v>
          </cell>
          <cell r="AA149" t="str">
            <v>F</v>
          </cell>
          <cell r="AD149" t="str">
            <v>D</v>
          </cell>
        </row>
        <row r="187">
          <cell r="D187">
            <v>31</v>
          </cell>
          <cell r="F187">
            <v>0</v>
          </cell>
          <cell r="L187">
            <v>0</v>
          </cell>
          <cell r="M187">
            <v>0</v>
          </cell>
          <cell r="N187">
            <v>0</v>
          </cell>
          <cell r="O187">
            <v>0</v>
          </cell>
          <cell r="P187">
            <v>0</v>
          </cell>
          <cell r="Q187">
            <v>0</v>
          </cell>
          <cell r="R187">
            <v>0</v>
          </cell>
          <cell r="S187">
            <v>0</v>
          </cell>
          <cell r="T187">
            <v>0</v>
          </cell>
          <cell r="U187">
            <v>0</v>
          </cell>
          <cell r="V187">
            <v>0</v>
          </cell>
          <cell r="W187">
            <v>0</v>
          </cell>
          <cell r="X187">
            <v>0</v>
          </cell>
          <cell r="Z187" t="str">
            <v>E</v>
          </cell>
          <cell r="AA187" t="str">
            <v>E</v>
          </cell>
          <cell r="AD187" t="str">
            <v>D</v>
          </cell>
        </row>
        <row r="197">
          <cell r="D197">
            <v>8</v>
          </cell>
          <cell r="F197">
            <v>0</v>
          </cell>
          <cell r="Z197" t="str">
            <v>E</v>
          </cell>
          <cell r="AA197" t="str">
            <v>E</v>
          </cell>
          <cell r="AD197" t="str">
            <v>D</v>
          </cell>
        </row>
        <row r="231">
          <cell r="D231">
            <v>31</v>
          </cell>
          <cell r="F231">
            <v>0</v>
          </cell>
          <cell r="L231">
            <v>0</v>
          </cell>
          <cell r="M231">
            <v>0</v>
          </cell>
          <cell r="N231">
            <v>0</v>
          </cell>
          <cell r="O231">
            <v>0</v>
          </cell>
          <cell r="P231">
            <v>0</v>
          </cell>
          <cell r="Q231">
            <v>0</v>
          </cell>
          <cell r="R231">
            <v>0</v>
          </cell>
          <cell r="S231">
            <v>0</v>
          </cell>
          <cell r="T231">
            <v>0</v>
          </cell>
          <cell r="U231">
            <v>0</v>
          </cell>
          <cell r="V231">
            <v>0</v>
          </cell>
          <cell r="W231">
            <v>0</v>
          </cell>
          <cell r="X231">
            <v>0</v>
          </cell>
          <cell r="Z231" t="str">
            <v>F</v>
          </cell>
          <cell r="AA231" t="str">
            <v>F</v>
          </cell>
          <cell r="AD231" t="str">
            <v>D</v>
          </cell>
        </row>
        <row r="242">
          <cell r="D242">
            <v>8</v>
          </cell>
          <cell r="F242">
            <v>0</v>
          </cell>
          <cell r="L242">
            <v>0</v>
          </cell>
          <cell r="M242">
            <v>0</v>
          </cell>
          <cell r="N242">
            <v>0</v>
          </cell>
          <cell r="O242">
            <v>0</v>
          </cell>
          <cell r="P242">
            <v>0</v>
          </cell>
          <cell r="Q242">
            <v>0</v>
          </cell>
          <cell r="R242">
            <v>0</v>
          </cell>
          <cell r="S242">
            <v>0</v>
          </cell>
          <cell r="T242">
            <v>0</v>
          </cell>
          <cell r="U242">
            <v>0</v>
          </cell>
          <cell r="V242">
            <v>0</v>
          </cell>
          <cell r="W242">
            <v>0</v>
          </cell>
          <cell r="X242">
            <v>0</v>
          </cell>
          <cell r="Z242" t="str">
            <v>F</v>
          </cell>
          <cell r="AA242" t="str">
            <v>F</v>
          </cell>
          <cell r="AD242" t="str">
            <v>D</v>
          </cell>
        </row>
      </sheetData>
      <sheetData sheetId="5"/>
      <sheetData sheetId="6"/>
      <sheetData sheetId="7" refreshError="1">
        <row r="15">
          <cell r="C15">
            <v>8</v>
          </cell>
          <cell r="D15">
            <v>0</v>
          </cell>
          <cell r="L15">
            <v>0</v>
          </cell>
          <cell r="M15">
            <v>0</v>
          </cell>
          <cell r="N15">
            <v>0</v>
          </cell>
          <cell r="O15">
            <v>0</v>
          </cell>
          <cell r="P15">
            <v>0</v>
          </cell>
          <cell r="Q15">
            <v>0</v>
          </cell>
          <cell r="R15">
            <v>0</v>
          </cell>
          <cell r="S15">
            <v>0</v>
          </cell>
          <cell r="T15">
            <v>0</v>
          </cell>
          <cell r="U15">
            <v>0</v>
          </cell>
          <cell r="V15">
            <v>0</v>
          </cell>
          <cell r="W15">
            <v>0</v>
          </cell>
          <cell r="X15">
            <v>0</v>
          </cell>
          <cell r="Z15" t="str">
            <v>F</v>
          </cell>
          <cell r="AA15" t="str">
            <v>F</v>
          </cell>
          <cell r="AD15" t="str">
            <v>D</v>
          </cell>
        </row>
        <row r="25">
          <cell r="C25">
            <v>8</v>
          </cell>
          <cell r="D25">
            <v>0</v>
          </cell>
          <cell r="L25">
            <v>0</v>
          </cell>
          <cell r="M25">
            <v>0</v>
          </cell>
          <cell r="N25">
            <v>0</v>
          </cell>
          <cell r="O25">
            <v>0</v>
          </cell>
          <cell r="P25">
            <v>0</v>
          </cell>
          <cell r="Q25">
            <v>0</v>
          </cell>
          <cell r="R25">
            <v>0</v>
          </cell>
          <cell r="S25">
            <v>0</v>
          </cell>
          <cell r="T25">
            <v>0</v>
          </cell>
          <cell r="U25">
            <v>0</v>
          </cell>
          <cell r="V25">
            <v>0</v>
          </cell>
          <cell r="W25">
            <v>0</v>
          </cell>
          <cell r="X25">
            <v>0</v>
          </cell>
          <cell r="Z25" t="str">
            <v>F</v>
          </cell>
          <cell r="AA25" t="str">
            <v>F</v>
          </cell>
          <cell r="AD25" t="str">
            <v>D</v>
          </cell>
        </row>
        <row r="35">
          <cell r="C35">
            <v>8</v>
          </cell>
          <cell r="D35">
            <v>0</v>
          </cell>
          <cell r="L35">
            <v>0</v>
          </cell>
          <cell r="M35">
            <v>0</v>
          </cell>
          <cell r="N35">
            <v>0</v>
          </cell>
          <cell r="O35">
            <v>0</v>
          </cell>
          <cell r="P35">
            <v>0</v>
          </cell>
          <cell r="Q35">
            <v>0</v>
          </cell>
          <cell r="R35">
            <v>0</v>
          </cell>
          <cell r="S35">
            <v>0</v>
          </cell>
          <cell r="T35">
            <v>0</v>
          </cell>
          <cell r="U35">
            <v>0</v>
          </cell>
          <cell r="V35">
            <v>0</v>
          </cell>
          <cell r="W35">
            <v>0</v>
          </cell>
          <cell r="X35">
            <v>0</v>
          </cell>
          <cell r="Z35" t="str">
            <v>F</v>
          </cell>
          <cell r="AA35" t="str">
            <v>F</v>
          </cell>
          <cell r="AD35" t="str">
            <v>D</v>
          </cell>
        </row>
        <row r="45">
          <cell r="C45">
            <v>8</v>
          </cell>
          <cell r="D45">
            <v>0</v>
          </cell>
          <cell r="L45">
            <v>0</v>
          </cell>
          <cell r="M45">
            <v>0</v>
          </cell>
          <cell r="N45">
            <v>0</v>
          </cell>
          <cell r="O45">
            <v>0</v>
          </cell>
          <cell r="P45">
            <v>0</v>
          </cell>
          <cell r="Q45">
            <v>0</v>
          </cell>
          <cell r="R45">
            <v>0</v>
          </cell>
          <cell r="S45">
            <v>0</v>
          </cell>
          <cell r="T45">
            <v>0</v>
          </cell>
          <cell r="U45">
            <v>0</v>
          </cell>
          <cell r="V45">
            <v>0</v>
          </cell>
          <cell r="W45">
            <v>0</v>
          </cell>
          <cell r="X45">
            <v>0</v>
          </cell>
          <cell r="Z45" t="str">
            <v>F</v>
          </cell>
          <cell r="AA45" t="str">
            <v>F</v>
          </cell>
          <cell r="AD45" t="str">
            <v>D</v>
          </cell>
        </row>
        <row r="55">
          <cell r="C55">
            <v>8</v>
          </cell>
          <cell r="D55">
            <v>0</v>
          </cell>
          <cell r="L55">
            <v>0</v>
          </cell>
          <cell r="M55">
            <v>0</v>
          </cell>
          <cell r="N55">
            <v>0</v>
          </cell>
          <cell r="O55">
            <v>0</v>
          </cell>
          <cell r="P55">
            <v>0</v>
          </cell>
          <cell r="Q55">
            <v>0</v>
          </cell>
          <cell r="R55">
            <v>0</v>
          </cell>
          <cell r="S55">
            <v>0</v>
          </cell>
          <cell r="T55">
            <v>0</v>
          </cell>
          <cell r="U55">
            <v>0</v>
          </cell>
          <cell r="V55">
            <v>0</v>
          </cell>
          <cell r="W55">
            <v>0</v>
          </cell>
          <cell r="X55">
            <v>0</v>
          </cell>
          <cell r="Z55" t="str">
            <v>F</v>
          </cell>
          <cell r="AA55" t="str">
            <v>F</v>
          </cell>
          <cell r="AD55" t="str">
            <v>D</v>
          </cell>
        </row>
        <row r="65">
          <cell r="C65">
            <v>8</v>
          </cell>
          <cell r="D65">
            <v>0</v>
          </cell>
          <cell r="L65">
            <v>0</v>
          </cell>
          <cell r="M65">
            <v>0</v>
          </cell>
          <cell r="N65">
            <v>0</v>
          </cell>
          <cell r="O65">
            <v>0</v>
          </cell>
          <cell r="P65">
            <v>0</v>
          </cell>
          <cell r="Q65">
            <v>0</v>
          </cell>
          <cell r="R65">
            <v>0</v>
          </cell>
          <cell r="S65">
            <v>0</v>
          </cell>
          <cell r="T65">
            <v>0</v>
          </cell>
          <cell r="U65">
            <v>0</v>
          </cell>
          <cell r="V65">
            <v>0</v>
          </cell>
          <cell r="W65">
            <v>0</v>
          </cell>
          <cell r="X65">
            <v>0</v>
          </cell>
          <cell r="Z65" t="str">
            <v>F</v>
          </cell>
          <cell r="AA65" t="str">
            <v>F</v>
          </cell>
          <cell r="AD65" t="str">
            <v>D</v>
          </cell>
        </row>
      </sheetData>
      <sheetData sheetId="8"/>
      <sheetData sheetId="9"/>
      <sheetData sheetId="10"/>
      <sheetData sheetId="11"/>
      <sheetData sheetId="12"/>
      <sheetData sheetId="13"/>
      <sheetData sheetId="14"/>
      <sheetData sheetId="1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model."/>
      <sheetName val="FX"/>
      <sheetName val="TO DO"/>
      <sheetName val="Valuation"/>
      <sheetName val="#Metrics"/>
      <sheetName val="operations"/>
      <sheetName val="#other ratios"/>
      <sheetName val="#model-qtr"/>
      <sheetName val="#model_summary"/>
      <sheetName val="#BSCF"/>
      <sheetName val="IS(A)"/>
      <sheetName val="Input_FS(Q)"/>
      <sheetName val="OPERATIONS-new"/>
      <sheetName val="#Mnthly Sales"/>
      <sheetName val="#Seasonality"/>
      <sheetName val="#Mix sensitivity"/>
      <sheetName val="#Price Target"/>
      <sheetName val="dan to update"/>
      <sheetName val="Sheet3"/>
      <sheetName val="#Dilution"/>
      <sheetName val="WW"/>
      <sheetName val="customer"/>
      <sheetName val="#Bonds"/>
      <sheetName val="EquityTemplate"/>
      <sheetName val="iQ_US_CoreIndustrials"/>
      <sheetName val="iQ_APR_CoreIndustrials"/>
      <sheetName val="SEMI"/>
      <sheetName val="Eric -out shares"/>
      <sheetName val="CAPEX"/>
      <sheetName val="MNTHLY_SALES"/>
      <sheetName val="TEJ "/>
      <sheetName val="Sales"/>
      <sheetName val="Mix Chart"/>
      <sheetName val="EVIC-Model"/>
      <sheetName val="#EVADCF"/>
      <sheetName val="EVIC - Data"/>
      <sheetName val="EVIC - Model"/>
      <sheetName val="Dividend"/>
      <sheetName val="SEMI-Foundry"/>
      <sheetName val="Q-End Cap"/>
      <sheetName val="fab"/>
      <sheetName val="Tax"/>
      <sheetName val="Wafer-in-out"/>
      <sheetName val="Sheet1"/>
      <sheetName val="Variable Cost"/>
      <sheetName val="MarketCap&amp;Pri"/>
      <sheetName val="CAGR"/>
      <sheetName val="Vanguard"/>
      <sheetName val="Wafertech &amp; SSMC"/>
      <sheetName val="Ev-wafer"/>
      <sheetName val="Forecast%"/>
      <sheetName val="Nvidia"/>
      <sheetName val="Historical FS"/>
      <sheetName val="OPS-HISTORY"/>
      <sheetName val="Accounting note"/>
      <sheetName val="Downloaded"/>
      <sheetName val="Add_Download"/>
      <sheetName val="Local Shares"/>
      <sheetName val="NOTES"/>
      <sheetName val="Sensitivity"/>
      <sheetName val="WSMC-TASMC"/>
      <sheetName val="ADR"/>
      <sheetName val="shareholders"/>
      <sheetName val="Major Shareholder"/>
      <sheetName val="Gov_Owner"/>
      <sheetName val="Employee options"/>
      <sheetName val="Download_adjshr"/>
      <sheetName val="NOtes Technolo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rterly"/>
      <sheetName val="Ranb Std "/>
      <sheetName val="augmentin"/>
      <sheetName val="Database"/>
      <sheetName val="Standard"/>
      <sheetName val="Detail"/>
      <sheetName val="cefuroxime"/>
      <sheetName val="US market P&amp;L "/>
      <sheetName val="Consol"/>
      <sheetName val="P&amp;L"/>
      <sheetName val="balancesheet"/>
      <sheetName val="cash flows"/>
      <sheetName val="sales break-up"/>
      <sheetName val="GEMiUploadCheck"/>
      <sheetName val="Working capital"/>
      <sheetName val="Interest"/>
      <sheetName val="Index"/>
      <sheetName val="Consolidated"/>
      <sheetName val="Turnover analysis"/>
      <sheetName val="Upsides"/>
      <sheetName val="Std "/>
      <sheetName val="Sheet1"/>
      <sheetName val="Consol quarterly"/>
      <sheetName val="dupont ratios"/>
      <sheetName val="DCF"/>
      <sheetName val="Summary"/>
      <sheetName val="Consol quarterly forecasts"/>
      <sheetName val="UploadCheck"/>
      <sheetName val="Sheet2"/>
      <sheetName val="US GAAP"/>
      <sheetName val="Sheet3"/>
      <sheetName val="Sheet4"/>
      <sheetName val="model"/>
      <sheetName val="Industry"/>
      <sheetName val="Pipeline"/>
      <sheetName val="US market "/>
      <sheetName val="xxxx"/>
      <sheetName val="Consol quarterly forecasts (2)"/>
      <sheetName val="Chart1"/>
      <sheetName val="conf call"/>
      <sheetName val="Results CY07"/>
      <sheetName val="Results"/>
      <sheetName val="SOP"/>
      <sheetName val="Sales"/>
      <sheetName val="EVSales"/>
      <sheetName val="Subsidiaries"/>
      <sheetName val="Trends"/>
      <sheetName val="Results CY06"/>
      <sheetName val="Growth"/>
      <sheetName val="Results CY07,CY08"/>
      <sheetName val="Std old "/>
      <sheetName val="Results CY07,CY08,CY09"/>
      <sheetName val="Esti"/>
      <sheetName val="Assumptions"/>
      <sheetName val="Annual"/>
      <sheetName val="Info"/>
      <sheetName val="Valuation"/>
      <sheetName val="Outputs"/>
      <sheetName val="UPLOADREPORT"/>
      <sheetName val="Scenarios"/>
      <sheetName val="Hidden"/>
      <sheetName val="Results main"/>
      <sheetName val="Consolidated Model&gt;&gt;&gt;"/>
      <sheetName val="Consol. Summary"/>
      <sheetName val="Income statement"/>
      <sheetName val="Others"/>
      <sheetName val="AP Consol"/>
      <sheetName val="AP"/>
      <sheetName val="Stand. Model&gt;&gt;&gt;"/>
      <sheetName val=" Summary"/>
      <sheetName val="Balance Sheet and Cash Flow"/>
      <sheetName val="Co. charts"/>
      <sheetName val="Revenues"/>
      <sheetName val="Raw materials"/>
      <sheetName val="Schedules&gt;&gt;&gt;"/>
      <sheetName val="PPT CHECK"/>
      <sheetName val="Industry charts"/>
      <sheetName val="Admin costs"/>
      <sheetName val="Other income"/>
      <sheetName val="Others&gt;&gt;&gt;"/>
      <sheetName val="Subs"/>
      <sheetName val="Gyaan"/>
      <sheetName val="Quaterly"/>
      <sheetName val="Qtrly PnL-CONSOL"/>
      <sheetName val="Subs data"/>
      <sheetName val="Qtrly PnL-STANDALONE"/>
      <sheetName val="Qtrly PnL-Subs (consol-sl)"/>
      <sheetName val="International operations"/>
      <sheetName val="Ranbaxy"/>
      <sheetName val="T&amp;C"/>
      <sheetName val="Error Report"/>
      <sheetName val="#REF"/>
    </sheetNames>
    <sheetDataSet>
      <sheetData sheetId="0" refreshError="1"/>
      <sheetData sheetId="1" refreshError="1"/>
      <sheetData sheetId="2" refreshError="1"/>
      <sheetData sheetId="3" refreshError="1">
        <row r="1">
          <cell r="C1" t="str">
            <v>Year to 31 Mar</v>
          </cell>
        </row>
        <row r="155">
          <cell r="B155" t="str">
            <v>pni</v>
          </cell>
          <cell r="C155" t="str">
            <v>Net interest income</v>
          </cell>
          <cell r="D155">
            <v>1000000</v>
          </cell>
          <cell r="E155">
            <v>0</v>
          </cell>
          <cell r="F155">
            <v>0</v>
          </cell>
          <cell r="G155">
            <v>0</v>
          </cell>
          <cell r="H155">
            <v>0</v>
          </cell>
          <cell r="I155">
            <v>0</v>
          </cell>
          <cell r="J155">
            <v>93.369999999999948</v>
          </cell>
          <cell r="K155">
            <v>-91.530000000000086</v>
          </cell>
          <cell r="L155">
            <v>-155.10000000000002</v>
          </cell>
          <cell r="M155">
            <v>-237.02999999999997</v>
          </cell>
          <cell r="N155">
            <v>37.669999999999959</v>
          </cell>
          <cell r="O155">
            <v>86.449999999999932</v>
          </cell>
          <cell r="P155">
            <v>-375.44</v>
          </cell>
          <cell r="Q155">
            <v>-195.19944149376099</v>
          </cell>
          <cell r="R155">
            <v>-196.90834886881029</v>
          </cell>
          <cell r="S155">
            <v>-187.1018150281831</v>
          </cell>
          <cell r="T155">
            <v>-127.05726080110949</v>
          </cell>
          <cell r="U155">
            <v>0</v>
          </cell>
          <cell r="V155">
            <v>0</v>
          </cell>
          <cell r="W155">
            <v>0</v>
          </cell>
          <cell r="X155">
            <v>0</v>
          </cell>
          <cell r="Y155">
            <v>0</v>
          </cell>
          <cell r="Z155">
            <v>1</v>
          </cell>
        </row>
        <row r="156">
          <cell r="B156" t="str">
            <v>pdl</v>
          </cell>
          <cell r="C156" t="str">
            <v>Dealing profits</v>
          </cell>
          <cell r="D156">
            <v>1000000</v>
          </cell>
          <cell r="E156">
            <v>0</v>
          </cell>
          <cell r="F156">
            <v>0</v>
          </cell>
          <cell r="G156">
            <v>0</v>
          </cell>
          <cell r="H156">
            <v>0</v>
          </cell>
          <cell r="I156">
            <v>0</v>
          </cell>
          <cell r="J156">
            <v>-417.66</v>
          </cell>
          <cell r="K156">
            <v>-637.58000000000004</v>
          </cell>
          <cell r="L156">
            <v>-827.49</v>
          </cell>
          <cell r="M156">
            <v>-629.67999999999995</v>
          </cell>
          <cell r="N156">
            <v>-813.35</v>
          </cell>
          <cell r="O156">
            <v>-634.70000000000005</v>
          </cell>
          <cell r="P156">
            <v>-754.11</v>
          </cell>
          <cell r="Q156">
            <v>-754.30799999999999</v>
          </cell>
          <cell r="R156">
            <v>-754.30799999999999</v>
          </cell>
          <cell r="S156">
            <v>-754.30799999999999</v>
          </cell>
          <cell r="T156">
            <v>15.800527513667491</v>
          </cell>
          <cell r="U156">
            <v>0</v>
          </cell>
          <cell r="V156">
            <v>0</v>
          </cell>
          <cell r="W156">
            <v>0</v>
          </cell>
          <cell r="X156">
            <v>0</v>
          </cell>
          <cell r="Y156">
            <v>0</v>
          </cell>
          <cell r="Z156">
            <v>1</v>
          </cell>
        </row>
        <row r="158">
          <cell r="B158" t="str">
            <v>pri</v>
          </cell>
          <cell r="C158" t="str">
            <v>Rental income</v>
          </cell>
          <cell r="D158">
            <v>1000000</v>
          </cell>
          <cell r="E158">
            <v>0</v>
          </cell>
          <cell r="F158">
            <v>0</v>
          </cell>
          <cell r="G158">
            <v>0</v>
          </cell>
          <cell r="H158">
            <v>0</v>
          </cell>
          <cell r="I158">
            <v>0</v>
          </cell>
          <cell r="J158">
            <v>93.369999999999948</v>
          </cell>
          <cell r="K158">
            <v>-91.530000000000086</v>
          </cell>
          <cell r="L158">
            <v>-155.10000000000002</v>
          </cell>
          <cell r="M158">
            <v>-237.02999999999997</v>
          </cell>
          <cell r="N158">
            <v>37.669999999999959</v>
          </cell>
          <cell r="O158">
            <v>86.449999999999932</v>
          </cell>
          <cell r="P158">
            <v>-598.11</v>
          </cell>
          <cell r="Q158">
            <v>-692.20330158515844</v>
          </cell>
          <cell r="R158">
            <v>-606.95172436222288</v>
          </cell>
          <cell r="S158">
            <v>-396.88151333909718</v>
          </cell>
          <cell r="T158">
            <v>-277.04109999999997</v>
          </cell>
          <cell r="U158">
            <v>0</v>
          </cell>
          <cell r="V158">
            <v>0</v>
          </cell>
          <cell r="W158">
            <v>0</v>
          </cell>
          <cell r="X158">
            <v>0</v>
          </cell>
          <cell r="Y158">
            <v>0</v>
          </cell>
          <cell r="Z158">
            <v>1</v>
          </cell>
        </row>
        <row r="159">
          <cell r="B159" t="str">
            <v>pfc</v>
          </cell>
          <cell r="C159" t="str">
            <v>Fee/Commission income</v>
          </cell>
          <cell r="D159">
            <v>1000000</v>
          </cell>
          <cell r="E159">
            <v>0</v>
          </cell>
          <cell r="F159">
            <v>0</v>
          </cell>
          <cell r="G159">
            <v>0</v>
          </cell>
          <cell r="H159">
            <v>0</v>
          </cell>
          <cell r="I159">
            <v>0</v>
          </cell>
          <cell r="J159">
            <v>93.369999999999948</v>
          </cell>
          <cell r="K159">
            <v>-91.530000000000086</v>
          </cell>
          <cell r="L159">
            <v>-155.10000000000002</v>
          </cell>
          <cell r="M159">
            <v>-237.02999999999997</v>
          </cell>
          <cell r="N159">
            <v>37.669999999999959</v>
          </cell>
          <cell r="O159">
            <v>86.449999999999932</v>
          </cell>
          <cell r="P159">
            <v>-598.11</v>
          </cell>
          <cell r="Q159">
            <v>-302.33000000000004</v>
          </cell>
          <cell r="R159">
            <v>-200.10035470329393</v>
          </cell>
          <cell r="S159">
            <v>-118.27998593853286</v>
          </cell>
          <cell r="T159">
            <v>11.039296057594356</v>
          </cell>
          <cell r="U159">
            <v>0</v>
          </cell>
          <cell r="V159">
            <v>0</v>
          </cell>
          <cell r="W159">
            <v>0</v>
          </cell>
          <cell r="X159">
            <v>0</v>
          </cell>
          <cell r="Y159">
            <v>0</v>
          </cell>
          <cell r="Z159">
            <v>1</v>
          </cell>
        </row>
        <row r="160">
          <cell r="B160" t="str">
            <v>poo</v>
          </cell>
          <cell r="C160" t="str">
            <v>Other income</v>
          </cell>
          <cell r="D160">
            <v>1000000</v>
          </cell>
          <cell r="J160">
            <v>370.22</v>
          </cell>
          <cell r="K160">
            <v>309.01</v>
          </cell>
          <cell r="L160">
            <v>428.2</v>
          </cell>
          <cell r="M160">
            <v>889.17</v>
          </cell>
          <cell r="N160">
            <v>1150.17</v>
          </cell>
          <cell r="O160">
            <v>498.89</v>
          </cell>
          <cell r="P160">
            <v>1275.5300000000002</v>
          </cell>
          <cell r="Q160">
            <v>860.52</v>
          </cell>
          <cell r="R160">
            <v>871.85215000000005</v>
          </cell>
          <cell r="S160">
            <v>885.48678749999999</v>
          </cell>
          <cell r="T160">
            <v>898.59455212500006</v>
          </cell>
          <cell r="Z160">
            <v>1</v>
          </cell>
        </row>
        <row r="161">
          <cell r="B161" t="str">
            <v>pti</v>
          </cell>
          <cell r="C161" t="str">
            <v>Total non-interest income</v>
          </cell>
          <cell r="D161">
            <v>1000000</v>
          </cell>
          <cell r="E161">
            <v>0</v>
          </cell>
          <cell r="F161">
            <v>0</v>
          </cell>
          <cell r="G161">
            <v>0</v>
          </cell>
          <cell r="H161">
            <v>0</v>
          </cell>
          <cell r="I161">
            <v>0</v>
          </cell>
          <cell r="J161">
            <v>370.22</v>
          </cell>
          <cell r="K161">
            <v>309.01</v>
          </cell>
          <cell r="L161">
            <v>428.2</v>
          </cell>
          <cell r="M161">
            <v>889.17</v>
          </cell>
          <cell r="N161">
            <v>1150.17</v>
          </cell>
          <cell r="O161">
            <v>498.89</v>
          </cell>
          <cell r="P161">
            <v>1275.5300000000002</v>
          </cell>
          <cell r="Q161">
            <v>860.52</v>
          </cell>
          <cell r="R161">
            <v>871.85215000000005</v>
          </cell>
          <cell r="S161">
            <v>885.48678749999999</v>
          </cell>
          <cell r="T161">
            <v>898.59455212500006</v>
          </cell>
          <cell r="U161">
            <v>0</v>
          </cell>
          <cell r="V161">
            <v>0</v>
          </cell>
          <cell r="W161">
            <v>0</v>
          </cell>
          <cell r="X161">
            <v>0</v>
          </cell>
          <cell r="Y161">
            <v>0</v>
          </cell>
          <cell r="Z161">
            <v>1</v>
          </cell>
        </row>
        <row r="162">
          <cell r="B162" t="str">
            <v>ppi</v>
          </cell>
          <cell r="C162" t="str">
            <v>Operating revenue</v>
          </cell>
          <cell r="D162">
            <v>1000000</v>
          </cell>
          <cell r="E162">
            <v>0</v>
          </cell>
          <cell r="F162">
            <v>0</v>
          </cell>
          <cell r="G162">
            <v>0</v>
          </cell>
          <cell r="H162">
            <v>0</v>
          </cell>
          <cell r="I162">
            <v>0</v>
          </cell>
          <cell r="J162">
            <v>463.59</v>
          </cell>
          <cell r="K162">
            <v>217.4799999999999</v>
          </cell>
          <cell r="L162">
            <v>273.09999999999997</v>
          </cell>
          <cell r="M162">
            <v>652.14</v>
          </cell>
          <cell r="N162">
            <v>1187.8400000000001</v>
          </cell>
          <cell r="O162">
            <v>585.33999999999992</v>
          </cell>
          <cell r="P162">
            <v>900.09000000000015</v>
          </cell>
          <cell r="Q162">
            <v>665.32055850623897</v>
          </cell>
          <cell r="R162">
            <v>674.94380113118973</v>
          </cell>
          <cell r="S162">
            <v>698.38497247181692</v>
          </cell>
          <cell r="T162">
            <v>771.5372913238906</v>
          </cell>
          <cell r="U162">
            <v>0</v>
          </cell>
          <cell r="V162">
            <v>0</v>
          </cell>
          <cell r="W162">
            <v>0</v>
          </cell>
          <cell r="X162">
            <v>0</v>
          </cell>
          <cell r="Y162">
            <v>0</v>
          </cell>
          <cell r="Z162">
            <v>1</v>
          </cell>
        </row>
        <row r="163">
          <cell r="B163" t="str">
            <v>prx</v>
          </cell>
          <cell r="C163" t="str">
            <v>Re-insurance expenses</v>
          </cell>
          <cell r="D163">
            <v>1000000</v>
          </cell>
          <cell r="E163">
            <v>0</v>
          </cell>
          <cell r="F163">
            <v>0</v>
          </cell>
          <cell r="G163">
            <v>0</v>
          </cell>
          <cell r="H163">
            <v>0</v>
          </cell>
          <cell r="I163">
            <v>0</v>
          </cell>
          <cell r="J163">
            <v>370.22</v>
          </cell>
          <cell r="K163">
            <v>309.01</v>
          </cell>
          <cell r="L163">
            <v>428.2</v>
          </cell>
          <cell r="M163">
            <v>889.17</v>
          </cell>
          <cell r="N163">
            <v>1150.17</v>
          </cell>
          <cell r="O163">
            <v>498.89</v>
          </cell>
          <cell r="P163">
            <v>709.37</v>
          </cell>
          <cell r="Q163">
            <v>922.63740000000007</v>
          </cell>
          <cell r="R163">
            <v>854.77392759999998</v>
          </cell>
          <cell r="S163">
            <v>1409.7655317399999</v>
          </cell>
          <cell r="T163">
            <v>1047.0095999999999</v>
          </cell>
          <cell r="U163">
            <v>0</v>
          </cell>
          <cell r="V163">
            <v>0</v>
          </cell>
          <cell r="W163">
            <v>0</v>
          </cell>
          <cell r="X163">
            <v>0</v>
          </cell>
          <cell r="Y163">
            <v>0</v>
          </cell>
          <cell r="Z163">
            <v>1</v>
          </cell>
        </row>
        <row r="164">
          <cell r="B164" t="str">
            <v>pcx</v>
          </cell>
          <cell r="C164" t="str">
            <v>Commissions paid</v>
          </cell>
          <cell r="D164">
            <v>1000000</v>
          </cell>
          <cell r="E164">
            <v>0</v>
          </cell>
          <cell r="F164">
            <v>0</v>
          </cell>
          <cell r="G164">
            <v>0</v>
          </cell>
          <cell r="H164">
            <v>0</v>
          </cell>
          <cell r="I164">
            <v>0</v>
          </cell>
          <cell r="J164">
            <v>463.59</v>
          </cell>
          <cell r="K164">
            <v>217.4799999999999</v>
          </cell>
          <cell r="L164">
            <v>273.09999999999997</v>
          </cell>
          <cell r="M164">
            <v>652.14</v>
          </cell>
          <cell r="N164">
            <v>1187.8400000000001</v>
          </cell>
          <cell r="O164">
            <v>585.33999999999992</v>
          </cell>
          <cell r="P164">
            <v>111.25999999999999</v>
          </cell>
          <cell r="Q164">
            <v>262.61363905127484</v>
          </cell>
          <cell r="R164">
            <v>323.46819002947552</v>
          </cell>
          <cell r="S164">
            <v>1020.9301066279081</v>
          </cell>
          <cell r="T164">
            <v>2347.5718837499999</v>
          </cell>
          <cell r="U164">
            <v>0</v>
          </cell>
          <cell r="V164">
            <v>0</v>
          </cell>
          <cell r="W164">
            <v>0</v>
          </cell>
          <cell r="X164">
            <v>0</v>
          </cell>
          <cell r="Y164">
            <v>0</v>
          </cell>
          <cell r="Z164">
            <v>1</v>
          </cell>
        </row>
        <row r="165">
          <cell r="B165" t="str">
            <v>psr</v>
          </cell>
          <cell r="C165" t="str">
            <v>Staff and related expenses</v>
          </cell>
          <cell r="D165">
            <v>1000000</v>
          </cell>
          <cell r="E165">
            <v>0</v>
          </cell>
          <cell r="F165">
            <v>0</v>
          </cell>
          <cell r="G165">
            <v>0</v>
          </cell>
          <cell r="H165">
            <v>0</v>
          </cell>
          <cell r="I165">
            <v>0</v>
          </cell>
          <cell r="J165">
            <v>463.59</v>
          </cell>
          <cell r="K165">
            <v>217.4799999999999</v>
          </cell>
          <cell r="L165">
            <v>273.09999999999997</v>
          </cell>
          <cell r="M165">
            <v>652.14</v>
          </cell>
          <cell r="N165">
            <v>1187.8400000000001</v>
          </cell>
          <cell r="O165">
            <v>585.33999999999992</v>
          </cell>
          <cell r="P165">
            <v>111.25999999999999</v>
          </cell>
          <cell r="Q165">
            <v>553.37409841484168</v>
          </cell>
          <cell r="R165">
            <v>1247.8686544377772</v>
          </cell>
          <cell r="S165">
            <v>1384.381603040903</v>
          </cell>
          <cell r="T165">
            <v>3394.5814837499997</v>
          </cell>
          <cell r="U165">
            <v>0</v>
          </cell>
          <cell r="V165">
            <v>0</v>
          </cell>
          <cell r="W165">
            <v>0</v>
          </cell>
          <cell r="X165">
            <v>0</v>
          </cell>
          <cell r="Y165">
            <v>0</v>
          </cell>
          <cell r="Z165">
            <v>1</v>
          </cell>
        </row>
        <row r="166">
          <cell r="B166" t="str">
            <v>prl</v>
          </cell>
          <cell r="C166" t="str">
            <v>Property related expenses</v>
          </cell>
          <cell r="D166">
            <v>1000000</v>
          </cell>
          <cell r="E166">
            <v>0</v>
          </cell>
          <cell r="F166">
            <v>0</v>
          </cell>
          <cell r="G166">
            <v>0</v>
          </cell>
          <cell r="H166">
            <v>0</v>
          </cell>
          <cell r="I166">
            <v>0</v>
          </cell>
          <cell r="J166">
            <v>463.59</v>
          </cell>
          <cell r="K166">
            <v>217.4799999999999</v>
          </cell>
          <cell r="L166">
            <v>273.09999999999997</v>
          </cell>
          <cell r="M166">
            <v>652.14</v>
          </cell>
          <cell r="N166">
            <v>1187.8400000000001</v>
          </cell>
          <cell r="O166">
            <v>585.33999999999992</v>
          </cell>
          <cell r="P166">
            <v>111.50999999999988</v>
          </cell>
          <cell r="Q166">
            <v>1877.1999999999998</v>
          </cell>
          <cell r="R166">
            <v>2752.2611452967062</v>
          </cell>
          <cell r="S166">
            <v>2889.0101890614674</v>
          </cell>
          <cell r="T166">
            <v>3405.6207798075939</v>
          </cell>
          <cell r="U166">
            <v>0</v>
          </cell>
          <cell r="V166">
            <v>0</v>
          </cell>
          <cell r="W166">
            <v>0</v>
          </cell>
          <cell r="X166">
            <v>0</v>
          </cell>
          <cell r="Y166">
            <v>0</v>
          </cell>
          <cell r="Z166">
            <v>1</v>
          </cell>
        </row>
        <row r="167">
          <cell r="B167" t="str">
            <v>pox</v>
          </cell>
          <cell r="C167" t="str">
            <v>Other expenses</v>
          </cell>
          <cell r="D167">
            <v>1000000</v>
          </cell>
          <cell r="E167">
            <v>0</v>
          </cell>
          <cell r="F167">
            <v>0</v>
          </cell>
          <cell r="G167">
            <v>0</v>
          </cell>
          <cell r="H167">
            <v>0</v>
          </cell>
          <cell r="I167">
            <v>0</v>
          </cell>
          <cell r="J167">
            <v>37.449536073394228</v>
          </cell>
          <cell r="K167">
            <v>45.997700225821198</v>
          </cell>
          <cell r="L167">
            <v>45.123198579609877</v>
          </cell>
          <cell r="M167">
            <v>38.329804052937689</v>
          </cell>
          <cell r="N167">
            <v>39.354155985765338</v>
          </cell>
          <cell r="O167">
            <v>39.969635874877802</v>
          </cell>
          <cell r="P167">
            <v>40.947042312638111</v>
          </cell>
          <cell r="Q167">
            <v>48.519779158040031</v>
          </cell>
          <cell r="R167">
            <v>57.236680127718657</v>
          </cell>
          <cell r="S167">
            <v>55.643370753823405</v>
          </cell>
          <cell r="T167">
            <v>55.335230804206148</v>
          </cell>
          <cell r="U167">
            <v>0</v>
          </cell>
          <cell r="V167">
            <v>0</v>
          </cell>
          <cell r="W167">
            <v>0</v>
          </cell>
          <cell r="X167">
            <v>0</v>
          </cell>
          <cell r="Y167">
            <v>0</v>
          </cell>
          <cell r="Z167">
            <v>1</v>
          </cell>
        </row>
        <row r="168">
          <cell r="B168" t="str">
            <v>pxp</v>
          </cell>
          <cell r="C168" t="str">
            <v>Total operating expenses</v>
          </cell>
          <cell r="D168">
            <v>1000000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1</v>
          </cell>
        </row>
        <row r="169">
          <cell r="B169" t="str">
            <v>ppb</v>
          </cell>
          <cell r="C169" t="str">
            <v>Operating profit before provisions</v>
          </cell>
          <cell r="D169">
            <v>1000000</v>
          </cell>
          <cell r="E169">
            <v>0</v>
          </cell>
          <cell r="F169">
            <v>0</v>
          </cell>
          <cell r="G169">
            <v>0</v>
          </cell>
          <cell r="H169">
            <v>0</v>
          </cell>
          <cell r="I169">
            <v>0</v>
          </cell>
          <cell r="J169">
            <v>463.59</v>
          </cell>
          <cell r="K169">
            <v>217.4799999999999</v>
          </cell>
          <cell r="L169">
            <v>273.09999999999997</v>
          </cell>
          <cell r="M169">
            <v>652.14</v>
          </cell>
          <cell r="N169">
            <v>1187.8400000000001</v>
          </cell>
          <cell r="O169">
            <v>585.33999999999992</v>
          </cell>
          <cell r="P169">
            <v>900.09000000000015</v>
          </cell>
          <cell r="Q169">
            <v>665.32055850623897</v>
          </cell>
          <cell r="R169">
            <v>674.94380113118973</v>
          </cell>
          <cell r="S169">
            <v>698.38497247181692</v>
          </cell>
          <cell r="T169">
            <v>771.5372913238906</v>
          </cell>
          <cell r="U169">
            <v>0</v>
          </cell>
          <cell r="V169">
            <v>0</v>
          </cell>
          <cell r="W169">
            <v>0</v>
          </cell>
          <cell r="X169">
            <v>0</v>
          </cell>
          <cell r="Y169">
            <v>0</v>
          </cell>
          <cell r="Z169">
            <v>1</v>
          </cell>
        </row>
        <row r="170">
          <cell r="B170" t="str">
            <v>psv</v>
          </cell>
          <cell r="C170" t="str">
            <v>Specific provisions (was psp)</v>
          </cell>
          <cell r="D170">
            <v>1000000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32338.338200787435</v>
          </cell>
          <cell r="U170">
            <v>0</v>
          </cell>
          <cell r="V170">
            <v>0</v>
          </cell>
          <cell r="W170">
            <v>0</v>
          </cell>
          <cell r="X170">
            <v>0</v>
          </cell>
          <cell r="Y170">
            <v>0</v>
          </cell>
          <cell r="Z170">
            <v>1</v>
          </cell>
        </row>
        <row r="171">
          <cell r="B171" t="str">
            <v>pgv</v>
          </cell>
          <cell r="C171" t="str">
            <v>General provisions (was pgp)</v>
          </cell>
          <cell r="D171">
            <v>1000000</v>
          </cell>
          <cell r="E171">
            <v>0</v>
          </cell>
          <cell r="F171">
            <v>0</v>
          </cell>
          <cell r="G171">
            <v>0</v>
          </cell>
          <cell r="H171">
            <v>0</v>
          </cell>
          <cell r="I171">
            <v>0</v>
          </cell>
          <cell r="J171">
            <v>463.59</v>
          </cell>
          <cell r="K171">
            <v>217.4799999999999</v>
          </cell>
          <cell r="L171">
            <v>273.09999999999997</v>
          </cell>
          <cell r="M171">
            <v>652.14</v>
          </cell>
          <cell r="N171">
            <v>1187.8400000000001</v>
          </cell>
          <cell r="O171">
            <v>585.33999999999992</v>
          </cell>
          <cell r="P171">
            <v>111.25999999999999</v>
          </cell>
          <cell r="Q171">
            <v>262.61363905127484</v>
          </cell>
          <cell r="R171">
            <v>323.46819002947552</v>
          </cell>
          <cell r="S171">
            <v>1020.9301066279081</v>
          </cell>
          <cell r="T171">
            <v>51.929521408297241</v>
          </cell>
          <cell r="U171">
            <v>0</v>
          </cell>
          <cell r="V171">
            <v>0</v>
          </cell>
          <cell r="W171">
            <v>0</v>
          </cell>
          <cell r="X171">
            <v>0</v>
          </cell>
          <cell r="Y171">
            <v>0</v>
          </cell>
          <cell r="Z171">
            <v>1</v>
          </cell>
        </row>
        <row r="172">
          <cell r="B172" t="str">
            <v>pov</v>
          </cell>
          <cell r="C172" t="str">
            <v>Other provisions</v>
          </cell>
          <cell r="D172">
            <v>1000000</v>
          </cell>
          <cell r="E172">
            <v>0</v>
          </cell>
          <cell r="F172">
            <v>0</v>
          </cell>
          <cell r="G172">
            <v>0</v>
          </cell>
          <cell r="H172">
            <v>0</v>
          </cell>
          <cell r="I172">
            <v>0</v>
          </cell>
          <cell r="J172">
            <v>463.59</v>
          </cell>
          <cell r="K172">
            <v>217.4799999999999</v>
          </cell>
          <cell r="L172">
            <v>273.09999999999997</v>
          </cell>
          <cell r="M172">
            <v>652.14</v>
          </cell>
          <cell r="N172">
            <v>1187.8400000000001</v>
          </cell>
          <cell r="O172">
            <v>585.33999999999992</v>
          </cell>
          <cell r="P172">
            <v>111.25999999999999</v>
          </cell>
          <cell r="Q172">
            <v>553.37409841484168</v>
          </cell>
          <cell r="R172">
            <v>1247.8686544377772</v>
          </cell>
          <cell r="S172">
            <v>1384.381603040903</v>
          </cell>
          <cell r="T172">
            <v>0</v>
          </cell>
          <cell r="U172">
            <v>0</v>
          </cell>
          <cell r="V172">
            <v>0</v>
          </cell>
          <cell r="W172">
            <v>0</v>
          </cell>
          <cell r="X172">
            <v>0</v>
          </cell>
          <cell r="Y172">
            <v>0</v>
          </cell>
          <cell r="Z172">
            <v>1</v>
          </cell>
        </row>
        <row r="173">
          <cell r="B173" t="str">
            <v>ppl</v>
          </cell>
          <cell r="C173" t="str">
            <v>Total provisions for loan losses</v>
          </cell>
          <cell r="D173">
            <v>1000000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1</v>
          </cell>
        </row>
        <row r="174">
          <cell r="B174" t="str">
            <v>pof</v>
          </cell>
          <cell r="C174" t="str">
            <v>Operating profit (financial)</v>
          </cell>
          <cell r="D174">
            <v>1000000</v>
          </cell>
          <cell r="E174">
            <v>0</v>
          </cell>
          <cell r="F174">
            <v>0</v>
          </cell>
          <cell r="G174">
            <v>0</v>
          </cell>
          <cell r="H174">
            <v>0</v>
          </cell>
          <cell r="I174">
            <v>0</v>
          </cell>
          <cell r="J174">
            <v>463.59</v>
          </cell>
          <cell r="K174">
            <v>217.4799999999999</v>
          </cell>
          <cell r="L174">
            <v>273.09999999999997</v>
          </cell>
          <cell r="M174">
            <v>652.14</v>
          </cell>
          <cell r="N174">
            <v>1187.8400000000001</v>
          </cell>
          <cell r="O174">
            <v>585.33999999999992</v>
          </cell>
          <cell r="P174">
            <v>900.09000000000015</v>
          </cell>
          <cell r="Q174">
            <v>665.32055850623897</v>
          </cell>
          <cell r="R174">
            <v>674.94380113118973</v>
          </cell>
          <cell r="S174">
            <v>698.38497247181692</v>
          </cell>
          <cell r="T174">
            <v>771.5372913238906</v>
          </cell>
          <cell r="U174">
            <v>0</v>
          </cell>
          <cell r="V174">
            <v>0</v>
          </cell>
          <cell r="W174">
            <v>0</v>
          </cell>
          <cell r="X174">
            <v>0</v>
          </cell>
          <cell r="Y174">
            <v>0</v>
          </cell>
          <cell r="Z174">
            <v>1</v>
          </cell>
        </row>
        <row r="194">
          <cell r="B194" t="str">
            <v>bnl</v>
          </cell>
          <cell r="C194" t="str">
            <v>Net loans and advances</v>
          </cell>
          <cell r="D194">
            <v>1000000</v>
          </cell>
          <cell r="E194">
            <v>0</v>
          </cell>
          <cell r="F194">
            <v>0</v>
          </cell>
          <cell r="G194">
            <v>0</v>
          </cell>
          <cell r="H194">
            <v>0</v>
          </cell>
          <cell r="I194">
            <v>0</v>
          </cell>
          <cell r="J194">
            <v>618.75</v>
          </cell>
          <cell r="K194">
            <v>852.61000000000013</v>
          </cell>
          <cell r="L194">
            <v>852.06</v>
          </cell>
          <cell r="M194">
            <v>783.69</v>
          </cell>
          <cell r="N194">
            <v>791.47</v>
          </cell>
          <cell r="O194">
            <v>1395.4</v>
          </cell>
          <cell r="P194">
            <v>1229.3900000000001</v>
          </cell>
          <cell r="Q194">
            <v>1274.3885200000002</v>
          </cell>
          <cell r="R194">
            <v>1286.6445876499999</v>
          </cell>
          <cell r="S194">
            <v>1330.7920058016</v>
          </cell>
          <cell r="T194">
            <v>1473.0505790269119</v>
          </cell>
          <cell r="U194">
            <v>0</v>
          </cell>
          <cell r="V194">
            <v>0</v>
          </cell>
          <cell r="W194">
            <v>0</v>
          </cell>
          <cell r="X194">
            <v>0</v>
          </cell>
          <cell r="Y194">
            <v>0</v>
          </cell>
          <cell r="Z194">
            <v>1</v>
          </cell>
        </row>
        <row r="195">
          <cell r="B195" t="str">
            <v>anl</v>
          </cell>
          <cell r="C195" t="str">
            <v>Average net loans</v>
          </cell>
          <cell r="D195">
            <v>1000000</v>
          </cell>
          <cell r="E195" t="str">
            <v>FY90</v>
          </cell>
          <cell r="F195">
            <v>0</v>
          </cell>
          <cell r="G195">
            <v>0</v>
          </cell>
          <cell r="H195">
            <v>0</v>
          </cell>
          <cell r="I195">
            <v>0</v>
          </cell>
          <cell r="J195">
            <v>309.375</v>
          </cell>
          <cell r="K195">
            <v>735.68000000000006</v>
          </cell>
          <cell r="L195">
            <v>852.33500000000004</v>
          </cell>
          <cell r="M195">
            <v>817.875</v>
          </cell>
          <cell r="N195">
            <v>787.58</v>
          </cell>
          <cell r="O195">
            <v>1093.4349999999999</v>
          </cell>
          <cell r="P195">
            <v>1312.395</v>
          </cell>
          <cell r="Q195">
            <v>1251.8892600000001</v>
          </cell>
          <cell r="R195">
            <v>1280.5165538250001</v>
          </cell>
          <cell r="S195">
            <v>1308.7182967258</v>
          </cell>
          <cell r="T195">
            <v>1401.921292414256</v>
          </cell>
          <cell r="U195">
            <v>736.52528951345596</v>
          </cell>
          <cell r="V195">
            <v>0</v>
          </cell>
          <cell r="W195">
            <v>0</v>
          </cell>
          <cell r="X195">
            <v>0</v>
          </cell>
          <cell r="Y195">
            <v>0</v>
          </cell>
          <cell r="Z195">
            <v>1</v>
          </cell>
        </row>
        <row r="204">
          <cell r="B204" t="str">
            <v>bcr</v>
          </cell>
          <cell r="C204" t="str">
            <v>Central bank reserves</v>
          </cell>
          <cell r="D204">
            <v>1000000</v>
          </cell>
          <cell r="E204">
            <v>0</v>
          </cell>
          <cell r="F204">
            <v>0</v>
          </cell>
          <cell r="G204">
            <v>0</v>
          </cell>
          <cell r="H204">
            <v>0</v>
          </cell>
          <cell r="I204">
            <v>0</v>
          </cell>
          <cell r="J204">
            <v>8624.52</v>
          </cell>
          <cell r="K204">
            <v>10739.080000000002</v>
          </cell>
          <cell r="L204">
            <v>11158.279999999999</v>
          </cell>
          <cell r="M204">
            <v>11118.98</v>
          </cell>
          <cell r="N204">
            <v>11550.21</v>
          </cell>
          <cell r="O204">
            <v>12322.210000000001</v>
          </cell>
          <cell r="P204">
            <v>16336.27</v>
          </cell>
          <cell r="Q204">
            <v>20471.316209318793</v>
          </cell>
          <cell r="R204">
            <v>24842.010722494379</v>
          </cell>
          <cell r="S204">
            <v>30146.81495653222</v>
          </cell>
          <cell r="T204">
            <v>6793.3271310902146</v>
          </cell>
          <cell r="U204">
            <v>0</v>
          </cell>
          <cell r="V204">
            <v>0</v>
          </cell>
          <cell r="W204">
            <v>0</v>
          </cell>
          <cell r="X204">
            <v>0</v>
          </cell>
          <cell r="Y204">
            <v>0</v>
          </cell>
          <cell r="Z204">
            <v>1</v>
          </cell>
        </row>
        <row r="205">
          <cell r="B205" t="str">
            <v>bct</v>
          </cell>
          <cell r="C205" t="str">
            <v>Cash and central bank reserves</v>
          </cell>
          <cell r="D205">
            <v>1000000</v>
          </cell>
          <cell r="E205">
            <v>0</v>
          </cell>
          <cell r="F205">
            <v>0</v>
          </cell>
          <cell r="G205">
            <v>0</v>
          </cell>
          <cell r="H205">
            <v>0</v>
          </cell>
          <cell r="I205">
            <v>0</v>
          </cell>
          <cell r="J205">
            <v>4164.9500000000007</v>
          </cell>
          <cell r="K205">
            <v>4299.6500000000005</v>
          </cell>
          <cell r="L205">
            <v>3343.62</v>
          </cell>
          <cell r="M205">
            <v>3080.4900000000002</v>
          </cell>
          <cell r="N205">
            <v>1599.79</v>
          </cell>
          <cell r="O205">
            <v>2805.11</v>
          </cell>
          <cell r="P205">
            <v>1705.9499999999998</v>
          </cell>
          <cell r="Q205">
            <v>1475.046058952182</v>
          </cell>
          <cell r="R205">
            <v>2149.76310383705</v>
          </cell>
          <cell r="S205">
            <v>3308.5674851666313</v>
          </cell>
          <cell r="T205">
            <v>4891.6222643295478</v>
          </cell>
          <cell r="U205">
            <v>0</v>
          </cell>
          <cell r="V205">
            <v>0</v>
          </cell>
          <cell r="W205">
            <v>0</v>
          </cell>
          <cell r="X205">
            <v>0</v>
          </cell>
          <cell r="Y205">
            <v>0</v>
          </cell>
          <cell r="Z205">
            <v>1</v>
          </cell>
        </row>
        <row r="206">
          <cell r="B206" t="str">
            <v>bcw</v>
          </cell>
          <cell r="C206" t="str">
            <v>Placement with other banks</v>
          </cell>
          <cell r="D206">
            <v>1000000</v>
          </cell>
          <cell r="E206">
            <v>0</v>
          </cell>
          <cell r="F206">
            <v>0</v>
          </cell>
          <cell r="G206">
            <v>0</v>
          </cell>
          <cell r="H206">
            <v>0</v>
          </cell>
          <cell r="I206">
            <v>0</v>
          </cell>
          <cell r="J206">
            <v>4312.26</v>
          </cell>
          <cell r="K206">
            <v>9681.8000000000011</v>
          </cell>
          <cell r="L206">
            <v>10948.68</v>
          </cell>
          <cell r="M206">
            <v>11138.63</v>
          </cell>
          <cell r="N206">
            <v>11334.594999999999</v>
          </cell>
          <cell r="O206">
            <v>11936.21</v>
          </cell>
          <cell r="P206">
            <v>14329.240000000002</v>
          </cell>
          <cell r="Q206">
            <v>18421.70807680703</v>
          </cell>
          <cell r="R206">
            <v>23079.822670320944</v>
          </cell>
          <cell r="S206">
            <v>28582.404657802304</v>
          </cell>
          <cell r="T206">
            <v>4278.800976606939</v>
          </cell>
          <cell r="U206">
            <v>0</v>
          </cell>
          <cell r="V206">
            <v>0</v>
          </cell>
          <cell r="W206">
            <v>0</v>
          </cell>
          <cell r="X206">
            <v>0</v>
          </cell>
          <cell r="Y206">
            <v>0</v>
          </cell>
          <cell r="Z206">
            <v>1</v>
          </cell>
        </row>
        <row r="207">
          <cell r="B207" t="str">
            <v>boi</v>
          </cell>
          <cell r="C207" t="str">
            <v>Other interest earning assets</v>
          </cell>
          <cell r="D207">
            <v>1000000</v>
          </cell>
          <cell r="E207">
            <v>0</v>
          </cell>
          <cell r="F207">
            <v>0</v>
          </cell>
          <cell r="G207">
            <v>0</v>
          </cell>
          <cell r="H207">
            <v>0</v>
          </cell>
          <cell r="I207">
            <v>0</v>
          </cell>
          <cell r="J207">
            <v>4164.9500000000007</v>
          </cell>
          <cell r="K207">
            <v>4299.6500000000005</v>
          </cell>
          <cell r="L207">
            <v>3343.62</v>
          </cell>
          <cell r="M207">
            <v>3080.4900000000002</v>
          </cell>
          <cell r="N207">
            <v>1599.79</v>
          </cell>
          <cell r="O207">
            <v>2805.11</v>
          </cell>
          <cell r="P207">
            <v>1308.67</v>
          </cell>
          <cell r="Q207">
            <v>1450.5267546349967</v>
          </cell>
          <cell r="R207">
            <v>3430.8040373765471</v>
          </cell>
          <cell r="S207">
            <v>5622.6549982755096</v>
          </cell>
          <cell r="T207">
            <v>3884.3842780141804</v>
          </cell>
          <cell r="U207">
            <v>0</v>
          </cell>
          <cell r="V207">
            <v>0</v>
          </cell>
          <cell r="W207">
            <v>0</v>
          </cell>
          <cell r="X207">
            <v>0</v>
          </cell>
          <cell r="Y207">
            <v>0</v>
          </cell>
          <cell r="Z207">
            <v>1</v>
          </cell>
        </row>
        <row r="208">
          <cell r="B208" t="str">
            <v>bri</v>
          </cell>
          <cell r="C208" t="str">
            <v>Cash, reserves &amp; int earning assets</v>
          </cell>
          <cell r="D208">
            <v>1000000</v>
          </cell>
          <cell r="E208">
            <v>0</v>
          </cell>
          <cell r="F208">
            <v>0</v>
          </cell>
          <cell r="G208">
            <v>0</v>
          </cell>
          <cell r="H208">
            <v>0</v>
          </cell>
          <cell r="I208">
            <v>0</v>
          </cell>
          <cell r="J208">
            <v>4164.9500000000007</v>
          </cell>
          <cell r="K208">
            <v>4299.6500000000005</v>
          </cell>
          <cell r="L208">
            <v>3343.62</v>
          </cell>
          <cell r="M208">
            <v>3080.4900000000002</v>
          </cell>
          <cell r="N208">
            <v>1599.79</v>
          </cell>
          <cell r="O208">
            <v>2805.11</v>
          </cell>
          <cell r="P208">
            <v>1705.9499999999998</v>
          </cell>
          <cell r="Q208">
            <v>1475.046058952182</v>
          </cell>
          <cell r="R208">
            <v>2149.76310383705</v>
          </cell>
          <cell r="S208">
            <v>3308.5674851666313</v>
          </cell>
          <cell r="T208">
            <v>4891.6222643295478</v>
          </cell>
          <cell r="U208">
            <v>0</v>
          </cell>
          <cell r="V208">
            <v>0</v>
          </cell>
          <cell r="W208">
            <v>0</v>
          </cell>
          <cell r="X208">
            <v>0</v>
          </cell>
          <cell r="Y208">
            <v>0</v>
          </cell>
          <cell r="Z208">
            <v>1</v>
          </cell>
        </row>
        <row r="209">
          <cell r="B209" t="str">
            <v>bie</v>
          </cell>
          <cell r="C209" t="str">
            <v>Total interest earning assets</v>
          </cell>
          <cell r="D209">
            <v>1000000</v>
          </cell>
          <cell r="E209">
            <v>0</v>
          </cell>
          <cell r="F209">
            <v>0</v>
          </cell>
          <cell r="G209">
            <v>0</v>
          </cell>
          <cell r="H209">
            <v>0</v>
          </cell>
          <cell r="I209">
            <v>0</v>
          </cell>
          <cell r="J209">
            <v>4783.7000000000007</v>
          </cell>
          <cell r="K209">
            <v>5152.26</v>
          </cell>
          <cell r="L209">
            <v>4195.68</v>
          </cell>
          <cell r="M209">
            <v>3864.1800000000003</v>
          </cell>
          <cell r="N209">
            <v>2391.2600000000002</v>
          </cell>
          <cell r="O209">
            <v>4200.51</v>
          </cell>
          <cell r="P209">
            <v>2935.34</v>
          </cell>
          <cell r="Q209">
            <v>2749.4345789521822</v>
          </cell>
          <cell r="R209">
            <v>3436.4076914870502</v>
          </cell>
          <cell r="S209">
            <v>4639.3594909682315</v>
          </cell>
          <cell r="T209">
            <v>6364.6728433564595</v>
          </cell>
          <cell r="U209">
            <v>0</v>
          </cell>
          <cell r="V209">
            <v>0</v>
          </cell>
          <cell r="W209">
            <v>0</v>
          </cell>
          <cell r="X209">
            <v>0</v>
          </cell>
          <cell r="Y209">
            <v>0</v>
          </cell>
          <cell r="Z209">
            <v>1</v>
          </cell>
        </row>
        <row r="210">
          <cell r="B210" t="str">
            <v>aie</v>
          </cell>
          <cell r="C210" t="str">
            <v>Average interest earning assets</v>
          </cell>
          <cell r="D210">
            <v>1000000</v>
          </cell>
          <cell r="E210">
            <v>0</v>
          </cell>
          <cell r="F210">
            <v>0</v>
          </cell>
          <cell r="G210">
            <v>0</v>
          </cell>
          <cell r="H210">
            <v>0</v>
          </cell>
          <cell r="I210">
            <v>0</v>
          </cell>
          <cell r="J210">
            <v>2391.8500000000004</v>
          </cell>
          <cell r="K210">
            <v>4967.9800000000005</v>
          </cell>
          <cell r="L210">
            <v>4673.97</v>
          </cell>
          <cell r="M210">
            <v>4029.9300000000003</v>
          </cell>
          <cell r="N210">
            <v>3127.7200000000003</v>
          </cell>
          <cell r="O210">
            <v>3295.8850000000002</v>
          </cell>
          <cell r="P210">
            <v>3567.9250000000002</v>
          </cell>
          <cell r="Q210">
            <v>2842.3872894760912</v>
          </cell>
          <cell r="R210">
            <v>3092.9211352196162</v>
          </cell>
          <cell r="S210">
            <v>4037.8835912276409</v>
          </cell>
          <cell r="T210">
            <v>5502.0161671623455</v>
          </cell>
          <cell r="U210">
            <v>3182.3364216782297</v>
          </cell>
          <cell r="V210">
            <v>0</v>
          </cell>
          <cell r="W210">
            <v>0</v>
          </cell>
          <cell r="X210">
            <v>0</v>
          </cell>
          <cell r="Y210">
            <v>0</v>
          </cell>
          <cell r="Z210">
            <v>1</v>
          </cell>
          <cell r="AA210">
            <v>1</v>
          </cell>
          <cell r="AB210">
            <v>99680.428635885997</v>
          </cell>
          <cell r="AC210">
            <v>118576.56852045872</v>
          </cell>
          <cell r="AD210">
            <v>118422.81161165702</v>
          </cell>
          <cell r="AE210">
            <v>127287.11487032738</v>
          </cell>
        </row>
        <row r="224">
          <cell r="B224" t="str">
            <v>bni</v>
          </cell>
          <cell r="C224" t="str">
            <v>Total non-interest earning assets</v>
          </cell>
          <cell r="D224">
            <v>1000000</v>
          </cell>
          <cell r="E224">
            <v>0</v>
          </cell>
          <cell r="F224">
            <v>0</v>
          </cell>
          <cell r="G224">
            <v>0</v>
          </cell>
          <cell r="H224">
            <v>0</v>
          </cell>
          <cell r="I224">
            <v>0</v>
          </cell>
          <cell r="J224">
            <v>5409.83</v>
          </cell>
          <cell r="K224">
            <v>7354.02</v>
          </cell>
          <cell r="L224">
            <v>8820.760000000002</v>
          </cell>
          <cell r="M224">
            <v>9906.57</v>
          </cell>
          <cell r="N224">
            <v>10019.33</v>
          </cell>
          <cell r="O224">
            <v>10610.16</v>
          </cell>
          <cell r="P224">
            <v>11204.81</v>
          </cell>
          <cell r="Q224">
            <v>11850.4856</v>
          </cell>
          <cell r="R224">
            <v>11995.161199999999</v>
          </cell>
          <cell r="S224">
            <v>12088.836799999999</v>
          </cell>
          <cell r="T224">
            <v>12137.512399999998</v>
          </cell>
          <cell r="U224">
            <v>0</v>
          </cell>
          <cell r="V224">
            <v>0</v>
          </cell>
          <cell r="W224">
            <v>0</v>
          </cell>
          <cell r="X224">
            <v>0</v>
          </cell>
          <cell r="Y224">
            <v>0</v>
          </cell>
          <cell r="Z224">
            <v>1</v>
          </cell>
          <cell r="AA224">
            <v>1</v>
          </cell>
          <cell r="AB224">
            <v>0</v>
          </cell>
          <cell r="AC224">
            <v>0</v>
          </cell>
          <cell r="AD224">
            <v>0</v>
          </cell>
          <cell r="AE224">
            <v>0</v>
          </cell>
        </row>
        <row r="237">
          <cell r="B237" t="str">
            <v>bdb</v>
          </cell>
          <cell r="C237" t="str">
            <v>Deposits from banks</v>
          </cell>
          <cell r="D237">
            <v>1000000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1</v>
          </cell>
          <cell r="AA237">
            <v>1</v>
          </cell>
          <cell r="AB237">
            <v>7.7176190991667397</v>
          </cell>
          <cell r="AC237">
            <v>17.545363993484564</v>
          </cell>
          <cell r="AD237">
            <v>11.039940579916259</v>
          </cell>
          <cell r="AE237">
            <v>7.5635755749344664</v>
          </cell>
        </row>
        <row r="238">
          <cell r="B238" t="str">
            <v>bdc</v>
          </cell>
          <cell r="C238" t="str">
            <v>Current deposits</v>
          </cell>
          <cell r="D238">
            <v>1000000</v>
          </cell>
          <cell r="E238">
            <v>0</v>
          </cell>
          <cell r="F238">
            <v>0</v>
          </cell>
          <cell r="G238">
            <v>0</v>
          </cell>
          <cell r="H238">
            <v>0</v>
          </cell>
          <cell r="I238">
            <v>0</v>
          </cell>
          <cell r="J238">
            <v>2000.375</v>
          </cell>
          <cell r="K238">
            <v>4037.12</v>
          </cell>
          <cell r="L238">
            <v>4632.1749999999993</v>
          </cell>
          <cell r="M238">
            <v>5970.0149999999994</v>
          </cell>
          <cell r="N238">
            <v>6371.5049999999992</v>
          </cell>
          <cell r="O238">
            <v>6767.97</v>
          </cell>
          <cell r="P238">
            <v>7798.66</v>
          </cell>
          <cell r="Q238">
            <v>8581.3649215501664</v>
          </cell>
          <cell r="R238">
            <v>9586.118252084203</v>
          </cell>
          <cell r="S238">
            <v>10696.566165339485</v>
          </cell>
          <cell r="T238">
            <v>50236.054899013092</v>
          </cell>
          <cell r="U238">
            <v>0</v>
          </cell>
          <cell r="V238">
            <v>0</v>
          </cell>
          <cell r="W238">
            <v>0</v>
          </cell>
          <cell r="X238">
            <v>0</v>
          </cell>
          <cell r="Y238">
            <v>0</v>
          </cell>
          <cell r="Z238">
            <v>1</v>
          </cell>
          <cell r="AA238">
            <v>1</v>
          </cell>
          <cell r="AB238">
            <v>1673.4577330509774</v>
          </cell>
          <cell r="AC238">
            <v>2171.9951810002331</v>
          </cell>
          <cell r="AD238">
            <v>2818.9388228512653</v>
          </cell>
          <cell r="AE238">
            <v>3583.6090770234191</v>
          </cell>
          <cell r="AF238">
            <v>1</v>
          </cell>
        </row>
        <row r="239">
          <cell r="B239" t="str">
            <v>bds</v>
          </cell>
          <cell r="C239" t="str">
            <v>Savings deposits</v>
          </cell>
          <cell r="D239">
            <v>1000000</v>
          </cell>
          <cell r="E239">
            <v>0</v>
          </cell>
          <cell r="F239">
            <v>0</v>
          </cell>
          <cell r="G239">
            <v>0</v>
          </cell>
          <cell r="H239">
            <v>0</v>
          </cell>
          <cell r="I239">
            <v>0</v>
          </cell>
          <cell r="J239">
            <v>0</v>
          </cell>
          <cell r="K239">
            <v>0</v>
          </cell>
          <cell r="L239">
            <v>0</v>
          </cell>
          <cell r="M239">
            <v>0</v>
          </cell>
          <cell r="N239">
            <v>0</v>
          </cell>
          <cell r="O239">
            <v>0</v>
          </cell>
          <cell r="P239">
            <v>0</v>
          </cell>
          <cell r="Q239">
            <v>8516.4932020547949</v>
          </cell>
          <cell r="R239">
            <v>9337.9030693909481</v>
          </cell>
          <cell r="S239">
            <v>10487.049788411412</v>
          </cell>
          <cell r="T239">
            <v>2468.56</v>
          </cell>
          <cell r="U239">
            <v>0</v>
          </cell>
          <cell r="V239">
            <v>0</v>
          </cell>
          <cell r="W239">
            <v>0</v>
          </cell>
          <cell r="X239">
            <v>0</v>
          </cell>
          <cell r="Y239">
            <v>0</v>
          </cell>
          <cell r="Z239">
            <v>1</v>
          </cell>
        </row>
        <row r="240">
          <cell r="B240" t="str">
            <v>bdt</v>
          </cell>
          <cell r="C240" t="str">
            <v>Time deposits</v>
          </cell>
          <cell r="D240">
            <v>1000000</v>
          </cell>
          <cell r="E240">
            <v>0</v>
          </cell>
          <cell r="F240">
            <v>0</v>
          </cell>
          <cell r="G240">
            <v>0</v>
          </cell>
          <cell r="H240">
            <v>0</v>
          </cell>
          <cell r="I240">
            <v>0</v>
          </cell>
          <cell r="J240">
            <v>0</v>
          </cell>
          <cell r="K240">
            <v>0</v>
          </cell>
          <cell r="L240">
            <v>0</v>
          </cell>
          <cell r="M240">
            <v>0</v>
          </cell>
          <cell r="N240">
            <v>0</v>
          </cell>
          <cell r="O240">
            <v>0</v>
          </cell>
          <cell r="P240">
            <v>0</v>
          </cell>
          <cell r="Q240">
            <v>8516.4932020547949</v>
          </cell>
          <cell r="R240">
            <v>9576.1117512305755</v>
          </cell>
          <cell r="S240">
            <v>10918.692765860607</v>
          </cell>
          <cell r="T240">
            <v>37388.495741618812</v>
          </cell>
          <cell r="U240">
            <v>0</v>
          </cell>
          <cell r="V240">
            <v>0</v>
          </cell>
          <cell r="W240">
            <v>0</v>
          </cell>
          <cell r="X240">
            <v>0</v>
          </cell>
          <cell r="Y240">
            <v>0</v>
          </cell>
          <cell r="Z240">
            <v>1</v>
          </cell>
        </row>
        <row r="241">
          <cell r="B241" t="str">
            <v>bud</v>
          </cell>
          <cell r="C241" t="str">
            <v>Customer deposits</v>
          </cell>
          <cell r="D241">
            <v>1000000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1</v>
          </cell>
          <cell r="AA241">
            <v>1</v>
          </cell>
        </row>
        <row r="242">
          <cell r="B242" t="str">
            <v>bdi</v>
          </cell>
          <cell r="C242" t="str">
            <v>Certificates of deposits in issue</v>
          </cell>
          <cell r="D242">
            <v>1000000</v>
          </cell>
          <cell r="E242">
            <v>0</v>
          </cell>
          <cell r="F242">
            <v>0</v>
          </cell>
          <cell r="G242">
            <v>0</v>
          </cell>
          <cell r="H242">
            <v>0</v>
          </cell>
          <cell r="I242">
            <v>0</v>
          </cell>
          <cell r="J242">
            <v>633.75</v>
          </cell>
          <cell r="K242">
            <v>881.63999999999987</v>
          </cell>
          <cell r="L242">
            <v>978.8599999999999</v>
          </cell>
          <cell r="M242">
            <v>921.03</v>
          </cell>
          <cell r="N242">
            <v>1150</v>
          </cell>
          <cell r="O242">
            <v>1395.91</v>
          </cell>
          <cell r="P242">
            <v>1700.72</v>
          </cell>
          <cell r="Q242">
            <v>3380.44</v>
          </cell>
          <cell r="R242">
            <v>3380.46</v>
          </cell>
          <cell r="S242">
            <v>3380.46</v>
          </cell>
          <cell r="T242">
            <v>3380.46</v>
          </cell>
          <cell r="U242">
            <v>16672.344920092808</v>
          </cell>
          <cell r="V242">
            <v>18811.772961645565</v>
          </cell>
          <cell r="W242">
            <v>-1400</v>
          </cell>
          <cell r="X242">
            <v>0</v>
          </cell>
          <cell r="Y242">
            <v>0</v>
          </cell>
          <cell r="Z242">
            <v>1</v>
          </cell>
          <cell r="AA242">
            <v>1</v>
          </cell>
          <cell r="AB242">
            <v>-1429.1892</v>
          </cell>
          <cell r="AC242">
            <v>-1429.1892</v>
          </cell>
          <cell r="AD242">
            <v>-1429.1892</v>
          </cell>
          <cell r="AE242">
            <v>-1429.1892</v>
          </cell>
          <cell r="AF242">
            <v>1</v>
          </cell>
        </row>
        <row r="243">
          <cell r="B243" t="str">
            <v>bdd</v>
          </cell>
          <cell r="C243" t="str">
            <v>Customer deposits and CDs</v>
          </cell>
          <cell r="D243">
            <v>1000000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1</v>
          </cell>
          <cell r="AA243">
            <v>1</v>
          </cell>
          <cell r="AB243">
            <v>244.26853305097734</v>
          </cell>
          <cell r="AC243">
            <v>742.80598100023303</v>
          </cell>
          <cell r="AD243">
            <v>1389.7496228512653</v>
          </cell>
          <cell r="AE243">
            <v>2154.4198770234188</v>
          </cell>
          <cell r="AF243">
            <v>1</v>
          </cell>
        </row>
        <row r="245">
          <cell r="B245" t="str">
            <v>beq</v>
          </cell>
          <cell r="C245" t="str">
            <v>Capital-eq interest-bearing liabilit</v>
          </cell>
          <cell r="D245">
            <v>1000000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34122.252122916703</v>
          </cell>
          <cell r="U245">
            <v>0</v>
          </cell>
          <cell r="V245">
            <v>0</v>
          </cell>
          <cell r="W245">
            <v>0</v>
          </cell>
          <cell r="X245">
            <v>0</v>
          </cell>
          <cell r="Y245">
            <v>0</v>
          </cell>
          <cell r="Z245">
            <v>1</v>
          </cell>
          <cell r="AA245">
            <v>1</v>
          </cell>
          <cell r="AB245">
            <v>0</v>
          </cell>
          <cell r="AC245">
            <v>0</v>
          </cell>
          <cell r="AD245">
            <v>0</v>
          </cell>
          <cell r="AE245">
            <v>0</v>
          </cell>
          <cell r="AF245">
            <v>1</v>
          </cell>
        </row>
        <row r="247">
          <cell r="B247" t="str">
            <v>bib</v>
          </cell>
          <cell r="C247" t="str">
            <v>Other interest-bearing liabilities</v>
          </cell>
          <cell r="D247">
            <v>1000000</v>
          </cell>
          <cell r="E247">
            <v>0</v>
          </cell>
          <cell r="F247">
            <v>0</v>
          </cell>
          <cell r="G247">
            <v>0</v>
          </cell>
          <cell r="H247">
            <v>0</v>
          </cell>
          <cell r="I247">
            <v>0</v>
          </cell>
          <cell r="J247">
            <v>2496.4700000000003</v>
          </cell>
          <cell r="K247">
            <v>3322.2999999999997</v>
          </cell>
          <cell r="L247">
            <v>2775.75</v>
          </cell>
          <cell r="M247">
            <v>1052.04</v>
          </cell>
          <cell r="N247">
            <v>1387.83</v>
          </cell>
          <cell r="O247">
            <v>959.16</v>
          </cell>
          <cell r="P247">
            <v>4561.97</v>
          </cell>
          <cell r="Q247">
            <v>4561.97</v>
          </cell>
          <cell r="R247">
            <v>4561.97</v>
          </cell>
          <cell r="S247">
            <v>4561.97</v>
          </cell>
          <cell r="T247">
            <v>16592.634385892008</v>
          </cell>
          <cell r="U247">
            <v>0</v>
          </cell>
          <cell r="V247">
            <v>0</v>
          </cell>
          <cell r="W247">
            <v>0</v>
          </cell>
          <cell r="X247">
            <v>0</v>
          </cell>
          <cell r="Y247">
            <v>0</v>
          </cell>
          <cell r="Z247">
            <v>1</v>
          </cell>
          <cell r="AA247">
            <v>1</v>
          </cell>
          <cell r="AB247">
            <v>0</v>
          </cell>
          <cell r="AC247">
            <v>0</v>
          </cell>
          <cell r="AD247">
            <v>0</v>
          </cell>
          <cell r="AE247">
            <v>0</v>
          </cell>
          <cell r="AF247">
            <v>1</v>
          </cell>
        </row>
        <row r="248">
          <cell r="B248" t="str">
            <v>bab</v>
          </cell>
          <cell r="C248" t="str">
            <v>Total interest bearing liabilities</v>
          </cell>
          <cell r="D248">
            <v>1000000</v>
          </cell>
          <cell r="E248">
            <v>0</v>
          </cell>
          <cell r="F248">
            <v>0</v>
          </cell>
          <cell r="G248">
            <v>0</v>
          </cell>
          <cell r="H248">
            <v>0</v>
          </cell>
          <cell r="I248">
            <v>0</v>
          </cell>
          <cell r="J248">
            <v>2496.4700000000003</v>
          </cell>
          <cell r="K248">
            <v>3322.2999999999997</v>
          </cell>
          <cell r="L248">
            <v>2775.75</v>
          </cell>
          <cell r="M248">
            <v>1052.04</v>
          </cell>
          <cell r="N248">
            <v>1387.83</v>
          </cell>
          <cell r="O248">
            <v>959.16</v>
          </cell>
          <cell r="P248">
            <v>588.37999999999988</v>
          </cell>
          <cell r="Q248">
            <v>588.37999999999988</v>
          </cell>
          <cell r="R248">
            <v>588.37999999999988</v>
          </cell>
          <cell r="S248">
            <v>588.37999999999988</v>
          </cell>
          <cell r="T248">
            <v>588.37999999999988</v>
          </cell>
          <cell r="U248">
            <v>0</v>
          </cell>
          <cell r="V248">
            <v>0</v>
          </cell>
          <cell r="W248">
            <v>0</v>
          </cell>
          <cell r="X248">
            <v>0</v>
          </cell>
          <cell r="Y248">
            <v>0</v>
          </cell>
          <cell r="Z248">
            <v>1</v>
          </cell>
          <cell r="AA248">
            <v>1</v>
          </cell>
        </row>
        <row r="360">
          <cell r="B360" t="str">
            <v>osi</v>
          </cell>
          <cell r="C360" t="str">
            <v>Short-term interest-earning assets</v>
          </cell>
          <cell r="D360">
            <v>1000000</v>
          </cell>
          <cell r="E360">
            <v>0</v>
          </cell>
          <cell r="F360">
            <v>0</v>
          </cell>
          <cell r="G360">
            <v>0</v>
          </cell>
          <cell r="H360">
            <v>0</v>
          </cell>
          <cell r="I360">
            <v>0</v>
          </cell>
          <cell r="J360">
            <v>0</v>
          </cell>
          <cell r="K360">
            <v>0</v>
          </cell>
          <cell r="L360">
            <v>0</v>
          </cell>
          <cell r="M360">
            <v>0</v>
          </cell>
          <cell r="N360">
            <v>0</v>
          </cell>
          <cell r="O360">
            <v>0</v>
          </cell>
          <cell r="P360">
            <v>217.44</v>
          </cell>
          <cell r="Q360">
            <v>217.44</v>
          </cell>
          <cell r="R360">
            <v>217.44</v>
          </cell>
          <cell r="S360">
            <v>217.44</v>
          </cell>
          <cell r="T360">
            <v>0</v>
          </cell>
          <cell r="U360">
            <v>0</v>
          </cell>
          <cell r="V360">
            <v>0</v>
          </cell>
          <cell r="W360">
            <v>0</v>
          </cell>
          <cell r="X360">
            <v>0</v>
          </cell>
          <cell r="Y360">
            <v>0</v>
          </cell>
          <cell r="Z360">
            <v>1</v>
          </cell>
          <cell r="AA360">
            <v>1</v>
          </cell>
          <cell r="AB360">
            <v>0</v>
          </cell>
          <cell r="AC360">
            <v>0</v>
          </cell>
          <cell r="AD360">
            <v>0</v>
          </cell>
          <cell r="AE360">
            <v>0</v>
          </cell>
          <cell r="AF360">
            <v>1</v>
          </cell>
        </row>
        <row r="361">
          <cell r="B361" t="str">
            <v>oli</v>
          </cell>
          <cell r="C361" t="str">
            <v>Long-term interest-earning assets</v>
          </cell>
          <cell r="D361">
            <v>1000000</v>
          </cell>
          <cell r="E361">
            <v>0</v>
          </cell>
          <cell r="F361">
            <v>0</v>
          </cell>
          <cell r="G361">
            <v>0</v>
          </cell>
          <cell r="H361">
            <v>0</v>
          </cell>
          <cell r="I361">
            <v>0</v>
          </cell>
          <cell r="J361">
            <v>4783.7000000000007</v>
          </cell>
          <cell r="K361">
            <v>5152.26</v>
          </cell>
          <cell r="L361">
            <v>4195.68</v>
          </cell>
          <cell r="M361">
            <v>3864.1800000000003</v>
          </cell>
          <cell r="N361">
            <v>2391.2600000000002</v>
          </cell>
          <cell r="O361">
            <v>4200.51</v>
          </cell>
          <cell r="P361">
            <v>2935.34</v>
          </cell>
          <cell r="Q361">
            <v>2749.4345789521822</v>
          </cell>
          <cell r="R361">
            <v>3436.4076914870502</v>
          </cell>
          <cell r="S361">
            <v>4639.3594909682315</v>
          </cell>
          <cell r="T361">
            <v>6364.6728433564595</v>
          </cell>
          <cell r="U361">
            <v>0</v>
          </cell>
          <cell r="V361">
            <v>0</v>
          </cell>
          <cell r="W361">
            <v>0</v>
          </cell>
          <cell r="X361">
            <v>0</v>
          </cell>
          <cell r="Y361">
            <v>0</v>
          </cell>
          <cell r="Z361">
            <v>1</v>
          </cell>
          <cell r="AA361">
            <v>1</v>
          </cell>
          <cell r="AB361">
            <v>7871.16</v>
          </cell>
          <cell r="AC361">
            <v>7871.16</v>
          </cell>
          <cell r="AD361">
            <v>7871.16</v>
          </cell>
          <cell r="AE361">
            <v>7871.16</v>
          </cell>
          <cell r="AF361">
            <v>1</v>
          </cell>
        </row>
        <row r="362">
          <cell r="B362" t="str">
            <v>osi</v>
          </cell>
          <cell r="C362" t="str">
            <v>Interest-earning assets</v>
          </cell>
          <cell r="D362">
            <v>1000000</v>
          </cell>
          <cell r="E362">
            <v>0</v>
          </cell>
          <cell r="F362">
            <v>0</v>
          </cell>
          <cell r="G362">
            <v>0</v>
          </cell>
          <cell r="H362">
            <v>0</v>
          </cell>
          <cell r="I362">
            <v>0</v>
          </cell>
          <cell r="J362">
            <v>4783.7000000000007</v>
          </cell>
          <cell r="K362">
            <v>5152.26</v>
          </cell>
          <cell r="L362">
            <v>4195.68</v>
          </cell>
          <cell r="M362">
            <v>3864.1800000000003</v>
          </cell>
          <cell r="N362">
            <v>2391.2600000000002</v>
          </cell>
          <cell r="O362">
            <v>4200.51</v>
          </cell>
          <cell r="P362">
            <v>2935.34</v>
          </cell>
          <cell r="Q362">
            <v>2749.4345789521822</v>
          </cell>
          <cell r="R362">
            <v>3436.4076914870502</v>
          </cell>
          <cell r="S362">
            <v>4639.3594909682315</v>
          </cell>
          <cell r="T362">
            <v>6364.6728433564595</v>
          </cell>
          <cell r="U362">
            <v>0</v>
          </cell>
          <cell r="V362">
            <v>0</v>
          </cell>
          <cell r="W362">
            <v>0</v>
          </cell>
          <cell r="X362">
            <v>0</v>
          </cell>
          <cell r="Y362">
            <v>0</v>
          </cell>
          <cell r="Z362">
            <v>1</v>
          </cell>
          <cell r="AA362">
            <v>1</v>
          </cell>
          <cell r="AB362">
            <v>0</v>
          </cell>
          <cell r="AC362">
            <v>0</v>
          </cell>
          <cell r="AD362">
            <v>0</v>
          </cell>
          <cell r="AE362">
            <v>0</v>
          </cell>
          <cell r="AF362">
            <v>1</v>
          </cell>
        </row>
        <row r="363">
          <cell r="B363" t="str">
            <v>osb</v>
          </cell>
          <cell r="C363" t="str">
            <v>Short-term interest-bearing liabilit</v>
          </cell>
          <cell r="D363">
            <v>1000000</v>
          </cell>
          <cell r="E363">
            <v>0</v>
          </cell>
          <cell r="F363">
            <v>0</v>
          </cell>
          <cell r="G363">
            <v>0</v>
          </cell>
          <cell r="H363">
            <v>0</v>
          </cell>
          <cell r="I363">
            <v>0</v>
          </cell>
          <cell r="J363">
            <v>4783.7000000000007</v>
          </cell>
          <cell r="K363">
            <v>5152.26</v>
          </cell>
          <cell r="L363">
            <v>4195.68</v>
          </cell>
          <cell r="M363">
            <v>3864.1800000000003</v>
          </cell>
          <cell r="N363">
            <v>2391.2600000000002</v>
          </cell>
          <cell r="O363">
            <v>4200.51</v>
          </cell>
          <cell r="P363">
            <v>3331.01</v>
          </cell>
          <cell r="Q363">
            <v>3734.7132355454287</v>
          </cell>
          <cell r="R363">
            <v>5887.9111623560657</v>
          </cell>
          <cell r="S363">
            <v>8315.1938820153318</v>
          </cell>
          <cell r="T363">
            <v>0</v>
          </cell>
          <cell r="U363">
            <v>0</v>
          </cell>
          <cell r="V363">
            <v>0</v>
          </cell>
          <cell r="W363">
            <v>0</v>
          </cell>
          <cell r="X363">
            <v>0</v>
          </cell>
          <cell r="Y363">
            <v>0</v>
          </cell>
          <cell r="Z363">
            <v>1</v>
          </cell>
          <cell r="AA363">
            <v>1</v>
          </cell>
          <cell r="AB363">
            <v>0</v>
          </cell>
          <cell r="AC363">
            <v>0</v>
          </cell>
          <cell r="AD363">
            <v>0</v>
          </cell>
          <cell r="AE363">
            <v>0</v>
          </cell>
          <cell r="AF363">
            <v>1</v>
          </cell>
        </row>
        <row r="364">
          <cell r="B364" t="str">
            <v>oll</v>
          </cell>
          <cell r="C364" t="str">
            <v>Long-term interest-bearing liabiliti</v>
          </cell>
          <cell r="D364">
            <v>1000000</v>
          </cell>
          <cell r="E364">
            <v>0</v>
          </cell>
          <cell r="F364">
            <v>0</v>
          </cell>
          <cell r="G364">
            <v>0</v>
          </cell>
          <cell r="H364">
            <v>0</v>
          </cell>
          <cell r="I364">
            <v>0</v>
          </cell>
          <cell r="J364">
            <v>2496.4700000000003</v>
          </cell>
          <cell r="K364">
            <v>3322.2999999999997</v>
          </cell>
          <cell r="L364">
            <v>2775.75</v>
          </cell>
          <cell r="M364">
            <v>1052.04</v>
          </cell>
          <cell r="N364">
            <v>1387.83</v>
          </cell>
          <cell r="O364">
            <v>959.16</v>
          </cell>
          <cell r="P364">
            <v>588.37999999999988</v>
          </cell>
          <cell r="Q364">
            <v>588.37999999999988</v>
          </cell>
          <cell r="R364">
            <v>588.37999999999988</v>
          </cell>
          <cell r="S364">
            <v>588.37999999999988</v>
          </cell>
          <cell r="T364">
            <v>588.37999999999988</v>
          </cell>
          <cell r="U364">
            <v>0</v>
          </cell>
          <cell r="V364">
            <v>0</v>
          </cell>
          <cell r="W364">
            <v>0</v>
          </cell>
          <cell r="X364">
            <v>0</v>
          </cell>
          <cell r="Y364">
            <v>0</v>
          </cell>
          <cell r="Z364">
            <v>1</v>
          </cell>
          <cell r="AA364">
            <v>1</v>
          </cell>
        </row>
        <row r="365">
          <cell r="B365" t="str">
            <v>otl</v>
          </cell>
          <cell r="C365" t="str">
            <v>Interest bearing liabilities</v>
          </cell>
          <cell r="D365">
            <v>1000000</v>
          </cell>
          <cell r="E365">
            <v>0</v>
          </cell>
          <cell r="F365">
            <v>0</v>
          </cell>
          <cell r="G365">
            <v>0</v>
          </cell>
          <cell r="H365">
            <v>0</v>
          </cell>
          <cell r="I365">
            <v>0</v>
          </cell>
          <cell r="J365">
            <v>2496.4700000000003</v>
          </cell>
          <cell r="K365">
            <v>3322.2999999999997</v>
          </cell>
          <cell r="L365">
            <v>2775.75</v>
          </cell>
          <cell r="M365">
            <v>1052.04</v>
          </cell>
          <cell r="N365">
            <v>1387.83</v>
          </cell>
          <cell r="O365">
            <v>959.16</v>
          </cell>
          <cell r="P365">
            <v>588.37999999999988</v>
          </cell>
          <cell r="Q365">
            <v>588.37999999999988</v>
          </cell>
          <cell r="R365">
            <v>588.37999999999988</v>
          </cell>
          <cell r="S365">
            <v>588.37999999999988</v>
          </cell>
          <cell r="T365">
            <v>588.37999999999988</v>
          </cell>
          <cell r="U365">
            <v>0</v>
          </cell>
          <cell r="V365">
            <v>0</v>
          </cell>
          <cell r="W365">
            <v>0</v>
          </cell>
          <cell r="X365">
            <v>0</v>
          </cell>
          <cell r="Y365">
            <v>0</v>
          </cell>
          <cell r="Z365">
            <v>1</v>
          </cell>
          <cell r="AA365">
            <v>1</v>
          </cell>
          <cell r="AB365">
            <v>0</v>
          </cell>
          <cell r="AC365">
            <v>0</v>
          </cell>
          <cell r="AD365">
            <v>0</v>
          </cell>
          <cell r="AE365">
            <v>0</v>
          </cell>
          <cell r="AF365">
            <v>1</v>
          </cell>
        </row>
        <row r="366">
          <cell r="B366" t="str">
            <v>ost</v>
          </cell>
          <cell r="C366" t="str">
            <v>Short-term investments</v>
          </cell>
          <cell r="D366">
            <v>1000000</v>
          </cell>
          <cell r="E366">
            <v>0</v>
          </cell>
          <cell r="F366">
            <v>0</v>
          </cell>
          <cell r="G366">
            <v>0</v>
          </cell>
          <cell r="H366">
            <v>0</v>
          </cell>
          <cell r="I366">
            <v>0</v>
          </cell>
          <cell r="J366">
            <v>2496.4700000000003</v>
          </cell>
          <cell r="K366">
            <v>3322.2999999999997</v>
          </cell>
          <cell r="L366">
            <v>2775.75</v>
          </cell>
          <cell r="M366">
            <v>1052.04</v>
          </cell>
          <cell r="N366">
            <v>1387.83</v>
          </cell>
          <cell r="O366">
            <v>959.16</v>
          </cell>
          <cell r="P366">
            <v>4561.97</v>
          </cell>
          <cell r="Q366">
            <v>4561.97</v>
          </cell>
          <cell r="R366">
            <v>4561.97</v>
          </cell>
          <cell r="S366">
            <v>4561.97</v>
          </cell>
          <cell r="T366">
            <v>0</v>
          </cell>
          <cell r="U366">
            <v>0</v>
          </cell>
          <cell r="V366">
            <v>0</v>
          </cell>
          <cell r="W366">
            <v>0</v>
          </cell>
          <cell r="X366">
            <v>0</v>
          </cell>
          <cell r="Y366">
            <v>0</v>
          </cell>
          <cell r="Z366">
            <v>1</v>
          </cell>
          <cell r="AA366">
            <v>1</v>
          </cell>
          <cell r="AB366">
            <v>23819.82</v>
          </cell>
          <cell r="AC366">
            <v>23819.82</v>
          </cell>
          <cell r="AD366">
            <v>23819.82</v>
          </cell>
          <cell r="AE366">
            <v>23819.82</v>
          </cell>
          <cell r="AF366">
            <v>1</v>
          </cell>
        </row>
        <row r="367">
          <cell r="B367" t="str">
            <v>olt</v>
          </cell>
          <cell r="C367" t="str">
            <v>Long-term investments</v>
          </cell>
          <cell r="D367">
            <v>1000000</v>
          </cell>
          <cell r="E367">
            <v>0</v>
          </cell>
          <cell r="F367">
            <v>0</v>
          </cell>
          <cell r="G367">
            <v>0</v>
          </cell>
          <cell r="H367">
            <v>0</v>
          </cell>
          <cell r="I367">
            <v>0</v>
          </cell>
          <cell r="J367">
            <v>2496.4700000000003</v>
          </cell>
          <cell r="K367">
            <v>3322.2999999999997</v>
          </cell>
          <cell r="L367">
            <v>2775.75</v>
          </cell>
          <cell r="M367">
            <v>1052.04</v>
          </cell>
          <cell r="N367">
            <v>1387.83</v>
          </cell>
          <cell r="O367">
            <v>959.16</v>
          </cell>
          <cell r="P367">
            <v>4561.97</v>
          </cell>
          <cell r="Q367">
            <v>4561.97</v>
          </cell>
          <cell r="R367">
            <v>4561.97</v>
          </cell>
          <cell r="S367">
            <v>4561.97</v>
          </cell>
          <cell r="T367">
            <v>0</v>
          </cell>
          <cell r="U367">
            <v>0</v>
          </cell>
          <cell r="V367">
            <v>0</v>
          </cell>
          <cell r="W367">
            <v>0</v>
          </cell>
          <cell r="X367">
            <v>0</v>
          </cell>
          <cell r="Y367">
            <v>0</v>
          </cell>
          <cell r="Z367">
            <v>1</v>
          </cell>
        </row>
        <row r="368">
          <cell r="B368" t="str">
            <v>oti</v>
          </cell>
          <cell r="C368" t="str">
            <v>Total investments</v>
          </cell>
          <cell r="D368">
            <v>1000000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1</v>
          </cell>
        </row>
        <row r="369">
          <cell r="B369" t="str">
            <v>omv</v>
          </cell>
          <cell r="C369" t="str">
            <v>Market value of investments</v>
          </cell>
          <cell r="D369">
            <v>1000000</v>
          </cell>
          <cell r="E369">
            <v>0</v>
          </cell>
          <cell r="F369">
            <v>0</v>
          </cell>
          <cell r="G369">
            <v>0</v>
          </cell>
          <cell r="H369">
            <v>0</v>
          </cell>
          <cell r="I369">
            <v>0</v>
          </cell>
          <cell r="J369">
            <v>0</v>
          </cell>
          <cell r="K369">
            <v>0</v>
          </cell>
          <cell r="L369">
            <v>0</v>
          </cell>
          <cell r="M369">
            <v>0</v>
          </cell>
          <cell r="N369">
            <v>0</v>
          </cell>
          <cell r="O369">
            <v>0</v>
          </cell>
          <cell r="P369">
            <v>360.5</v>
          </cell>
          <cell r="Q369">
            <v>289.8</v>
          </cell>
          <cell r="R369">
            <v>217.44</v>
          </cell>
          <cell r="S369">
            <v>217.44</v>
          </cell>
          <cell r="T369">
            <v>217.44</v>
          </cell>
          <cell r="U369">
            <v>0</v>
          </cell>
          <cell r="V369">
            <v>0</v>
          </cell>
          <cell r="W369">
            <v>0</v>
          </cell>
          <cell r="X369">
            <v>0</v>
          </cell>
          <cell r="Y369">
            <v>0</v>
          </cell>
          <cell r="Z369">
            <v>1</v>
          </cell>
          <cell r="AA369">
            <v>1</v>
          </cell>
        </row>
        <row r="373">
          <cell r="B373" t="str">
            <v>oal</v>
          </cell>
          <cell r="C373" t="str">
            <v>Due to affiliated companies (liabili</v>
          </cell>
          <cell r="D373">
            <v>1000000</v>
          </cell>
          <cell r="E373">
            <v>0</v>
          </cell>
          <cell r="F373">
            <v>0</v>
          </cell>
          <cell r="G373">
            <v>0</v>
          </cell>
          <cell r="H373">
            <v>0</v>
          </cell>
          <cell r="I373">
            <v>0</v>
          </cell>
          <cell r="J373">
            <v>4783.7000000000007</v>
          </cell>
          <cell r="K373">
            <v>5152.26</v>
          </cell>
          <cell r="L373">
            <v>4195.68</v>
          </cell>
          <cell r="M373">
            <v>3864.1800000000003</v>
          </cell>
          <cell r="N373">
            <v>2391.2600000000002</v>
          </cell>
          <cell r="O373">
            <v>4200.51</v>
          </cell>
          <cell r="P373">
            <v>3331.01</v>
          </cell>
          <cell r="Q373">
            <v>4163.55</v>
          </cell>
          <cell r="R373">
            <v>4222.2156111151207</v>
          </cell>
          <cell r="S373">
            <v>6665.1898606507639</v>
          </cell>
          <cell r="T373">
            <v>10040.408897758825</v>
          </cell>
          <cell r="U373">
            <v>0</v>
          </cell>
          <cell r="V373">
            <v>0</v>
          </cell>
          <cell r="W373">
            <v>0</v>
          </cell>
          <cell r="X373">
            <v>0</v>
          </cell>
          <cell r="Y373">
            <v>0</v>
          </cell>
          <cell r="Z373">
            <v>1</v>
          </cell>
          <cell r="AA373">
            <v>1</v>
          </cell>
          <cell r="AB373">
            <v>0</v>
          </cell>
          <cell r="AC373">
            <v>0</v>
          </cell>
          <cell r="AD373">
            <v>0</v>
          </cell>
          <cell r="AE373">
            <v>0</v>
          </cell>
          <cell r="AF373">
            <v>1</v>
          </cell>
        </row>
        <row r="374">
          <cell r="B374" t="str">
            <v>oaa</v>
          </cell>
          <cell r="C374" t="str">
            <v>Due from affiliated companies (asset</v>
          </cell>
          <cell r="D374">
            <v>1000000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1</v>
          </cell>
          <cell r="AA374">
            <v>1</v>
          </cell>
          <cell r="AB374">
            <v>56705.159681466183</v>
          </cell>
          <cell r="AC374">
            <v>59299.876839057695</v>
          </cell>
          <cell r="AD374">
            <v>62385.750294976409</v>
          </cell>
          <cell r="AE374">
            <v>66768.480887659331</v>
          </cell>
          <cell r="AF374">
            <v>1</v>
          </cell>
        </row>
        <row r="375">
          <cell r="B375" t="str">
            <v>oan</v>
          </cell>
          <cell r="C375" t="str">
            <v>Net amount due from affiliates</v>
          </cell>
          <cell r="D375">
            <v>1000000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1</v>
          </cell>
          <cell r="AA375">
            <v>1</v>
          </cell>
          <cell r="AB375">
            <v>55521.694813261856</v>
          </cell>
          <cell r="AC375">
            <v>58002.518260261939</v>
          </cell>
          <cell r="AD375">
            <v>60842.813567017052</v>
          </cell>
          <cell r="AE375">
            <v>64577.115591317866</v>
          </cell>
        </row>
        <row r="376">
          <cell r="B376" t="str">
            <v>ogp</v>
          </cell>
          <cell r="C376" t="str">
            <v>General provisions for loans</v>
          </cell>
          <cell r="D376">
            <v>1000000</v>
          </cell>
          <cell r="E376">
            <v>0</v>
          </cell>
          <cell r="F376">
            <v>0</v>
          </cell>
          <cell r="G376">
            <v>0</v>
          </cell>
          <cell r="H376">
            <v>0</v>
          </cell>
          <cell r="I376">
            <v>0</v>
          </cell>
          <cell r="J376">
            <v>2496.4700000000003</v>
          </cell>
          <cell r="K376">
            <v>3322.2999999999997</v>
          </cell>
          <cell r="L376">
            <v>2775.75</v>
          </cell>
          <cell r="M376">
            <v>1052.04</v>
          </cell>
          <cell r="N376">
            <v>1387.83</v>
          </cell>
          <cell r="O376">
            <v>959.16</v>
          </cell>
          <cell r="P376">
            <v>4561.97</v>
          </cell>
          <cell r="Q376">
            <v>1489.1699999999998</v>
          </cell>
          <cell r="R376">
            <v>1489.1699999999998</v>
          </cell>
          <cell r="S376">
            <v>1489.1699999999998</v>
          </cell>
          <cell r="T376">
            <v>1489.1699999999998</v>
          </cell>
          <cell r="U376">
            <v>0</v>
          </cell>
          <cell r="V376">
            <v>0</v>
          </cell>
          <cell r="W376">
            <v>0</v>
          </cell>
          <cell r="X376">
            <v>0</v>
          </cell>
          <cell r="Y376">
            <v>0</v>
          </cell>
          <cell r="Z376">
            <v>1</v>
          </cell>
          <cell r="AA376">
            <v>1</v>
          </cell>
          <cell r="AB376">
            <v>2102.09</v>
          </cell>
          <cell r="AC376">
            <v>2102.09</v>
          </cell>
          <cell r="AD376">
            <v>2102.09</v>
          </cell>
          <cell r="AE376">
            <v>2102.09</v>
          </cell>
          <cell r="AF376">
            <v>1</v>
          </cell>
        </row>
        <row r="377">
          <cell r="B377" t="str">
            <v>osp</v>
          </cell>
          <cell r="C377" t="str">
            <v>Specific provisions for loans</v>
          </cell>
          <cell r="D377">
            <v>1000000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1</v>
          </cell>
          <cell r="AA377">
            <v>1</v>
          </cell>
        </row>
        <row r="378">
          <cell r="B378" t="str">
            <v>otp</v>
          </cell>
          <cell r="C378" t="str">
            <v>Total provisions for loans</v>
          </cell>
          <cell r="D378">
            <v>1000000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1</v>
          </cell>
          <cell r="AA378">
            <v>1</v>
          </cell>
          <cell r="AB378">
            <v>39752.03</v>
          </cell>
          <cell r="AC378">
            <v>39752.03</v>
          </cell>
          <cell r="AD378">
            <v>39752.03</v>
          </cell>
          <cell r="AE378">
            <v>39752.03</v>
          </cell>
          <cell r="AF378">
            <v>1</v>
          </cell>
        </row>
        <row r="379">
          <cell r="B379" t="str">
            <v>oop</v>
          </cell>
          <cell r="C379" t="str">
            <v>Other provisions</v>
          </cell>
          <cell r="D379">
            <v>1000000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1</v>
          </cell>
          <cell r="AA379">
            <v>1</v>
          </cell>
          <cell r="AB379">
            <v>71.16</v>
          </cell>
          <cell r="AC379">
            <v>71.16</v>
          </cell>
          <cell r="AD379">
            <v>71.16</v>
          </cell>
          <cell r="AE379">
            <v>71.16</v>
          </cell>
          <cell r="AF379">
            <v>1</v>
          </cell>
        </row>
        <row r="380">
          <cell r="B380" t="str">
            <v>opt</v>
          </cell>
          <cell r="C380" t="str">
            <v>Total provisions</v>
          </cell>
          <cell r="D380">
            <v>1000000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1</v>
          </cell>
          <cell r="AA380">
            <v>1</v>
          </cell>
          <cell r="AB380">
            <v>-3603.08</v>
          </cell>
          <cell r="AC380">
            <v>-3603.08</v>
          </cell>
          <cell r="AD380">
            <v>-3603.08</v>
          </cell>
          <cell r="AE380">
            <v>-3603.08</v>
          </cell>
        </row>
        <row r="381">
          <cell r="B381" t="str">
            <v>ons</v>
          </cell>
          <cell r="C381" t="str">
            <v>NPLs on which interest is in suspens</v>
          </cell>
          <cell r="D381">
            <v>1000000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1</v>
          </cell>
          <cell r="AA381">
            <v>1</v>
          </cell>
          <cell r="AB381">
            <v>49604.729815073209</v>
          </cell>
          <cell r="AC381">
            <v>63514.287838784177</v>
          </cell>
          <cell r="AD381">
            <v>73949.916761413318</v>
          </cell>
          <cell r="AE381">
            <v>83139.806032635446</v>
          </cell>
          <cell r="AF381">
            <v>1</v>
          </cell>
        </row>
        <row r="382">
          <cell r="B382" t="str">
            <v>onc</v>
          </cell>
          <cell r="C382" t="str">
            <v>NPLs on which accrual has ceased</v>
          </cell>
          <cell r="D382">
            <v>1000000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1</v>
          </cell>
          <cell r="AA382">
            <v>1</v>
          </cell>
          <cell r="AB382">
            <v>87926.929815073207</v>
          </cell>
          <cell r="AC382">
            <v>101836.48783878417</v>
          </cell>
          <cell r="AD382">
            <v>112272.11676141332</v>
          </cell>
          <cell r="AE382">
            <v>121462.00603263544</v>
          </cell>
          <cell r="AF382">
            <v>1</v>
          </cell>
        </row>
        <row r="383">
          <cell r="B383" t="str">
            <v>onp</v>
          </cell>
          <cell r="C383" t="str">
            <v>Non-performing loans</v>
          </cell>
          <cell r="D383">
            <v>1000000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1</v>
          </cell>
        </row>
        <row r="384">
          <cell r="B384" t="str">
            <v>oai</v>
          </cell>
          <cell r="C384" t="str">
            <v>Accrued interest income (P&amp;L)</v>
          </cell>
          <cell r="D384">
            <v>1000000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1</v>
          </cell>
          <cell r="AA384">
            <v>1</v>
          </cell>
        </row>
        <row r="385">
          <cell r="B385" t="str">
            <v>oar</v>
          </cell>
          <cell r="C385" t="str">
            <v>Accrued interest receivables (B/S)</v>
          </cell>
          <cell r="D385">
            <v>1000000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1</v>
          </cell>
          <cell r="AA385">
            <v>1</v>
          </cell>
          <cell r="AB385">
            <v>84857.883518405579</v>
          </cell>
          <cell r="AC385">
            <v>94881.708826928691</v>
          </cell>
          <cell r="AD385">
            <v>107054.30230009875</v>
          </cell>
          <cell r="AE385">
            <v>116867.06139702437</v>
          </cell>
        </row>
        <row r="386">
          <cell r="B386" t="str">
            <v>ois</v>
          </cell>
          <cell r="C386" t="str">
            <v>Interest suspended during the period</v>
          </cell>
          <cell r="D386">
            <v>1000000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1</v>
          </cell>
          <cell r="AA386">
            <v>1</v>
          </cell>
          <cell r="AB386">
            <v>0</v>
          </cell>
          <cell r="AC386">
            <v>0</v>
          </cell>
          <cell r="AD386">
            <v>0</v>
          </cell>
          <cell r="AE386">
            <v>0</v>
          </cell>
          <cell r="AF386">
            <v>1</v>
          </cell>
        </row>
        <row r="387">
          <cell r="B387" t="str">
            <v>osn</v>
          </cell>
          <cell r="C387" t="str">
            <v>Total suspended interest</v>
          </cell>
          <cell r="D387">
            <v>1000000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1</v>
          </cell>
          <cell r="AA387">
            <v>1</v>
          </cell>
          <cell r="AB387">
            <v>57.61</v>
          </cell>
          <cell r="AC387">
            <v>57.61</v>
          </cell>
          <cell r="AD387">
            <v>57.61</v>
          </cell>
          <cell r="AE387">
            <v>57.61</v>
          </cell>
          <cell r="AF387">
            <v>1</v>
          </cell>
        </row>
        <row r="388">
          <cell r="B388" t="str">
            <v>ois</v>
          </cell>
          <cell r="C388" t="str">
            <v>Write-off and write-backs</v>
          </cell>
          <cell r="D388">
            <v>1000000</v>
          </cell>
          <cell r="E388">
            <v>0</v>
          </cell>
          <cell r="F388">
            <v>0</v>
          </cell>
          <cell r="G388">
            <v>0</v>
          </cell>
          <cell r="H388">
            <v>0</v>
          </cell>
          <cell r="I388">
            <v>0</v>
          </cell>
          <cell r="J388">
            <v>-8.73</v>
          </cell>
          <cell r="K388">
            <v>-29.63</v>
          </cell>
          <cell r="L388">
            <v>-77.98</v>
          </cell>
          <cell r="M388">
            <v>-123.06</v>
          </cell>
          <cell r="N388">
            <v>-156.77000000000001</v>
          </cell>
          <cell r="O388">
            <v>-29.13</v>
          </cell>
          <cell r="P388">
            <v>728.86</v>
          </cell>
          <cell r="Q388">
            <v>875.98</v>
          </cell>
          <cell r="R388">
            <v>0</v>
          </cell>
          <cell r="S388">
            <v>0</v>
          </cell>
          <cell r="T388">
            <v>0</v>
          </cell>
          <cell r="U388">
            <v>0</v>
          </cell>
          <cell r="V388">
            <v>0</v>
          </cell>
          <cell r="W388">
            <v>0</v>
          </cell>
          <cell r="X388">
            <v>0</v>
          </cell>
          <cell r="Y388">
            <v>0</v>
          </cell>
          <cell r="Z388">
            <v>1</v>
          </cell>
          <cell r="AA388">
            <v>1</v>
          </cell>
          <cell r="AB388">
            <v>1133.22</v>
          </cell>
          <cell r="AC388">
            <v>1283.22</v>
          </cell>
          <cell r="AD388">
            <v>1433.22</v>
          </cell>
          <cell r="AE388">
            <v>1583.22</v>
          </cell>
          <cell r="AF388">
            <v>1</v>
          </cell>
        </row>
        <row r="389">
          <cell r="B389" t="str">
            <v>olo</v>
          </cell>
          <cell r="C389" t="str">
            <v>Loans written off</v>
          </cell>
          <cell r="D389">
            <v>1000000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1</v>
          </cell>
          <cell r="AA389">
            <v>1</v>
          </cell>
          <cell r="AB389">
            <v>89117.759815073208</v>
          </cell>
          <cell r="AC389">
            <v>103177.31783878418</v>
          </cell>
          <cell r="AD389">
            <v>113762.94676141332</v>
          </cell>
          <cell r="AE389">
            <v>123102.83603263545</v>
          </cell>
          <cell r="AF389">
            <v>1</v>
          </cell>
        </row>
        <row r="390">
          <cell r="B390" t="str">
            <v>olb</v>
          </cell>
          <cell r="C390" t="str">
            <v>Loans written back</v>
          </cell>
          <cell r="D390">
            <v>1000000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1</v>
          </cell>
          <cell r="AA390">
            <v>1</v>
          </cell>
        </row>
        <row r="391">
          <cell r="B391" t="str">
            <v>oln</v>
          </cell>
          <cell r="C391" t="str">
            <v>Net write-offs</v>
          </cell>
          <cell r="D391">
            <v>1000000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1</v>
          </cell>
          <cell r="AA391">
            <v>1</v>
          </cell>
          <cell r="AB391">
            <v>145822.9194965394</v>
          </cell>
          <cell r="AC391">
            <v>162477.19467784188</v>
          </cell>
          <cell r="AD391">
            <v>176148.69705638973</v>
          </cell>
          <cell r="AE391">
            <v>189871.31692029478</v>
          </cell>
          <cell r="AF391">
            <v>1</v>
          </cell>
        </row>
        <row r="392">
          <cell r="B392" t="str">
            <v>olb</v>
          </cell>
          <cell r="C392" t="str">
            <v>Capital adequacy</v>
          </cell>
          <cell r="D392">
            <v>1000000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1</v>
          </cell>
          <cell r="AA392" t="str">
            <v>FY12</v>
          </cell>
          <cell r="AB392" t="str">
            <v>FY13</v>
          </cell>
          <cell r="AC392" t="str">
            <v>FY14</v>
          </cell>
          <cell r="AD392" t="str">
            <v>FY15</v>
          </cell>
          <cell r="AE392" t="str">
            <v>FY16</v>
          </cell>
        </row>
        <row r="393">
          <cell r="B393" t="str">
            <v>oca</v>
          </cell>
          <cell r="C393" t="str">
            <v>CAR - tier 1</v>
          </cell>
          <cell r="D393">
            <v>0.01</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1</v>
          </cell>
          <cell r="AA393">
            <v>426.619753</v>
          </cell>
          <cell r="AB393">
            <v>426.619753</v>
          </cell>
          <cell r="AC393">
            <v>426.619753</v>
          </cell>
          <cell r="AD393">
            <v>426.619753</v>
          </cell>
          <cell r="AE393">
            <v>426.619753</v>
          </cell>
        </row>
        <row r="394">
          <cell r="B394" t="str">
            <v>ocr</v>
          </cell>
          <cell r="C394" t="str">
            <v>CAR - tier 2</v>
          </cell>
          <cell r="D394">
            <v>0.01</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1</v>
          </cell>
          <cell r="AA394">
            <v>420</v>
          </cell>
          <cell r="AB394">
            <v>420</v>
          </cell>
          <cell r="AC394">
            <v>420</v>
          </cell>
          <cell r="AD394">
            <v>420</v>
          </cell>
          <cell r="AE394">
            <v>420</v>
          </cell>
        </row>
        <row r="395">
          <cell r="B395" t="str">
            <v>occ</v>
          </cell>
          <cell r="C395" t="str">
            <v>CAR - total</v>
          </cell>
          <cell r="D395">
            <v>0.01</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1</v>
          </cell>
          <cell r="AA395">
            <v>179180.29626</v>
          </cell>
          <cell r="AB395">
            <v>179180.29626</v>
          </cell>
          <cell r="AC395">
            <v>179180.29626</v>
          </cell>
          <cell r="AD395">
            <v>179180.29626</v>
          </cell>
          <cell r="AE395">
            <v>179180.29626</v>
          </cell>
        </row>
        <row r="396">
          <cell r="B396" t="str">
            <v>orw</v>
          </cell>
          <cell r="C396" t="str">
            <v>Risk weighted assets</v>
          </cell>
          <cell r="D396">
            <v>1000000</v>
          </cell>
          <cell r="E396">
            <v>0</v>
          </cell>
          <cell r="F396">
            <v>0</v>
          </cell>
          <cell r="G396">
            <v>0</v>
          </cell>
          <cell r="H396">
            <v>0</v>
          </cell>
          <cell r="I396">
            <v>0</v>
          </cell>
          <cell r="J396">
            <v>0</v>
          </cell>
          <cell r="K396">
            <v>0</v>
          </cell>
          <cell r="L396">
            <v>0</v>
          </cell>
          <cell r="M396">
            <v>0</v>
          </cell>
          <cell r="N396">
            <v>0</v>
          </cell>
          <cell r="O396">
            <v>0</v>
          </cell>
          <cell r="P396">
            <v>360.5</v>
          </cell>
          <cell r="Q396">
            <v>289.8</v>
          </cell>
          <cell r="R396">
            <v>217.44</v>
          </cell>
          <cell r="S396">
            <v>217.44</v>
          </cell>
          <cell r="T396">
            <v>217.44</v>
          </cell>
          <cell r="U396">
            <v>0</v>
          </cell>
          <cell r="V396">
            <v>0</v>
          </cell>
          <cell r="W396">
            <v>0</v>
          </cell>
          <cell r="X396">
            <v>0</v>
          </cell>
          <cell r="Y396">
            <v>0</v>
          </cell>
          <cell r="Z396">
            <v>1</v>
          </cell>
          <cell r="AA396">
            <v>420</v>
          </cell>
          <cell r="AB396">
            <v>420</v>
          </cell>
          <cell r="AC396">
            <v>420</v>
          </cell>
          <cell r="AD396">
            <v>420</v>
          </cell>
          <cell r="AE396">
            <v>420</v>
          </cell>
        </row>
        <row r="397">
          <cell r="B397" t="str">
            <v>olr</v>
          </cell>
          <cell r="C397" t="str">
            <v>Liquidity ratio</v>
          </cell>
          <cell r="D397">
            <v>0.01</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1</v>
          </cell>
          <cell r="AA397">
            <v>179180.29626</v>
          </cell>
          <cell r="AB397">
            <v>179180.29626</v>
          </cell>
          <cell r="AC397">
            <v>179180.29626</v>
          </cell>
          <cell r="AD397">
            <v>179180.29626</v>
          </cell>
          <cell r="AE397">
            <v>179180.29626</v>
          </cell>
        </row>
        <row r="398">
          <cell r="B398" t="str">
            <v>orw</v>
          </cell>
          <cell r="C398" t="str">
            <v>Loan breakdown (by end-use)</v>
          </cell>
          <cell r="D398">
            <v>1000000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1</v>
          </cell>
          <cell r="AA398">
            <v>23819.82</v>
          </cell>
          <cell r="AB398">
            <v>23819.82</v>
          </cell>
          <cell r="AC398">
            <v>23819.82</v>
          </cell>
          <cell r="AD398">
            <v>23819.82</v>
          </cell>
          <cell r="AE398">
            <v>23819.82</v>
          </cell>
        </row>
        <row r="399">
          <cell r="B399" t="str">
            <v>oba</v>
          </cell>
          <cell r="C399" t="str">
            <v>Purchase of residential property - o</v>
          </cell>
          <cell r="D399">
            <v>0.01</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1</v>
          </cell>
          <cell r="AA399">
            <v>1</v>
          </cell>
          <cell r="AB399">
            <v>-26815.061041395988</v>
          </cell>
          <cell r="AC399">
            <v>-31104.810451943566</v>
          </cell>
          <cell r="AD399">
            <v>-44066.891490756847</v>
          </cell>
          <cell r="AE399">
            <v>-51496.01722986767</v>
          </cell>
        </row>
        <row r="400">
          <cell r="B400" t="str">
            <v>obb</v>
          </cell>
          <cell r="C400" t="str">
            <v>Property development, investment and</v>
          </cell>
          <cell r="D400">
            <v>0.01</v>
          </cell>
          <cell r="E400">
            <v>0</v>
          </cell>
          <cell r="F400">
            <v>0</v>
          </cell>
          <cell r="G400">
            <v>0</v>
          </cell>
          <cell r="H400">
            <v>0</v>
          </cell>
          <cell r="I400">
            <v>0</v>
          </cell>
          <cell r="J400">
            <v>4783.7000000000007</v>
          </cell>
          <cell r="K400">
            <v>5152.26</v>
          </cell>
          <cell r="L400">
            <v>4195.68</v>
          </cell>
          <cell r="M400">
            <v>3864.1800000000003</v>
          </cell>
          <cell r="N400">
            <v>2391.2600000000002</v>
          </cell>
          <cell r="O400">
            <v>4200.51</v>
          </cell>
          <cell r="P400">
            <v>3331.01</v>
          </cell>
          <cell r="Q400">
            <v>4163.55</v>
          </cell>
          <cell r="R400">
            <v>4222.2156111151207</v>
          </cell>
          <cell r="S400">
            <v>6665.1898606507639</v>
          </cell>
          <cell r="T400">
            <v>10040.408897758825</v>
          </cell>
          <cell r="U400">
            <v>0</v>
          </cell>
          <cell r="V400">
            <v>0</v>
          </cell>
          <cell r="W400">
            <v>0</v>
          </cell>
          <cell r="X400">
            <v>0</v>
          </cell>
          <cell r="Y400">
            <v>0</v>
          </cell>
          <cell r="Z400">
            <v>1</v>
          </cell>
          <cell r="AA400">
            <v>1</v>
          </cell>
          <cell r="AB400">
            <v>0</v>
          </cell>
          <cell r="AC400">
            <v>0</v>
          </cell>
          <cell r="AD400">
            <v>0</v>
          </cell>
          <cell r="AE400">
            <v>0</v>
          </cell>
        </row>
        <row r="401">
          <cell r="B401" t="str">
            <v>obc</v>
          </cell>
          <cell r="C401" t="str">
            <v>Consumer related</v>
          </cell>
          <cell r="D401">
            <v>0.01</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1</v>
          </cell>
          <cell r="AA401">
            <v>1</v>
          </cell>
          <cell r="AB401">
            <v>-2995.2410413959878</v>
          </cell>
          <cell r="AC401">
            <v>-7284.9904519435659</v>
          </cell>
          <cell r="AD401">
            <v>-20247.071490756847</v>
          </cell>
          <cell r="AE401">
            <v>-27676.19722986767</v>
          </cell>
          <cell r="AF401">
            <v>1</v>
          </cell>
        </row>
        <row r="402">
          <cell r="B402" t="str">
            <v>obd</v>
          </cell>
          <cell r="C402" t="str">
            <v>International trade related</v>
          </cell>
          <cell r="D402">
            <v>0.01</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1</v>
          </cell>
          <cell r="AA402">
            <v>1</v>
          </cell>
          <cell r="AB402">
            <v>1133.22</v>
          </cell>
          <cell r="AC402">
            <v>1283.22</v>
          </cell>
          <cell r="AD402">
            <v>1433.22</v>
          </cell>
          <cell r="AE402">
            <v>1583.22</v>
          </cell>
          <cell r="AF402">
            <v>1</v>
          </cell>
        </row>
        <row r="403">
          <cell r="B403" t="str">
            <v>obe</v>
          </cell>
          <cell r="C403" t="str">
            <v>Stock and share related</v>
          </cell>
          <cell r="D403">
            <v>0.01</v>
          </cell>
          <cell r="E403">
            <v>0</v>
          </cell>
          <cell r="F403">
            <v>0</v>
          </cell>
          <cell r="G403">
            <v>0</v>
          </cell>
          <cell r="H403">
            <v>0</v>
          </cell>
          <cell r="I403">
            <v>0</v>
          </cell>
          <cell r="J403">
            <v>2496.4700000000003</v>
          </cell>
          <cell r="K403">
            <v>3322.2999999999997</v>
          </cell>
          <cell r="L403">
            <v>2775.75</v>
          </cell>
          <cell r="M403">
            <v>1052.04</v>
          </cell>
          <cell r="N403">
            <v>1387.83</v>
          </cell>
          <cell r="O403">
            <v>959.16</v>
          </cell>
          <cell r="P403">
            <v>4561.97</v>
          </cell>
          <cell r="Q403">
            <v>1489.1699999999998</v>
          </cell>
          <cell r="R403">
            <v>1489.1699999999998</v>
          </cell>
          <cell r="S403">
            <v>1489.1699999999998</v>
          </cell>
          <cell r="T403">
            <v>1489.1699999999998</v>
          </cell>
          <cell r="U403">
            <v>0</v>
          </cell>
          <cell r="V403">
            <v>0</v>
          </cell>
          <cell r="W403">
            <v>0</v>
          </cell>
          <cell r="X403">
            <v>0</v>
          </cell>
          <cell r="Y403">
            <v>0</v>
          </cell>
          <cell r="Z403">
            <v>1</v>
          </cell>
          <cell r="AA403">
            <v>1</v>
          </cell>
          <cell r="AB403">
            <v>177318.27521860402</v>
          </cell>
          <cell r="AC403">
            <v>173178.52580805644</v>
          </cell>
          <cell r="AD403">
            <v>160366.44476924316</v>
          </cell>
          <cell r="AE403">
            <v>153087.31903013232</v>
          </cell>
        </row>
        <row r="404">
          <cell r="B404" t="str">
            <v>oco</v>
          </cell>
          <cell r="C404" t="str">
            <v>Corporate</v>
          </cell>
          <cell r="D404">
            <v>0.01</v>
          </cell>
          <cell r="E404">
            <v>0</v>
          </cell>
          <cell r="F404">
            <v>0</v>
          </cell>
          <cell r="G404">
            <v>0</v>
          </cell>
          <cell r="H404">
            <v>0</v>
          </cell>
          <cell r="I404">
            <v>0</v>
          </cell>
          <cell r="J404">
            <v>2496.4700000000003</v>
          </cell>
          <cell r="K404">
            <v>3322.2999999999997</v>
          </cell>
          <cell r="L404">
            <v>2775.75</v>
          </cell>
          <cell r="M404">
            <v>1052.04</v>
          </cell>
          <cell r="N404">
            <v>1387.83</v>
          </cell>
          <cell r="O404">
            <v>959.16</v>
          </cell>
          <cell r="P404">
            <v>4561.97</v>
          </cell>
          <cell r="Q404">
            <v>1489.1699999999998</v>
          </cell>
          <cell r="R404">
            <v>1489.1699999999998</v>
          </cell>
          <cell r="S404">
            <v>1489.1699999999998</v>
          </cell>
          <cell r="T404">
            <v>1489.1699999999998</v>
          </cell>
          <cell r="U404">
            <v>0</v>
          </cell>
          <cell r="V404">
            <v>0</v>
          </cell>
          <cell r="W404">
            <v>0</v>
          </cell>
          <cell r="X404">
            <v>0</v>
          </cell>
          <cell r="Y404">
            <v>0</v>
          </cell>
          <cell r="Z404">
            <v>1</v>
          </cell>
          <cell r="AA404">
            <v>1</v>
          </cell>
          <cell r="AB404">
            <v>177318.27521860402</v>
          </cell>
          <cell r="AC404">
            <v>173178.52580805644</v>
          </cell>
          <cell r="AD404">
            <v>160366.44476924316</v>
          </cell>
          <cell r="AE404">
            <v>153087.31903013232</v>
          </cell>
        </row>
        <row r="405">
          <cell r="B405" t="str">
            <v>oot</v>
          </cell>
          <cell r="C405" t="str">
            <v>Other</v>
          </cell>
          <cell r="D405">
            <v>0.01</v>
          </cell>
          <cell r="E405">
            <v>100</v>
          </cell>
          <cell r="F405">
            <v>100</v>
          </cell>
          <cell r="G405">
            <v>100</v>
          </cell>
          <cell r="H405">
            <v>100</v>
          </cell>
          <cell r="I405">
            <v>100</v>
          </cell>
          <cell r="J405">
            <v>100</v>
          </cell>
          <cell r="K405">
            <v>100</v>
          </cell>
          <cell r="L405">
            <v>100</v>
          </cell>
          <cell r="M405">
            <v>100</v>
          </cell>
          <cell r="N405">
            <v>100</v>
          </cell>
          <cell r="O405">
            <v>100</v>
          </cell>
          <cell r="P405">
            <v>100</v>
          </cell>
          <cell r="Q405">
            <v>100</v>
          </cell>
          <cell r="R405">
            <v>100</v>
          </cell>
          <cell r="S405">
            <v>100</v>
          </cell>
          <cell r="T405">
            <v>100</v>
          </cell>
          <cell r="U405">
            <v>100</v>
          </cell>
          <cell r="V405">
            <v>100</v>
          </cell>
          <cell r="W405">
            <v>100</v>
          </cell>
          <cell r="X405">
            <v>100</v>
          </cell>
          <cell r="Y405">
            <v>100</v>
          </cell>
          <cell r="Z405">
            <v>1</v>
          </cell>
          <cell r="AA405">
            <v>1</v>
          </cell>
          <cell r="AB405">
            <v>5407.4</v>
          </cell>
          <cell r="AC405">
            <v>5407.4</v>
          </cell>
          <cell r="AD405">
            <v>5407.4</v>
          </cell>
          <cell r="AE405">
            <v>5407.4</v>
          </cell>
          <cell r="AF405">
            <v>1</v>
          </cell>
        </row>
        <row r="406">
          <cell r="B406" t="str">
            <v>obt</v>
          </cell>
          <cell r="C406" t="str">
            <v>Total = 100%</v>
          </cell>
          <cell r="D406">
            <v>0.01</v>
          </cell>
          <cell r="E406">
            <v>100</v>
          </cell>
          <cell r="F406">
            <v>100</v>
          </cell>
          <cell r="G406">
            <v>100</v>
          </cell>
          <cell r="H406">
            <v>100</v>
          </cell>
          <cell r="I406">
            <v>100</v>
          </cell>
          <cell r="J406">
            <v>100</v>
          </cell>
          <cell r="K406">
            <v>100</v>
          </cell>
          <cell r="L406">
            <v>100</v>
          </cell>
          <cell r="M406">
            <v>100</v>
          </cell>
          <cell r="N406">
            <v>100</v>
          </cell>
          <cell r="O406">
            <v>100</v>
          </cell>
          <cell r="P406">
            <v>100</v>
          </cell>
          <cell r="Q406">
            <v>100</v>
          </cell>
          <cell r="R406">
            <v>100</v>
          </cell>
          <cell r="S406">
            <v>100</v>
          </cell>
          <cell r="T406">
            <v>100</v>
          </cell>
          <cell r="U406">
            <v>100</v>
          </cell>
          <cell r="V406">
            <v>100</v>
          </cell>
          <cell r="W406">
            <v>100</v>
          </cell>
          <cell r="X406">
            <v>100</v>
          </cell>
          <cell r="Y406">
            <v>100</v>
          </cell>
          <cell r="Z406">
            <v>1</v>
          </cell>
          <cell r="AA406">
            <v>1</v>
          </cell>
          <cell r="AB406">
            <v>3573.89</v>
          </cell>
          <cell r="AC406">
            <v>3573.89</v>
          </cell>
          <cell r="AD406">
            <v>3573.89</v>
          </cell>
          <cell r="AE406">
            <v>3573.89</v>
          </cell>
          <cell r="AF406">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Layout"/>
      <sheetName val="Check Sums"/>
      <sheetName val="old"/>
    </sheetNames>
    <sheetDataSet>
      <sheetData sheetId="0" refreshError="1">
        <row r="2">
          <cell r="C2" t="str">
            <v>BUY BELOW NT$46</v>
          </cell>
        </row>
        <row r="4">
          <cell r="B4" t="str">
            <v>MAIN POINTS</v>
          </cell>
          <cell r="L4" t="str">
            <v>SHARE DATA</v>
          </cell>
          <cell r="W4" t="str">
            <v>Company name</v>
          </cell>
          <cell r="Z4" t="str">
            <v>PRIMAX ELECTRONICS</v>
          </cell>
          <cell r="AG4" t="str">
            <v>NT$   66.00 2336.TW</v>
          </cell>
        </row>
        <row r="5">
          <cell r="M5" t="str">
            <v>Shares (m):</v>
          </cell>
          <cell r="O5">
            <v>114.2302</v>
          </cell>
          <cell r="Q5" t="str">
            <v>Price/book (x):</v>
          </cell>
          <cell r="S5">
            <v>1.6732642862374347</v>
          </cell>
          <cell r="W5" t="str">
            <v>Country</v>
          </cell>
          <cell r="Z5" t="str">
            <v>Taiwan</v>
          </cell>
        </row>
        <row r="6">
          <cell r="M6" t="str">
            <v>Mkt cap. (NT$m):</v>
          </cell>
          <cell r="O6">
            <v>7539.1931999999997</v>
          </cell>
          <cell r="Q6" t="str">
            <v>PCF (x):</v>
          </cell>
          <cell r="S6">
            <v>85.493890048081752</v>
          </cell>
          <cell r="W6" t="str">
            <v>Sector</v>
          </cell>
          <cell r="Z6" t="str">
            <v>Electronics</v>
          </cell>
        </row>
        <row r="7">
          <cell r="W7" t="str">
            <v>Recommendation</v>
          </cell>
          <cell r="Z7" t="str">
            <v>BUY BELOW NT$46</v>
          </cell>
        </row>
        <row r="8">
          <cell r="W8" t="str">
            <v>Stock price</v>
          </cell>
          <cell r="Z8">
            <v>66</v>
          </cell>
          <cell r="AA8" t="str">
            <v>NT$</v>
          </cell>
        </row>
        <row r="9">
          <cell r="L9" t="str">
            <v>CAPITAL HISTORY</v>
          </cell>
          <cell r="W9" t="str">
            <v>Forex rate</v>
          </cell>
          <cell r="Z9">
            <v>1</v>
          </cell>
          <cell r="AA9" t="str">
            <v>NT$ /</v>
          </cell>
          <cell r="AB9" t="str">
            <v>NT$</v>
          </cell>
        </row>
        <row r="10">
          <cell r="W10" t="str">
            <v>Reuters code</v>
          </cell>
          <cell r="Z10" t="str">
            <v>2336.TW</v>
          </cell>
        </row>
        <row r="11">
          <cell r="W11" t="str">
            <v>Analyst</v>
          </cell>
          <cell r="Z11" t="str">
            <v>Derek Tien / Chih Fang (886) 2 514 6148</v>
          </cell>
        </row>
        <row r="12">
          <cell r="W12" t="str">
            <v>Publication name</v>
          </cell>
          <cell r="Z12" t="str">
            <v>Taiwan Scanner Industry, June 1997</v>
          </cell>
        </row>
        <row r="13">
          <cell r="W13" t="str">
            <v>Company Short Name</v>
          </cell>
          <cell r="Z13" t="str">
            <v>PRIMAX</v>
          </cell>
        </row>
        <row r="14">
          <cell r="W14" t="str">
            <v>Year End</v>
          </cell>
          <cell r="Z14" t="str">
            <v>Dec</v>
          </cell>
        </row>
        <row r="15">
          <cell r="W15" t="str">
            <v>Final Forecast year</v>
          </cell>
          <cell r="Z15">
            <v>1997</v>
          </cell>
        </row>
        <row r="16">
          <cell r="W16" t="str">
            <v>Currency</v>
          </cell>
          <cell r="Z16" t="str">
            <v>NT$</v>
          </cell>
          <cell r="AA16" t="str">
            <v>NT$</v>
          </cell>
          <cell r="AB16" t="str">
            <v>New Taiwanese Dollar</v>
          </cell>
        </row>
        <row r="17">
          <cell r="W17" t="str">
            <v>Index</v>
          </cell>
          <cell r="Z17" t="str">
            <v>Taipex</v>
          </cell>
        </row>
        <row r="18">
          <cell r="W18" t="str">
            <v>Index Level</v>
          </cell>
          <cell r="Z18">
            <v>0</v>
          </cell>
        </row>
        <row r="19">
          <cell r="L19" t="str">
            <v>MAJOR SHAREHOLDERS</v>
          </cell>
          <cell r="W19" t="str">
            <v>Base Model</v>
          </cell>
          <cell r="Z19" t="str">
            <v>DEFAULT</v>
          </cell>
        </row>
        <row r="20">
          <cell r="W20" t="str">
            <v>Revision number</v>
          </cell>
          <cell r="Z20">
            <v>2.0499999999999998</v>
          </cell>
        </row>
        <row r="21">
          <cell r="W21" t="str">
            <v>First page number</v>
          </cell>
          <cell r="Z21">
            <v>9</v>
          </cell>
        </row>
        <row r="31">
          <cell r="B31" t="str">
            <v>FORECASTS AND RATINGS</v>
          </cell>
          <cell r="L31" t="str">
            <v>ADJUSTED PRICE CHART</v>
          </cell>
        </row>
        <row r="32">
          <cell r="C32" t="str">
            <v>Yr to Dec</v>
          </cell>
          <cell r="E32">
            <v>93</v>
          </cell>
          <cell r="F32">
            <v>94</v>
          </cell>
          <cell r="G32">
            <v>95</v>
          </cell>
          <cell r="H32" t="str">
            <v>96F</v>
          </cell>
          <cell r="I32" t="str">
            <v>97F</v>
          </cell>
        </row>
        <row r="34">
          <cell r="C34" t="str">
            <v>Profit (NT$)</v>
          </cell>
          <cell r="E34">
            <v>164.18399999999971</v>
          </cell>
          <cell r="F34">
            <v>256.50899999999945</v>
          </cell>
          <cell r="G34">
            <v>236.13799999999941</v>
          </cell>
          <cell r="H34">
            <v>388.31900000000019</v>
          </cell>
          <cell r="I34">
            <v>454.17528216000039</v>
          </cell>
        </row>
        <row r="35">
          <cell r="C35" t="str">
            <v>EPS (NT$)</v>
          </cell>
          <cell r="E35">
            <v>1.4373081724447656</v>
          </cell>
          <cell r="F35">
            <v>2.2455445232521689</v>
          </cell>
          <cell r="G35">
            <v>2.0620028678930815</v>
          </cell>
          <cell r="H35">
            <v>4.3197158019507951</v>
          </cell>
          <cell r="I35">
            <v>5.2715268130494382</v>
          </cell>
        </row>
        <row r="36">
          <cell r="C36" t="str">
            <v>EPS (% ch)</v>
          </cell>
          <cell r="E36">
            <v>1.4806079743756326</v>
          </cell>
          <cell r="F36">
            <v>56.232641426691885</v>
          </cell>
          <cell r="G36">
            <v>-8.1735923495860341</v>
          </cell>
          <cell r="H36">
            <v>109.49126061907978</v>
          </cell>
          <cell r="I36">
            <v>22.034111842931956</v>
          </cell>
        </row>
        <row r="37">
          <cell r="C37" t="str">
            <v>PER (x)</v>
          </cell>
          <cell r="E37">
            <v>45.919171173804983</v>
          </cell>
          <cell r="F37">
            <v>29.391534799948552</v>
          </cell>
          <cell r="G37">
            <v>32.007714939522678</v>
          </cell>
          <cell r="H37">
            <v>15.278782916735917</v>
          </cell>
          <cell r="I37">
            <v>12.520091871034372</v>
          </cell>
        </row>
        <row r="38">
          <cell r="C38" t="str">
            <v>Cons EPS (NT$)</v>
          </cell>
          <cell r="E38">
            <v>0</v>
          </cell>
          <cell r="F38">
            <v>0</v>
          </cell>
          <cell r="G38">
            <v>0</v>
          </cell>
          <cell r="H38">
            <v>4.8</v>
          </cell>
          <cell r="I38">
            <v>4.8</v>
          </cell>
        </row>
        <row r="40">
          <cell r="C40" t="str">
            <v>Div (NT$)</v>
          </cell>
          <cell r="E40">
            <v>0</v>
          </cell>
          <cell r="F40">
            <v>0</v>
          </cell>
          <cell r="G40">
            <v>0</v>
          </cell>
          <cell r="H40">
            <v>0</v>
          </cell>
          <cell r="I40">
            <v>0</v>
          </cell>
        </row>
        <row r="41">
          <cell r="C41" t="str">
            <v>Yield (%)</v>
          </cell>
          <cell r="E41">
            <v>0</v>
          </cell>
          <cell r="F41">
            <v>0</v>
          </cell>
          <cell r="G41">
            <v>0</v>
          </cell>
          <cell r="H41">
            <v>0</v>
          </cell>
          <cell r="I41">
            <v>0</v>
          </cell>
        </row>
        <row r="42">
          <cell r="C42" t="str">
            <v>Div payout (%)</v>
          </cell>
          <cell r="E42">
            <v>0</v>
          </cell>
          <cell r="F42">
            <v>0</v>
          </cell>
          <cell r="G42">
            <v>0</v>
          </cell>
          <cell r="H42">
            <v>0</v>
          </cell>
          <cell r="I42">
            <v>0</v>
          </cell>
        </row>
        <row r="44">
          <cell r="C44" t="str">
            <v>CEPS (NT$)</v>
          </cell>
          <cell r="E44">
            <v>1.7857186628404722</v>
          </cell>
          <cell r="F44">
            <v>1.5443639247764553</v>
          </cell>
          <cell r="G44">
            <v>0.65959789967976523</v>
          </cell>
          <cell r="H44">
            <v>5.933098252476138</v>
          </cell>
          <cell r="I44">
            <v>3.8021554454076125</v>
          </cell>
        </row>
        <row r="45">
          <cell r="C45" t="str">
            <v>CEM (x)</v>
          </cell>
          <cell r="E45">
            <v>36.959909404215111</v>
          </cell>
          <cell r="F45">
            <v>42.736040994711409</v>
          </cell>
          <cell r="G45">
            <v>100.0609614312644</v>
          </cell>
          <cell r="H45">
            <v>11.124036244040852</v>
          </cell>
          <cell r="I45">
            <v>17.358574878814412</v>
          </cell>
        </row>
        <row r="48">
          <cell r="B48" t="str">
            <v>BUSINESS BACKGROUND</v>
          </cell>
          <cell r="L48" t="str">
            <v>OUTLOOK</v>
          </cell>
        </row>
        <row r="89">
          <cell r="V89" t="str">
            <v>PROFIT BREAKDOWN (NT$m)</v>
          </cell>
          <cell r="AF89" t="str">
            <v>CASH FLOW (NT$m)</v>
          </cell>
        </row>
        <row r="90">
          <cell r="W90" t="str">
            <v>Yr to Dec</v>
          </cell>
          <cell r="Y90">
            <v>93</v>
          </cell>
          <cell r="Z90">
            <v>94</v>
          </cell>
          <cell r="AA90">
            <v>95</v>
          </cell>
          <cell r="AB90" t="str">
            <v>96F</v>
          </cell>
          <cell r="AC90" t="str">
            <v>97F</v>
          </cell>
        </row>
        <row r="91">
          <cell r="W91" t="str">
            <v>Scanners</v>
          </cell>
          <cell r="Y91">
            <v>225.21700000000001</v>
          </cell>
          <cell r="Z91">
            <v>571.05600000000004</v>
          </cell>
          <cell r="AA91">
            <v>818.47400000000005</v>
          </cell>
          <cell r="AB91">
            <v>1304.5360000000001</v>
          </cell>
          <cell r="AC91">
            <v>2056.6079999999997</v>
          </cell>
        </row>
        <row r="92">
          <cell r="W92" t="str">
            <v>Input &amp; Data</v>
          </cell>
          <cell r="Y92">
            <v>773.40100000000007</v>
          </cell>
          <cell r="Z92">
            <v>1042.2460000000001</v>
          </cell>
          <cell r="AA92">
            <v>1201.816</v>
          </cell>
          <cell r="AB92">
            <v>1731.884</v>
          </cell>
          <cell r="AC92">
            <v>2085.172</v>
          </cell>
        </row>
        <row r="93">
          <cell r="W93" t="str">
            <v>OA Products</v>
          </cell>
          <cell r="Y93">
            <v>0</v>
          </cell>
          <cell r="Z93">
            <v>260.37400000000002</v>
          </cell>
          <cell r="AA93">
            <v>421.91899999999998</v>
          </cell>
          <cell r="AB93">
            <v>730.99</v>
          </cell>
          <cell r="AC93">
            <v>999.74000000000012</v>
          </cell>
        </row>
        <row r="94">
          <cell r="W94" t="str">
            <v>Surge Protector</v>
          </cell>
          <cell r="Y94">
            <v>753.92399999999998</v>
          </cell>
          <cell r="Z94">
            <v>773.43899999999996</v>
          </cell>
          <cell r="AA94">
            <v>747.40099999999995</v>
          </cell>
          <cell r="AB94">
            <v>674.76</v>
          </cell>
          <cell r="AC94">
            <v>785.51</v>
          </cell>
        </row>
        <row r="95">
          <cell r="W95" t="str">
            <v>Telephone Parts</v>
          </cell>
          <cell r="Y95">
            <v>422.23200000000003</v>
          </cell>
          <cell r="Z95">
            <v>504.51900000000001</v>
          </cell>
          <cell r="AA95">
            <v>511.33699999999999</v>
          </cell>
          <cell r="AB95">
            <v>843.44999999999993</v>
          </cell>
          <cell r="AC95">
            <v>856.92</v>
          </cell>
        </row>
        <row r="96">
          <cell r="W96" t="str">
            <v>Others</v>
          </cell>
          <cell r="Y96">
            <v>669.22</v>
          </cell>
          <cell r="Z96">
            <v>545.93599999999992</v>
          </cell>
          <cell r="AA96">
            <v>726.35799999999995</v>
          </cell>
          <cell r="AB96">
            <v>337.38</v>
          </cell>
          <cell r="AC96">
            <v>357.05</v>
          </cell>
        </row>
        <row r="97">
          <cell r="W97" t="str">
            <v>Net sales</v>
          </cell>
          <cell r="Y97">
            <v>2843.9939999999997</v>
          </cell>
          <cell r="Z97">
            <v>3697.5699999999997</v>
          </cell>
          <cell r="AA97">
            <v>4427.3049999999994</v>
          </cell>
          <cell r="AB97">
            <v>5623</v>
          </cell>
          <cell r="AC97">
            <v>7141</v>
          </cell>
        </row>
        <row r="98">
          <cell r="W98" t="str">
            <v>Unrealized GM</v>
          </cell>
          <cell r="Y98">
            <v>0</v>
          </cell>
          <cell r="Z98">
            <v>0</v>
          </cell>
          <cell r="AA98">
            <v>-28</v>
          </cell>
          <cell r="AB98">
            <v>0</v>
          </cell>
          <cell r="AC98">
            <v>0</v>
          </cell>
        </row>
        <row r="99">
          <cell r="W99" t="str">
            <v>COGS</v>
          </cell>
          <cell r="Y99">
            <v>-2289.058</v>
          </cell>
          <cell r="Z99">
            <v>-2941.0390000000002</v>
          </cell>
          <cell r="AA99">
            <v>-3656.828</v>
          </cell>
          <cell r="AB99">
            <v>-4689.3559999999998</v>
          </cell>
          <cell r="AC99">
            <v>-6013.4186309999996</v>
          </cell>
        </row>
        <row r="100">
          <cell r="W100" t="str">
            <v>Gross profit</v>
          </cell>
          <cell r="Y100">
            <v>554.93599999999969</v>
          </cell>
          <cell r="Z100">
            <v>756.53099999999949</v>
          </cell>
          <cell r="AA100">
            <v>770.47699999999941</v>
          </cell>
          <cell r="AB100">
            <v>933.64400000000023</v>
          </cell>
          <cell r="AC100">
            <v>1127.5813690000004</v>
          </cell>
        </row>
        <row r="101">
          <cell r="W101" t="str">
            <v>R&amp;D exp.</v>
          </cell>
          <cell r="Y101">
            <v>-148.958</v>
          </cell>
          <cell r="Z101">
            <v>-201.51</v>
          </cell>
          <cell r="AA101">
            <v>-198.91</v>
          </cell>
          <cell r="AB101">
            <v>-203.958</v>
          </cell>
          <cell r="AC101">
            <v>-259.02665999999999</v>
          </cell>
        </row>
        <row r="102">
          <cell r="W102" t="str">
            <v>Selling exp.</v>
          </cell>
          <cell r="Y102">
            <v>-179.654</v>
          </cell>
          <cell r="Z102">
            <v>-193.26900000000001</v>
          </cell>
          <cell r="AA102">
            <v>-213.905</v>
          </cell>
          <cell r="AB102">
            <v>-292.86900000000003</v>
          </cell>
          <cell r="AC102">
            <v>-307.51245000000006</v>
          </cell>
        </row>
        <row r="103">
          <cell r="W103" t="str">
            <v>Admin exp.</v>
          </cell>
          <cell r="Y103">
            <v>-68.501999999999995</v>
          </cell>
          <cell r="Z103">
            <v>-92.04</v>
          </cell>
          <cell r="AA103">
            <v>-78.281000000000006</v>
          </cell>
          <cell r="AB103">
            <v>-119.253</v>
          </cell>
          <cell r="AC103">
            <v>-140</v>
          </cell>
        </row>
        <row r="104">
          <cell r="W104" t="str">
            <v>SG &amp; A</v>
          </cell>
          <cell r="Y104">
            <v>-397.11399999999998</v>
          </cell>
          <cell r="Z104">
            <v>-486.81900000000002</v>
          </cell>
          <cell r="AA104">
            <v>-491.096</v>
          </cell>
          <cell r="AB104">
            <v>-616.08000000000004</v>
          </cell>
          <cell r="AC104">
            <v>-706.53911000000005</v>
          </cell>
        </row>
        <row r="105">
          <cell r="W105" t="str">
            <v>Operating profit</v>
          </cell>
          <cell r="Y105">
            <v>157.82199999999972</v>
          </cell>
          <cell r="Z105">
            <v>269.71199999999948</v>
          </cell>
          <cell r="AA105">
            <v>279.3809999999994</v>
          </cell>
          <cell r="AB105">
            <v>317.56400000000019</v>
          </cell>
          <cell r="AC105">
            <v>421.0422590000004</v>
          </cell>
        </row>
        <row r="106">
          <cell r="W106" t="str">
            <v>Invest. income</v>
          </cell>
          <cell r="Y106">
            <v>29.841999999999999</v>
          </cell>
          <cell r="Z106">
            <v>18.631</v>
          </cell>
          <cell r="AA106">
            <v>-73.691999999999993</v>
          </cell>
          <cell r="AB106">
            <v>188.14099999999996</v>
          </cell>
          <cell r="AC106">
            <v>190</v>
          </cell>
        </row>
        <row r="107">
          <cell r="W107" t="str">
            <v>Inventory write-off</v>
          </cell>
          <cell r="Y107">
            <v>-6.8179999999999996</v>
          </cell>
          <cell r="Z107">
            <v>-2.1429999999999998</v>
          </cell>
          <cell r="AA107">
            <v>-11.032</v>
          </cell>
          <cell r="AB107">
            <v>-14.016999999999999</v>
          </cell>
          <cell r="AC107">
            <v>-21.86697684</v>
          </cell>
        </row>
        <row r="108">
          <cell r="W108" t="str">
            <v>FX gains</v>
          </cell>
          <cell r="Y108">
            <v>14.117000000000001</v>
          </cell>
          <cell r="Z108">
            <v>6.2039999999999997</v>
          </cell>
          <cell r="AA108">
            <v>18.081</v>
          </cell>
          <cell r="AB108">
            <v>23.8</v>
          </cell>
          <cell r="AC108">
            <v>0</v>
          </cell>
        </row>
        <row r="109">
          <cell r="W109" t="str">
            <v>Other</v>
          </cell>
          <cell r="Y109">
            <v>7.822000000000001</v>
          </cell>
          <cell r="Z109">
            <v>8.407</v>
          </cell>
          <cell r="AA109">
            <v>36.238</v>
          </cell>
          <cell r="AB109">
            <v>-8.4749999999999979</v>
          </cell>
          <cell r="AC109">
            <v>0</v>
          </cell>
        </row>
        <row r="110">
          <cell r="W110" t="str">
            <v>Interest</v>
          </cell>
          <cell r="Y110">
            <v>-19.446000000000002</v>
          </cell>
          <cell r="Z110">
            <v>-14.747</v>
          </cell>
          <cell r="AA110">
            <v>-10.865</v>
          </cell>
          <cell r="AB110">
            <v>-9.666999999999998</v>
          </cell>
          <cell r="AC110">
            <v>-45</v>
          </cell>
        </row>
        <row r="111">
          <cell r="W111" t="str">
            <v>Non op inc</v>
          </cell>
          <cell r="Y111">
            <v>25.517000000000007</v>
          </cell>
          <cell r="Z111">
            <v>16.352</v>
          </cell>
          <cell r="AA111">
            <v>-41.269999999999989</v>
          </cell>
          <cell r="AB111">
            <v>179.78199999999998</v>
          </cell>
          <cell r="AC111">
            <v>123.13302315999999</v>
          </cell>
        </row>
        <row r="113">
          <cell r="W113" t="str">
            <v>Pre-tax profit</v>
          </cell>
          <cell r="Y113">
            <v>183.33899999999971</v>
          </cell>
          <cell r="Z113">
            <v>286.06399999999945</v>
          </cell>
          <cell r="AA113">
            <v>238.11099999999942</v>
          </cell>
          <cell r="AB113">
            <v>497.34600000000017</v>
          </cell>
          <cell r="AC113">
            <v>544.17528216000039</v>
          </cell>
        </row>
        <row r="114">
          <cell r="W114" t="str">
            <v>Taxation</v>
          </cell>
          <cell r="Y114">
            <v>-19.155000000000001</v>
          </cell>
          <cell r="Z114">
            <v>-29.555</v>
          </cell>
          <cell r="AA114">
            <v>-1.9730000000000001</v>
          </cell>
          <cell r="AB114">
            <v>-109.027</v>
          </cell>
          <cell r="AC114">
            <v>-90</v>
          </cell>
        </row>
        <row r="116">
          <cell r="W116" t="str">
            <v>Net profit</v>
          </cell>
          <cell r="Y116">
            <v>164.18399999999971</v>
          </cell>
          <cell r="Z116">
            <v>256.50899999999945</v>
          </cell>
          <cell r="AA116">
            <v>236.13799999999941</v>
          </cell>
          <cell r="AB116">
            <v>388.31900000000019</v>
          </cell>
          <cell r="AC116">
            <v>454.17528216000039</v>
          </cell>
        </row>
        <row r="117">
          <cell r="W117" t="str">
            <v>(YoY % change)</v>
          </cell>
          <cell r="Y117">
            <v>-86.627789542270747</v>
          </cell>
          <cell r="Z117">
            <v>56.232641426691941</v>
          </cell>
          <cell r="AA117">
            <v>-7.9416316776409728</v>
          </cell>
          <cell r="AB117">
            <v>64.445790173543088</v>
          </cell>
          <cell r="AC117">
            <v>16.959325235180401</v>
          </cell>
        </row>
        <row r="119">
          <cell r="V119" t="str">
            <v>FORECAST ASSUMPTIONS &amp; SENSITIVITY</v>
          </cell>
          <cell r="AF119" t="str">
            <v>EXPANSION PLANS AND FUNDING</v>
          </cell>
        </row>
        <row r="120">
          <cell r="AC120" t="str">
            <v>EPS (NT$)</v>
          </cell>
        </row>
        <row r="121">
          <cell r="W121" t="str">
            <v>Assumption</v>
          </cell>
          <cell r="Y121">
            <v>95</v>
          </cell>
          <cell r="Z121" t="str">
            <v>96F</v>
          </cell>
          <cell r="AA121" t="str">
            <v>97F</v>
          </cell>
          <cell r="AB121" t="str">
            <v>Chg</v>
          </cell>
          <cell r="AC121" t="str">
            <v>Impact</v>
          </cell>
        </row>
        <row r="122">
          <cell r="AB122" t="str">
            <v>(%)</v>
          </cell>
          <cell r="AC122" t="str">
            <v>( 96F )</v>
          </cell>
        </row>
        <row r="124">
          <cell r="W124" t="str">
            <v>Shipment ('000 units)</v>
          </cell>
        </row>
        <row r="125">
          <cell r="W125" t="str">
            <v>Scanner</v>
          </cell>
          <cell r="Y125">
            <v>332</v>
          </cell>
          <cell r="Z125">
            <v>570</v>
          </cell>
          <cell r="AA125">
            <v>1030</v>
          </cell>
          <cell r="AB125">
            <v>-5</v>
          </cell>
          <cell r="AC125">
            <v>-0.56999999999999995</v>
          </cell>
        </row>
        <row r="127">
          <cell r="W127" t="str">
            <v>Mouse</v>
          </cell>
          <cell r="Y127">
            <v>5487</v>
          </cell>
          <cell r="Z127">
            <v>7688</v>
          </cell>
          <cell r="AA127">
            <v>10500</v>
          </cell>
          <cell r="AB127">
            <v>-5</v>
          </cell>
          <cell r="AC127">
            <v>-0.62</v>
          </cell>
        </row>
        <row r="129">
          <cell r="W129" t="str">
            <v>OA products</v>
          </cell>
          <cell r="Y129">
            <v>326</v>
          </cell>
          <cell r="Z129">
            <v>609</v>
          </cell>
          <cell r="AA129">
            <v>833</v>
          </cell>
          <cell r="AB129">
            <v>-5</v>
          </cell>
          <cell r="AC129">
            <v>-0.32</v>
          </cell>
        </row>
        <row r="136">
          <cell r="V136" t="str">
            <v>BALANCE SHEET (NT$m)</v>
          </cell>
          <cell r="AF136" t="str">
            <v>REVENUE GENERATED BY MAIN PRODUCTS</v>
          </cell>
        </row>
        <row r="155">
          <cell r="AF155" t="str">
            <v>SUBSIDIARIES AND ASSOCIATES</v>
          </cell>
        </row>
        <row r="165">
          <cell r="V165" t="str">
            <v>RATIO ANALYSIS</v>
          </cell>
          <cell r="AF165" t="str">
            <v>FIVE YEAR RECORD</v>
          </cell>
        </row>
        <row r="166">
          <cell r="W166" t="str">
            <v>Yr to Dec</v>
          </cell>
          <cell r="Y166">
            <v>93</v>
          </cell>
          <cell r="Z166">
            <v>94</v>
          </cell>
          <cell r="AA166">
            <v>95</v>
          </cell>
          <cell r="AB166" t="str">
            <v>96F</v>
          </cell>
          <cell r="AC166" t="str">
            <v>97F</v>
          </cell>
          <cell r="AI166">
            <v>91</v>
          </cell>
          <cell r="AJ166">
            <v>92</v>
          </cell>
          <cell r="AK166">
            <v>93</v>
          </cell>
          <cell r="AL166">
            <v>94</v>
          </cell>
          <cell r="AM166">
            <v>95</v>
          </cell>
        </row>
        <row r="167">
          <cell r="W167" t="str">
            <v>Gross margin(%)</v>
          </cell>
          <cell r="Y167">
            <v>19.512558746607763</v>
          </cell>
          <cell r="Z167">
            <v>20.460221172283415</v>
          </cell>
          <cell r="AA167">
            <v>17.389405066965121</v>
          </cell>
          <cell r="AB167">
            <v>18.098991456196188</v>
          </cell>
          <cell r="AC167">
            <v>17.5</v>
          </cell>
          <cell r="AG167" t="str">
            <v>Turnover (NT$m)</v>
          </cell>
          <cell r="AI167">
            <v>1930.682</v>
          </cell>
          <cell r="AJ167">
            <v>2220.6610000000001</v>
          </cell>
          <cell r="AK167">
            <v>2843.9940000000001</v>
          </cell>
          <cell r="AL167">
            <v>3697.57</v>
          </cell>
          <cell r="AM167">
            <v>4427.3050000000003</v>
          </cell>
        </row>
        <row r="168">
          <cell r="W168" t="str">
            <v>Op Margin (%)</v>
          </cell>
          <cell r="Y168">
            <v>5.5493084725213926</v>
          </cell>
          <cell r="Z168">
            <v>7.2943040970150639</v>
          </cell>
          <cell r="AA168">
            <v>6.2969684717904082</v>
          </cell>
          <cell r="AB168">
            <v>7.3647010365608434</v>
          </cell>
          <cell r="AC168">
            <v>7.8067655601907147</v>
          </cell>
          <cell r="AG168" t="str">
            <v>Net profit (NT$m)</v>
          </cell>
          <cell r="AI168">
            <v>55.598000000000006</v>
          </cell>
          <cell r="AJ168">
            <v>66.187000000000026</v>
          </cell>
          <cell r="AK168">
            <v>164.18400000000005</v>
          </cell>
          <cell r="AL168">
            <v>256.5089999999999</v>
          </cell>
          <cell r="AM168">
            <v>235.54300000000029</v>
          </cell>
        </row>
        <row r="169">
          <cell r="W169" t="str">
            <v>Cash Flow/Share</v>
          </cell>
          <cell r="Y169">
            <v>2.1236415588872268</v>
          </cell>
          <cell r="Z169">
            <v>1.9321948136307165</v>
          </cell>
          <cell r="AA169">
            <v>0.77198499170971879</v>
          </cell>
          <cell r="AB169">
            <v>6.9721754842414683</v>
          </cell>
          <cell r="AC169">
            <v>4.9839795164501215</v>
          </cell>
          <cell r="AG169" t="str">
            <v>ROE (%)</v>
          </cell>
          <cell r="AI169">
            <v>13.540540277250102</v>
          </cell>
          <cell r="AJ169">
            <v>9.2977421153848905</v>
          </cell>
          <cell r="AK169">
            <v>18.373300835607846</v>
          </cell>
          <cell r="AL169">
            <v>22.4507282883255</v>
          </cell>
          <cell r="AM169">
            <v>13.18782529629399</v>
          </cell>
        </row>
        <row r="170">
          <cell r="W170" t="str">
            <v>Debt/Equity (%)</v>
          </cell>
          <cell r="Y170">
            <v>10.624988109905871</v>
          </cell>
          <cell r="Z170">
            <v>0.71804800173648209</v>
          </cell>
          <cell r="AA170" t="str">
            <v>cash</v>
          </cell>
          <cell r="AB170" t="str">
            <v>cash</v>
          </cell>
          <cell r="AC170" t="str">
            <v>cash</v>
          </cell>
          <cell r="AG170" t="str">
            <v>ROA (%)</v>
          </cell>
          <cell r="AI170">
            <v>12.127703200869037</v>
          </cell>
          <cell r="AJ170">
            <v>7.6547204899983372</v>
          </cell>
          <cell r="AK170">
            <v>15.909996075410268</v>
          </cell>
          <cell r="AL170">
            <v>20.14928011072681</v>
          </cell>
          <cell r="AM170">
            <v>11.728476821192068</v>
          </cell>
        </row>
      </sheetData>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PS-Y"/>
      <sheetName val="Aardvark-Y"/>
      <sheetName val="Aardvark-Q"/>
      <sheetName val="GRPS-Q"/>
      <sheetName val="Valuations"/>
      <sheetName val="SoTP"/>
      <sheetName val="fin summary"/>
      <sheetName val="Consolidated financials"/>
      <sheetName val="Quarterly"/>
      <sheetName val="Qty snapshot"/>
      <sheetName val="Standalone financials"/>
      <sheetName val="Derived subsidiary financials"/>
      <sheetName val="Tables and charts"/>
      <sheetName val="AC product"/>
      <sheetName val="ME project awards"/>
      <sheetName val="Capacity"/>
      <sheetName val="#ref"/>
      <sheetName val="rev sum"/>
      <sheetName val="nopat_vdf"/>
      <sheetName val="invested capital_vdf"/>
      <sheetName val="1q98"/>
    </sheetNames>
    <sheetDataSet>
      <sheetData sheetId="0">
        <row r="2">
          <cell r="A2" t="str">
            <v>iicd</v>
          </cell>
        </row>
      </sheetData>
      <sheetData sheetId="1">
        <row r="1">
          <cell r="D1" t="str">
            <v>xunits</v>
          </cell>
        </row>
        <row r="282">
          <cell r="A282" t="str">
            <v>x</v>
          </cell>
          <cell r="B282" t="str">
            <v>bfcc</v>
          </cell>
          <cell r="C282" t="str">
            <v>FCCB debt</v>
          </cell>
        </row>
        <row r="283">
          <cell r="A283" t="str">
            <v>x</v>
          </cell>
          <cell r="B283" t="str">
            <v>blts</v>
          </cell>
          <cell r="C283" t="str">
            <v>Long term secured</v>
          </cell>
          <cell r="O283">
            <v>728.39300000000003</v>
          </cell>
          <cell r="P283">
            <v>711.42100000000005</v>
          </cell>
          <cell r="Q283">
            <v>942.63199999999995</v>
          </cell>
          <cell r="R283">
            <v>647.86699999999996</v>
          </cell>
          <cell r="S283">
            <v>1113.028</v>
          </cell>
          <cell r="T283">
            <v>737.41</v>
          </cell>
          <cell r="U283">
            <v>1687.605</v>
          </cell>
          <cell r="V283">
            <v>306.26499999999999</v>
          </cell>
          <cell r="W283">
            <v>1342.1350000000002</v>
          </cell>
          <cell r="X283">
            <v>2215.3440000000001</v>
          </cell>
          <cell r="Y283">
            <v>2524.5040000000004</v>
          </cell>
          <cell r="Z283">
            <v>2540.5850000000005</v>
          </cell>
        </row>
        <row r="284">
          <cell r="A284" t="str">
            <v>x</v>
          </cell>
          <cell r="B284" t="str">
            <v>bltu</v>
          </cell>
          <cell r="C284" t="str">
            <v>Long term unsecured</v>
          </cell>
          <cell r="O284">
            <v>361.05500000000001</v>
          </cell>
          <cell r="P284">
            <v>317.65199999999999</v>
          </cell>
          <cell r="Q284">
            <v>322.17399999999998</v>
          </cell>
          <cell r="R284">
            <v>252.86699999999999</v>
          </cell>
          <cell r="S284">
            <v>2.7850000000000001</v>
          </cell>
          <cell r="T284">
            <v>0</v>
          </cell>
          <cell r="U284">
            <v>126.779</v>
          </cell>
          <cell r="V284">
            <v>45.439</v>
          </cell>
          <cell r="W284">
            <v>38.637</v>
          </cell>
          <cell r="X284">
            <v>36.280999999999999</v>
          </cell>
          <cell r="Y284">
            <v>100.086</v>
          </cell>
          <cell r="Z284">
            <v>100.086</v>
          </cell>
        </row>
      </sheetData>
      <sheetData sheetId="2">
        <row r="69">
          <cell r="A69" t="str">
            <v>x</v>
          </cell>
          <cell r="B69" t="str">
            <v>qpre</v>
          </cell>
          <cell r="C69" t="str">
            <v>Total revenue</v>
          </cell>
          <cell r="D69">
            <v>1000000</v>
          </cell>
          <cell r="BJ69">
            <v>32029.300000000003</v>
          </cell>
          <cell r="BK69">
            <v>10402.699999999999</v>
          </cell>
          <cell r="BL69">
            <v>9747.5999999999985</v>
          </cell>
          <cell r="BM69">
            <v>9537.7000000000007</v>
          </cell>
          <cell r="BN69">
            <v>13571.000000000004</v>
          </cell>
          <cell r="BO69">
            <v>12418.5</v>
          </cell>
          <cell r="BP69">
            <v>10893.199999999999</v>
          </cell>
          <cell r="BQ69">
            <v>9874.6</v>
          </cell>
          <cell r="BR69">
            <v>14388.399999999998</v>
          </cell>
          <cell r="BS69">
            <v>14030.5</v>
          </cell>
          <cell r="BT69">
            <v>10635.8</v>
          </cell>
          <cell r="BU69">
            <v>10392.799999999999</v>
          </cell>
          <cell r="BV69">
            <v>16709.199999999993</v>
          </cell>
          <cell r="BW69">
            <v>13477.5</v>
          </cell>
          <cell r="BX69">
            <v>11019.300000000001</v>
          </cell>
          <cell r="BY69">
            <v>11538.8</v>
          </cell>
          <cell r="BZ69">
            <v>15734.6</v>
          </cell>
          <cell r="CA69">
            <v>16115.7</v>
          </cell>
          <cell r="CB69">
            <v>11601</v>
          </cell>
          <cell r="CC69">
            <v>11501.7</v>
          </cell>
          <cell r="CD69">
            <v>15922.2</v>
          </cell>
          <cell r="CE69">
            <v>16017.8</v>
          </cell>
          <cell r="CF69">
            <v>10765.3</v>
          </cell>
          <cell r="CG69">
            <v>11149.9</v>
          </cell>
          <cell r="CH69">
            <v>14503.6</v>
          </cell>
        </row>
        <row r="71">
          <cell r="B71" t="str">
            <v>qpco</v>
          </cell>
          <cell r="C71" t="str">
            <v>Cost of goods sold</v>
          </cell>
          <cell r="D71">
            <v>1000000</v>
          </cell>
          <cell r="BJ71">
            <v>-23384.1</v>
          </cell>
          <cell r="BK71">
            <v>-7604</v>
          </cell>
          <cell r="BL71">
            <v>-6931</v>
          </cell>
          <cell r="BM71">
            <v>-6871.7999999999993</v>
          </cell>
          <cell r="BN71">
            <v>-10278.500000000004</v>
          </cell>
          <cell r="BO71">
            <v>-8575.4</v>
          </cell>
          <cell r="BP71">
            <v>-7246.9</v>
          </cell>
          <cell r="BQ71">
            <v>-6701.4000000000005</v>
          </cell>
          <cell r="BR71">
            <v>-10352.499999999996</v>
          </cell>
          <cell r="BS71">
            <v>-10106.700000000001</v>
          </cell>
          <cell r="BT71">
            <v>-7278.7</v>
          </cell>
          <cell r="BU71">
            <v>-7052.7</v>
          </cell>
          <cell r="BV71">
            <v>-12369.6</v>
          </cell>
          <cell r="BW71">
            <v>-9687.6999999999989</v>
          </cell>
          <cell r="BX71">
            <v>-8499.2999999999993</v>
          </cell>
          <cell r="BY71">
            <v>-7983.4</v>
          </cell>
          <cell r="BZ71">
            <v>-11629.199999999999</v>
          </cell>
          <cell r="CA71">
            <v>-12049.1</v>
          </cell>
          <cell r="CB71">
            <v>-8484.6</v>
          </cell>
          <cell r="CC71">
            <v>-8812.6</v>
          </cell>
          <cell r="CD71">
            <v>-12324</v>
          </cell>
          <cell r="CE71">
            <v>-12234.4</v>
          </cell>
          <cell r="CF71">
            <v>-7711.4</v>
          </cell>
          <cell r="CG71">
            <v>-7727.2</v>
          </cell>
          <cell r="CH71">
            <v>-10869.500000000002</v>
          </cell>
        </row>
        <row r="77">
          <cell r="B77" t="str">
            <v>qpse</v>
          </cell>
          <cell r="C77" t="str">
            <v>Selling &amp; marketing expenses</v>
          </cell>
          <cell r="D77">
            <v>1000000</v>
          </cell>
          <cell r="BJ77">
            <v>-3123.8</v>
          </cell>
          <cell r="BK77">
            <v>-1068.9000000000001</v>
          </cell>
          <cell r="BL77">
            <v>-883.1</v>
          </cell>
          <cell r="BM77">
            <v>-909.4</v>
          </cell>
          <cell r="BN77">
            <v>-1225.6999999999998</v>
          </cell>
          <cell r="BO77">
            <v>-1509.8</v>
          </cell>
          <cell r="BP77">
            <v>-1028.5999999999999</v>
          </cell>
          <cell r="BQ77">
            <v>-979.4</v>
          </cell>
          <cell r="BR77">
            <v>-1134.8999999999996</v>
          </cell>
          <cell r="BS77">
            <v>-1349.7</v>
          </cell>
          <cell r="BT77">
            <v>-1029.2</v>
          </cell>
          <cell r="BU77">
            <v>-1132.9000000000001</v>
          </cell>
          <cell r="BV77">
            <v>-1477.8000000000006</v>
          </cell>
          <cell r="BW77">
            <v>-1240.3</v>
          </cell>
          <cell r="BX77">
            <v>-961</v>
          </cell>
          <cell r="BY77">
            <v>-3927.8</v>
          </cell>
          <cell r="BZ77">
            <v>-1332.1</v>
          </cell>
          <cell r="CA77">
            <v>-1535.1</v>
          </cell>
          <cell r="CB77">
            <v>-1090.5999999999999</v>
          </cell>
          <cell r="CC77">
            <v>-997.6</v>
          </cell>
          <cell r="CD77">
            <v>-2194.1</v>
          </cell>
          <cell r="CE77">
            <v>-1535.6</v>
          </cell>
          <cell r="CF77">
            <v>-1135</v>
          </cell>
          <cell r="CG77">
            <v>-1318.4</v>
          </cell>
          <cell r="CH77">
            <v>-1397.8</v>
          </cell>
        </row>
        <row r="79">
          <cell r="B79" t="str">
            <v>qpga</v>
          </cell>
          <cell r="C79" t="str">
            <v>General and administrative expenses</v>
          </cell>
          <cell r="D79">
            <v>1000000</v>
          </cell>
          <cell r="BJ79">
            <v>-2990.9</v>
          </cell>
          <cell r="BK79">
            <v>-906.9</v>
          </cell>
          <cell r="BL79">
            <v>-1218.7</v>
          </cell>
          <cell r="BM79">
            <v>-1261.4000000000001</v>
          </cell>
          <cell r="BN79">
            <v>-1268.6999999999994</v>
          </cell>
          <cell r="BO79">
            <v>-1308.0999999999999</v>
          </cell>
          <cell r="BP79">
            <v>-1425.9</v>
          </cell>
          <cell r="BQ79">
            <v>-1318.7</v>
          </cell>
          <cell r="BR79">
            <v>-1397.5000000000002</v>
          </cell>
          <cell r="BS79">
            <v>-1350.7</v>
          </cell>
          <cell r="BT79">
            <v>-1267.9000000000001</v>
          </cell>
          <cell r="BU79">
            <v>-1443.8</v>
          </cell>
          <cell r="BV79">
            <v>-1500.2000000000005</v>
          </cell>
          <cell r="BW79">
            <v>-1467.3</v>
          </cell>
          <cell r="BX79">
            <v>-1483</v>
          </cell>
          <cell r="BY79">
            <v>-1627.8</v>
          </cell>
          <cell r="BZ79">
            <v>-1417.1</v>
          </cell>
          <cell r="CA79">
            <v>-1644.9</v>
          </cell>
          <cell r="CB79">
            <v>-1629.9</v>
          </cell>
          <cell r="CC79">
            <v>-1472.6</v>
          </cell>
          <cell r="CD79">
            <v>-1577.9</v>
          </cell>
          <cell r="CE79">
            <v>-1648.6</v>
          </cell>
          <cell r="CF79">
            <v>-1526.5</v>
          </cell>
          <cell r="CG79">
            <v>-1464.7</v>
          </cell>
          <cell r="CH79">
            <v>-1307.0999999999999</v>
          </cell>
        </row>
        <row r="82">
          <cell r="A82" t="str">
            <v>x</v>
          </cell>
          <cell r="B82" t="str">
            <v>qpde</v>
          </cell>
          <cell r="C82" t="str">
            <v>Depreciation</v>
          </cell>
          <cell r="D82">
            <v>1000000</v>
          </cell>
          <cell r="BJ82">
            <v>-166.9</v>
          </cell>
          <cell r="BK82">
            <v>-48.5</v>
          </cell>
          <cell r="BL82">
            <v>-61.3</v>
          </cell>
          <cell r="BM82">
            <v>-56.3</v>
          </cell>
          <cell r="BN82">
            <v>-43.5</v>
          </cell>
          <cell r="BO82">
            <v>-49.2</v>
          </cell>
          <cell r="BP82">
            <v>-55.8</v>
          </cell>
          <cell r="BQ82">
            <v>-54.9</v>
          </cell>
          <cell r="BR82">
            <v>-54.199999999999982</v>
          </cell>
          <cell r="BS82">
            <v>-50.1</v>
          </cell>
          <cell r="BT82">
            <v>-53.4</v>
          </cell>
          <cell r="BU82">
            <v>-53.9</v>
          </cell>
          <cell r="BV82">
            <v>-52.79999999999999</v>
          </cell>
          <cell r="BW82">
            <v>-103.1</v>
          </cell>
          <cell r="BX82">
            <v>-88.9</v>
          </cell>
          <cell r="BY82">
            <v>-83.7</v>
          </cell>
          <cell r="BZ82">
            <v>-63.9</v>
          </cell>
          <cell r="CA82">
            <v>-73</v>
          </cell>
          <cell r="CB82">
            <v>-75.900000000000006</v>
          </cell>
          <cell r="CC82">
            <v>-69.5</v>
          </cell>
          <cell r="CD82">
            <v>-60</v>
          </cell>
          <cell r="CE82">
            <v>-60.5</v>
          </cell>
          <cell r="CF82">
            <v>-59.5</v>
          </cell>
          <cell r="CG82">
            <v>-59.6</v>
          </cell>
          <cell r="CH82">
            <v>-68.8</v>
          </cell>
        </row>
        <row r="83">
          <cell r="A83" t="str">
            <v>x</v>
          </cell>
          <cell r="B83" t="str">
            <v>qpop</v>
          </cell>
          <cell r="C83" t="str">
            <v>Operating profit (non-financial)</v>
          </cell>
          <cell r="D83">
            <v>1000000</v>
          </cell>
          <cell r="BJ83">
            <v>2363.6000000000035</v>
          </cell>
          <cell r="BK83">
            <v>774.39999999999964</v>
          </cell>
          <cell r="BL83">
            <v>653.49999999999932</v>
          </cell>
          <cell r="BM83">
            <v>438.80000000000217</v>
          </cell>
          <cell r="BN83">
            <v>754.60000000000218</v>
          </cell>
          <cell r="BO83">
            <v>976.00000000000068</v>
          </cell>
          <cell r="BP83">
            <v>1135.9999999999993</v>
          </cell>
          <cell r="BQ83">
            <v>820.20000000000039</v>
          </cell>
          <cell r="BR83">
            <v>1449.3000000000018</v>
          </cell>
          <cell r="BS83">
            <v>1173.2999999999979</v>
          </cell>
          <cell r="BT83">
            <v>1006.5999999999982</v>
          </cell>
          <cell r="BU83">
            <v>709.49999999999966</v>
          </cell>
          <cell r="BV83">
            <v>1308.7999999999913</v>
          </cell>
          <cell r="BW83">
            <v>979.10000000000252</v>
          </cell>
          <cell r="BX83">
            <v>-12.899999999998187</v>
          </cell>
          <cell r="BY83">
            <v>-2083.9000000000005</v>
          </cell>
          <cell r="BZ83">
            <v>1292.3000000000006</v>
          </cell>
          <cell r="CA83">
            <v>813.60000000000036</v>
          </cell>
          <cell r="CB83">
            <v>319.99999999999966</v>
          </cell>
          <cell r="CC83">
            <v>149.39999999999964</v>
          </cell>
          <cell r="CD83">
            <v>-233.79999999999927</v>
          </cell>
          <cell r="CE83">
            <v>538.69999999999891</v>
          </cell>
          <cell r="CF83">
            <v>332.89999999999964</v>
          </cell>
          <cell r="CG83">
            <v>580.00000000000034</v>
          </cell>
          <cell r="CH83">
            <v>860.39999999999895</v>
          </cell>
        </row>
        <row r="84">
          <cell r="A84" t="str">
            <v>x</v>
          </cell>
          <cell r="B84" t="str">
            <v>qpii</v>
          </cell>
          <cell r="C84" t="str">
            <v>Interest income</v>
          </cell>
          <cell r="D84">
            <v>1000000</v>
          </cell>
        </row>
        <row r="85">
          <cell r="A85" t="str">
            <v>x</v>
          </cell>
          <cell r="B85" t="str">
            <v>qpie</v>
          </cell>
          <cell r="C85" t="str">
            <v>Interest expense</v>
          </cell>
          <cell r="D85">
            <v>1000000</v>
          </cell>
          <cell r="BJ85">
            <v>-49.9</v>
          </cell>
          <cell r="BK85">
            <v>-0.9</v>
          </cell>
          <cell r="BL85">
            <v>-21.1</v>
          </cell>
          <cell r="BM85">
            <v>-34.9</v>
          </cell>
          <cell r="BN85">
            <v>-70.599999999999994</v>
          </cell>
          <cell r="BO85">
            <v>-36.200000000000003</v>
          </cell>
          <cell r="BP85">
            <v>-24</v>
          </cell>
          <cell r="BQ85">
            <v>-12.2</v>
          </cell>
          <cell r="BR85">
            <v>-26.000000000000004</v>
          </cell>
          <cell r="BS85">
            <v>-45.5</v>
          </cell>
          <cell r="BT85">
            <v>-37.299999999999997</v>
          </cell>
          <cell r="BU85">
            <v>-34</v>
          </cell>
          <cell r="BV85">
            <v>-48.600000000000009</v>
          </cell>
          <cell r="BW85">
            <v>-84.6</v>
          </cell>
          <cell r="BX85">
            <v>-70.900000000000006</v>
          </cell>
          <cell r="BY85">
            <v>-63.5</v>
          </cell>
          <cell r="BZ85">
            <v>-95.2</v>
          </cell>
          <cell r="CA85">
            <v>-120.9</v>
          </cell>
          <cell r="CB85">
            <v>-85.3</v>
          </cell>
          <cell r="CC85">
            <v>-71.5</v>
          </cell>
          <cell r="CD85">
            <v>-119.8</v>
          </cell>
          <cell r="CE85">
            <v>-179.4</v>
          </cell>
          <cell r="CF85">
            <v>-55.3</v>
          </cell>
          <cell r="CG85">
            <v>-54.3</v>
          </cell>
          <cell r="CH85">
            <v>-64.599999999999994</v>
          </cell>
        </row>
        <row r="86">
          <cell r="B86" t="str">
            <v>qpni</v>
          </cell>
          <cell r="C86" t="str">
            <v>Net interest income</v>
          </cell>
          <cell r="D86">
            <v>1000000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-49.9</v>
          </cell>
          <cell r="BK86">
            <v>-0.9</v>
          </cell>
          <cell r="BL86">
            <v>-21.1</v>
          </cell>
          <cell r="BM86">
            <v>-34.9</v>
          </cell>
          <cell r="BN86">
            <v>-70.599999999999994</v>
          </cell>
          <cell r="BO86">
            <v>-36.200000000000003</v>
          </cell>
          <cell r="BP86">
            <v>-24</v>
          </cell>
          <cell r="BQ86">
            <v>-12.2</v>
          </cell>
          <cell r="BR86">
            <v>-26.000000000000004</v>
          </cell>
          <cell r="BS86">
            <v>-45.5</v>
          </cell>
          <cell r="BT86">
            <v>-37.299999999999997</v>
          </cell>
          <cell r="BU86">
            <v>-34</v>
          </cell>
          <cell r="BV86">
            <v>-48.600000000000009</v>
          </cell>
          <cell r="BW86">
            <v>-84.6</v>
          </cell>
          <cell r="BX86">
            <v>-70.900000000000006</v>
          </cell>
          <cell r="BY86">
            <v>-63.5</v>
          </cell>
          <cell r="BZ86">
            <v>-95.2</v>
          </cell>
          <cell r="CA86">
            <v>-120.9</v>
          </cell>
          <cell r="CB86">
            <v>-85.3</v>
          </cell>
          <cell r="CC86">
            <v>-71.5</v>
          </cell>
          <cell r="CD86">
            <v>-119.8</v>
          </cell>
          <cell r="CE86">
            <v>-179.4</v>
          </cell>
          <cell r="CF86">
            <v>-55.3</v>
          </cell>
          <cell r="CG86">
            <v>-54.3</v>
          </cell>
          <cell r="CH86">
            <v>-64.599999999999994</v>
          </cell>
          <cell r="CI86">
            <v>0</v>
          </cell>
          <cell r="CJ86">
            <v>0</v>
          </cell>
          <cell r="CK86">
            <v>0</v>
          </cell>
          <cell r="CL86">
            <v>0</v>
          </cell>
        </row>
        <row r="87">
          <cell r="A87" t="str">
            <v>x</v>
          </cell>
          <cell r="B87" t="str">
            <v>qpfx</v>
          </cell>
          <cell r="C87" t="str">
            <v>FX losses income/(expense)</v>
          </cell>
          <cell r="D87">
            <v>1000000</v>
          </cell>
        </row>
        <row r="88">
          <cell r="B88" t="str">
            <v>qpri</v>
          </cell>
          <cell r="C88" t="str">
            <v>Rental income</v>
          </cell>
          <cell r="D88">
            <v>1000000</v>
          </cell>
        </row>
        <row r="89">
          <cell r="B89" t="str">
            <v>qpfc</v>
          </cell>
          <cell r="C89" t="str">
            <v>Fee/Commission income</v>
          </cell>
          <cell r="D89">
            <v>1000000</v>
          </cell>
        </row>
        <row r="90">
          <cell r="B90" t="str">
            <v>qpoo</v>
          </cell>
          <cell r="C90" t="str">
            <v>Other income</v>
          </cell>
          <cell r="D90">
            <v>1000000</v>
          </cell>
          <cell r="BJ90">
            <v>443</v>
          </cell>
          <cell r="BK90">
            <v>268.79999999999995</v>
          </cell>
          <cell r="BL90">
            <v>245.5</v>
          </cell>
          <cell r="BM90">
            <v>197</v>
          </cell>
          <cell r="BN90">
            <v>250.79999999999995</v>
          </cell>
          <cell r="BO90">
            <v>214.79999999999998</v>
          </cell>
          <cell r="BP90">
            <v>219.8</v>
          </cell>
          <cell r="BQ90">
            <v>174.8</v>
          </cell>
          <cell r="BR90">
            <v>175.20000000000005</v>
          </cell>
          <cell r="BS90">
            <v>245.8</v>
          </cell>
          <cell r="BT90">
            <v>208.70000000000002</v>
          </cell>
          <cell r="BU90">
            <v>160.70000000000002</v>
          </cell>
          <cell r="BV90">
            <v>194.59999999999994</v>
          </cell>
          <cell r="BW90">
            <v>194.79999999999998</v>
          </cell>
          <cell r="BX90">
            <v>421.1</v>
          </cell>
          <cell r="BY90">
            <v>271.79999999999995</v>
          </cell>
          <cell r="BZ90">
            <v>184.29999999999998</v>
          </cell>
          <cell r="CA90">
            <v>401.9</v>
          </cell>
          <cell r="CB90">
            <v>226.5</v>
          </cell>
          <cell r="CC90">
            <v>266.7</v>
          </cell>
          <cell r="CD90">
            <v>175.2</v>
          </cell>
          <cell r="CE90">
            <v>236.29999999999998</v>
          </cell>
          <cell r="CF90">
            <v>342.5</v>
          </cell>
          <cell r="CG90">
            <v>214.5</v>
          </cell>
          <cell r="CH90">
            <v>432.3</v>
          </cell>
        </row>
        <row r="91">
          <cell r="B91" t="str">
            <v>qpti</v>
          </cell>
          <cell r="C91" t="str">
            <v>Total non-interest non-op income</v>
          </cell>
          <cell r="D91">
            <v>1000000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443</v>
          </cell>
          <cell r="BK91">
            <v>268.79999999999995</v>
          </cell>
          <cell r="BL91">
            <v>245.5</v>
          </cell>
          <cell r="BM91">
            <v>197</v>
          </cell>
          <cell r="BN91">
            <v>250.79999999999995</v>
          </cell>
          <cell r="BO91">
            <v>214.79999999999998</v>
          </cell>
          <cell r="BP91">
            <v>219.8</v>
          </cell>
          <cell r="BQ91">
            <v>174.8</v>
          </cell>
          <cell r="BR91">
            <v>175.20000000000005</v>
          </cell>
          <cell r="BS91">
            <v>245.8</v>
          </cell>
          <cell r="BT91">
            <v>208.70000000000002</v>
          </cell>
          <cell r="BU91">
            <v>160.70000000000002</v>
          </cell>
          <cell r="BV91">
            <v>194.59999999999994</v>
          </cell>
          <cell r="BW91">
            <v>194.79999999999998</v>
          </cell>
          <cell r="BX91">
            <v>421.1</v>
          </cell>
          <cell r="BY91">
            <v>271.79999999999995</v>
          </cell>
          <cell r="BZ91">
            <v>184.29999999999998</v>
          </cell>
          <cell r="CA91">
            <v>401.9</v>
          </cell>
          <cell r="CB91">
            <v>226.5</v>
          </cell>
          <cell r="CC91">
            <v>266.7</v>
          </cell>
          <cell r="CD91">
            <v>175.2</v>
          </cell>
          <cell r="CE91">
            <v>236.29999999999998</v>
          </cell>
          <cell r="CF91">
            <v>342.5</v>
          </cell>
          <cell r="CG91">
            <v>214.5</v>
          </cell>
          <cell r="CH91">
            <v>432.3</v>
          </cell>
          <cell r="CI91">
            <v>0</v>
          </cell>
          <cell r="CJ91">
            <v>0</v>
          </cell>
          <cell r="CK91">
            <v>0</v>
          </cell>
          <cell r="CL91">
            <v>0</v>
          </cell>
        </row>
        <row r="92">
          <cell r="B92" t="str">
            <v>qppi</v>
          </cell>
          <cell r="C92" t="str">
            <v>Non operating revenue (financial etc.)</v>
          </cell>
          <cell r="D92">
            <v>1000000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393.1</v>
          </cell>
          <cell r="BK92">
            <v>267.89999999999998</v>
          </cell>
          <cell r="BL92">
            <v>224.4</v>
          </cell>
          <cell r="BM92">
            <v>162.1</v>
          </cell>
          <cell r="BN92">
            <v>180.19999999999996</v>
          </cell>
          <cell r="BO92">
            <v>178.59999999999997</v>
          </cell>
          <cell r="BP92">
            <v>195.8</v>
          </cell>
          <cell r="BQ92">
            <v>162.60000000000002</v>
          </cell>
          <cell r="BR92">
            <v>149.20000000000005</v>
          </cell>
          <cell r="BS92">
            <v>200.3</v>
          </cell>
          <cell r="BT92">
            <v>171.40000000000003</v>
          </cell>
          <cell r="BU92">
            <v>126.70000000000002</v>
          </cell>
          <cell r="BV92">
            <v>145.99999999999994</v>
          </cell>
          <cell r="BW92">
            <v>110.19999999999999</v>
          </cell>
          <cell r="BX92">
            <v>350.20000000000005</v>
          </cell>
          <cell r="BY92">
            <v>208.29999999999995</v>
          </cell>
          <cell r="BZ92">
            <v>89.09999999999998</v>
          </cell>
          <cell r="CA92">
            <v>281</v>
          </cell>
          <cell r="CB92">
            <v>141.19999999999999</v>
          </cell>
          <cell r="CC92">
            <v>195.2</v>
          </cell>
          <cell r="CD92">
            <v>55.399999999999991</v>
          </cell>
          <cell r="CE92">
            <v>56.899999999999977</v>
          </cell>
          <cell r="CF92">
            <v>287.2</v>
          </cell>
          <cell r="CG92">
            <v>160.19999999999999</v>
          </cell>
          <cell r="CH92">
            <v>367.70000000000005</v>
          </cell>
          <cell r="CI92">
            <v>0</v>
          </cell>
          <cell r="CJ92">
            <v>0</v>
          </cell>
          <cell r="CK92">
            <v>0</v>
          </cell>
          <cell r="CL92">
            <v>0</v>
          </cell>
        </row>
        <row r="93">
          <cell r="B93" t="str">
            <v>qprx</v>
          </cell>
          <cell r="C93" t="str">
            <v>Re-insurance expenses</v>
          </cell>
          <cell r="D93">
            <v>1000000</v>
          </cell>
        </row>
        <row r="94">
          <cell r="B94" t="str">
            <v>qpcx</v>
          </cell>
          <cell r="C94" t="str">
            <v>Commissions paid</v>
          </cell>
          <cell r="D94">
            <v>1000000</v>
          </cell>
        </row>
        <row r="95">
          <cell r="B95" t="str">
            <v>qpsr</v>
          </cell>
          <cell r="C95" t="str">
            <v>Staff and related expenses</v>
          </cell>
          <cell r="D95">
            <v>1000000</v>
          </cell>
        </row>
        <row r="96">
          <cell r="B96" t="str">
            <v>qprl</v>
          </cell>
          <cell r="C96" t="str">
            <v>Property related expenses</v>
          </cell>
          <cell r="D96">
            <v>1000000</v>
          </cell>
        </row>
        <row r="97">
          <cell r="B97" t="str">
            <v>qpox</v>
          </cell>
          <cell r="C97" t="str">
            <v>Other expenses</v>
          </cell>
          <cell r="D97">
            <v>1000000</v>
          </cell>
        </row>
        <row r="98">
          <cell r="B98" t="str">
            <v>qpxp</v>
          </cell>
          <cell r="C98" t="str">
            <v>Total non-operating expenses</v>
          </cell>
          <cell r="D98">
            <v>1000000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row>
        <row r="99">
          <cell r="B99" t="str">
            <v>qppb</v>
          </cell>
          <cell r="C99" t="str">
            <v>Non operating profit before provisions</v>
          </cell>
          <cell r="D99">
            <v>1000000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393.1</v>
          </cell>
          <cell r="BK99">
            <v>267.89999999999998</v>
          </cell>
          <cell r="BL99">
            <v>224.4</v>
          </cell>
          <cell r="BM99">
            <v>162.1</v>
          </cell>
          <cell r="BN99">
            <v>180.19999999999996</v>
          </cell>
          <cell r="BO99">
            <v>178.59999999999997</v>
          </cell>
          <cell r="BP99">
            <v>195.8</v>
          </cell>
          <cell r="BQ99">
            <v>162.60000000000002</v>
          </cell>
          <cell r="BR99">
            <v>149.20000000000005</v>
          </cell>
          <cell r="BS99">
            <v>200.3</v>
          </cell>
          <cell r="BT99">
            <v>171.40000000000003</v>
          </cell>
          <cell r="BU99">
            <v>126.70000000000002</v>
          </cell>
          <cell r="BV99">
            <v>145.99999999999994</v>
          </cell>
          <cell r="BW99">
            <v>110.19999999999999</v>
          </cell>
          <cell r="BX99">
            <v>350.20000000000005</v>
          </cell>
          <cell r="BY99">
            <v>208.29999999999995</v>
          </cell>
          <cell r="BZ99">
            <v>89.09999999999998</v>
          </cell>
          <cell r="CA99">
            <v>281</v>
          </cell>
          <cell r="CB99">
            <v>141.19999999999999</v>
          </cell>
          <cell r="CC99">
            <v>195.2</v>
          </cell>
          <cell r="CD99">
            <v>55.399999999999991</v>
          </cell>
          <cell r="CE99">
            <v>56.899999999999977</v>
          </cell>
          <cell r="CF99">
            <v>287.2</v>
          </cell>
          <cell r="CG99">
            <v>160.19999999999999</v>
          </cell>
          <cell r="CH99">
            <v>367.70000000000005</v>
          </cell>
          <cell r="CI99">
            <v>0</v>
          </cell>
          <cell r="CJ99">
            <v>0</v>
          </cell>
          <cell r="CK99">
            <v>0</v>
          </cell>
          <cell r="CL99">
            <v>0</v>
          </cell>
        </row>
        <row r="100">
          <cell r="B100" t="str">
            <v>qpsv</v>
          </cell>
          <cell r="C100" t="str">
            <v>Specific provisions</v>
          </cell>
          <cell r="D100">
            <v>1000000</v>
          </cell>
        </row>
        <row r="101">
          <cell r="B101" t="str">
            <v>qpgv</v>
          </cell>
          <cell r="C101" t="str">
            <v>General provisions</v>
          </cell>
          <cell r="D101">
            <v>1000000</v>
          </cell>
        </row>
        <row r="102">
          <cell r="B102" t="str">
            <v>qpov</v>
          </cell>
          <cell r="C102" t="str">
            <v>Other provisions</v>
          </cell>
          <cell r="D102">
            <v>1000000</v>
          </cell>
        </row>
        <row r="103">
          <cell r="B103" t="str">
            <v>qppl</v>
          </cell>
          <cell r="C103" t="str">
            <v>Total provisions for loan losses</v>
          </cell>
          <cell r="D103">
            <v>1000000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row>
        <row r="104">
          <cell r="B104" t="str">
            <v>qpof</v>
          </cell>
          <cell r="C104" t="str">
            <v>Non operating profit (financial etc.)</v>
          </cell>
          <cell r="D104">
            <v>1000000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393.1</v>
          </cell>
          <cell r="BK104">
            <v>267.89999999999998</v>
          </cell>
          <cell r="BL104">
            <v>224.4</v>
          </cell>
          <cell r="BM104">
            <v>162.1</v>
          </cell>
          <cell r="BN104">
            <v>180.19999999999996</v>
          </cell>
          <cell r="BO104">
            <v>178.59999999999997</v>
          </cell>
          <cell r="BP104">
            <v>195.8</v>
          </cell>
          <cell r="BQ104">
            <v>162.60000000000002</v>
          </cell>
          <cell r="BR104">
            <v>149.20000000000005</v>
          </cell>
          <cell r="BS104">
            <v>200.3</v>
          </cell>
          <cell r="BT104">
            <v>171.40000000000003</v>
          </cell>
          <cell r="BU104">
            <v>126.70000000000002</v>
          </cell>
          <cell r="BV104">
            <v>145.99999999999994</v>
          </cell>
          <cell r="BW104">
            <v>110.19999999999999</v>
          </cell>
          <cell r="BX104">
            <v>350.20000000000005</v>
          </cell>
          <cell r="BY104">
            <v>208.29999999999995</v>
          </cell>
          <cell r="BZ104">
            <v>89.09999999999998</v>
          </cell>
          <cell r="CA104">
            <v>281</v>
          </cell>
          <cell r="CB104">
            <v>141.19999999999999</v>
          </cell>
          <cell r="CC104">
            <v>195.2</v>
          </cell>
          <cell r="CD104">
            <v>55.399999999999991</v>
          </cell>
          <cell r="CE104">
            <v>56.899999999999977</v>
          </cell>
          <cell r="CF104">
            <v>287.2</v>
          </cell>
          <cell r="CG104">
            <v>160.19999999999999</v>
          </cell>
          <cell r="CH104">
            <v>367.70000000000005</v>
          </cell>
          <cell r="CI104">
            <v>0</v>
          </cell>
          <cell r="CJ104">
            <v>0</v>
          </cell>
          <cell r="CK104">
            <v>0</v>
          </cell>
          <cell r="CL104">
            <v>0</v>
          </cell>
        </row>
        <row r="105">
          <cell r="B105" t="str">
            <v>qpin</v>
          </cell>
          <cell r="C105" t="str">
            <v>Investment income</v>
          </cell>
          <cell r="D105">
            <v>1000000</v>
          </cell>
        </row>
        <row r="106">
          <cell r="B106" t="str">
            <v>qpai</v>
          </cell>
          <cell r="C106" t="str">
            <v>Associate income</v>
          </cell>
          <cell r="D106">
            <v>1000000</v>
          </cell>
        </row>
        <row r="107">
          <cell r="A107" t="str">
            <v>x</v>
          </cell>
          <cell r="B107" t="str">
            <v>qpoi</v>
          </cell>
          <cell r="C107" t="str">
            <v>Other income/expense</v>
          </cell>
          <cell r="D107">
            <v>1000000</v>
          </cell>
        </row>
        <row r="108">
          <cell r="A108" t="str">
            <v>x</v>
          </cell>
          <cell r="B108" t="str">
            <v>qpei</v>
          </cell>
          <cell r="C108" t="str">
            <v>Exceptional items</v>
          </cell>
          <cell r="D108">
            <v>1000000</v>
          </cell>
        </row>
        <row r="110">
          <cell r="A110" t="str">
            <v>x</v>
          </cell>
          <cell r="B110" t="str">
            <v>qppt</v>
          </cell>
          <cell r="C110" t="str">
            <v>Profit before taxation</v>
          </cell>
          <cell r="D110">
            <v>1000000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2756.7000000000035</v>
          </cell>
          <cell r="BK110">
            <v>1042.2999999999997</v>
          </cell>
          <cell r="BL110">
            <v>877.8999999999993</v>
          </cell>
          <cell r="BM110">
            <v>600.90000000000214</v>
          </cell>
          <cell r="BN110">
            <v>934.80000000000211</v>
          </cell>
          <cell r="BO110">
            <v>1154.6000000000006</v>
          </cell>
          <cell r="BP110">
            <v>1331.7999999999993</v>
          </cell>
          <cell r="BQ110">
            <v>982.80000000000041</v>
          </cell>
          <cell r="BR110">
            <v>1598.5000000000018</v>
          </cell>
          <cell r="BS110">
            <v>1373.5999999999979</v>
          </cell>
          <cell r="BT110">
            <v>1177.9999999999982</v>
          </cell>
          <cell r="BU110">
            <v>836.1999999999997</v>
          </cell>
          <cell r="BV110">
            <v>1454.7999999999913</v>
          </cell>
          <cell r="BW110">
            <v>1089.3000000000025</v>
          </cell>
          <cell r="BX110">
            <v>337.30000000000189</v>
          </cell>
          <cell r="BY110">
            <v>-1875.6000000000006</v>
          </cell>
          <cell r="BZ110">
            <v>1381.4000000000005</v>
          </cell>
          <cell r="CA110">
            <v>1094.6000000000004</v>
          </cell>
          <cell r="CB110">
            <v>461.19999999999965</v>
          </cell>
          <cell r="CC110">
            <v>344.59999999999962</v>
          </cell>
          <cell r="CD110">
            <v>-178.3999999999993</v>
          </cell>
          <cell r="CE110">
            <v>595.59999999999889</v>
          </cell>
          <cell r="CF110">
            <v>620.09999999999968</v>
          </cell>
          <cell r="CG110">
            <v>740.20000000000027</v>
          </cell>
          <cell r="CH110">
            <v>1228.099999999999</v>
          </cell>
          <cell r="CI110">
            <v>0</v>
          </cell>
          <cell r="CJ110">
            <v>0</v>
          </cell>
          <cell r="CK110">
            <v>0</v>
          </cell>
          <cell r="CL110">
            <v>0</v>
          </cell>
        </row>
        <row r="111">
          <cell r="B111" t="str">
            <v>qptd</v>
          </cell>
          <cell r="C111" t="str">
            <v>Provision for deferred taxation</v>
          </cell>
          <cell r="D111">
            <v>1000000</v>
          </cell>
        </row>
        <row r="112">
          <cell r="B112" t="str">
            <v>qptc</v>
          </cell>
          <cell r="C112" t="str">
            <v>Provision for current taxation</v>
          </cell>
          <cell r="D112">
            <v>1000000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-996.6</v>
          </cell>
          <cell r="BK112">
            <v>-397</v>
          </cell>
          <cell r="BL112">
            <v>-297.8</v>
          </cell>
          <cell r="BM112">
            <v>-180.1</v>
          </cell>
          <cell r="BN112">
            <v>-296.89999999999998</v>
          </cell>
          <cell r="BO112">
            <v>-386.6</v>
          </cell>
          <cell r="BP112">
            <v>-415.2</v>
          </cell>
          <cell r="BQ112">
            <v>-311.7</v>
          </cell>
          <cell r="BR112">
            <v>-358.79999999999978</v>
          </cell>
          <cell r="BS112">
            <v>-429</v>
          </cell>
          <cell r="BT112">
            <v>-453.4</v>
          </cell>
          <cell r="BU112">
            <v>-302.39999999999998</v>
          </cell>
          <cell r="BV112">
            <v>-543.90000000000009</v>
          </cell>
          <cell r="BW112">
            <v>-581.5</v>
          </cell>
          <cell r="BX112">
            <v>-176.8</v>
          </cell>
          <cell r="BY112">
            <v>543.70000000000005</v>
          </cell>
          <cell r="BZ112">
            <v>-359.5</v>
          </cell>
          <cell r="CA112">
            <v>-316</v>
          </cell>
          <cell r="CB112">
            <v>-176.9</v>
          </cell>
          <cell r="CC112">
            <v>-180.7</v>
          </cell>
          <cell r="CD112">
            <v>-54</v>
          </cell>
          <cell r="CE112">
            <v>-189.5</v>
          </cell>
          <cell r="CF112">
            <v>-196.3</v>
          </cell>
          <cell r="CG112">
            <v>-163.5</v>
          </cell>
          <cell r="CH112">
            <v>-392</v>
          </cell>
          <cell r="CI112">
            <v>0</v>
          </cell>
          <cell r="CJ112">
            <v>0</v>
          </cell>
          <cell r="CK112">
            <v>0</v>
          </cell>
          <cell r="CL112">
            <v>0</v>
          </cell>
        </row>
        <row r="116">
          <cell r="A116" t="str">
            <v>x</v>
          </cell>
          <cell r="B116" t="str">
            <v>qpta</v>
          </cell>
          <cell r="C116" t="str">
            <v>Total provision for taxation</v>
          </cell>
          <cell r="D116">
            <v>1000000</v>
          </cell>
          <cell r="BJ116">
            <v>-996.6</v>
          </cell>
          <cell r="BK116">
            <v>-397</v>
          </cell>
          <cell r="BL116">
            <v>-297.8</v>
          </cell>
          <cell r="BM116">
            <v>-180.1</v>
          </cell>
          <cell r="BN116">
            <v>-296.89999999999998</v>
          </cell>
          <cell r="BO116">
            <v>-386.6</v>
          </cell>
          <cell r="BP116">
            <v>-415.2</v>
          </cell>
          <cell r="BQ116">
            <v>-311.7</v>
          </cell>
          <cell r="BR116">
            <v>-358.79999999999978</v>
          </cell>
          <cell r="BS116">
            <v>-429</v>
          </cell>
          <cell r="BT116">
            <v>-453.4</v>
          </cell>
          <cell r="BU116">
            <v>-302.39999999999998</v>
          </cell>
          <cell r="BV116">
            <v>-543.90000000000009</v>
          </cell>
          <cell r="BW116">
            <v>-581.5</v>
          </cell>
          <cell r="BX116">
            <v>-176.8</v>
          </cell>
          <cell r="BY116">
            <v>543.70000000000005</v>
          </cell>
          <cell r="BZ116">
            <v>-359.5</v>
          </cell>
          <cell r="CA116">
            <v>-316</v>
          </cell>
          <cell r="CB116">
            <v>-176.9</v>
          </cell>
          <cell r="CC116">
            <v>-180.7</v>
          </cell>
          <cell r="CD116">
            <v>-54</v>
          </cell>
          <cell r="CE116">
            <v>-189.5</v>
          </cell>
          <cell r="CF116">
            <v>-196.3</v>
          </cell>
          <cell r="CG116">
            <v>-163.5</v>
          </cell>
          <cell r="CH116">
            <v>-392</v>
          </cell>
        </row>
        <row r="117">
          <cell r="B117" t="str">
            <v>qpat</v>
          </cell>
          <cell r="C117" t="str">
            <v>Profit ater tax before minorities</v>
          </cell>
          <cell r="D117">
            <v>1000000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1760.1000000000035</v>
          </cell>
          <cell r="BK117">
            <v>645.29999999999973</v>
          </cell>
          <cell r="BL117">
            <v>580.09999999999923</v>
          </cell>
          <cell r="BM117">
            <v>420.80000000000211</v>
          </cell>
          <cell r="BN117">
            <v>637.90000000000214</v>
          </cell>
          <cell r="BO117">
            <v>768.00000000000057</v>
          </cell>
          <cell r="BP117">
            <v>916.59999999999923</v>
          </cell>
          <cell r="BQ117">
            <v>671.10000000000036</v>
          </cell>
          <cell r="BR117">
            <v>1239.7000000000021</v>
          </cell>
          <cell r="BS117">
            <v>944.59999999999786</v>
          </cell>
          <cell r="BT117">
            <v>724.5999999999982</v>
          </cell>
          <cell r="BU117">
            <v>533.79999999999973</v>
          </cell>
          <cell r="BV117">
            <v>910.89999999999122</v>
          </cell>
          <cell r="BW117">
            <v>507.80000000000246</v>
          </cell>
          <cell r="BX117">
            <v>160.50000000000188</v>
          </cell>
          <cell r="BY117">
            <v>-1331.9000000000005</v>
          </cell>
          <cell r="BZ117">
            <v>1021.9000000000005</v>
          </cell>
          <cell r="CA117">
            <v>778.60000000000036</v>
          </cell>
          <cell r="CB117">
            <v>284.29999999999961</v>
          </cell>
          <cell r="CC117">
            <v>163.89999999999964</v>
          </cell>
          <cell r="CD117">
            <v>-232.3999999999993</v>
          </cell>
          <cell r="CE117">
            <v>406.09999999999889</v>
          </cell>
          <cell r="CF117">
            <v>423.79999999999967</v>
          </cell>
          <cell r="CG117">
            <v>576.70000000000027</v>
          </cell>
          <cell r="CH117">
            <v>836.099999999999</v>
          </cell>
          <cell r="CI117">
            <v>0</v>
          </cell>
          <cell r="CJ117">
            <v>0</v>
          </cell>
          <cell r="CK117">
            <v>0</v>
          </cell>
          <cell r="CL117">
            <v>0</v>
          </cell>
        </row>
        <row r="118">
          <cell r="A118" t="str">
            <v>x</v>
          </cell>
          <cell r="B118" t="str">
            <v>qpmi</v>
          </cell>
          <cell r="C118" t="str">
            <v>Minority interests</v>
          </cell>
          <cell r="D118">
            <v>1000000</v>
          </cell>
          <cell r="BJ118">
            <v>0.8</v>
          </cell>
          <cell r="BK118">
            <v>-2.5</v>
          </cell>
          <cell r="BL118">
            <v>-0.8</v>
          </cell>
          <cell r="BM118">
            <v>-6.1</v>
          </cell>
          <cell r="BN118">
            <v>-22</v>
          </cell>
          <cell r="BO118">
            <v>-6.6</v>
          </cell>
          <cell r="BP118">
            <v>-13.1</v>
          </cell>
          <cell r="BQ118">
            <v>-7.7</v>
          </cell>
          <cell r="BR118">
            <v>-8.3000000000000007</v>
          </cell>
          <cell r="BS118">
            <v>-4.8</v>
          </cell>
          <cell r="BT118">
            <v>21.9</v>
          </cell>
          <cell r="BU118">
            <v>17.2</v>
          </cell>
          <cell r="BV118">
            <v>22.3</v>
          </cell>
          <cell r="BW118">
            <v>-4.5999999999999996</v>
          </cell>
          <cell r="BX118">
            <v>8.4</v>
          </cell>
          <cell r="BY118">
            <v>5.8</v>
          </cell>
          <cell r="BZ118">
            <v>-9.1999999999999993</v>
          </cell>
          <cell r="CA118">
            <v>1.5</v>
          </cell>
          <cell r="CB118">
            <v>-0.4</v>
          </cell>
          <cell r="CC118">
            <v>6.7</v>
          </cell>
          <cell r="CD118">
            <v>-0.7</v>
          </cell>
          <cell r="CE118">
            <v>2.2000000000000002</v>
          </cell>
          <cell r="CF118">
            <v>-1</v>
          </cell>
          <cell r="CG118">
            <v>0</v>
          </cell>
          <cell r="CH118">
            <v>-5.7</v>
          </cell>
        </row>
        <row r="119">
          <cell r="B119" t="str">
            <v>qpbd</v>
          </cell>
          <cell r="C119" t="str">
            <v>Net profit before preference div</v>
          </cell>
          <cell r="D119">
            <v>1000000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1760.9000000000035</v>
          </cell>
          <cell r="BK119">
            <v>642.79999999999973</v>
          </cell>
          <cell r="BL119">
            <v>579.29999999999927</v>
          </cell>
          <cell r="BM119">
            <v>414.70000000000209</v>
          </cell>
          <cell r="BN119">
            <v>615.90000000000214</v>
          </cell>
          <cell r="BO119">
            <v>761.40000000000055</v>
          </cell>
          <cell r="BP119">
            <v>903.4999999999992</v>
          </cell>
          <cell r="BQ119">
            <v>663.40000000000032</v>
          </cell>
          <cell r="BR119">
            <v>1231.4000000000021</v>
          </cell>
          <cell r="BS119">
            <v>939.79999999999791</v>
          </cell>
          <cell r="BT119">
            <v>746.49999999999818</v>
          </cell>
          <cell r="BU119">
            <v>550.99999999999977</v>
          </cell>
          <cell r="BV119">
            <v>933.19999999999118</v>
          </cell>
          <cell r="BW119">
            <v>503.20000000000243</v>
          </cell>
          <cell r="BX119">
            <v>168.90000000000188</v>
          </cell>
          <cell r="BY119">
            <v>-1326.1000000000006</v>
          </cell>
          <cell r="BZ119">
            <v>1012.7000000000005</v>
          </cell>
          <cell r="CA119">
            <v>780.10000000000036</v>
          </cell>
          <cell r="CB119">
            <v>283.89999999999964</v>
          </cell>
          <cell r="CC119">
            <v>170.59999999999962</v>
          </cell>
          <cell r="CD119">
            <v>-233.09999999999928</v>
          </cell>
          <cell r="CE119">
            <v>408.29999999999887</v>
          </cell>
          <cell r="CF119">
            <v>422.79999999999967</v>
          </cell>
          <cell r="CG119">
            <v>576.70000000000027</v>
          </cell>
          <cell r="CH119">
            <v>830.39999999999895</v>
          </cell>
          <cell r="CI119">
            <v>0</v>
          </cell>
          <cell r="CJ119">
            <v>0</v>
          </cell>
          <cell r="CK119">
            <v>0</v>
          </cell>
          <cell r="CL119">
            <v>0</v>
          </cell>
        </row>
        <row r="120">
          <cell r="B120" t="str">
            <v>qpdr</v>
          </cell>
          <cell r="C120" t="str">
            <v>Dividends payable to preference shares</v>
          </cell>
          <cell r="D120">
            <v>1000000</v>
          </cell>
        </row>
        <row r="121">
          <cell r="A121" t="str">
            <v>x</v>
          </cell>
          <cell r="B121" t="str">
            <v>qpnp</v>
          </cell>
          <cell r="C121" t="str">
            <v>Net profit</v>
          </cell>
          <cell r="D121">
            <v>1000000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1760.9000000000035</v>
          </cell>
          <cell r="BK121">
            <v>642.79999999999973</v>
          </cell>
          <cell r="BL121">
            <v>579.29999999999927</v>
          </cell>
          <cell r="BM121">
            <v>414.70000000000209</v>
          </cell>
          <cell r="BN121">
            <v>615.90000000000214</v>
          </cell>
          <cell r="BO121">
            <v>761.40000000000055</v>
          </cell>
          <cell r="BP121">
            <v>903.4999999999992</v>
          </cell>
          <cell r="BQ121">
            <v>663.40000000000032</v>
          </cell>
          <cell r="BR121">
            <v>1231.4000000000021</v>
          </cell>
          <cell r="BS121">
            <v>939.79999999999791</v>
          </cell>
          <cell r="BT121">
            <v>746.49999999999818</v>
          </cell>
          <cell r="BU121">
            <v>550.99999999999977</v>
          </cell>
          <cell r="BV121">
            <v>933.19999999999118</v>
          </cell>
          <cell r="BW121">
            <v>503.20000000000243</v>
          </cell>
          <cell r="BX121">
            <v>168.90000000000188</v>
          </cell>
          <cell r="BY121">
            <v>-1326.1000000000006</v>
          </cell>
          <cell r="BZ121">
            <v>1012.7000000000005</v>
          </cell>
          <cell r="CA121">
            <v>780.10000000000036</v>
          </cell>
          <cell r="CB121">
            <v>283.89999999999964</v>
          </cell>
          <cell r="CC121">
            <v>170.59999999999962</v>
          </cell>
          <cell r="CD121">
            <v>-233.09999999999928</v>
          </cell>
          <cell r="CE121">
            <v>408.29999999999887</v>
          </cell>
          <cell r="CF121">
            <v>422.79999999999967</v>
          </cell>
          <cell r="CG121">
            <v>576.70000000000027</v>
          </cell>
          <cell r="CH121">
            <v>830.39999999999895</v>
          </cell>
          <cell r="CI121">
            <v>0</v>
          </cell>
          <cell r="CJ121">
            <v>0</v>
          </cell>
          <cell r="CK121">
            <v>0</v>
          </cell>
          <cell r="CL121">
            <v>0</v>
          </cell>
        </row>
        <row r="122">
          <cell r="A122" t="str">
            <v>x</v>
          </cell>
          <cell r="B122" t="str">
            <v>qpet</v>
          </cell>
          <cell r="C122" t="str">
            <v>Extraordinary &amp; other items</v>
          </cell>
          <cell r="D122">
            <v>1000000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315.89999999999998</v>
          </cell>
          <cell r="BK122">
            <v>192.3</v>
          </cell>
          <cell r="BL122">
            <v>30.7</v>
          </cell>
          <cell r="BM122">
            <v>-9.3000000000000007</v>
          </cell>
          <cell r="BN122">
            <v>47.599999999999994</v>
          </cell>
          <cell r="BO122">
            <v>28</v>
          </cell>
          <cell r="BP122">
            <v>-0.2</v>
          </cell>
          <cell r="BQ122">
            <v>93.5</v>
          </cell>
          <cell r="BR122">
            <v>128.89999999999998</v>
          </cell>
          <cell r="BS122">
            <v>-7.4</v>
          </cell>
          <cell r="BT122">
            <v>177.6</v>
          </cell>
          <cell r="BU122">
            <v>154.5</v>
          </cell>
          <cell r="BV122">
            <v>77.19999999999996</v>
          </cell>
          <cell r="BW122">
            <v>814.7</v>
          </cell>
          <cell r="BX122">
            <v>249.8</v>
          </cell>
          <cell r="BY122">
            <v>171.8</v>
          </cell>
          <cell r="BZ122">
            <v>25.4</v>
          </cell>
          <cell r="CA122">
            <v>11.1</v>
          </cell>
          <cell r="CB122">
            <v>145.4</v>
          </cell>
          <cell r="CC122">
            <v>597.5</v>
          </cell>
          <cell r="CD122">
            <v>322.3</v>
          </cell>
          <cell r="CE122">
            <v>-0.8</v>
          </cell>
          <cell r="CF122">
            <v>0</v>
          </cell>
          <cell r="CG122">
            <v>42.5</v>
          </cell>
          <cell r="CH122">
            <v>173.7</v>
          </cell>
        </row>
        <row r="123">
          <cell r="B123" t="str">
            <v>qpno</v>
          </cell>
          <cell r="C123" t="str">
            <v>Profit available to ordinary shares</v>
          </cell>
          <cell r="D123">
            <v>1000000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2076.8000000000034</v>
          </cell>
          <cell r="BK123">
            <v>835.09999999999968</v>
          </cell>
          <cell r="BL123">
            <v>609.99999999999932</v>
          </cell>
          <cell r="BM123">
            <v>405.40000000000208</v>
          </cell>
          <cell r="BN123">
            <v>663.50000000000216</v>
          </cell>
          <cell r="BO123">
            <v>789.40000000000055</v>
          </cell>
          <cell r="BP123">
            <v>903.29999999999916</v>
          </cell>
          <cell r="BQ123">
            <v>756.90000000000032</v>
          </cell>
          <cell r="BR123">
            <v>1360.300000000002</v>
          </cell>
          <cell r="BS123">
            <v>932.39999999999793</v>
          </cell>
          <cell r="BT123">
            <v>924.0999999999982</v>
          </cell>
          <cell r="BU123">
            <v>705.49999999999977</v>
          </cell>
          <cell r="BV123">
            <v>1010.3999999999911</v>
          </cell>
          <cell r="BW123">
            <v>1317.9000000000024</v>
          </cell>
          <cell r="BX123">
            <v>418.70000000000186</v>
          </cell>
          <cell r="BY123">
            <v>-1154.3000000000006</v>
          </cell>
          <cell r="BZ123">
            <v>1038.1000000000006</v>
          </cell>
          <cell r="CA123">
            <v>791.20000000000039</v>
          </cell>
          <cell r="CB123">
            <v>429.29999999999961</v>
          </cell>
          <cell r="CC123">
            <v>768.09999999999968</v>
          </cell>
          <cell r="CD123">
            <v>89.200000000000728</v>
          </cell>
          <cell r="CE123">
            <v>407.49999999999886</v>
          </cell>
          <cell r="CF123">
            <v>422.79999999999967</v>
          </cell>
          <cell r="CG123">
            <v>619.20000000000027</v>
          </cell>
          <cell r="CH123">
            <v>1004.099999999999</v>
          </cell>
          <cell r="CI123">
            <v>0</v>
          </cell>
          <cell r="CJ123">
            <v>0</v>
          </cell>
          <cell r="CK123">
            <v>0</v>
          </cell>
          <cell r="CL123">
            <v>0</v>
          </cell>
        </row>
        <row r="124">
          <cell r="A124" t="str">
            <v>x</v>
          </cell>
          <cell r="B124" t="str">
            <v>qpdp</v>
          </cell>
          <cell r="C124" t="str">
            <v>Dividends appropriated</v>
          </cell>
          <cell r="D124">
            <v>1000000</v>
          </cell>
        </row>
        <row r="130">
          <cell r="A130" t="str">
            <v>x</v>
          </cell>
          <cell r="B130" t="str">
            <v>qbca</v>
          </cell>
          <cell r="C130" t="str">
            <v>Total current assets</v>
          </cell>
          <cell r="D130">
            <v>1000000</v>
          </cell>
        </row>
        <row r="131">
          <cell r="A131" t="str">
            <v>x</v>
          </cell>
          <cell r="B131" t="str">
            <v>qbce</v>
          </cell>
          <cell r="C131" t="str">
            <v>Cash and equivalents</v>
          </cell>
          <cell r="D131">
            <v>1000000</v>
          </cell>
        </row>
        <row r="148">
          <cell r="A148" t="str">
            <v>x</v>
          </cell>
          <cell r="B148" t="str">
            <v>qbcl</v>
          </cell>
          <cell r="C148" t="str">
            <v>Current liabilities</v>
          </cell>
          <cell r="D148">
            <v>1000000</v>
          </cell>
        </row>
        <row r="149">
          <cell r="A149" t="str">
            <v>x</v>
          </cell>
          <cell r="B149" t="str">
            <v>qbdp</v>
          </cell>
          <cell r="C149" t="str">
            <v>Dividends payable</v>
          </cell>
          <cell r="D149">
            <v>1000000</v>
          </cell>
        </row>
        <row r="154">
          <cell r="B154" t="str">
            <v>qbtt</v>
          </cell>
          <cell r="C154" t="str">
            <v>TOTAL LIABLITIES</v>
          </cell>
          <cell r="D154">
            <v>1000000</v>
          </cell>
        </row>
        <row r="156">
          <cell r="A156" t="str">
            <v>x</v>
          </cell>
          <cell r="B156" t="str">
            <v>qbte</v>
          </cell>
          <cell r="C156" t="str">
            <v>TOTAL EQUITY</v>
          </cell>
          <cell r="D156">
            <v>1000000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ck"/>
      <sheetName val="LDCOMP"/>
      <sheetName val="V_Prperf"/>
      <sheetName val="TarPrice ML"/>
      <sheetName val="Tarprice1999"/>
      <sheetName val="CLEC"/>
      <sheetName val="Long Distance"/>
      <sheetName val="Sum of the Parts No FRO"/>
      <sheetName val="DATABOX"/>
      <sheetName val="ATT"/>
      <sheetName val="BEL"/>
      <sheetName val="BLS"/>
      <sheetName val="FON"/>
      <sheetName val="GC"/>
      <sheetName val="GTE"/>
      <sheetName val="MCI"/>
      <sheetName val="QWST"/>
      <sheetName val="SBC"/>
      <sheetName val="USW"/>
      <sheetName val="Intern.New"/>
      <sheetName val="Q-CAPX"/>
      <sheetName val="V_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D3" t="str">
            <v>SHARES OUT</v>
          </cell>
        </row>
        <row r="4">
          <cell r="AD4" t="str">
            <v>LAST RPTD</v>
          </cell>
        </row>
        <row r="6">
          <cell r="AD6">
            <v>1111.9000000000001</v>
          </cell>
        </row>
        <row r="7">
          <cell r="AD7">
            <v>35.636000000000003</v>
          </cell>
        </row>
        <row r="8">
          <cell r="AD8">
            <v>23.028000000000002</v>
          </cell>
        </row>
        <row r="9">
          <cell r="AD9">
            <v>282.5</v>
          </cell>
        </row>
        <row r="10">
          <cell r="AD10">
            <v>1581</v>
          </cell>
        </row>
        <row r="11">
          <cell r="AD11">
            <v>1909</v>
          </cell>
        </row>
        <row r="12">
          <cell r="AD12">
            <v>140.9</v>
          </cell>
        </row>
        <row r="13">
          <cell r="AD13">
            <v>224.01297858900466</v>
          </cell>
        </row>
        <row r="14">
          <cell r="AD14">
            <v>142</v>
          </cell>
        </row>
        <row r="15">
          <cell r="AD15">
            <v>260.10000000000002</v>
          </cell>
        </row>
        <row r="16">
          <cell r="AD16">
            <v>49.822000000000003</v>
          </cell>
        </row>
        <row r="17">
          <cell r="AD17">
            <v>49.695999999999998</v>
          </cell>
        </row>
        <row r="18">
          <cell r="AD18">
            <v>887.1</v>
          </cell>
        </row>
        <row r="19">
          <cell r="AD19">
            <v>179.23599999999999</v>
          </cell>
        </row>
        <row r="20">
          <cell r="AD20">
            <v>456.5</v>
          </cell>
        </row>
        <row r="21">
          <cell r="AD21">
            <v>791.17711075</v>
          </cell>
        </row>
        <row r="22">
          <cell r="AD22">
            <v>978</v>
          </cell>
        </row>
        <row r="23">
          <cell r="AD23">
            <v>46.988</v>
          </cell>
        </row>
        <row r="24">
          <cell r="AD24">
            <v>50.009</v>
          </cell>
        </row>
        <row r="25">
          <cell r="AD25">
            <v>36.945999999999998</v>
          </cell>
        </row>
        <row r="26">
          <cell r="AD26">
            <v>55.19</v>
          </cell>
        </row>
        <row r="28">
          <cell r="AD28">
            <v>124.9</v>
          </cell>
        </row>
        <row r="29">
          <cell r="AD29">
            <v>718.5</v>
          </cell>
        </row>
        <row r="30">
          <cell r="AD30">
            <v>1976.0249999999999</v>
          </cell>
        </row>
        <row r="31">
          <cell r="AD31">
            <v>69.477999999999994</v>
          </cell>
        </row>
        <row r="32">
          <cell r="AD32">
            <v>53.393999999999998</v>
          </cell>
        </row>
        <row r="33">
          <cell r="AD33">
            <v>66.294353000000001</v>
          </cell>
        </row>
        <row r="34">
          <cell r="AD34">
            <v>1964</v>
          </cell>
        </row>
        <row r="35">
          <cell r="AD35">
            <v>53.942</v>
          </cell>
        </row>
        <row r="36">
          <cell r="AD36">
            <v>3278</v>
          </cell>
        </row>
        <row r="38">
          <cell r="AD38">
            <v>52.828000000000003</v>
          </cell>
        </row>
        <row r="40">
          <cell r="AD40">
            <v>527</v>
          </cell>
        </row>
        <row r="41">
          <cell r="AD41">
            <v>1930</v>
          </cell>
        </row>
        <row r="43">
          <cell r="AD43">
            <v>31.7</v>
          </cell>
        </row>
        <row r="45">
          <cell r="AD45">
            <v>45.421999999999997</v>
          </cell>
        </row>
        <row r="46">
          <cell r="AD46">
            <v>176.50199999999998</v>
          </cell>
        </row>
        <row r="47">
          <cell r="AD47">
            <v>50.575000000000003</v>
          </cell>
        </row>
        <row r="48">
          <cell r="AD48">
            <v>2794.8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Corrupt SSCI"/>
      <sheetName val="Monthly Ship+Prod"/>
      <sheetName val="Perform"/>
      <sheetName val="_Control"/>
      <sheetName val="Data"/>
      <sheetName val="PM (F)"/>
      <sheetName val="Model"/>
      <sheetName val="InQuart BAL"/>
      <sheetName val="Standalone"/>
    </sheetNames>
    <sheetDataSet>
      <sheetData sheetId="0" refreshError="1"/>
      <sheetData sheetId="1" refreshError="1">
        <row r="1">
          <cell r="F1" t="str">
            <v>R.Eps</v>
          </cell>
        </row>
        <row r="2">
          <cell r="E2" t="str">
            <v>Month</v>
          </cell>
          <cell r="F2" t="str">
            <v>POSCO</v>
          </cell>
        </row>
        <row r="3">
          <cell r="E3">
            <v>12</v>
          </cell>
          <cell r="F3">
            <v>6339</v>
          </cell>
        </row>
        <row r="4">
          <cell r="E4">
            <v>11</v>
          </cell>
          <cell r="F4">
            <v>6463.166666666667</v>
          </cell>
        </row>
        <row r="5">
          <cell r="E5">
            <v>10</v>
          </cell>
          <cell r="F5">
            <v>6587.333333333333</v>
          </cell>
        </row>
        <row r="6">
          <cell r="E6">
            <v>9</v>
          </cell>
          <cell r="F6">
            <v>6711.5</v>
          </cell>
        </row>
        <row r="7">
          <cell r="E7">
            <v>8</v>
          </cell>
          <cell r="F7">
            <v>6835.6666666666661</v>
          </cell>
        </row>
        <row r="8">
          <cell r="E8">
            <v>7</v>
          </cell>
          <cell r="F8">
            <v>6959.833333333333</v>
          </cell>
        </row>
        <row r="9">
          <cell r="E9">
            <v>6</v>
          </cell>
          <cell r="F9">
            <v>7084</v>
          </cell>
        </row>
        <row r="10">
          <cell r="E10">
            <v>5</v>
          </cell>
          <cell r="F10">
            <v>7208.1666666666661</v>
          </cell>
        </row>
        <row r="11">
          <cell r="E11">
            <v>4</v>
          </cell>
          <cell r="F11">
            <v>7332.333333333333</v>
          </cell>
        </row>
        <row r="12">
          <cell r="E12">
            <v>3</v>
          </cell>
          <cell r="F12">
            <v>7456.5</v>
          </cell>
        </row>
        <row r="13">
          <cell r="E13">
            <v>2</v>
          </cell>
          <cell r="F13">
            <v>7580.6666666666661</v>
          </cell>
        </row>
        <row r="14">
          <cell r="E14">
            <v>1</v>
          </cell>
          <cell r="F14">
            <v>7704.833333333333</v>
          </cell>
        </row>
        <row r="15">
          <cell r="E15">
            <v>12</v>
          </cell>
          <cell r="F15">
            <v>7829</v>
          </cell>
        </row>
        <row r="16">
          <cell r="E16">
            <v>11</v>
          </cell>
          <cell r="F16">
            <v>8023</v>
          </cell>
        </row>
        <row r="17">
          <cell r="E17">
            <v>10</v>
          </cell>
          <cell r="F17">
            <v>8217</v>
          </cell>
        </row>
        <row r="18">
          <cell r="E18">
            <v>9</v>
          </cell>
          <cell r="F18">
            <v>8411</v>
          </cell>
        </row>
        <row r="19">
          <cell r="E19">
            <v>8</v>
          </cell>
          <cell r="F19">
            <v>8605</v>
          </cell>
        </row>
        <row r="20">
          <cell r="E20">
            <v>7</v>
          </cell>
          <cell r="F20">
            <v>8799</v>
          </cell>
        </row>
        <row r="21">
          <cell r="E21">
            <v>6</v>
          </cell>
          <cell r="F21">
            <v>8993</v>
          </cell>
        </row>
        <row r="22">
          <cell r="E22">
            <v>5</v>
          </cell>
          <cell r="F22">
            <v>9187</v>
          </cell>
        </row>
        <row r="23">
          <cell r="E23">
            <v>4</v>
          </cell>
          <cell r="F23">
            <v>9381</v>
          </cell>
        </row>
        <row r="24">
          <cell r="E24">
            <v>3</v>
          </cell>
          <cell r="F24">
            <v>9575</v>
          </cell>
        </row>
        <row r="25">
          <cell r="E25">
            <v>2</v>
          </cell>
          <cell r="F25">
            <v>9769</v>
          </cell>
        </row>
        <row r="26">
          <cell r="E26">
            <v>1</v>
          </cell>
          <cell r="F26">
            <v>9962.9999999999982</v>
          </cell>
        </row>
        <row r="27">
          <cell r="E27">
            <v>12</v>
          </cell>
          <cell r="F27">
            <v>10157</v>
          </cell>
        </row>
        <row r="28">
          <cell r="E28">
            <v>11</v>
          </cell>
          <cell r="F28">
            <v>10660.916666666666</v>
          </cell>
        </row>
        <row r="29">
          <cell r="E29">
            <v>10</v>
          </cell>
          <cell r="F29">
            <v>11164.833333333332</v>
          </cell>
        </row>
        <row r="30">
          <cell r="E30">
            <v>9</v>
          </cell>
          <cell r="F30">
            <v>11668.75</v>
          </cell>
        </row>
        <row r="31">
          <cell r="E31">
            <v>8</v>
          </cell>
          <cell r="F31">
            <v>12172.666666666666</v>
          </cell>
        </row>
        <row r="32">
          <cell r="E32">
            <v>7</v>
          </cell>
          <cell r="F32">
            <v>12676.583333333332</v>
          </cell>
        </row>
        <row r="33">
          <cell r="E33">
            <v>6</v>
          </cell>
          <cell r="F33">
            <v>13180.5</v>
          </cell>
        </row>
        <row r="34">
          <cell r="E34">
            <v>5</v>
          </cell>
          <cell r="F34">
            <v>13684.416666666664</v>
          </cell>
        </row>
        <row r="35">
          <cell r="E35">
            <v>4</v>
          </cell>
          <cell r="F35">
            <v>14188.333333333332</v>
          </cell>
        </row>
        <row r="36">
          <cell r="E36">
            <v>3</v>
          </cell>
          <cell r="F36">
            <v>14692.25</v>
          </cell>
        </row>
        <row r="37">
          <cell r="E37">
            <v>2</v>
          </cell>
          <cell r="F37">
            <v>15196.166666666666</v>
          </cell>
        </row>
        <row r="38">
          <cell r="E38">
            <v>1</v>
          </cell>
          <cell r="F38">
            <v>15700.083333333332</v>
          </cell>
        </row>
        <row r="39">
          <cell r="E39">
            <v>12</v>
          </cell>
          <cell r="F39">
            <v>16204</v>
          </cell>
        </row>
        <row r="40">
          <cell r="E40">
            <v>11</v>
          </cell>
          <cell r="F40">
            <v>16502.453333333331</v>
          </cell>
        </row>
        <row r="41">
          <cell r="E41">
            <v>10</v>
          </cell>
          <cell r="F41">
            <v>16800.906666666666</v>
          </cell>
        </row>
        <row r="42">
          <cell r="E42">
            <v>9</v>
          </cell>
          <cell r="F42">
            <v>17099.36</v>
          </cell>
        </row>
        <row r="43">
          <cell r="E43">
            <v>8</v>
          </cell>
          <cell r="F43">
            <v>17397.813333333332</v>
          </cell>
        </row>
        <row r="44">
          <cell r="E44">
            <v>7</v>
          </cell>
          <cell r="F44">
            <v>17696.266666666663</v>
          </cell>
        </row>
        <row r="45">
          <cell r="E45">
            <v>6</v>
          </cell>
          <cell r="F45">
            <v>17994.72</v>
          </cell>
        </row>
        <row r="46">
          <cell r="E46">
            <v>5</v>
          </cell>
          <cell r="F46">
            <v>18293.173333333332</v>
          </cell>
        </row>
        <row r="47">
          <cell r="E47">
            <v>4</v>
          </cell>
          <cell r="F47">
            <v>18591.626666666667</v>
          </cell>
        </row>
        <row r="48">
          <cell r="E48">
            <v>3</v>
          </cell>
          <cell r="F48">
            <v>18890.080000000002</v>
          </cell>
        </row>
        <row r="49">
          <cell r="E49">
            <v>2</v>
          </cell>
          <cell r="F49">
            <v>19188.533333333333</v>
          </cell>
        </row>
        <row r="50">
          <cell r="E50">
            <v>1</v>
          </cell>
          <cell r="F50">
            <v>19486.986666666664</v>
          </cell>
        </row>
        <row r="51">
          <cell r="E51">
            <v>12</v>
          </cell>
          <cell r="F51">
            <v>19785.439999999999</v>
          </cell>
        </row>
        <row r="52">
          <cell r="E52">
            <v>11</v>
          </cell>
          <cell r="F52">
            <v>19231.09</v>
          </cell>
        </row>
        <row r="53">
          <cell r="E53">
            <v>10</v>
          </cell>
          <cell r="F53">
            <v>18676.739999999998</v>
          </cell>
        </row>
        <row r="54">
          <cell r="E54">
            <v>9</v>
          </cell>
          <cell r="F54">
            <v>18122.39</v>
          </cell>
        </row>
        <row r="55">
          <cell r="E55">
            <v>8</v>
          </cell>
          <cell r="F55">
            <v>17568.04</v>
          </cell>
        </row>
        <row r="56">
          <cell r="E56">
            <v>7</v>
          </cell>
          <cell r="F56">
            <v>17013.689999999999</v>
          </cell>
        </row>
        <row r="57">
          <cell r="E57">
            <v>6</v>
          </cell>
          <cell r="F57">
            <v>16459.34</v>
          </cell>
        </row>
        <row r="58">
          <cell r="E58">
            <v>5</v>
          </cell>
          <cell r="F58">
            <v>15904.99</v>
          </cell>
        </row>
        <row r="59">
          <cell r="E59">
            <v>4</v>
          </cell>
          <cell r="F59">
            <v>15350.64</v>
          </cell>
        </row>
        <row r="60">
          <cell r="E60">
            <v>3</v>
          </cell>
          <cell r="F60">
            <v>14796.29</v>
          </cell>
        </row>
        <row r="61">
          <cell r="E61">
            <v>2</v>
          </cell>
          <cell r="F61">
            <v>14241.94</v>
          </cell>
        </row>
        <row r="62">
          <cell r="E62">
            <v>1</v>
          </cell>
          <cell r="F62">
            <v>13687.59</v>
          </cell>
        </row>
        <row r="63">
          <cell r="E63">
            <v>12</v>
          </cell>
          <cell r="F63">
            <v>13133.240000000002</v>
          </cell>
        </row>
        <row r="64">
          <cell r="E64">
            <v>11</v>
          </cell>
          <cell r="F64">
            <v>13255.901666666667</v>
          </cell>
        </row>
        <row r="65">
          <cell r="E65">
            <v>10</v>
          </cell>
          <cell r="F65">
            <v>13378.563333333334</v>
          </cell>
        </row>
        <row r="66">
          <cell r="E66">
            <v>9</v>
          </cell>
          <cell r="F66">
            <v>13501.225</v>
          </cell>
        </row>
        <row r="67">
          <cell r="E67">
            <v>8</v>
          </cell>
          <cell r="F67">
            <v>13623.886666666667</v>
          </cell>
        </row>
        <row r="68">
          <cell r="E68">
            <v>7</v>
          </cell>
          <cell r="F68">
            <v>13746.548333333334</v>
          </cell>
        </row>
        <row r="69">
          <cell r="E69">
            <v>6</v>
          </cell>
          <cell r="F69">
            <v>13869.210000000001</v>
          </cell>
        </row>
        <row r="70">
          <cell r="E70">
            <v>5</v>
          </cell>
          <cell r="F70">
            <v>13991.871666666666</v>
          </cell>
        </row>
        <row r="71">
          <cell r="E71">
            <v>4</v>
          </cell>
          <cell r="F71">
            <v>14114.533333333333</v>
          </cell>
        </row>
        <row r="72">
          <cell r="E72">
            <v>3</v>
          </cell>
          <cell r="F72">
            <v>14237.195</v>
          </cell>
        </row>
        <row r="73">
          <cell r="E73">
            <v>2</v>
          </cell>
          <cell r="F73">
            <v>14359.856666666667</v>
          </cell>
        </row>
        <row r="74">
          <cell r="E74">
            <v>1</v>
          </cell>
          <cell r="F74">
            <v>14482.518333333333</v>
          </cell>
        </row>
        <row r="75">
          <cell r="E75">
            <v>12</v>
          </cell>
          <cell r="F75">
            <v>14605.18</v>
          </cell>
        </row>
        <row r="76">
          <cell r="E76">
            <v>11</v>
          </cell>
          <cell r="F76">
            <v>14586.628333333334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R"/>
      <sheetName val="Sheet1"/>
      <sheetName val="Sheet2"/>
      <sheetName val="Sheet3"/>
      <sheetName val="Pr.-hist."/>
      <sheetName val="G4moma"/>
      <sheetName val="BS"/>
      <sheetName val="Template"/>
      <sheetName val="operating statistics"/>
      <sheetName val="Input"/>
      <sheetName val="Debt"/>
      <sheetName val="Formats"/>
      <sheetName val="CapEx"/>
      <sheetName val="Capital"/>
      <sheetName val="Profile"/>
      <sheetName val="Tax"/>
      <sheetName val="VarName"/>
      <sheetName val="financials"/>
      <sheetName val="bajaj_copeland"/>
      <sheetName val="#ref"/>
      <sheetName val="eva1"/>
      <sheetName val="calculation (2)"/>
      <sheetName val="mico"/>
      <sheetName val="charts"/>
    </sheetNames>
    <sheetDataSet>
      <sheetData sheetId="0" refreshError="1"/>
      <sheetData sheetId="1" refreshError="1">
        <row r="5">
          <cell r="A5" t="str">
            <v>KC150</v>
          </cell>
          <cell r="C5">
            <v>84305</v>
          </cell>
          <cell r="D5">
            <v>84305</v>
          </cell>
          <cell r="E5">
            <v>84305</v>
          </cell>
          <cell r="F5">
            <v>0</v>
          </cell>
          <cell r="I5">
            <v>84305</v>
          </cell>
          <cell r="K5">
            <v>84305</v>
          </cell>
          <cell r="L5" t="str">
            <v>S</v>
          </cell>
        </row>
        <row r="6">
          <cell r="A6" t="str">
            <v>KC179</v>
          </cell>
          <cell r="B6" t="str">
            <v>GARUDA PHASE  II</v>
          </cell>
          <cell r="C6">
            <v>117108571.875</v>
          </cell>
          <cell r="D6">
            <v>116955618</v>
          </cell>
          <cell r="E6">
            <v>109616768</v>
          </cell>
          <cell r="F6">
            <v>7338850</v>
          </cell>
          <cell r="I6">
            <v>109616768</v>
          </cell>
          <cell r="K6">
            <v>109616768</v>
          </cell>
          <cell r="L6" t="str">
            <v>R</v>
          </cell>
        </row>
        <row r="7">
          <cell r="A7" t="str">
            <v>KC191</v>
          </cell>
          <cell r="B7" t="str">
            <v>MSPL</v>
          </cell>
          <cell r="C7">
            <v>15507260</v>
          </cell>
          <cell r="D7">
            <v>15290191</v>
          </cell>
          <cell r="E7">
            <v>15290191</v>
          </cell>
          <cell r="F7">
            <v>0</v>
          </cell>
          <cell r="I7">
            <v>15290191</v>
          </cell>
          <cell r="K7">
            <v>15290191</v>
          </cell>
          <cell r="L7" t="str">
            <v>R</v>
          </cell>
        </row>
        <row r="8">
          <cell r="A8" t="str">
            <v>KC192</v>
          </cell>
          <cell r="B8" t="str">
            <v>VVIP -SRINGERI</v>
          </cell>
          <cell r="C8">
            <v>5939000</v>
          </cell>
          <cell r="D8">
            <v>5939000</v>
          </cell>
          <cell r="E8">
            <v>5939000</v>
          </cell>
          <cell r="F8">
            <v>0</v>
          </cell>
          <cell r="I8">
            <v>5939000</v>
          </cell>
          <cell r="K8">
            <v>5939000</v>
          </cell>
          <cell r="L8" t="str">
            <v>S</v>
          </cell>
        </row>
        <row r="9">
          <cell r="A9" t="str">
            <v>KC201</v>
          </cell>
          <cell r="C9">
            <v>412442</v>
          </cell>
          <cell r="D9">
            <v>412442</v>
          </cell>
          <cell r="E9">
            <v>412442</v>
          </cell>
          <cell r="F9">
            <v>0</v>
          </cell>
          <cell r="I9">
            <v>412442</v>
          </cell>
          <cell r="K9">
            <v>412442</v>
          </cell>
          <cell r="L9" t="str">
            <v>S</v>
          </cell>
        </row>
        <row r="10">
          <cell r="A10" t="str">
            <v>KC221</v>
          </cell>
          <cell r="B10" t="str">
            <v>TCG</v>
          </cell>
          <cell r="C10">
            <v>26494304</v>
          </cell>
          <cell r="D10">
            <v>26494304</v>
          </cell>
          <cell r="E10">
            <v>26494304</v>
          </cell>
          <cell r="F10">
            <v>0</v>
          </cell>
          <cell r="I10">
            <v>26494304</v>
          </cell>
          <cell r="K10">
            <v>26494304</v>
          </cell>
          <cell r="L10" t="str">
            <v>R</v>
          </cell>
        </row>
        <row r="11">
          <cell r="A11" t="str">
            <v>KC222</v>
          </cell>
          <cell r="B11" t="str">
            <v>TEXAS INSTRUMENTS</v>
          </cell>
          <cell r="C11">
            <v>40207000</v>
          </cell>
          <cell r="D11">
            <v>39450309</v>
          </cell>
          <cell r="E11">
            <v>38952443</v>
          </cell>
          <cell r="F11">
            <v>497866</v>
          </cell>
          <cell r="I11">
            <v>38952443</v>
          </cell>
          <cell r="K11">
            <v>38952443</v>
          </cell>
          <cell r="L11" t="str">
            <v>R</v>
          </cell>
        </row>
        <row r="12">
          <cell r="A12" t="str">
            <v>KC226</v>
          </cell>
          <cell r="B12" t="str">
            <v>MIND TREE</v>
          </cell>
          <cell r="C12">
            <v>65417455.379999995</v>
          </cell>
          <cell r="D12">
            <v>65417455.379999995</v>
          </cell>
          <cell r="E12">
            <v>65417455.379999995</v>
          </cell>
          <cell r="F12">
            <v>0</v>
          </cell>
          <cell r="I12">
            <v>65417455.379999995</v>
          </cell>
          <cell r="K12">
            <v>65417455.379999995</v>
          </cell>
          <cell r="L12" t="str">
            <v>R</v>
          </cell>
        </row>
        <row r="13">
          <cell r="A13" t="str">
            <v>KC236</v>
          </cell>
          <cell r="B13" t="str">
            <v>INFOSYS BANGALORE</v>
          </cell>
          <cell r="C13">
            <v>91310270</v>
          </cell>
          <cell r="D13">
            <v>91310270</v>
          </cell>
          <cell r="E13">
            <v>91310270</v>
          </cell>
          <cell r="F13">
            <v>0</v>
          </cell>
          <cell r="I13">
            <v>91310270</v>
          </cell>
          <cell r="K13">
            <v>91310270</v>
          </cell>
          <cell r="L13" t="str">
            <v>R</v>
          </cell>
        </row>
        <row r="14">
          <cell r="A14" t="str">
            <v>KC238</v>
          </cell>
          <cell r="B14" t="str">
            <v>DENTAL</v>
          </cell>
          <cell r="C14">
            <v>60135275</v>
          </cell>
          <cell r="D14">
            <v>59631908</v>
          </cell>
          <cell r="E14">
            <v>59631908</v>
          </cell>
          <cell r="F14">
            <v>0</v>
          </cell>
          <cell r="I14">
            <v>59631908</v>
          </cell>
          <cell r="K14">
            <v>59631908</v>
          </cell>
          <cell r="L14" t="str">
            <v>R</v>
          </cell>
        </row>
        <row r="15">
          <cell r="A15" t="str">
            <v>KC243</v>
          </cell>
          <cell r="B15" t="str">
            <v>MICO</v>
          </cell>
          <cell r="C15">
            <v>154774733</v>
          </cell>
          <cell r="D15">
            <v>154774733</v>
          </cell>
          <cell r="E15">
            <v>154774733</v>
          </cell>
          <cell r="F15">
            <v>0</v>
          </cell>
          <cell r="I15">
            <v>154774733</v>
          </cell>
          <cell r="K15">
            <v>154774733</v>
          </cell>
          <cell r="L15" t="str">
            <v>R</v>
          </cell>
        </row>
        <row r="16">
          <cell r="A16" t="str">
            <v>KC250</v>
          </cell>
          <cell r="B16" t="str">
            <v>FAIRMOUNT HOTELS</v>
          </cell>
          <cell r="C16">
            <v>26345068</v>
          </cell>
          <cell r="D16">
            <v>26133554</v>
          </cell>
          <cell r="E16">
            <v>26133554</v>
          </cell>
          <cell r="F16">
            <v>0</v>
          </cell>
          <cell r="I16">
            <v>26133554</v>
          </cell>
          <cell r="K16">
            <v>26133554</v>
          </cell>
          <cell r="L16" t="str">
            <v>R</v>
          </cell>
        </row>
        <row r="17">
          <cell r="A17" t="str">
            <v>KC252</v>
          </cell>
          <cell r="B17" t="str">
            <v>INFOSYS -MULTI LEVEL CAR PARKING</v>
          </cell>
          <cell r="C17">
            <v>70894009</v>
          </cell>
          <cell r="D17">
            <v>73220099</v>
          </cell>
          <cell r="E17">
            <v>73220099</v>
          </cell>
          <cell r="F17">
            <v>0</v>
          </cell>
          <cell r="I17">
            <v>73220099</v>
          </cell>
          <cell r="K17">
            <v>73220099</v>
          </cell>
          <cell r="L17" t="str">
            <v>R</v>
          </cell>
        </row>
        <row r="18">
          <cell r="A18" t="str">
            <v>KC254</v>
          </cell>
          <cell r="B18" t="str">
            <v>TIFFANY</v>
          </cell>
          <cell r="C18">
            <v>42125581</v>
          </cell>
          <cell r="D18">
            <v>44327444</v>
          </cell>
          <cell r="E18">
            <v>43390775</v>
          </cell>
          <cell r="F18">
            <v>936669</v>
          </cell>
          <cell r="I18">
            <v>43390775</v>
          </cell>
          <cell r="K18">
            <v>43390775</v>
          </cell>
          <cell r="L18" t="str">
            <v>R</v>
          </cell>
        </row>
        <row r="19">
          <cell r="A19" t="str">
            <v>KC257</v>
          </cell>
          <cell r="B19" t="str">
            <v>MAGADI MARRIAGE HALL</v>
          </cell>
          <cell r="C19">
            <v>20847996</v>
          </cell>
          <cell r="D19">
            <v>18847996</v>
          </cell>
          <cell r="E19">
            <v>18145600</v>
          </cell>
          <cell r="F19">
            <v>702396</v>
          </cell>
          <cell r="I19">
            <v>18145600</v>
          </cell>
          <cell r="K19">
            <v>18145600</v>
          </cell>
          <cell r="L19" t="str">
            <v>R</v>
          </cell>
        </row>
        <row r="20">
          <cell r="A20" t="str">
            <v>KC258</v>
          </cell>
          <cell r="B20" t="str">
            <v>PASADINA</v>
          </cell>
          <cell r="C20">
            <v>14324647</v>
          </cell>
          <cell r="D20">
            <v>14324647</v>
          </cell>
          <cell r="E20">
            <v>13132412</v>
          </cell>
          <cell r="F20">
            <v>1192235</v>
          </cell>
          <cell r="I20">
            <v>13132412</v>
          </cell>
          <cell r="K20">
            <v>13132412</v>
          </cell>
          <cell r="L20" t="str">
            <v>R</v>
          </cell>
        </row>
        <row r="21">
          <cell r="A21" t="str">
            <v>KC260</v>
          </cell>
          <cell r="B21" t="str">
            <v>INNOVATION CENTER MANIPAL</v>
          </cell>
          <cell r="C21">
            <v>132666460</v>
          </cell>
          <cell r="D21">
            <v>132666460</v>
          </cell>
          <cell r="E21">
            <v>108789903</v>
          </cell>
          <cell r="F21">
            <v>23876557</v>
          </cell>
          <cell r="I21">
            <v>108789903</v>
          </cell>
          <cell r="K21">
            <v>108789903</v>
          </cell>
          <cell r="L21" t="str">
            <v>R</v>
          </cell>
        </row>
        <row r="22">
          <cell r="A22" t="str">
            <v>KC267</v>
          </cell>
          <cell r="B22" t="str">
            <v>FOOD COURT MANIPAL</v>
          </cell>
          <cell r="C22">
            <v>36142108</v>
          </cell>
          <cell r="D22">
            <v>33415888</v>
          </cell>
          <cell r="E22">
            <v>33415888</v>
          </cell>
          <cell r="F22">
            <v>0</v>
          </cell>
          <cell r="I22">
            <v>33415888</v>
          </cell>
          <cell r="K22">
            <v>33415888</v>
          </cell>
          <cell r="L22" t="str">
            <v>R</v>
          </cell>
        </row>
        <row r="23">
          <cell r="A23" t="str">
            <v>KC268</v>
          </cell>
          <cell r="B23" t="str">
            <v>VICTORIA HOSIPTAL -INFOSYS FOUNDATION</v>
          </cell>
          <cell r="C23">
            <v>23319120</v>
          </cell>
          <cell r="D23">
            <v>23319120</v>
          </cell>
          <cell r="E23">
            <v>23319120</v>
          </cell>
          <cell r="F23">
            <v>0</v>
          </cell>
          <cell r="I23">
            <v>23319120</v>
          </cell>
          <cell r="K23">
            <v>23319120</v>
          </cell>
          <cell r="L23" t="str">
            <v>S</v>
          </cell>
        </row>
        <row r="24">
          <cell r="A24" t="str">
            <v>KC270</v>
          </cell>
          <cell r="B24" t="str">
            <v>INMAR HOTELS</v>
          </cell>
          <cell r="C24">
            <v>23698725</v>
          </cell>
          <cell r="D24">
            <v>28697080</v>
          </cell>
          <cell r="E24">
            <v>25996352</v>
          </cell>
          <cell r="F24">
            <v>2700728</v>
          </cell>
          <cell r="I24">
            <v>25996352</v>
          </cell>
          <cell r="K24">
            <v>25996352</v>
          </cell>
          <cell r="L24" t="str">
            <v>R</v>
          </cell>
        </row>
        <row r="25">
          <cell r="A25" t="str">
            <v>KC276</v>
          </cell>
          <cell r="B25" t="str">
            <v>INFOSYS - SDP</v>
          </cell>
          <cell r="C25">
            <v>78228000</v>
          </cell>
          <cell r="D25">
            <v>84295308</v>
          </cell>
          <cell r="E25">
            <v>84295308</v>
          </cell>
          <cell r="F25">
            <v>0</v>
          </cell>
          <cell r="H25">
            <v>22311000</v>
          </cell>
          <cell r="I25">
            <v>106606308</v>
          </cell>
          <cell r="K25">
            <v>106606308</v>
          </cell>
          <cell r="L25" t="str">
            <v>R</v>
          </cell>
        </row>
        <row r="26">
          <cell r="A26" t="str">
            <v>KC277</v>
          </cell>
          <cell r="B26" t="str">
            <v>SATKO PALM TREE APARTMENTS</v>
          </cell>
          <cell r="C26">
            <v>63414922</v>
          </cell>
          <cell r="D26">
            <v>88847925</v>
          </cell>
          <cell r="E26">
            <v>85886413</v>
          </cell>
          <cell r="F26">
            <v>2961512</v>
          </cell>
          <cell r="I26">
            <v>85886413</v>
          </cell>
          <cell r="K26">
            <v>85886413</v>
          </cell>
          <cell r="L26" t="str">
            <v>R</v>
          </cell>
        </row>
        <row r="27">
          <cell r="A27" t="str">
            <v>KC278</v>
          </cell>
          <cell r="B27" t="str">
            <v>BHART FRITZ WERNER FOUNDRY</v>
          </cell>
          <cell r="C27">
            <v>32697623</v>
          </cell>
          <cell r="D27">
            <v>32697623</v>
          </cell>
          <cell r="E27">
            <v>32697623</v>
          </cell>
          <cell r="F27">
            <v>0</v>
          </cell>
          <cell r="I27">
            <v>32697623</v>
          </cell>
          <cell r="K27">
            <v>32697623</v>
          </cell>
          <cell r="L27" t="str">
            <v>R</v>
          </cell>
        </row>
        <row r="28">
          <cell r="A28" t="str">
            <v>KC279</v>
          </cell>
          <cell r="B28" t="str">
            <v>SIGMA ALDIRCH LABOURATORIES</v>
          </cell>
          <cell r="C28">
            <v>78034698</v>
          </cell>
          <cell r="D28">
            <v>75202596</v>
          </cell>
          <cell r="E28">
            <v>75202596</v>
          </cell>
          <cell r="F28">
            <v>0</v>
          </cell>
          <cell r="I28">
            <v>75202596</v>
          </cell>
          <cell r="K28">
            <v>75202596</v>
          </cell>
          <cell r="L28" t="str">
            <v>R</v>
          </cell>
        </row>
        <row r="29">
          <cell r="A29" t="str">
            <v>KC286</v>
          </cell>
          <cell r="B29" t="str">
            <v>KSHEMA  MPHASIS</v>
          </cell>
          <cell r="C29">
            <v>24674858</v>
          </cell>
          <cell r="D29">
            <v>24679360</v>
          </cell>
          <cell r="E29">
            <v>24644709</v>
          </cell>
          <cell r="F29">
            <v>34651</v>
          </cell>
          <cell r="I29">
            <v>24644709</v>
          </cell>
          <cell r="K29">
            <v>24644709</v>
          </cell>
          <cell r="L29" t="str">
            <v>R</v>
          </cell>
        </row>
        <row r="30">
          <cell r="A30" t="str">
            <v>KC287</v>
          </cell>
          <cell r="B30" t="str">
            <v>TECHNICAL TRAINING INSTITUTE, MES</v>
          </cell>
          <cell r="C30">
            <v>28514000</v>
          </cell>
          <cell r="D30">
            <v>24145000</v>
          </cell>
          <cell r="E30">
            <v>24145000</v>
          </cell>
          <cell r="F30">
            <v>0</v>
          </cell>
          <cell r="H30">
            <v>1000000</v>
          </cell>
          <cell r="I30">
            <v>25145000</v>
          </cell>
          <cell r="J30">
            <v>818819.24423891807</v>
          </cell>
          <cell r="K30">
            <v>24326180.755761083</v>
          </cell>
          <cell r="L30" t="str">
            <v>R</v>
          </cell>
        </row>
        <row r="31">
          <cell r="A31" t="str">
            <v>KC288</v>
          </cell>
          <cell r="B31" t="str">
            <v>ABB LIMITED</v>
          </cell>
          <cell r="C31">
            <v>138439137</v>
          </cell>
          <cell r="D31">
            <v>119251533</v>
          </cell>
          <cell r="E31">
            <v>111869294</v>
          </cell>
          <cell r="F31">
            <v>7382239</v>
          </cell>
          <cell r="I31">
            <v>111869294</v>
          </cell>
          <cell r="K31">
            <v>111869294</v>
          </cell>
          <cell r="L31" t="str">
            <v>R</v>
          </cell>
        </row>
        <row r="32">
          <cell r="A32" t="str">
            <v>KC289</v>
          </cell>
          <cell r="B32" t="str">
            <v>MIND TREE- PHASE II</v>
          </cell>
          <cell r="C32">
            <v>56451887</v>
          </cell>
          <cell r="D32">
            <v>52971887</v>
          </cell>
          <cell r="E32">
            <v>52402357</v>
          </cell>
          <cell r="F32">
            <v>569530</v>
          </cell>
          <cell r="I32">
            <v>52402357</v>
          </cell>
          <cell r="K32">
            <v>52402357</v>
          </cell>
          <cell r="L32" t="str">
            <v>R</v>
          </cell>
        </row>
        <row r="33">
          <cell r="A33" t="str">
            <v>KC292</v>
          </cell>
          <cell r="B33" t="str">
            <v>ASTRA ZENECA - PHASE II</v>
          </cell>
          <cell r="C33">
            <v>53725000</v>
          </cell>
          <cell r="D33">
            <v>49734719.789999999</v>
          </cell>
          <cell r="E33">
            <v>49229757</v>
          </cell>
          <cell r="F33">
            <v>504962.78999999911</v>
          </cell>
          <cell r="H33">
            <v>1712000</v>
          </cell>
          <cell r="I33">
            <v>50941757</v>
          </cell>
          <cell r="K33">
            <v>50941757</v>
          </cell>
          <cell r="L33" t="str">
            <v>R</v>
          </cell>
        </row>
        <row r="34">
          <cell r="A34" t="str">
            <v>KC295</v>
          </cell>
          <cell r="B34" t="str">
            <v>KEMWELL</v>
          </cell>
          <cell r="C34">
            <v>59402977</v>
          </cell>
          <cell r="D34">
            <v>59533204</v>
          </cell>
          <cell r="E34">
            <v>58162577</v>
          </cell>
          <cell r="F34">
            <v>1370627</v>
          </cell>
          <cell r="I34">
            <v>58162577</v>
          </cell>
          <cell r="K34">
            <v>58162577</v>
          </cell>
          <cell r="L34" t="str">
            <v>R</v>
          </cell>
        </row>
        <row r="35">
          <cell r="A35" t="str">
            <v>KC303</v>
          </cell>
          <cell r="B35" t="str">
            <v>RITTAL BIR</v>
          </cell>
          <cell r="C35">
            <v>50316263</v>
          </cell>
          <cell r="D35">
            <v>49630026</v>
          </cell>
          <cell r="E35">
            <v>49630026</v>
          </cell>
          <cell r="F35">
            <v>0</v>
          </cell>
          <cell r="I35">
            <v>49630026</v>
          </cell>
          <cell r="K35">
            <v>49630026</v>
          </cell>
          <cell r="L35" t="str">
            <v>R</v>
          </cell>
        </row>
        <row r="36">
          <cell r="A36" t="str">
            <v>KC304</v>
          </cell>
          <cell r="B36" t="str">
            <v>HINDUSTAN LEVER LTD</v>
          </cell>
          <cell r="C36">
            <v>93872601</v>
          </cell>
          <cell r="D36">
            <v>91588924</v>
          </cell>
          <cell r="E36">
            <v>82549990</v>
          </cell>
          <cell r="F36">
            <v>9038934</v>
          </cell>
          <cell r="I36">
            <v>82549990</v>
          </cell>
          <cell r="K36">
            <v>82549990</v>
          </cell>
          <cell r="L36" t="str">
            <v>R</v>
          </cell>
        </row>
        <row r="37">
          <cell r="A37" t="str">
            <v>KC308</v>
          </cell>
          <cell r="B37" t="str">
            <v>LEITZ</v>
          </cell>
          <cell r="C37">
            <v>40566450</v>
          </cell>
          <cell r="D37">
            <v>38562485</v>
          </cell>
          <cell r="E37">
            <v>38562485</v>
          </cell>
          <cell r="F37">
            <v>0</v>
          </cell>
          <cell r="I37">
            <v>38562485</v>
          </cell>
          <cell r="K37">
            <v>38562485</v>
          </cell>
          <cell r="L37" t="str">
            <v>R</v>
          </cell>
        </row>
        <row r="38">
          <cell r="A38" t="str">
            <v>KC320</v>
          </cell>
          <cell r="B38" t="str">
            <v>KIRLOSKAR TOYODS TEXTILES MACHINERY P LTD</v>
          </cell>
          <cell r="C38">
            <v>5480500</v>
          </cell>
          <cell r="D38">
            <v>5613368</v>
          </cell>
          <cell r="E38">
            <v>5613368</v>
          </cell>
          <cell r="F38">
            <v>0</v>
          </cell>
          <cell r="I38">
            <v>5613368</v>
          </cell>
          <cell r="K38">
            <v>5613368</v>
          </cell>
          <cell r="L38" t="str">
            <v>S</v>
          </cell>
        </row>
        <row r="39">
          <cell r="A39" t="str">
            <v>KC321</v>
          </cell>
          <cell r="B39" t="str">
            <v>MANN &amp; HUMMEL</v>
          </cell>
          <cell r="C39">
            <v>97051716</v>
          </cell>
          <cell r="D39">
            <v>95336879</v>
          </cell>
          <cell r="E39">
            <v>95336879</v>
          </cell>
          <cell r="F39">
            <v>0</v>
          </cell>
          <cell r="I39">
            <v>95336879</v>
          </cell>
          <cell r="J39">
            <v>3104540.5134570361</v>
          </cell>
          <cell r="K39">
            <v>92232338.48654297</v>
          </cell>
          <cell r="L39" t="str">
            <v>R</v>
          </cell>
        </row>
        <row r="40">
          <cell r="A40" t="str">
            <v>KC327</v>
          </cell>
          <cell r="B40" t="str">
            <v>ASHOK LEYLAND</v>
          </cell>
          <cell r="C40">
            <v>14013000</v>
          </cell>
          <cell r="D40">
            <v>13042545</v>
          </cell>
          <cell r="E40">
            <v>12277344</v>
          </cell>
          <cell r="F40">
            <v>765201</v>
          </cell>
          <cell r="I40">
            <v>12277344</v>
          </cell>
          <cell r="K40">
            <v>12277344</v>
          </cell>
          <cell r="L40" t="str">
            <v>R</v>
          </cell>
        </row>
        <row r="41">
          <cell r="A41" t="str">
            <v>KC332</v>
          </cell>
          <cell r="B41" t="str">
            <v>Vakil Housing Development Corporation</v>
          </cell>
          <cell r="C41">
            <v>69758000</v>
          </cell>
          <cell r="D41">
            <v>56385032</v>
          </cell>
          <cell r="E41">
            <v>49657998</v>
          </cell>
          <cell r="F41">
            <v>6727034</v>
          </cell>
          <cell r="H41">
            <v>1279000</v>
          </cell>
          <cell r="I41">
            <v>50936998</v>
          </cell>
          <cell r="J41">
            <v>1658707.2661029741</v>
          </cell>
          <cell r="K41">
            <v>49278290.733897023</v>
          </cell>
          <cell r="L41" t="str">
            <v>R</v>
          </cell>
        </row>
        <row r="42">
          <cell r="A42" t="str">
            <v>KC334</v>
          </cell>
          <cell r="B42" t="str">
            <v>HAL - Hanger</v>
          </cell>
          <cell r="C42">
            <v>27976000</v>
          </cell>
          <cell r="D42">
            <v>23425003</v>
          </cell>
          <cell r="E42">
            <v>22344049</v>
          </cell>
          <cell r="F42">
            <v>1080954</v>
          </cell>
          <cell r="I42">
            <v>22344049</v>
          </cell>
          <cell r="J42">
            <v>727609.3583383318</v>
          </cell>
          <cell r="K42">
            <v>21616439.641661666</v>
          </cell>
          <cell r="L42" t="str">
            <v>R</v>
          </cell>
        </row>
        <row r="43">
          <cell r="A43" t="str">
            <v>KC336</v>
          </cell>
          <cell r="B43" t="str">
            <v>Cosmopolitan Club, Phase - II</v>
          </cell>
          <cell r="C43">
            <v>24920000</v>
          </cell>
          <cell r="D43">
            <v>19327558</v>
          </cell>
          <cell r="E43">
            <v>16979715</v>
          </cell>
          <cell r="F43">
            <v>2347843</v>
          </cell>
          <cell r="I43">
            <v>16979715</v>
          </cell>
          <cell r="J43">
            <v>552925.72693148616</v>
          </cell>
          <cell r="K43">
            <v>16426789.273068514</v>
          </cell>
          <cell r="L43" t="str">
            <v>R</v>
          </cell>
        </row>
        <row r="44">
          <cell r="A44" t="str">
            <v>KC342</v>
          </cell>
          <cell r="B44" t="str">
            <v>Humen Centrifugal</v>
          </cell>
          <cell r="C44">
            <v>28073000</v>
          </cell>
          <cell r="D44">
            <v>23145605</v>
          </cell>
          <cell r="E44">
            <v>17848321</v>
          </cell>
          <cell r="F44">
            <v>5297284</v>
          </cell>
          <cell r="H44">
            <v>1256000</v>
          </cell>
          <cell r="I44">
            <v>19104321</v>
          </cell>
          <cell r="K44">
            <v>19104321</v>
          </cell>
          <cell r="L44" t="str">
            <v>R</v>
          </cell>
        </row>
        <row r="45">
          <cell r="A45" t="str">
            <v>KC343</v>
          </cell>
          <cell r="B45" t="str">
            <v>KERN &amp; LEBERS - Spring</v>
          </cell>
          <cell r="C45">
            <v>88227587</v>
          </cell>
          <cell r="D45">
            <v>99344822</v>
          </cell>
          <cell r="E45">
            <v>97884372</v>
          </cell>
          <cell r="F45">
            <v>1460450</v>
          </cell>
          <cell r="H45">
            <v>1000000</v>
          </cell>
          <cell r="I45">
            <v>98884372</v>
          </cell>
          <cell r="J45">
            <v>3220060.7177601922</v>
          </cell>
          <cell r="K45">
            <v>95664311.28223981</v>
          </cell>
          <cell r="L45" t="str">
            <v>R</v>
          </cell>
        </row>
        <row r="46">
          <cell r="A46" t="str">
            <v>KC346</v>
          </cell>
          <cell r="B46" t="str">
            <v>ITC BISCUIT MANUFACTURING FACTORY</v>
          </cell>
          <cell r="C46">
            <v>291044000</v>
          </cell>
          <cell r="D46">
            <v>245566983</v>
          </cell>
          <cell r="E46">
            <v>245566983</v>
          </cell>
          <cell r="F46">
            <v>0</v>
          </cell>
          <cell r="H46">
            <v>33672000</v>
          </cell>
          <cell r="I46">
            <v>279238983</v>
          </cell>
          <cell r="J46">
            <v>9093110.0824062079</v>
          </cell>
          <cell r="K46">
            <v>270145872.91759378</v>
          </cell>
          <cell r="L46" t="str">
            <v>R</v>
          </cell>
        </row>
        <row r="47">
          <cell r="A47" t="str">
            <v>KC347</v>
          </cell>
          <cell r="B47" t="str">
            <v>HOSPITAL BUILDING INFOSYS FOUNDAATION</v>
          </cell>
          <cell r="C47">
            <v>50000000</v>
          </cell>
          <cell r="D47">
            <v>28935157</v>
          </cell>
          <cell r="E47">
            <v>28935157</v>
          </cell>
          <cell r="F47">
            <v>0</v>
          </cell>
          <cell r="I47">
            <v>28935157</v>
          </cell>
          <cell r="K47">
            <v>28935157</v>
          </cell>
          <cell r="L47" t="str">
            <v>R</v>
          </cell>
        </row>
        <row r="48">
          <cell r="A48" t="str">
            <v>KC348</v>
          </cell>
          <cell r="B48" t="str">
            <v>INFOSYS TECHNOLOGY LIMITED</v>
          </cell>
          <cell r="C48">
            <v>0</v>
          </cell>
          <cell r="D48">
            <v>0</v>
          </cell>
          <cell r="E48">
            <v>0</v>
          </cell>
          <cell r="F48">
            <v>0</v>
          </cell>
          <cell r="H48">
            <v>40694000</v>
          </cell>
          <cell r="I48">
            <v>40694000</v>
          </cell>
          <cell r="K48">
            <v>40694000</v>
          </cell>
          <cell r="L48" t="str">
            <v>R</v>
          </cell>
        </row>
        <row r="49">
          <cell r="A49" t="str">
            <v>KC350</v>
          </cell>
          <cell r="B49" t="str">
            <v>HCL TECHNOLOGY</v>
          </cell>
          <cell r="C49">
            <v>15000000</v>
          </cell>
          <cell r="D49">
            <v>7419110</v>
          </cell>
          <cell r="E49">
            <v>4857874</v>
          </cell>
          <cell r="F49">
            <v>2561236</v>
          </cell>
          <cell r="I49">
            <v>4857874</v>
          </cell>
          <cell r="J49">
            <v>158191.31904107734</v>
          </cell>
          <cell r="K49">
            <v>4699682.680958923</v>
          </cell>
          <cell r="L49" t="str">
            <v>R</v>
          </cell>
        </row>
        <row r="50">
          <cell r="A50" t="str">
            <v>KC355</v>
          </cell>
          <cell r="B50" t="str">
            <v>ASHOK LEYLAND - CANTEEN ADDITION/ALTERATION</v>
          </cell>
          <cell r="C50">
            <v>21600000</v>
          </cell>
          <cell r="D50">
            <v>16683973</v>
          </cell>
          <cell r="E50">
            <v>10795593</v>
          </cell>
          <cell r="F50">
            <v>5888380</v>
          </cell>
          <cell r="I50">
            <v>10795593</v>
          </cell>
          <cell r="K50">
            <v>10795593</v>
          </cell>
          <cell r="L50" t="str">
            <v>R</v>
          </cell>
        </row>
        <row r="51">
          <cell r="A51" t="str">
            <v>KC364</v>
          </cell>
          <cell r="B51" t="str">
            <v>DSN PEDESTAL- ECIL</v>
          </cell>
          <cell r="C51">
            <v>17132623</v>
          </cell>
          <cell r="D51">
            <v>7983837</v>
          </cell>
          <cell r="E51">
            <v>7983837</v>
          </cell>
          <cell r="F51">
            <v>0</v>
          </cell>
          <cell r="I51">
            <v>7983837</v>
          </cell>
          <cell r="J51">
            <v>259984.86293365323</v>
          </cell>
          <cell r="K51">
            <v>7723852.1370663466</v>
          </cell>
          <cell r="L51" t="str">
            <v>R</v>
          </cell>
        </row>
        <row r="52">
          <cell r="A52" t="str">
            <v>KC365</v>
          </cell>
          <cell r="B52" t="str">
            <v>SHANKARA MUTT</v>
          </cell>
          <cell r="C52">
            <v>22500000</v>
          </cell>
          <cell r="D52">
            <v>17328755</v>
          </cell>
          <cell r="E52">
            <v>17328755</v>
          </cell>
          <cell r="F52">
            <v>0</v>
          </cell>
          <cell r="H52">
            <v>4001000</v>
          </cell>
          <cell r="I52">
            <v>21329755</v>
          </cell>
          <cell r="K52">
            <v>21329755</v>
          </cell>
          <cell r="L52" t="str">
            <v>R</v>
          </cell>
        </row>
        <row r="53">
          <cell r="A53" t="str">
            <v>KC388</v>
          </cell>
          <cell r="B53" t="str">
            <v>INFOSYS - MYSORE</v>
          </cell>
          <cell r="C53">
            <v>650000000</v>
          </cell>
          <cell r="F53">
            <v>0</v>
          </cell>
          <cell r="H53">
            <v>83257000</v>
          </cell>
          <cell r="I53">
            <v>83257000</v>
          </cell>
          <cell r="K53">
            <v>83257000</v>
          </cell>
          <cell r="L53" t="str">
            <v>R</v>
          </cell>
        </row>
        <row r="54">
          <cell r="A54" t="str">
            <v>KC402</v>
          </cell>
          <cell r="B54" t="str">
            <v>TEXAS,GLOBAL VILLAGE</v>
          </cell>
          <cell r="C54">
            <v>22500000</v>
          </cell>
          <cell r="D54">
            <v>14749618</v>
          </cell>
          <cell r="E54">
            <v>14160713</v>
          </cell>
          <cell r="F54">
            <v>588905</v>
          </cell>
          <cell r="I54">
            <v>14160713</v>
          </cell>
          <cell r="K54">
            <v>14160713</v>
          </cell>
          <cell r="L54" t="str">
            <v>R</v>
          </cell>
        </row>
        <row r="55">
          <cell r="A55" t="str">
            <v>KC403</v>
          </cell>
          <cell r="B55" t="str">
            <v>MICO STP,BANGALORE</v>
          </cell>
          <cell r="C55">
            <v>6456741.4415999996</v>
          </cell>
          <cell r="D55">
            <v>6456741.4415999996</v>
          </cell>
          <cell r="E55">
            <v>6456741</v>
          </cell>
          <cell r="F55">
            <v>0.44159999955445528</v>
          </cell>
          <cell r="I55">
            <v>6456741</v>
          </cell>
          <cell r="J55">
            <v>250675.4016486094</v>
          </cell>
          <cell r="K55">
            <v>6206065.598351391</v>
          </cell>
          <cell r="L55" t="str">
            <v>R</v>
          </cell>
        </row>
        <row r="56">
          <cell r="A56" t="str">
            <v>BB001</v>
          </cell>
          <cell r="B56" t="str">
            <v>BATCH PLANT I</v>
          </cell>
          <cell r="C56">
            <v>0</v>
          </cell>
          <cell r="D56">
            <v>87833000</v>
          </cell>
          <cell r="E56">
            <v>87833000</v>
          </cell>
          <cell r="F56">
            <v>0</v>
          </cell>
          <cell r="I56">
            <v>87833000</v>
          </cell>
          <cell r="K56">
            <v>87833000</v>
          </cell>
          <cell r="L56" t="str">
            <v>S</v>
          </cell>
        </row>
        <row r="57">
          <cell r="A57" t="str">
            <v>BB002</v>
          </cell>
          <cell r="B57" t="str">
            <v>BATCH PLANT II</v>
          </cell>
          <cell r="C57">
            <v>0</v>
          </cell>
          <cell r="D57">
            <v>69918000</v>
          </cell>
          <cell r="E57">
            <v>69918000</v>
          </cell>
          <cell r="F57">
            <v>0</v>
          </cell>
          <cell r="I57">
            <v>69918000</v>
          </cell>
          <cell r="K57">
            <v>69918000</v>
          </cell>
          <cell r="L57" t="str">
            <v>S</v>
          </cell>
        </row>
        <row r="58">
          <cell r="A58" t="str">
            <v>BB007</v>
          </cell>
          <cell r="B58" t="str">
            <v>BATCH PLANT III</v>
          </cell>
          <cell r="C58">
            <v>0</v>
          </cell>
          <cell r="D58">
            <v>59813000</v>
          </cell>
          <cell r="E58">
            <v>59813000</v>
          </cell>
          <cell r="F58">
            <v>0</v>
          </cell>
          <cell r="I58">
            <v>59813000</v>
          </cell>
          <cell r="K58">
            <v>59813000</v>
          </cell>
          <cell r="L58" t="str">
            <v>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s"/>
      <sheetName val="Full Service Capex"/>
      <sheetName val="Wireless Capex"/>
      <sheetName val="EBITDA Less Capex - Full Servic"/>
      <sheetName val="EBITDA Less Capex - Wireless"/>
      <sheetName val="Capex as % Revenue -- Full Svce"/>
      <sheetName val="Capex as % Revenue -- Wireless"/>
      <sheetName val="Capex as % EBITDA -- Full Svce"/>
      <sheetName val="Capex as % EBITDA -- Wireless"/>
      <sheetName val="FX"/>
      <sheetName val="Calculations"/>
      <sheetName val="Capex"/>
      <sheetName val="BT"/>
      <sheetName val="DT"/>
      <sheetName val="EIR"/>
      <sheetName val="FT"/>
      <sheetName val="KPN"/>
      <sheetName val="PT"/>
      <sheetName val="SWCM"/>
      <sheetName val="TLD"/>
      <sheetName val="TI"/>
      <sheetName val="TI1"/>
      <sheetName val="TEF"/>
      <sheetName val="PCCW"/>
      <sheetName val="SingTel"/>
      <sheetName val="TM"/>
      <sheetName val="TLK"/>
      <sheetName val="MTNL"/>
      <sheetName val="PLDT"/>
      <sheetName val="KT"/>
      <sheetName val="NTT"/>
      <sheetName val="DDI"/>
      <sheetName val="JT"/>
      <sheetName val="Optus"/>
      <sheetName val="Telstra"/>
      <sheetName val="TCNZ"/>
      <sheetName val="T"/>
      <sheetName val="AT"/>
      <sheetName val="VZ"/>
      <sheetName val="BLS"/>
      <sheetName val="SBC"/>
      <sheetName val="FON"/>
      <sheetName val="WCOM"/>
      <sheetName val="Q"/>
      <sheetName val="BRP"/>
      <sheetName val="TNE"/>
      <sheetName val="EMT"/>
      <sheetName val="TMX"/>
      <sheetName val="TEO"/>
      <sheetName val="CTC"/>
      <sheetName val="BCE"/>
      <sheetName val="BTS"/>
      <sheetName val="MBT"/>
      <sheetName val="VIV"/>
      <sheetName val="BOUY"/>
      <sheetName val="EUR"/>
      <sheetName val="LIB"/>
      <sheetName val="CRK"/>
      <sheetName val="ELEK"/>
      <sheetName val="MOB"/>
      <sheetName val="MNN"/>
      <sheetName val="NTC"/>
      <sheetName val="ORA"/>
      <sheetName val="PAN"/>
      <sheetName val="SON"/>
      <sheetName val="STET H"/>
      <sheetName val="TIM"/>
      <sheetName val="TIM1"/>
      <sheetName val="TLE"/>
      <sheetName val="VIMP"/>
      <sheetName val="VOD"/>
      <sheetName val="CMHK"/>
      <sheetName val="Unicom"/>
      <sheetName val="TAC"/>
      <sheetName val="AIS"/>
      <sheetName val="SMTN"/>
      <sheetName val="SKT"/>
      <sheetName val="AWE"/>
      <sheetName val="NXTL"/>
      <sheetName val="PCS"/>
      <sheetName val="VSTR"/>
      <sheetName val="WWCA"/>
      <sheetName val="PTEL"/>
      <sheetName val="DoCoMo"/>
      <sheetName val="TCP"/>
      <sheetName val="TMB"/>
      <sheetName val="TSU"/>
      <sheetName val="TRO"/>
      <sheetName val="TND"/>
      <sheetName val="TBE"/>
      <sheetName val="TCN"/>
      <sheetName val="CN"/>
      <sheetName val="MC"/>
      <sheetName val="RC"/>
      <sheetName val="1q98"/>
      <sheetName val="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t="str">
            <v>1996A</v>
          </cell>
        </row>
        <row r="5">
          <cell r="A5" t="str">
            <v>FULL SERVICE</v>
          </cell>
        </row>
        <row r="6">
          <cell r="A6" t="str">
            <v>BT (BTPLF)</v>
          </cell>
          <cell r="C6">
            <v>3030</v>
          </cell>
          <cell r="D6">
            <v>3269</v>
          </cell>
          <cell r="E6">
            <v>3680</v>
          </cell>
          <cell r="F6">
            <v>4600</v>
          </cell>
          <cell r="G6">
            <v>4370</v>
          </cell>
          <cell r="H6">
            <v>4151.5</v>
          </cell>
          <cell r="I6">
            <v>4026.9549999999999</v>
          </cell>
          <cell r="J6">
            <v>4026.9549999999999</v>
          </cell>
          <cell r="K6">
            <v>4026.9549999999999</v>
          </cell>
          <cell r="L6">
            <v>4026.9549999999999</v>
          </cell>
          <cell r="M6">
            <v>4026.9549999999999</v>
          </cell>
          <cell r="N6">
            <v>4026.9549999999999</v>
          </cell>
          <cell r="O6">
            <v>4026.9549999999999</v>
          </cell>
        </row>
        <row r="7">
          <cell r="A7" t="str">
            <v>Deutsche Telekom (DTLSF)</v>
          </cell>
          <cell r="C7">
            <v>6790.9787660481743</v>
          </cell>
          <cell r="D7">
            <v>4791.3162186897634</v>
          </cell>
          <cell r="E7">
            <v>5974</v>
          </cell>
          <cell r="F7">
            <v>8068.2</v>
          </cell>
          <cell r="G7">
            <v>8308.7999999999993</v>
          </cell>
          <cell r="H7">
            <v>8518.6728000000003</v>
          </cell>
          <cell r="I7">
            <v>8694.1162080000013</v>
          </cell>
          <cell r="J7">
            <v>8684.3319164800014</v>
          </cell>
          <cell r="K7">
            <v>8664.7816938688011</v>
          </cell>
          <cell r="L7">
            <v>8863.4974716609286</v>
          </cell>
          <cell r="M7">
            <v>9098.5813085045847</v>
          </cell>
          <cell r="N7">
            <v>9353.2057767044607</v>
          </cell>
          <cell r="O7">
            <v>9625.6147540273669</v>
          </cell>
        </row>
        <row r="8">
          <cell r="A8" t="str">
            <v>Eircom (EIRCF)</v>
          </cell>
          <cell r="B8">
            <v>340.8</v>
          </cell>
          <cell r="C8">
            <v>377.791</v>
          </cell>
          <cell r="D8">
            <v>458.43200000000002</v>
          </cell>
          <cell r="E8">
            <v>587</v>
          </cell>
          <cell r="F8">
            <v>750</v>
          </cell>
          <cell r="G8">
            <v>725</v>
          </cell>
          <cell r="H8">
            <v>680</v>
          </cell>
          <cell r="I8">
            <v>661</v>
          </cell>
          <cell r="J8">
            <v>640</v>
          </cell>
          <cell r="K8">
            <v>630</v>
          </cell>
          <cell r="L8">
            <v>620</v>
          </cell>
          <cell r="M8">
            <v>620</v>
          </cell>
          <cell r="N8">
            <v>620</v>
          </cell>
          <cell r="O8">
            <v>620</v>
          </cell>
        </row>
        <row r="9">
          <cell r="A9" t="str">
            <v>France Telecom (FNCTF)</v>
          </cell>
          <cell r="C9">
            <v>4559.7501055709445</v>
          </cell>
          <cell r="D9">
            <v>4660</v>
          </cell>
          <cell r="E9">
            <v>5000</v>
          </cell>
          <cell r="F9">
            <v>5000.2</v>
          </cell>
          <cell r="G9">
            <v>5250.96</v>
          </cell>
          <cell r="H9">
            <v>5513.46</v>
          </cell>
          <cell r="I9">
            <v>5678.835</v>
          </cell>
          <cell r="J9">
            <v>5664.2891418091667</v>
          </cell>
          <cell r="K9">
            <v>5593.1308858555067</v>
          </cell>
          <cell r="L9">
            <v>5505.0052538109048</v>
          </cell>
          <cell r="M9">
            <v>5402.8085823047495</v>
          </cell>
          <cell r="N9">
            <v>5306.3512568847354</v>
          </cell>
          <cell r="O9">
            <v>5200.2242317470409</v>
          </cell>
        </row>
        <row r="10">
          <cell r="A10" t="str">
            <v>KPN (KKNPF)</v>
          </cell>
          <cell r="C10">
            <v>2914</v>
          </cell>
          <cell r="D10">
            <v>4452</v>
          </cell>
          <cell r="E10">
            <v>5563</v>
          </cell>
          <cell r="F10">
            <v>6000</v>
          </cell>
          <cell r="G10">
            <v>5800</v>
          </cell>
          <cell r="H10">
            <v>5800</v>
          </cell>
          <cell r="I10">
            <v>5800</v>
          </cell>
          <cell r="J10">
            <v>5800</v>
          </cell>
          <cell r="K10">
            <v>5800</v>
          </cell>
          <cell r="L10">
            <v>5800</v>
          </cell>
          <cell r="M10">
            <v>5800</v>
          </cell>
          <cell r="N10">
            <v>5800</v>
          </cell>
          <cell r="O10">
            <v>5800</v>
          </cell>
        </row>
        <row r="11">
          <cell r="A11" t="str">
            <v>Portugal Telecom (PTGXF)</v>
          </cell>
          <cell r="C11">
            <v>631.52634151694417</v>
          </cell>
          <cell r="D11">
            <v>853.67578635488474</v>
          </cell>
          <cell r="E11">
            <v>914.21029319340391</v>
          </cell>
          <cell r="F11">
            <v>870.3</v>
          </cell>
          <cell r="G11">
            <v>870.3</v>
          </cell>
          <cell r="H11">
            <v>870.3</v>
          </cell>
          <cell r="I11">
            <v>870.3</v>
          </cell>
          <cell r="J11">
            <v>870.3</v>
          </cell>
          <cell r="K11">
            <v>870.3</v>
          </cell>
          <cell r="L11">
            <v>870.3</v>
          </cell>
          <cell r="M11">
            <v>870.3</v>
          </cell>
          <cell r="N11">
            <v>870.3</v>
          </cell>
          <cell r="O11">
            <v>870.3</v>
          </cell>
        </row>
        <row r="12">
          <cell r="A12" t="str">
            <v>Swisscom (SWZCF)</v>
          </cell>
          <cell r="C12">
            <v>2374</v>
          </cell>
          <cell r="D12">
            <v>1305</v>
          </cell>
          <cell r="E12">
            <v>1468</v>
          </cell>
          <cell r="F12">
            <v>1800</v>
          </cell>
          <cell r="G12">
            <v>1800</v>
          </cell>
          <cell r="H12">
            <v>1800</v>
          </cell>
          <cell r="I12">
            <v>1800</v>
          </cell>
          <cell r="J12">
            <v>1800</v>
          </cell>
          <cell r="K12">
            <v>1800</v>
          </cell>
          <cell r="L12">
            <v>1800</v>
          </cell>
          <cell r="M12">
            <v>1800</v>
          </cell>
          <cell r="N12">
            <v>1800</v>
          </cell>
          <cell r="O12">
            <v>1800</v>
          </cell>
        </row>
        <row r="13">
          <cell r="A13" t="str">
            <v>TeleDanmark (TMKBF)</v>
          </cell>
          <cell r="C13">
            <v>5683</v>
          </cell>
          <cell r="D13">
            <v>5905</v>
          </cell>
          <cell r="E13">
            <v>7000</v>
          </cell>
          <cell r="F13">
            <v>8000</v>
          </cell>
          <cell r="G13">
            <v>8000</v>
          </cell>
          <cell r="H13">
            <v>8000</v>
          </cell>
          <cell r="I13">
            <v>8000</v>
          </cell>
          <cell r="J13">
            <v>8000</v>
          </cell>
          <cell r="K13">
            <v>8000</v>
          </cell>
          <cell r="L13">
            <v>8000</v>
          </cell>
          <cell r="M13">
            <v>8000</v>
          </cell>
          <cell r="N13">
            <v>8000</v>
          </cell>
          <cell r="O13">
            <v>8000</v>
          </cell>
        </row>
        <row r="14">
          <cell r="A14" t="str">
            <v>Telecom Italia Ordinary (TIIYF)</v>
          </cell>
          <cell r="C14">
            <v>5487.8125</v>
          </cell>
          <cell r="D14">
            <v>4866.9795000000004</v>
          </cell>
          <cell r="E14">
            <v>3875.2995000000001</v>
          </cell>
          <cell r="F14">
            <v>4892.2006300802568</v>
          </cell>
          <cell r="G14">
            <v>3492.2006300802577</v>
          </cell>
          <cell r="H14">
            <v>3492.2006300802577</v>
          </cell>
          <cell r="I14">
            <v>3692.2006300802577</v>
          </cell>
          <cell r="J14">
            <v>3692.2006300802577</v>
          </cell>
          <cell r="K14">
            <v>3692.2006300802577</v>
          </cell>
          <cell r="L14">
            <v>3592.2006300802577</v>
          </cell>
          <cell r="M14">
            <v>3592.2006300802577</v>
          </cell>
          <cell r="N14">
            <v>3592.2006300802577</v>
          </cell>
          <cell r="O14">
            <v>3492.2006300802577</v>
          </cell>
        </row>
        <row r="15">
          <cell r="A15" t="str">
            <v>Telefonica de Espana (TFNEF)</v>
          </cell>
          <cell r="C15">
            <v>4586</v>
          </cell>
          <cell r="D15">
            <v>3825</v>
          </cell>
          <cell r="E15">
            <v>6355</v>
          </cell>
          <cell r="F15">
            <v>6750</v>
          </cell>
          <cell r="G15">
            <v>6750</v>
          </cell>
          <cell r="H15">
            <v>6750</v>
          </cell>
          <cell r="I15">
            <v>6750</v>
          </cell>
          <cell r="J15">
            <v>6750</v>
          </cell>
          <cell r="K15">
            <v>6750</v>
          </cell>
          <cell r="L15">
            <v>6750</v>
          </cell>
          <cell r="M15">
            <v>6750</v>
          </cell>
          <cell r="N15">
            <v>6750</v>
          </cell>
          <cell r="O15">
            <v>6750</v>
          </cell>
        </row>
        <row r="17">
          <cell r="A17" t="str">
            <v>PCCW (PCCLF)</v>
          </cell>
          <cell r="C17">
            <v>4463.1000000000004</v>
          </cell>
          <cell r="D17">
            <v>5775</v>
          </cell>
          <cell r="E17">
            <v>4903</v>
          </cell>
          <cell r="F17">
            <v>4500</v>
          </cell>
          <cell r="G17">
            <v>5500</v>
          </cell>
          <cell r="H17">
            <v>6000</v>
          </cell>
          <cell r="I17">
            <v>6000</v>
          </cell>
          <cell r="J17">
            <v>6000</v>
          </cell>
        </row>
        <row r="18">
          <cell r="A18" t="str">
            <v>Korea Telecom (KOETF)</v>
          </cell>
          <cell r="B18">
            <v>3577250</v>
          </cell>
          <cell r="C18">
            <v>2642177</v>
          </cell>
          <cell r="D18">
            <v>2430300</v>
          </cell>
          <cell r="E18">
            <v>2890000</v>
          </cell>
          <cell r="F18">
            <v>3034500</v>
          </cell>
          <cell r="G18">
            <v>3034500</v>
          </cell>
          <cell r="H18">
            <v>3034500</v>
          </cell>
          <cell r="I18">
            <v>3337950</v>
          </cell>
          <cell r="J18">
            <v>3337950</v>
          </cell>
        </row>
        <row r="19">
          <cell r="A19" t="str">
            <v>MTNL (MHTNF)</v>
          </cell>
          <cell r="B19">
            <v>8852.7121409999963</v>
          </cell>
          <cell r="C19">
            <v>9947.4280230000004</v>
          </cell>
          <cell r="D19">
            <v>9774</v>
          </cell>
          <cell r="E19">
            <v>9362.1000000000058</v>
          </cell>
          <cell r="F19">
            <v>12141.725000000006</v>
          </cell>
          <cell r="G19">
            <v>18050.5</v>
          </cell>
        </row>
        <row r="20">
          <cell r="A20" t="str">
            <v>PLDT (PLTLF)</v>
          </cell>
          <cell r="B20">
            <v>21880</v>
          </cell>
          <cell r="C20">
            <v>27201</v>
          </cell>
          <cell r="D20">
            <v>24633</v>
          </cell>
          <cell r="E20">
            <v>16000</v>
          </cell>
          <cell r="F20">
            <v>14000</v>
          </cell>
          <cell r="G20">
            <v>11000</v>
          </cell>
          <cell r="H20">
            <v>9200</v>
          </cell>
          <cell r="I20">
            <v>8000</v>
          </cell>
          <cell r="J20">
            <v>8000</v>
          </cell>
        </row>
        <row r="21">
          <cell r="A21" t="str">
            <v>PT Telkom (TKOMF)</v>
          </cell>
          <cell r="B21">
            <v>3232000</v>
          </cell>
          <cell r="C21">
            <v>2948349</v>
          </cell>
          <cell r="D21">
            <v>4485000</v>
          </cell>
          <cell r="E21">
            <v>3000000</v>
          </cell>
          <cell r="F21">
            <v>3000000</v>
          </cell>
          <cell r="G21">
            <v>3000000</v>
          </cell>
          <cell r="H21">
            <v>3000000</v>
          </cell>
          <cell r="I21">
            <v>3000000</v>
          </cell>
        </row>
        <row r="22">
          <cell r="A22" t="str">
            <v>SingTel (SGTJF)</v>
          </cell>
          <cell r="B22">
            <v>608</v>
          </cell>
          <cell r="C22">
            <v>742</v>
          </cell>
          <cell r="D22">
            <v>1116.3</v>
          </cell>
          <cell r="E22">
            <v>867.9</v>
          </cell>
          <cell r="F22">
            <v>1000</v>
          </cell>
          <cell r="G22">
            <v>1800</v>
          </cell>
          <cell r="H22">
            <v>1800</v>
          </cell>
          <cell r="I22">
            <v>1000</v>
          </cell>
          <cell r="J22">
            <v>1000</v>
          </cell>
        </row>
        <row r="23">
          <cell r="A23" t="str">
            <v>Telekom Malaysia (MYTEF)</v>
          </cell>
          <cell r="B23">
            <v>2540.1999999999998</v>
          </cell>
          <cell r="C23">
            <v>3321</v>
          </cell>
          <cell r="D23">
            <v>3907.8</v>
          </cell>
          <cell r="E23">
            <v>2683.4</v>
          </cell>
          <cell r="F23">
            <v>3400</v>
          </cell>
          <cell r="G23">
            <v>3500</v>
          </cell>
          <cell r="H23">
            <v>3500</v>
          </cell>
          <cell r="I23">
            <v>3500</v>
          </cell>
          <cell r="J23">
            <v>3500</v>
          </cell>
          <cell r="K23">
            <v>3500</v>
          </cell>
        </row>
        <row r="25">
          <cell r="A25" t="str">
            <v>AT&amp;T (T)</v>
          </cell>
          <cell r="C25">
            <v>7714</v>
          </cell>
          <cell r="D25">
            <v>7981</v>
          </cell>
          <cell r="E25">
            <v>13511</v>
          </cell>
          <cell r="F25">
            <v>13500</v>
          </cell>
          <cell r="G25">
            <v>14975</v>
          </cell>
          <cell r="H25">
            <v>13538</v>
          </cell>
          <cell r="I25">
            <v>13688</v>
          </cell>
          <cell r="J25">
            <v>13786</v>
          </cell>
          <cell r="K25">
            <v>15094</v>
          </cell>
          <cell r="L25">
            <v>16459</v>
          </cell>
          <cell r="M25">
            <v>18050</v>
          </cell>
          <cell r="N25">
            <v>19759</v>
          </cell>
          <cell r="O25">
            <v>21604</v>
          </cell>
        </row>
        <row r="26">
          <cell r="A26" t="str">
            <v>Alltel (AT)</v>
          </cell>
          <cell r="C26">
            <v>545.57299999999998</v>
          </cell>
          <cell r="D26">
            <v>998</v>
          </cell>
          <cell r="E26">
            <v>1006</v>
          </cell>
          <cell r="F26">
            <v>1075</v>
          </cell>
          <cell r="G26">
            <v>1250</v>
          </cell>
          <cell r="H26">
            <v>1231.25</v>
          </cell>
          <cell r="I26">
            <v>1212.78125</v>
          </cell>
          <cell r="J26">
            <v>1194.5895312499999</v>
          </cell>
          <cell r="K26">
            <v>1176.67068828125</v>
          </cell>
          <cell r="L26">
            <v>1159.0206279570311</v>
          </cell>
          <cell r="M26">
            <v>1141.6353185376756</v>
          </cell>
          <cell r="N26">
            <v>1124.5107887596105</v>
          </cell>
        </row>
        <row r="27">
          <cell r="A27" t="str">
            <v>Bell South (BLS)</v>
          </cell>
          <cell r="C27">
            <v>4858</v>
          </cell>
          <cell r="D27">
            <v>5212</v>
          </cell>
          <cell r="E27">
            <v>6200</v>
          </cell>
          <cell r="F27">
            <v>6468</v>
          </cell>
          <cell r="G27">
            <v>5500</v>
          </cell>
          <cell r="H27">
            <v>5500</v>
          </cell>
          <cell r="I27">
            <v>5500</v>
          </cell>
          <cell r="J27">
            <v>5500</v>
          </cell>
          <cell r="K27">
            <v>5500</v>
          </cell>
          <cell r="L27">
            <v>5500</v>
          </cell>
          <cell r="M27">
            <v>5500</v>
          </cell>
          <cell r="N27">
            <v>5500</v>
          </cell>
          <cell r="O27">
            <v>5500</v>
          </cell>
        </row>
        <row r="28">
          <cell r="A28" t="str">
            <v>Worldcom (WCOM)</v>
          </cell>
          <cell r="C28">
            <v>3153</v>
          </cell>
          <cell r="D28">
            <v>5486</v>
          </cell>
          <cell r="E28">
            <v>8716</v>
          </cell>
          <cell r="F28">
            <v>8137</v>
          </cell>
          <cell r="G28">
            <v>9257.0679999999993</v>
          </cell>
          <cell r="H28">
            <v>8500</v>
          </cell>
          <cell r="I28">
            <v>8000</v>
          </cell>
          <cell r="J28">
            <v>8000</v>
          </cell>
          <cell r="K28">
            <v>8000</v>
          </cell>
          <cell r="L28">
            <v>8000</v>
          </cell>
          <cell r="M28">
            <v>8000</v>
          </cell>
          <cell r="N28">
            <v>8000</v>
          </cell>
          <cell r="O28">
            <v>8000</v>
          </cell>
        </row>
        <row r="29">
          <cell r="A29" t="str">
            <v>Qwest (Q)</v>
          </cell>
          <cell r="C29">
            <v>2513.8000000000002</v>
          </cell>
          <cell r="D29">
            <v>4085.2</v>
          </cell>
          <cell r="E29">
            <v>5844</v>
          </cell>
          <cell r="F29">
            <v>7450</v>
          </cell>
          <cell r="G29">
            <v>7500</v>
          </cell>
          <cell r="H29">
            <v>7500</v>
          </cell>
          <cell r="I29">
            <v>7500</v>
          </cell>
          <cell r="J29">
            <v>7500</v>
          </cell>
          <cell r="K29">
            <v>7500</v>
          </cell>
        </row>
        <row r="30">
          <cell r="A30" t="str">
            <v>SBC (SBC)</v>
          </cell>
          <cell r="C30">
            <v>8856</v>
          </cell>
          <cell r="D30">
            <v>8882</v>
          </cell>
          <cell r="E30">
            <v>10304</v>
          </cell>
          <cell r="F30">
            <v>13000</v>
          </cell>
          <cell r="G30">
            <v>13300</v>
          </cell>
          <cell r="H30">
            <v>13000</v>
          </cell>
          <cell r="I30">
            <v>14101.673581183813</v>
          </cell>
          <cell r="J30">
            <v>15214.919320021705</v>
          </cell>
          <cell r="K30">
            <v>16321.182514628053</v>
          </cell>
          <cell r="L30">
            <v>17466.889326551809</v>
          </cell>
          <cell r="M30">
            <v>18650</v>
          </cell>
          <cell r="N30">
            <v>19869.872928636538</v>
          </cell>
          <cell r="O30">
            <v>21163.960619914327</v>
          </cell>
        </row>
        <row r="31">
          <cell r="A31" t="str">
            <v>Sprint (FON)</v>
          </cell>
          <cell r="B31">
            <v>2188.5</v>
          </cell>
          <cell r="C31">
            <v>2800</v>
          </cell>
          <cell r="D31">
            <v>3159.2</v>
          </cell>
          <cell r="E31">
            <v>5949.7</v>
          </cell>
          <cell r="F31">
            <v>3651</v>
          </cell>
          <cell r="G31">
            <v>4000</v>
          </cell>
          <cell r="H31">
            <v>3800</v>
          </cell>
          <cell r="I31">
            <v>3200</v>
          </cell>
          <cell r="J31">
            <v>3000</v>
          </cell>
          <cell r="K31">
            <v>3000</v>
          </cell>
          <cell r="L31">
            <v>3000</v>
          </cell>
          <cell r="M31">
            <v>3000</v>
          </cell>
          <cell r="N31">
            <v>3000</v>
          </cell>
          <cell r="O31">
            <v>3000</v>
          </cell>
        </row>
        <row r="32">
          <cell r="A32" t="str">
            <v>Verizon (VZ)</v>
          </cell>
          <cell r="C32">
            <v>11766</v>
          </cell>
          <cell r="D32">
            <v>13055</v>
          </cell>
          <cell r="E32">
            <v>13615</v>
          </cell>
          <cell r="F32">
            <v>18000</v>
          </cell>
          <cell r="G32">
            <v>17000</v>
          </cell>
          <cell r="H32">
            <v>17500</v>
          </cell>
          <cell r="I32">
            <v>17500</v>
          </cell>
        </row>
        <row r="34">
          <cell r="A34" t="str">
            <v>Telstra (TCIRF)</v>
          </cell>
          <cell r="B34">
            <v>3888.6</v>
          </cell>
          <cell r="C34">
            <v>3945</v>
          </cell>
          <cell r="D34">
            <v>3286</v>
          </cell>
          <cell r="E34">
            <v>3707</v>
          </cell>
          <cell r="F34">
            <v>4705</v>
          </cell>
          <cell r="G34">
            <v>4600</v>
          </cell>
          <cell r="H34">
            <v>4600</v>
          </cell>
          <cell r="I34">
            <v>4600</v>
          </cell>
          <cell r="J34">
            <v>4715</v>
          </cell>
          <cell r="K34">
            <v>4832.875</v>
          </cell>
          <cell r="L34">
            <v>4953.6968749999996</v>
          </cell>
          <cell r="M34">
            <v>5077.5392968749993</v>
          </cell>
          <cell r="N34">
            <v>5204.4777792968735</v>
          </cell>
          <cell r="O34">
            <v>5334.5897237792951</v>
          </cell>
        </row>
        <row r="35">
          <cell r="A35" t="str">
            <v>C&amp;W Optus (CBWOF)</v>
          </cell>
          <cell r="B35">
            <v>1179.0999999999999</v>
          </cell>
          <cell r="C35">
            <v>1104.5</v>
          </cell>
          <cell r="D35">
            <v>853</v>
          </cell>
          <cell r="E35">
            <v>1039.2</v>
          </cell>
          <cell r="F35">
            <v>1545</v>
          </cell>
          <cell r="G35">
            <v>1600</v>
          </cell>
          <cell r="H35">
            <v>1600</v>
          </cell>
          <cell r="I35">
            <v>1600</v>
          </cell>
          <cell r="J35">
            <v>1648</v>
          </cell>
          <cell r="K35">
            <v>1697.44</v>
          </cell>
          <cell r="L35">
            <v>1748.3632</v>
          </cell>
          <cell r="M35">
            <v>1800.8140960000001</v>
          </cell>
          <cell r="N35">
            <v>1854.83851888</v>
          </cell>
          <cell r="O35">
            <v>1910.4836744464001</v>
          </cell>
        </row>
        <row r="36">
          <cell r="A36" t="str">
            <v>Telecom New Zealand (NZTCF)</v>
          </cell>
          <cell r="C36">
            <v>220.6</v>
          </cell>
          <cell r="D36">
            <v>304.5</v>
          </cell>
          <cell r="E36">
            <v>546</v>
          </cell>
          <cell r="F36">
            <v>1926.3378205128206</v>
          </cell>
          <cell r="G36">
            <v>2320.2131202131204</v>
          </cell>
          <cell r="H36">
            <v>1606.1538461538462</v>
          </cell>
          <cell r="I36">
            <v>1481.6384615384616</v>
          </cell>
          <cell r="J36">
            <v>1453.377923076923</v>
          </cell>
          <cell r="K36">
            <v>1463.6809330769231</v>
          </cell>
          <cell r="L36">
            <v>1474.086973176923</v>
          </cell>
          <cell r="M36">
            <v>1484.5970736779229</v>
          </cell>
          <cell r="N36">
            <v>1495.2122751839329</v>
          </cell>
        </row>
        <row r="38">
          <cell r="A38" t="str">
            <v>BCE (YBCE)</v>
          </cell>
          <cell r="E38">
            <v>2290.0811034482758</v>
          </cell>
          <cell r="F38">
            <v>3143.9922758620692</v>
          </cell>
          <cell r="G38">
            <v>3075.3103448275865</v>
          </cell>
          <cell r="H38">
            <v>3075.3103448275865</v>
          </cell>
          <cell r="I38">
            <v>2767.7793103448275</v>
          </cell>
          <cell r="J38">
            <v>2767.7793103448275</v>
          </cell>
          <cell r="K38">
            <v>2767.7793103448275</v>
          </cell>
          <cell r="L38">
            <v>2767.7793103448275</v>
          </cell>
          <cell r="M38">
            <v>2767.7793103448275</v>
          </cell>
          <cell r="N38">
            <v>2767.7793103448275</v>
          </cell>
          <cell r="O38">
            <v>2767.7793103448275</v>
          </cell>
        </row>
        <row r="39">
          <cell r="A39" t="str">
            <v>BCT Telus (YT)</v>
          </cell>
          <cell r="E39">
            <v>1229.3040551724137</v>
          </cell>
          <cell r="F39">
            <v>1435.1448275862069</v>
          </cell>
          <cell r="G39">
            <v>1127.6137931034482</v>
          </cell>
          <cell r="H39">
            <v>1127.6137931034482</v>
          </cell>
          <cell r="I39">
            <v>1127.6137931034482</v>
          </cell>
          <cell r="J39">
            <v>1127.6137931034482</v>
          </cell>
          <cell r="K39">
            <v>1127.6137931034482</v>
          </cell>
          <cell r="L39">
            <v>1127.6137931034482</v>
          </cell>
          <cell r="M39">
            <v>1127.6137931034482</v>
          </cell>
          <cell r="N39">
            <v>1127.6137931034482</v>
          </cell>
          <cell r="O39">
            <v>1127.6137931034482</v>
          </cell>
        </row>
        <row r="40">
          <cell r="A40" t="str">
            <v>MTS</v>
          </cell>
          <cell r="E40">
            <v>173.65252413793104</v>
          </cell>
          <cell r="F40">
            <v>417.21710344827585</v>
          </cell>
          <cell r="G40">
            <v>379.28827586206899</v>
          </cell>
          <cell r="H40">
            <v>292.1544827586207</v>
          </cell>
          <cell r="I40">
            <v>297.27999999999997</v>
          </cell>
          <cell r="J40">
            <v>297.27999999999997</v>
          </cell>
          <cell r="K40">
            <v>297.27999999999997</v>
          </cell>
          <cell r="L40">
            <v>297.27999999999997</v>
          </cell>
          <cell r="M40">
            <v>297.27999999999997</v>
          </cell>
          <cell r="N40">
            <v>297.27999999999997</v>
          </cell>
          <cell r="O40">
            <v>297.27999999999997</v>
          </cell>
        </row>
        <row r="41">
          <cell r="A41" t="str">
            <v>Aliant</v>
          </cell>
          <cell r="E41">
            <v>318.81639834482758</v>
          </cell>
          <cell r="F41">
            <v>379.28827586206899</v>
          </cell>
          <cell r="G41">
            <v>445.80721939786775</v>
          </cell>
          <cell r="H41">
            <v>476.47295281825393</v>
          </cell>
          <cell r="I41">
            <v>511.27248718887199</v>
          </cell>
          <cell r="J41">
            <v>547.52750433074175</v>
          </cell>
          <cell r="K41">
            <v>586.35341331774941</v>
          </cell>
          <cell r="L41">
            <v>627.93251953547895</v>
          </cell>
          <cell r="M41">
            <v>672.46005588868434</v>
          </cell>
          <cell r="N41">
            <v>720.14509950899662</v>
          </cell>
          <cell r="O41">
            <v>771.21155346760202</v>
          </cell>
        </row>
        <row r="43">
          <cell r="A43" t="str">
            <v>DDI (DDIOF)</v>
          </cell>
          <cell r="B43">
            <v>333900</v>
          </cell>
          <cell r="C43">
            <v>336570</v>
          </cell>
          <cell r="D43">
            <v>406865</v>
          </cell>
          <cell r="E43">
            <v>393500</v>
          </cell>
          <cell r="F43">
            <v>616437.5</v>
          </cell>
          <cell r="G43">
            <v>587875</v>
          </cell>
          <cell r="H43">
            <v>421375</v>
          </cell>
          <cell r="I43">
            <v>451375</v>
          </cell>
          <cell r="J43">
            <v>448875</v>
          </cell>
          <cell r="K43">
            <v>431375</v>
          </cell>
        </row>
        <row r="44">
          <cell r="A44" t="str">
            <v>Japan Telecom (JPNTF)</v>
          </cell>
          <cell r="B44">
            <v>54200</v>
          </cell>
          <cell r="C44">
            <v>85500</v>
          </cell>
          <cell r="D44">
            <v>67864</v>
          </cell>
          <cell r="E44">
            <v>71493</v>
          </cell>
          <cell r="F44">
            <v>412500</v>
          </cell>
          <cell r="G44">
            <v>402500</v>
          </cell>
          <cell r="H44">
            <v>407500</v>
          </cell>
          <cell r="I44">
            <v>415000</v>
          </cell>
          <cell r="J44">
            <v>405000</v>
          </cell>
          <cell r="K44">
            <v>395000</v>
          </cell>
          <cell r="L44">
            <v>385000</v>
          </cell>
          <cell r="M44">
            <v>365000</v>
          </cell>
          <cell r="N44">
            <v>365000</v>
          </cell>
        </row>
        <row r="45">
          <cell r="A45" t="str">
            <v>NTT (NTT)</v>
          </cell>
          <cell r="B45">
            <v>3095100</v>
          </cell>
          <cell r="C45">
            <v>2962300</v>
          </cell>
          <cell r="D45">
            <v>3087800</v>
          </cell>
          <cell r="E45">
            <v>2728795</v>
          </cell>
          <cell r="F45">
            <v>2629650</v>
          </cell>
          <cell r="G45">
            <v>2723578.57142857</v>
          </cell>
          <cell r="H45">
            <v>2804769.6428571399</v>
          </cell>
          <cell r="I45">
            <v>2888807.8125</v>
          </cell>
          <cell r="J45">
            <v>3005864.2578125</v>
          </cell>
          <cell r="K45">
            <v>3082108.9892578102</v>
          </cell>
          <cell r="L45">
            <v>3143758.9892578102</v>
          </cell>
          <cell r="M45">
            <v>3205058.9892578102</v>
          </cell>
          <cell r="N45">
            <v>3246233.9892578102</v>
          </cell>
          <cell r="O45">
            <v>3246233.9892578102</v>
          </cell>
        </row>
        <row r="47">
          <cell r="A47" t="str">
            <v>Brasil Telecom Part (BRP)</v>
          </cell>
          <cell r="C47">
            <v>1084.1479999999999</v>
          </cell>
          <cell r="D47">
            <v>1290.116</v>
          </cell>
          <cell r="E47">
            <v>972</v>
          </cell>
          <cell r="F47">
            <v>1925.9506681041917</v>
          </cell>
          <cell r="G47">
            <v>1564.4401353480494</v>
          </cell>
          <cell r="H47">
            <v>1200.753850382197</v>
          </cell>
          <cell r="I47">
            <v>1140.7161578630871</v>
          </cell>
          <cell r="J47">
            <v>1083.6803499699326</v>
          </cell>
          <cell r="K47">
            <v>1137.8643674684292</v>
          </cell>
          <cell r="L47">
            <v>1194.7575858418506</v>
          </cell>
          <cell r="M47">
            <v>1254.4954651339433</v>
          </cell>
          <cell r="N47">
            <v>1317.2202383906406</v>
          </cell>
          <cell r="O47">
            <v>1383.0812503101727</v>
          </cell>
        </row>
        <row r="48">
          <cell r="A48" t="str">
            <v>Tele Norte Leste (TNE)</v>
          </cell>
          <cell r="C48">
            <v>2583.2629999999999</v>
          </cell>
          <cell r="D48">
            <v>2486.3780000000002</v>
          </cell>
          <cell r="E48">
            <v>2245</v>
          </cell>
          <cell r="F48">
            <v>3143.9685366771987</v>
          </cell>
          <cell r="G48">
            <v>3783.4439406092943</v>
          </cell>
          <cell r="H48">
            <v>2155.0993240201201</v>
          </cell>
          <cell r="I48">
            <v>2047.3443578191141</v>
          </cell>
          <cell r="J48">
            <v>1944.9771399281583</v>
          </cell>
          <cell r="K48">
            <v>2042.2259969245663</v>
          </cell>
          <cell r="L48">
            <v>2144.3372967707946</v>
          </cell>
          <cell r="M48">
            <v>2251.5541616093346</v>
          </cell>
          <cell r="N48">
            <v>2364.1318696898015</v>
          </cell>
          <cell r="O48">
            <v>2482.3384631742915</v>
          </cell>
        </row>
        <row r="49">
          <cell r="A49" t="str">
            <v>Embratel (EMT)</v>
          </cell>
          <cell r="C49">
            <v>909.34199999999998</v>
          </cell>
          <cell r="D49">
            <v>1094.8230000000001</v>
          </cell>
          <cell r="E49">
            <v>1727.7750000000001</v>
          </cell>
          <cell r="F49">
            <v>1382.22</v>
          </cell>
          <cell r="G49">
            <v>1243.9980000000003</v>
          </cell>
          <cell r="H49">
            <v>1119.5982000000004</v>
          </cell>
          <cell r="I49">
            <v>1063.6182900000003</v>
          </cell>
          <cell r="J49">
            <v>1010.4373755000003</v>
          </cell>
          <cell r="K49">
            <v>1060.9592442750004</v>
          </cell>
          <cell r="L49">
            <v>1114.0072064887504</v>
          </cell>
          <cell r="M49">
            <v>1169.7075668131879</v>
          </cell>
          <cell r="N49">
            <v>1228.1929451538474</v>
          </cell>
          <cell r="O49">
            <v>1289.6025924115397</v>
          </cell>
        </row>
        <row r="50">
          <cell r="A50" t="str">
            <v>Telmex (TMX)</v>
          </cell>
          <cell r="B50">
            <v>700</v>
          </cell>
          <cell r="C50">
            <v>963</v>
          </cell>
          <cell r="D50">
            <v>1467.5650000000001</v>
          </cell>
          <cell r="E50">
            <v>2100</v>
          </cell>
          <cell r="F50">
            <v>3074.3877242764479</v>
          </cell>
          <cell r="G50">
            <v>3323.0054383719403</v>
          </cell>
          <cell r="H50">
            <v>3000</v>
          </cell>
          <cell r="I50">
            <v>3000</v>
          </cell>
          <cell r="J50">
            <v>3000</v>
          </cell>
          <cell r="K50">
            <v>3000</v>
          </cell>
          <cell r="L50">
            <v>3000</v>
          </cell>
          <cell r="M50">
            <v>3000</v>
          </cell>
          <cell r="N50">
            <v>3000</v>
          </cell>
          <cell r="O50">
            <v>3000</v>
          </cell>
        </row>
        <row r="51">
          <cell r="A51" t="str">
            <v>Telecom Argentina (TEO)</v>
          </cell>
          <cell r="B51">
            <v>935.56799999999998</v>
          </cell>
          <cell r="C51">
            <v>773</v>
          </cell>
          <cell r="D51">
            <v>776</v>
          </cell>
          <cell r="E51">
            <v>972</v>
          </cell>
          <cell r="F51">
            <v>1003</v>
          </cell>
          <cell r="G51">
            <v>1000</v>
          </cell>
          <cell r="H51">
            <v>1000</v>
          </cell>
          <cell r="I51">
            <v>1000</v>
          </cell>
          <cell r="J51">
            <v>1000</v>
          </cell>
          <cell r="K51">
            <v>1000</v>
          </cell>
          <cell r="L51">
            <v>1000</v>
          </cell>
          <cell r="M51">
            <v>1000</v>
          </cell>
          <cell r="N51">
            <v>1000</v>
          </cell>
          <cell r="O51">
            <v>1000</v>
          </cell>
        </row>
        <row r="52">
          <cell r="A52" t="str">
            <v>CTC (CTC)</v>
          </cell>
          <cell r="B52">
            <v>723</v>
          </cell>
          <cell r="C52">
            <v>709</v>
          </cell>
          <cell r="D52">
            <v>615</v>
          </cell>
          <cell r="E52">
            <v>598.20000000000005</v>
          </cell>
          <cell r="F52">
            <v>370.61445283018867</v>
          </cell>
          <cell r="G52">
            <v>500</v>
          </cell>
          <cell r="H52">
            <v>500</v>
          </cell>
          <cell r="I52">
            <v>500</v>
          </cell>
          <cell r="J52">
            <v>500</v>
          </cell>
          <cell r="K52">
            <v>500</v>
          </cell>
          <cell r="L52">
            <v>500</v>
          </cell>
          <cell r="M52">
            <v>500</v>
          </cell>
          <cell r="N52">
            <v>500</v>
          </cell>
          <cell r="O52">
            <v>500</v>
          </cell>
        </row>
        <row r="54">
          <cell r="A54" t="str">
            <v>WIRELESS</v>
          </cell>
        </row>
        <row r="55">
          <cell r="A55" t="str">
            <v>Bouygues (BOUYF)</v>
          </cell>
          <cell r="C55">
            <v>568.88</v>
          </cell>
          <cell r="D55">
            <v>830</v>
          </cell>
          <cell r="E55">
            <v>524</v>
          </cell>
          <cell r="F55">
            <v>400</v>
          </cell>
          <cell r="G55">
            <v>500</v>
          </cell>
          <cell r="H55">
            <v>650</v>
          </cell>
          <cell r="I55">
            <v>550</v>
          </cell>
          <cell r="J55">
            <v>492.30769230769232</v>
          </cell>
          <cell r="K55">
            <v>392.30769230769232</v>
          </cell>
          <cell r="L55">
            <v>392.30769230769232</v>
          </cell>
          <cell r="M55">
            <v>442.30769230769232</v>
          </cell>
          <cell r="N55">
            <v>442.30769230769232</v>
          </cell>
          <cell r="O55">
            <v>442.30769230769232</v>
          </cell>
        </row>
        <row r="56">
          <cell r="A56" t="str">
            <v>Europolitan (ERPLF)</v>
          </cell>
          <cell r="D56">
            <v>70</v>
          </cell>
          <cell r="E56">
            <v>77</v>
          </cell>
          <cell r="F56">
            <v>66.105769230769226</v>
          </cell>
          <cell r="G56">
            <v>78.125</v>
          </cell>
          <cell r="H56">
            <v>78.125</v>
          </cell>
          <cell r="I56">
            <v>78.125</v>
          </cell>
          <cell r="J56">
            <v>72.115384615384613</v>
          </cell>
          <cell r="K56">
            <v>60.096153846153847</v>
          </cell>
          <cell r="L56">
            <v>54.08653846153846</v>
          </cell>
          <cell r="M56">
            <v>54.08653846153846</v>
          </cell>
          <cell r="N56">
            <v>54.08653846153846</v>
          </cell>
          <cell r="O56">
            <v>54.08653846153846</v>
          </cell>
        </row>
        <row r="57">
          <cell r="A57" t="str">
            <v>Libertel (LBTLF)</v>
          </cell>
          <cell r="C57">
            <v>118</v>
          </cell>
          <cell r="D57">
            <v>195</v>
          </cell>
          <cell r="E57">
            <v>350</v>
          </cell>
          <cell r="F57">
            <v>400</v>
          </cell>
          <cell r="G57">
            <v>300</v>
          </cell>
          <cell r="H57">
            <v>200</v>
          </cell>
          <cell r="I57">
            <v>175</v>
          </cell>
          <cell r="J57">
            <v>175</v>
          </cell>
          <cell r="K57">
            <v>175</v>
          </cell>
          <cell r="L57">
            <v>175</v>
          </cell>
          <cell r="M57">
            <v>175</v>
          </cell>
          <cell r="N57">
            <v>175</v>
          </cell>
          <cell r="O57">
            <v>175</v>
          </cell>
        </row>
        <row r="58">
          <cell r="A58" t="str">
            <v>Panafon (PFHTF)</v>
          </cell>
          <cell r="C58">
            <v>107.8</v>
          </cell>
          <cell r="D58">
            <v>154</v>
          </cell>
          <cell r="E58">
            <v>154</v>
          </cell>
          <cell r="F58">
            <v>154</v>
          </cell>
          <cell r="G58">
            <v>153.9529411764706</v>
          </cell>
          <cell r="H58">
            <v>153.9529411764706</v>
          </cell>
          <cell r="I58">
            <v>153.9529411764706</v>
          </cell>
          <cell r="J58">
            <v>153.94117647058826</v>
          </cell>
          <cell r="K58">
            <v>143.64705882352942</v>
          </cell>
          <cell r="L58">
            <v>134.8235294117647</v>
          </cell>
          <cell r="M58">
            <v>126</v>
          </cell>
          <cell r="N58">
            <v>126</v>
          </cell>
          <cell r="O58">
            <v>126</v>
          </cell>
        </row>
        <row r="59">
          <cell r="A59" t="str">
            <v>Sonera (SNRAF)</v>
          </cell>
          <cell r="C59">
            <v>150</v>
          </cell>
          <cell r="D59">
            <v>165</v>
          </cell>
          <cell r="E59">
            <v>165</v>
          </cell>
          <cell r="F59">
            <v>200</v>
          </cell>
          <cell r="G59">
            <v>200</v>
          </cell>
          <cell r="H59">
            <v>190</v>
          </cell>
          <cell r="I59">
            <v>175</v>
          </cell>
          <cell r="J59">
            <v>160</v>
          </cell>
          <cell r="K59">
            <v>160</v>
          </cell>
          <cell r="L59">
            <v>160</v>
          </cell>
          <cell r="M59">
            <v>160</v>
          </cell>
          <cell r="N59">
            <v>160</v>
          </cell>
          <cell r="O59">
            <v>160</v>
          </cell>
        </row>
        <row r="60">
          <cell r="A60" t="str">
            <v>Telecel (TCPPF)</v>
          </cell>
          <cell r="C60">
            <v>120</v>
          </cell>
          <cell r="D60">
            <v>125</v>
          </cell>
          <cell r="E60">
            <v>140</v>
          </cell>
          <cell r="F60">
            <v>140</v>
          </cell>
          <cell r="G60">
            <v>140</v>
          </cell>
          <cell r="H60">
            <v>140</v>
          </cell>
          <cell r="I60">
            <v>140</v>
          </cell>
          <cell r="J60">
            <v>140</v>
          </cell>
          <cell r="K60">
            <v>126</v>
          </cell>
          <cell r="L60">
            <v>120</v>
          </cell>
          <cell r="M60">
            <v>120</v>
          </cell>
          <cell r="N60">
            <v>120</v>
          </cell>
          <cell r="O60">
            <v>120</v>
          </cell>
        </row>
        <row r="61">
          <cell r="A61" t="str">
            <v>TI Mobile (TLEAF)</v>
          </cell>
          <cell r="C61">
            <v>650</v>
          </cell>
          <cell r="D61">
            <v>925</v>
          </cell>
          <cell r="E61">
            <v>1158</v>
          </cell>
          <cell r="F61">
            <v>1300</v>
          </cell>
          <cell r="G61">
            <v>1500</v>
          </cell>
          <cell r="H61">
            <v>1600</v>
          </cell>
          <cell r="I61">
            <v>1600</v>
          </cell>
          <cell r="J61">
            <v>1500</v>
          </cell>
          <cell r="K61">
            <v>1350</v>
          </cell>
          <cell r="L61">
            <v>1215</v>
          </cell>
          <cell r="M61">
            <v>1100</v>
          </cell>
          <cell r="N61">
            <v>1000</v>
          </cell>
          <cell r="O61">
            <v>1000</v>
          </cell>
        </row>
        <row r="62">
          <cell r="A62" t="str">
            <v>Vodafone Airtouch (VODFF)</v>
          </cell>
          <cell r="C62">
            <v>2195.1999999999998</v>
          </cell>
          <cell r="D62">
            <v>3136</v>
          </cell>
          <cell r="E62">
            <v>4480</v>
          </cell>
          <cell r="F62">
            <v>6400</v>
          </cell>
          <cell r="G62">
            <v>6400</v>
          </cell>
          <cell r="H62">
            <v>6400</v>
          </cell>
          <cell r="I62">
            <v>6400</v>
          </cell>
          <cell r="J62">
            <v>6400</v>
          </cell>
          <cell r="K62">
            <v>6400</v>
          </cell>
          <cell r="L62">
            <v>5760</v>
          </cell>
          <cell r="M62">
            <v>5184</v>
          </cell>
          <cell r="N62">
            <v>5000</v>
          </cell>
          <cell r="O62">
            <v>5000</v>
          </cell>
        </row>
        <row r="64">
          <cell r="A64" t="str">
            <v>Advanced Info Srvce (AVIFF)</v>
          </cell>
          <cell r="B64">
            <v>5454</v>
          </cell>
          <cell r="C64">
            <v>10643</v>
          </cell>
          <cell r="D64">
            <v>9067</v>
          </cell>
          <cell r="E64">
            <v>5004</v>
          </cell>
          <cell r="F64">
            <v>16025</v>
          </cell>
          <cell r="G64">
            <v>6929</v>
          </cell>
          <cell r="H64">
            <v>8846</v>
          </cell>
        </row>
        <row r="65">
          <cell r="A65" t="str">
            <v>China Mobile HK (CCMKF)</v>
          </cell>
          <cell r="B65">
            <v>5511</v>
          </cell>
          <cell r="C65">
            <v>5807</v>
          </cell>
          <cell r="D65">
            <v>11040</v>
          </cell>
          <cell r="E65">
            <v>14940</v>
          </cell>
          <cell r="F65">
            <v>27819</v>
          </cell>
          <cell r="G65">
            <v>30243</v>
          </cell>
          <cell r="H65">
            <v>28261</v>
          </cell>
          <cell r="I65">
            <v>26058</v>
          </cell>
          <cell r="J65">
            <v>23183</v>
          </cell>
          <cell r="K65">
            <v>19312</v>
          </cell>
        </row>
        <row r="66">
          <cell r="A66" t="str">
            <v>China Unicom (CUNCF)</v>
          </cell>
        </row>
        <row r="67">
          <cell r="A67" t="str">
            <v>SK Telecom (SKMTF)</v>
          </cell>
          <cell r="B67">
            <v>1185902.0379999999</v>
          </cell>
          <cell r="C67">
            <v>1533919.01</v>
          </cell>
          <cell r="D67">
            <v>764225.62100000004</v>
          </cell>
          <cell r="E67">
            <v>1082550.6429999999</v>
          </cell>
          <cell r="F67">
            <v>1400000</v>
          </cell>
          <cell r="G67">
            <v>1400000</v>
          </cell>
          <cell r="H67">
            <v>1400000</v>
          </cell>
          <cell r="I67">
            <v>1400000</v>
          </cell>
          <cell r="J67">
            <v>1400000</v>
          </cell>
          <cell r="K67">
            <v>1200000</v>
          </cell>
        </row>
        <row r="68">
          <cell r="A68" t="str">
            <v>Smartone (STTFF)</v>
          </cell>
          <cell r="B68">
            <v>793</v>
          </cell>
          <cell r="C68">
            <v>561</v>
          </cell>
          <cell r="D68">
            <v>756</v>
          </cell>
          <cell r="E68">
            <v>619</v>
          </cell>
          <cell r="F68">
            <v>700</v>
          </cell>
          <cell r="G68">
            <v>700</v>
          </cell>
          <cell r="H68">
            <v>700</v>
          </cell>
          <cell r="I68">
            <v>700</v>
          </cell>
          <cell r="J68">
            <v>500</v>
          </cell>
          <cell r="K68">
            <v>500</v>
          </cell>
        </row>
        <row r="69">
          <cell r="A69" t="str">
            <v>Total Access Comms (TACPF)</v>
          </cell>
          <cell r="B69">
            <v>17061</v>
          </cell>
          <cell r="C69">
            <v>7836</v>
          </cell>
          <cell r="D69">
            <v>2041</v>
          </cell>
          <cell r="E69">
            <v>1200</v>
          </cell>
          <cell r="F69">
            <v>3400</v>
          </cell>
          <cell r="G69">
            <v>6400</v>
          </cell>
          <cell r="H69">
            <v>6400</v>
          </cell>
          <cell r="I69">
            <v>4400</v>
          </cell>
        </row>
        <row r="71">
          <cell r="A71" t="str">
            <v>AT&amp;T Wireless (AWE)</v>
          </cell>
          <cell r="C71">
            <v>1931</v>
          </cell>
          <cell r="D71">
            <v>1219</v>
          </cell>
          <cell r="E71">
            <v>2333</v>
          </cell>
          <cell r="F71">
            <v>3987.5</v>
          </cell>
          <cell r="G71">
            <v>3925</v>
          </cell>
          <cell r="H71">
            <v>3535</v>
          </cell>
          <cell r="I71">
            <v>3155</v>
          </cell>
          <cell r="J71">
            <v>2650</v>
          </cell>
          <cell r="K71">
            <v>2360</v>
          </cell>
          <cell r="L71">
            <v>2305</v>
          </cell>
          <cell r="M71">
            <v>2305</v>
          </cell>
          <cell r="N71">
            <v>2360</v>
          </cell>
        </row>
        <row r="72">
          <cell r="A72" t="str">
            <v>Nextel (NXTL)</v>
          </cell>
          <cell r="C72">
            <v>1496</v>
          </cell>
          <cell r="D72">
            <v>1904.97</v>
          </cell>
          <cell r="E72">
            <v>1908</v>
          </cell>
          <cell r="F72">
            <v>2587.5</v>
          </cell>
          <cell r="G72">
            <v>2346</v>
          </cell>
          <cell r="H72">
            <v>2160.2750000000001</v>
          </cell>
          <cell r="I72">
            <v>2048.1068749999999</v>
          </cell>
          <cell r="J72">
            <v>1620</v>
          </cell>
          <cell r="K72">
            <v>1560</v>
          </cell>
          <cell r="L72">
            <v>1560</v>
          </cell>
          <cell r="M72">
            <v>1560</v>
          </cell>
          <cell r="N72">
            <v>1560</v>
          </cell>
        </row>
        <row r="73">
          <cell r="A73" t="str">
            <v>Sprint PCS (PCS)</v>
          </cell>
          <cell r="C73">
            <v>2278.3000000000002</v>
          </cell>
          <cell r="D73">
            <v>2903.6</v>
          </cell>
          <cell r="E73">
            <v>2616</v>
          </cell>
          <cell r="F73">
            <v>3000</v>
          </cell>
          <cell r="G73">
            <v>3000</v>
          </cell>
          <cell r="H73">
            <v>2000</v>
          </cell>
          <cell r="I73">
            <v>1710</v>
          </cell>
          <cell r="J73">
            <v>1530</v>
          </cell>
          <cell r="K73">
            <v>1400</v>
          </cell>
          <cell r="L73">
            <v>1237.5</v>
          </cell>
          <cell r="M73">
            <v>1125</v>
          </cell>
          <cell r="N73">
            <v>1125</v>
          </cell>
        </row>
        <row r="74">
          <cell r="A74" t="str">
            <v>VoiceStream (VSTR)</v>
          </cell>
          <cell r="B74">
            <v>486.4</v>
          </cell>
          <cell r="C74">
            <v>755.48399999999992</v>
          </cell>
          <cell r="D74">
            <v>880.04</v>
          </cell>
          <cell r="E74">
            <v>861.2</v>
          </cell>
          <cell r="F74">
            <v>1400</v>
          </cell>
        </row>
        <row r="75">
          <cell r="A75" t="str">
            <v>Western Wireless (WWCA)</v>
          </cell>
          <cell r="D75">
            <v>73.370999999999995</v>
          </cell>
          <cell r="E75">
            <v>168</v>
          </cell>
          <cell r="F75">
            <v>198</v>
          </cell>
          <cell r="G75">
            <v>130</v>
          </cell>
          <cell r="H75">
            <v>110</v>
          </cell>
          <cell r="I75">
            <v>90.95</v>
          </cell>
          <cell r="J75">
            <v>84</v>
          </cell>
          <cell r="K75">
            <v>77.25</v>
          </cell>
          <cell r="L75">
            <v>75.75</v>
          </cell>
          <cell r="M75">
            <v>74.25</v>
          </cell>
          <cell r="N75">
            <v>72.75</v>
          </cell>
        </row>
        <row r="77">
          <cell r="A77" t="str">
            <v>Clearnet (YNET)</v>
          </cell>
          <cell r="E77">
            <v>367.74253572413795</v>
          </cell>
          <cell r="F77">
            <v>410.04137931034484</v>
          </cell>
          <cell r="G77">
            <v>314.11675632672404</v>
          </cell>
          <cell r="H77">
            <v>353.69901686358605</v>
          </cell>
          <cell r="I77">
            <v>408.70607699586208</v>
          </cell>
          <cell r="J77">
            <v>466.23773151103745</v>
          </cell>
          <cell r="K77">
            <v>531.8678495860953</v>
          </cell>
          <cell r="L77">
            <v>606.73641428919927</v>
          </cell>
          <cell r="M77">
            <v>692.14387880560264</v>
          </cell>
          <cell r="N77">
            <v>789.5737550700569</v>
          </cell>
          <cell r="O77">
            <v>900.71838209599696</v>
          </cell>
        </row>
        <row r="78">
          <cell r="A78" t="str">
            <v>Microcell (YMTIB)</v>
          </cell>
          <cell r="E78">
            <v>136.92511779310345</v>
          </cell>
          <cell r="F78">
            <v>286.73476082758623</v>
          </cell>
          <cell r="G78">
            <v>384.41379310344831</v>
          </cell>
          <cell r="H78">
            <v>215.27172413793105</v>
          </cell>
          <cell r="I78">
            <v>280.52885876921385</v>
          </cell>
          <cell r="J78">
            <v>280.52885876921385</v>
          </cell>
          <cell r="K78">
            <v>280.52885876921385</v>
          </cell>
          <cell r="L78">
            <v>280.52885876921385</v>
          </cell>
          <cell r="M78">
            <v>280.52885876921385</v>
          </cell>
          <cell r="N78">
            <v>280.52885876921385</v>
          </cell>
          <cell r="O78">
            <v>280.52885876921385</v>
          </cell>
        </row>
        <row r="79">
          <cell r="A79" t="str">
            <v>Rogers Wireless (YRCM)</v>
          </cell>
          <cell r="E79">
            <v>411.02547862068963</v>
          </cell>
          <cell r="F79">
            <v>379.1734642758621</v>
          </cell>
          <cell r="G79">
            <v>1435.1448275862069</v>
          </cell>
          <cell r="H79">
            <v>178.88788326400001</v>
          </cell>
          <cell r="I79">
            <v>204.0943077693793</v>
          </cell>
          <cell r="J79">
            <v>232.85247554966628</v>
          </cell>
          <cell r="K79">
            <v>265.66284950423648</v>
          </cell>
          <cell r="L79">
            <v>303.09641089324356</v>
          </cell>
          <cell r="M79">
            <v>345.80459581685295</v>
          </cell>
          <cell r="N79">
            <v>394.53063180670824</v>
          </cell>
          <cell r="O79">
            <v>450.12247181422367</v>
          </cell>
        </row>
        <row r="81">
          <cell r="A81" t="str">
            <v>NTT DoCoMo (NMCNF)</v>
          </cell>
          <cell r="B81">
            <v>733000</v>
          </cell>
          <cell r="C81">
            <v>728700</v>
          </cell>
          <cell r="D81">
            <v>845800</v>
          </cell>
          <cell r="E81">
            <v>876000</v>
          </cell>
          <cell r="F81">
            <v>970000</v>
          </cell>
          <cell r="G81">
            <v>1033678.57142857</v>
          </cell>
          <cell r="H81">
            <v>1036857.14285714</v>
          </cell>
          <cell r="I81">
            <v>1001000</v>
          </cell>
          <cell r="J81">
            <v>996500</v>
          </cell>
          <cell r="K81">
            <v>999000</v>
          </cell>
          <cell r="L81">
            <v>1000000</v>
          </cell>
          <cell r="M81">
            <v>950000</v>
          </cell>
          <cell r="N81">
            <v>950000</v>
          </cell>
          <cell r="O81">
            <v>950000</v>
          </cell>
        </row>
        <row r="83">
          <cell r="A83" t="str">
            <v>Telesp Celular (TCP)</v>
          </cell>
          <cell r="C83">
            <v>809.01099999999997</v>
          </cell>
          <cell r="D83">
            <v>943.96299999999997</v>
          </cell>
          <cell r="E83">
            <v>1237.97</v>
          </cell>
          <cell r="F83">
            <v>755.06425946685374</v>
          </cell>
          <cell r="G83">
            <v>731.45460382164595</v>
          </cell>
          <cell r="H83">
            <v>634.56614440538669</v>
          </cell>
          <cell r="I83">
            <v>571.10952996484809</v>
          </cell>
          <cell r="J83">
            <v>513.9985769683633</v>
          </cell>
          <cell r="K83">
            <v>565.39843466519972</v>
          </cell>
          <cell r="L83">
            <v>621.9382781317197</v>
          </cell>
          <cell r="M83">
            <v>684.13210594489169</v>
          </cell>
          <cell r="N83">
            <v>752.54531653938091</v>
          </cell>
          <cell r="O83">
            <v>827.79984819331901</v>
          </cell>
        </row>
        <row r="84">
          <cell r="A84" t="str">
            <v>Telemig Celular (TMB)</v>
          </cell>
          <cell r="C84">
            <v>115.491</v>
          </cell>
          <cell r="D84">
            <v>174.67599999999999</v>
          </cell>
          <cell r="E84">
            <v>217.59700000000001</v>
          </cell>
          <cell r="F84">
            <v>255.56559002378236</v>
          </cell>
          <cell r="G84">
            <v>252.80761013149464</v>
          </cell>
          <cell r="H84">
            <v>201.41585688407454</v>
          </cell>
          <cell r="I84">
            <v>181.2742711956671</v>
          </cell>
          <cell r="J84">
            <v>163.14684407610039</v>
          </cell>
          <cell r="K84">
            <v>179.46152848371045</v>
          </cell>
          <cell r="L84">
            <v>197.40768133208152</v>
          </cell>
          <cell r="M84">
            <v>217.1484494652897</v>
          </cell>
          <cell r="N84">
            <v>238.86329441181869</v>
          </cell>
          <cell r="O84">
            <v>262.74962385300057</v>
          </cell>
        </row>
        <row r="85">
          <cell r="A85" t="str">
            <v>Tele Celular Sul (TSU)</v>
          </cell>
          <cell r="C85">
            <v>229.55199999999999</v>
          </cell>
          <cell r="D85">
            <v>192.011</v>
          </cell>
          <cell r="E85">
            <v>298.39999999999998</v>
          </cell>
          <cell r="F85">
            <v>195.60379926622707</v>
          </cell>
          <cell r="G85">
            <v>184.22946535022021</v>
          </cell>
          <cell r="H85">
            <v>147.09475409338728</v>
          </cell>
          <cell r="I85">
            <v>132.38527868404856</v>
          </cell>
          <cell r="J85">
            <v>119.1467508156437</v>
          </cell>
          <cell r="K85">
            <v>131.06142589720807</v>
          </cell>
          <cell r="L85">
            <v>144.1675684869289</v>
          </cell>
          <cell r="M85">
            <v>158.5843253356218</v>
          </cell>
          <cell r="N85">
            <v>174.44275786918399</v>
          </cell>
          <cell r="O85">
            <v>191.8870336561024</v>
          </cell>
        </row>
        <row r="86">
          <cell r="A86" t="str">
            <v>Tele Leste Celular (TBE)</v>
          </cell>
          <cell r="C86">
            <v>68.5</v>
          </cell>
          <cell r="D86">
            <v>62</v>
          </cell>
          <cell r="E86">
            <v>152</v>
          </cell>
          <cell r="F86">
            <v>145.49122550146745</v>
          </cell>
          <cell r="G86">
            <v>111.41122898918981</v>
          </cell>
          <cell r="H86">
            <v>87.773732027948611</v>
          </cell>
          <cell r="I86">
            <v>78.996358825153749</v>
          </cell>
          <cell r="J86">
            <v>71.09672294263838</v>
          </cell>
          <cell r="K86">
            <v>78.206395236902225</v>
          </cell>
          <cell r="L86">
            <v>86.027034760592457</v>
          </cell>
          <cell r="M86">
            <v>94.629738236651704</v>
          </cell>
          <cell r="N86">
            <v>104.09271206031688</v>
          </cell>
          <cell r="O86">
            <v>114.50198326634859</v>
          </cell>
        </row>
        <row r="87">
          <cell r="A87" t="str">
            <v>Tele Norte Celular (TCN)</v>
          </cell>
          <cell r="C87">
            <v>48.5</v>
          </cell>
          <cell r="D87">
            <v>31.6</v>
          </cell>
          <cell r="E87">
            <v>152.9</v>
          </cell>
          <cell r="F87">
            <v>142.24233151619771</v>
          </cell>
          <cell r="G87">
            <v>95.55904815814975</v>
          </cell>
          <cell r="H87">
            <v>89.40257350013195</v>
          </cell>
          <cell r="I87">
            <v>80.462316150118752</v>
          </cell>
          <cell r="J87">
            <v>72.416084535106876</v>
          </cell>
          <cell r="K87">
            <v>79.657692988617569</v>
          </cell>
          <cell r="L87">
            <v>87.623462287479327</v>
          </cell>
          <cell r="M87">
            <v>96.385808516227272</v>
          </cell>
          <cell r="N87">
            <v>106.02438936785001</v>
          </cell>
          <cell r="O87">
            <v>116.62682830463501</v>
          </cell>
        </row>
        <row r="88">
          <cell r="A88" t="str">
            <v>Tele Centro Oeste Celular (TRO)</v>
          </cell>
          <cell r="C88">
            <v>81</v>
          </cell>
          <cell r="D88">
            <v>126</v>
          </cell>
          <cell r="E88">
            <v>181.9</v>
          </cell>
          <cell r="F88">
            <v>199.63232253455189</v>
          </cell>
          <cell r="G88">
            <v>107.62220352063471</v>
          </cell>
          <cell r="H88">
            <v>106.59770357341623</v>
          </cell>
          <cell r="I88">
            <v>95.937933216074612</v>
          </cell>
          <cell r="J88">
            <v>86.344139894467148</v>
          </cell>
          <cell r="K88">
            <v>94.978553883913875</v>
          </cell>
          <cell r="L88">
            <v>104.47640927230528</v>
          </cell>
          <cell r="M88">
            <v>114.92405019953581</v>
          </cell>
          <cell r="N88">
            <v>126.41645521948941</v>
          </cell>
          <cell r="O88">
            <v>139.05810074143835</v>
          </cell>
        </row>
        <row r="89">
          <cell r="A89" t="str">
            <v>Tele Nordeste Celular (TND)</v>
          </cell>
          <cell r="C89">
            <v>123.4</v>
          </cell>
          <cell r="D89">
            <v>167.4</v>
          </cell>
          <cell r="E89">
            <v>240</v>
          </cell>
          <cell r="F89">
            <v>201.00794126500614</v>
          </cell>
          <cell r="G89">
            <v>141.10465300089052</v>
          </cell>
          <cell r="H89">
            <v>93.58726606695646</v>
          </cell>
          <cell r="I89">
            <v>84.228539460260819</v>
          </cell>
          <cell r="J89">
            <v>75.805685514234739</v>
          </cell>
          <cell r="K89">
            <v>83.386254065658221</v>
          </cell>
          <cell r="L89">
            <v>91.724879472224046</v>
          </cell>
          <cell r="M89">
            <v>100.89736741944645</v>
          </cell>
          <cell r="N89">
            <v>110.9871041613911</v>
          </cell>
          <cell r="O89">
            <v>122.08581457753021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nd alone Main"/>
      <sheetName val="Key Financials(old)"/>
      <sheetName val="Schedules"/>
      <sheetName val="Qtr-Main"/>
      <sheetName val="Earnings Model"/>
      <sheetName val="Fin. Snapshot"/>
      <sheetName val="Qtr-Raw"/>
      <sheetName val="Assumptions "/>
      <sheetName val="Raw"/>
      <sheetName val="Sheet1"/>
      <sheetName val="valuation sheet"/>
      <sheetName val="Debt schedule"/>
      <sheetName val="Sales"/>
      <sheetName val="Consolidation inf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PCL"/>
      <sheetName val="Trends"/>
      <sheetName val="cfs"/>
      <sheetName val="BHPV"/>
      <sheetName val="NTPC"/>
      <sheetName val="BHEL_BHPV_BPCL"/>
      <sheetName val="Assumptions"/>
      <sheetName val="PLold"/>
      <sheetName val="foundry "/>
    </sheetNames>
    <sheetDataSet>
      <sheetData sheetId="0" refreshError="1"/>
      <sheetData sheetId="1" refreshError="1"/>
      <sheetData sheetId="2" refreshError="1">
        <row r="122">
          <cell r="A122" t="str">
            <v>Particulars</v>
          </cell>
          <cell r="B122" t="str">
            <v>Rs. Bn</v>
          </cell>
        </row>
        <row r="123">
          <cell r="A123" t="str">
            <v>FY02</v>
          </cell>
          <cell r="B123">
            <v>122</v>
          </cell>
        </row>
        <row r="124">
          <cell r="A124" t="str">
            <v>FY03</v>
          </cell>
          <cell r="B124">
            <v>158</v>
          </cell>
        </row>
        <row r="125">
          <cell r="A125" t="str">
            <v>FY04</v>
          </cell>
          <cell r="B125">
            <v>237</v>
          </cell>
        </row>
        <row r="126">
          <cell r="A126" t="str">
            <v>FY05</v>
          </cell>
          <cell r="B126">
            <v>320</v>
          </cell>
        </row>
        <row r="127">
          <cell r="A127" t="str">
            <v>YoY Change</v>
          </cell>
          <cell r="B127">
            <v>0.35021097046413496</v>
          </cell>
        </row>
        <row r="128">
          <cell r="A128" t="str">
            <v>3QFY05</v>
          </cell>
          <cell r="B128">
            <v>317</v>
          </cell>
        </row>
        <row r="129">
          <cell r="A129" t="str">
            <v>3QFY06</v>
          </cell>
          <cell r="B129">
            <v>338</v>
          </cell>
        </row>
        <row r="130">
          <cell r="A130" t="str">
            <v>YoY Change</v>
          </cell>
          <cell r="B130">
            <v>6.6246056782334417E-2</v>
          </cell>
        </row>
      </sheetData>
      <sheetData sheetId="3" refreshError="1"/>
      <sheetData sheetId="4" refreshError="1"/>
      <sheetData sheetId="5" refreshError="1"/>
      <sheetData sheetId="6" refreshError="1"/>
      <sheetData sheetId="7" refreshError="1"/>
      <sheetData sheetId="8" refreshError="1">
        <row r="1">
          <cell r="A1" t="str">
            <v>Bharat Heavy Electricals Ltd</v>
          </cell>
        </row>
        <row r="101">
          <cell r="A101" t="str">
            <v>CLASSIFICATION GUIDE</v>
          </cell>
        </row>
        <row r="102">
          <cell r="A102" t="str">
            <v>BHEL</v>
          </cell>
          <cell r="F102">
            <v>34424</v>
          </cell>
          <cell r="G102">
            <v>34789</v>
          </cell>
          <cell r="H102">
            <v>35155</v>
          </cell>
          <cell r="I102">
            <v>35520</v>
          </cell>
          <cell r="J102">
            <v>35885</v>
          </cell>
          <cell r="K102">
            <v>36250</v>
          </cell>
        </row>
        <row r="103">
          <cell r="A103" t="str">
            <v>GROSS SALES :</v>
          </cell>
        </row>
        <row r="104">
          <cell r="A104" t="str">
            <v xml:space="preserve"> Sales and Services</v>
          </cell>
          <cell r="F104">
            <v>35536.713000000003</v>
          </cell>
          <cell r="G104">
            <v>40941.825000000004</v>
          </cell>
          <cell r="H104">
            <v>48334.65</v>
          </cell>
          <cell r="I104">
            <v>56079.250999999997</v>
          </cell>
          <cell r="J104">
            <v>62341.384999999995</v>
          </cell>
          <cell r="K104">
            <v>67115.322999999989</v>
          </cell>
        </row>
        <row r="105">
          <cell r="A105" t="str">
            <v xml:space="preserve"> Less : Sales Returns</v>
          </cell>
        </row>
        <row r="106">
          <cell r="A106" t="str">
            <v xml:space="preserve"> Less : Credit Notes</v>
          </cell>
        </row>
        <row r="107">
          <cell r="F107">
            <v>35536.713000000003</v>
          </cell>
          <cell r="G107">
            <v>40941.825000000004</v>
          </cell>
          <cell r="H107">
            <v>48334.65</v>
          </cell>
          <cell r="I107">
            <v>56079.250999999997</v>
          </cell>
          <cell r="J107">
            <v>62341.384999999995</v>
          </cell>
          <cell r="K107">
            <v>67115.322999999989</v>
          </cell>
        </row>
        <row r="109">
          <cell r="A109" t="str">
            <v xml:space="preserve">TRADED GOODS SALES </v>
          </cell>
        </row>
        <row r="110">
          <cell r="A110" t="str">
            <v xml:space="preserve"> Traded Goods Sales</v>
          </cell>
        </row>
        <row r="111">
          <cell r="A111" t="str">
            <v xml:space="preserve"> Less : Goods Returned</v>
          </cell>
        </row>
        <row r="112">
          <cell r="A112" t="str">
            <v xml:space="preserve"> Less : Credit Notes</v>
          </cell>
        </row>
        <row r="113">
          <cell r="F113">
            <v>0</v>
          </cell>
          <cell r="G113">
            <v>0</v>
          </cell>
          <cell r="H113">
            <v>0</v>
          </cell>
          <cell r="I113">
            <v>0</v>
          </cell>
          <cell r="J113">
            <v>0</v>
          </cell>
          <cell r="K113">
            <v>0</v>
          </cell>
        </row>
        <row r="115">
          <cell r="A115" t="str">
            <v>Other Operating Income</v>
          </cell>
        </row>
        <row r="116">
          <cell r="A116" t="str">
            <v>Export Incentives</v>
          </cell>
          <cell r="F116">
            <v>982.39400000000001</v>
          </cell>
          <cell r="G116">
            <v>742.15700000000004</v>
          </cell>
          <cell r="H116">
            <v>710.15300000000002</v>
          </cell>
          <cell r="I116">
            <v>769.45600000000002</v>
          </cell>
          <cell r="J116">
            <v>897.58799999999997</v>
          </cell>
          <cell r="K116">
            <v>1039.0509999999999</v>
          </cell>
        </row>
        <row r="117">
          <cell r="A117" t="str">
            <v>Rental Income on Leased assets</v>
          </cell>
          <cell r="I117">
            <v>45.122999999999998</v>
          </cell>
          <cell r="J117">
            <v>480.31299999999999</v>
          </cell>
          <cell r="K117">
            <v>889.17</v>
          </cell>
        </row>
        <row r="118">
          <cell r="A118" t="str">
            <v>Scrap sales</v>
          </cell>
          <cell r="G118">
            <v>452.88299999999998</v>
          </cell>
          <cell r="I118">
            <v>462.29300000000001</v>
          </cell>
          <cell r="J118">
            <v>391.64100000000002</v>
          </cell>
          <cell r="K118">
            <v>393.50799999999998</v>
          </cell>
        </row>
        <row r="119">
          <cell r="A119" t="str">
            <v>Sale of Surplus Stock</v>
          </cell>
          <cell r="J119">
            <v>171.14500000000001</v>
          </cell>
          <cell r="K119">
            <v>330.33600000000001</v>
          </cell>
        </row>
        <row r="120">
          <cell r="A120" t="str">
            <v>Others</v>
          </cell>
        </row>
        <row r="121">
          <cell r="A121" t="str">
            <v>Other from Govt of India for R&amp;D</v>
          </cell>
        </row>
        <row r="122">
          <cell r="A122" t="str">
            <v>Equipment given on lease</v>
          </cell>
          <cell r="H122">
            <v>110.226</v>
          </cell>
          <cell r="I122">
            <v>1473.518</v>
          </cell>
          <cell r="J122">
            <v>2371.7600000000002</v>
          </cell>
          <cell r="K122">
            <v>831.17600000000004</v>
          </cell>
        </row>
        <row r="123">
          <cell r="A123" t="str">
            <v>Jobs done for internal use</v>
          </cell>
          <cell r="F123">
            <v>108.681</v>
          </cell>
          <cell r="G123">
            <v>231.74199999999999</v>
          </cell>
          <cell r="H123">
            <v>103.57599999999999</v>
          </cell>
          <cell r="I123">
            <v>106.6</v>
          </cell>
          <cell r="J123">
            <v>55.301000000000002</v>
          </cell>
          <cell r="K123">
            <v>391.42599999999999</v>
          </cell>
        </row>
        <row r="125">
          <cell r="A125" t="str">
            <v>Total Other Operational Income</v>
          </cell>
          <cell r="F125">
            <v>1091.075</v>
          </cell>
          <cell r="G125">
            <v>1426.7819999999999</v>
          </cell>
          <cell r="H125">
            <v>923.95500000000004</v>
          </cell>
          <cell r="I125">
            <v>2856.9900000000002</v>
          </cell>
          <cell r="J125">
            <v>4367.7480000000005</v>
          </cell>
          <cell r="K125">
            <v>3874.6669999999995</v>
          </cell>
        </row>
        <row r="128">
          <cell r="A128" t="str">
            <v>Other Operational Income</v>
          </cell>
        </row>
        <row r="129">
          <cell r="A129" t="str">
            <v>(Rs mn)</v>
          </cell>
          <cell r="G129" t="str">
            <v>FY95</v>
          </cell>
          <cell r="H129" t="str">
            <v>FY96</v>
          </cell>
          <cell r="I129" t="str">
            <v>FY97</v>
          </cell>
          <cell r="J129" t="str">
            <v>FY98</v>
          </cell>
          <cell r="K129" t="str">
            <v>FY99</v>
          </cell>
        </row>
        <row r="130">
          <cell r="A130" t="str">
            <v>Export Incentives</v>
          </cell>
          <cell r="H130">
            <v>710.15300000000002</v>
          </cell>
          <cell r="I130">
            <v>769.45</v>
          </cell>
          <cell r="J130">
            <v>897.58</v>
          </cell>
          <cell r="K130">
            <v>1039.0509999999999</v>
          </cell>
        </row>
        <row r="131">
          <cell r="A131" t="str">
            <v>as % of exports</v>
          </cell>
          <cell r="I131">
            <v>0.39277692700357325</v>
          </cell>
          <cell r="J131">
            <v>0.32902492668621702</v>
          </cell>
          <cell r="K131">
            <v>0.56139246593179548</v>
          </cell>
        </row>
        <row r="132">
          <cell r="A132" t="str">
            <v>Exports</v>
          </cell>
          <cell r="I132">
            <v>1959</v>
          </cell>
          <cell r="J132">
            <v>2728</v>
          </cell>
          <cell r="K132">
            <v>1850.846</v>
          </cell>
        </row>
        <row r="133">
          <cell r="A133" t="str">
            <v>as % of total sales</v>
          </cell>
          <cell r="K133">
            <v>2.6837016879002692E-2</v>
          </cell>
        </row>
        <row r="134">
          <cell r="A134" t="str">
            <v>Rental income on leased assets</v>
          </cell>
          <cell r="H134">
            <v>0</v>
          </cell>
          <cell r="I134">
            <v>44.66</v>
          </cell>
          <cell r="J134">
            <v>397.08</v>
          </cell>
          <cell r="K134">
            <v>779.3</v>
          </cell>
        </row>
        <row r="135">
          <cell r="A135" t="str">
            <v>Add : lease equalisation account</v>
          </cell>
          <cell r="I135">
            <v>0.45800000000000002</v>
          </cell>
          <cell r="J135">
            <v>83.23</v>
          </cell>
          <cell r="K135">
            <v>109.8</v>
          </cell>
        </row>
        <row r="136">
          <cell r="A136" t="str">
            <v>Total Rental Income</v>
          </cell>
          <cell r="I136">
            <v>45.117999999999995</v>
          </cell>
          <cell r="J136">
            <v>480.31</v>
          </cell>
          <cell r="K136">
            <v>889.09999999999991</v>
          </cell>
        </row>
        <row r="137">
          <cell r="A137" t="str">
            <v>Equipment given on lease</v>
          </cell>
          <cell r="H137">
            <v>110.226</v>
          </cell>
          <cell r="I137">
            <v>1473.51</v>
          </cell>
          <cell r="J137">
            <v>2371.6999999999998</v>
          </cell>
          <cell r="K137">
            <v>831.17</v>
          </cell>
        </row>
        <row r="138">
          <cell r="A138" t="str">
            <v>Growth %YoY</v>
          </cell>
          <cell r="H138" t="e">
            <v>#DIV/0!</v>
          </cell>
          <cell r="I138">
            <v>12.368080126285994</v>
          </cell>
          <cell r="J138">
            <v>0.60955812990749969</v>
          </cell>
          <cell r="K138">
            <v>-0.64954673862630186</v>
          </cell>
        </row>
        <row r="139">
          <cell r="A139" t="str">
            <v>B-O-Y leased assets</v>
          </cell>
          <cell r="I139">
            <v>110.227</v>
          </cell>
          <cell r="J139">
            <v>1583.75</v>
          </cell>
          <cell r="K139">
            <v>3955.5109999999995</v>
          </cell>
        </row>
        <row r="140">
          <cell r="A140" t="str">
            <v>as % of leased assets</v>
          </cell>
          <cell r="I140">
            <v>0.40516388906529249</v>
          </cell>
          <cell r="J140">
            <v>0.25072138910812941</v>
          </cell>
          <cell r="K140">
            <v>0.19701626414387421</v>
          </cell>
        </row>
        <row r="141">
          <cell r="J141">
            <v>0.29534116535676747</v>
          </cell>
        </row>
        <row r="142">
          <cell r="A142" t="str">
            <v>TOTAL INCOME</v>
          </cell>
          <cell r="H142">
            <v>49154.998</v>
          </cell>
          <cell r="I142">
            <v>58367.237999999998</v>
          </cell>
          <cell r="J142">
            <v>66090.929999999993</v>
          </cell>
          <cell r="K142">
            <v>69874.634999999995</v>
          </cell>
        </row>
        <row r="143">
          <cell r="A143" t="str">
            <v>Other Income :</v>
          </cell>
        </row>
        <row r="144">
          <cell r="A144" t="str">
            <v xml:space="preserve">Scrap sales </v>
          </cell>
          <cell r="H144">
            <v>427.2</v>
          </cell>
          <cell r="I144">
            <v>432.4</v>
          </cell>
          <cell r="J144">
            <v>391.6</v>
          </cell>
          <cell r="K144">
            <v>393.50799999999998</v>
          </cell>
        </row>
        <row r="145">
          <cell r="A145" t="str">
            <v>Sale of surplus stock</v>
          </cell>
          <cell r="H145">
            <v>54.07</v>
          </cell>
          <cell r="I145">
            <v>29.85</v>
          </cell>
          <cell r="J145">
            <v>15.177</v>
          </cell>
          <cell r="K145">
            <v>19.454999999999998</v>
          </cell>
        </row>
        <row r="146">
          <cell r="A146" t="str">
            <v>Others</v>
          </cell>
          <cell r="H146">
            <v>564.87</v>
          </cell>
          <cell r="I146">
            <v>612.20000000000005</v>
          </cell>
          <cell r="J146">
            <v>635.22</v>
          </cell>
          <cell r="K146">
            <v>330.33600000000001</v>
          </cell>
        </row>
        <row r="147">
          <cell r="A147" t="str">
            <v xml:space="preserve">GRAND TOTAL </v>
          </cell>
          <cell r="H147">
            <v>50201.137999999999</v>
          </cell>
          <cell r="I147">
            <v>59441.687999999995</v>
          </cell>
          <cell r="J147">
            <v>67132.926999999996</v>
          </cell>
          <cell r="K147">
            <v>70617.933999999994</v>
          </cell>
        </row>
        <row r="149">
          <cell r="A149" t="str">
            <v>Other Interest Income</v>
          </cell>
        </row>
        <row r="150">
          <cell r="A150" t="str">
            <v>From customers</v>
          </cell>
          <cell r="H150">
            <v>279.74</v>
          </cell>
          <cell r="I150">
            <v>270.14999999999998</v>
          </cell>
          <cell r="J150">
            <v>308.14</v>
          </cell>
          <cell r="K150">
            <v>673.50700000000006</v>
          </cell>
        </row>
        <row r="151">
          <cell r="A151" t="str">
            <v>B-O-Y leased assets</v>
          </cell>
          <cell r="H151">
            <v>24851.599999999999</v>
          </cell>
          <cell r="I151">
            <v>29731.927</v>
          </cell>
          <cell r="J151">
            <v>33974.800000000003</v>
          </cell>
          <cell r="K151">
            <v>35265.546000000002</v>
          </cell>
        </row>
        <row r="152">
          <cell r="A152" t="str">
            <v>as % of receivables</v>
          </cell>
          <cell r="H152">
            <v>1.1256418097828713E-2</v>
          </cell>
          <cell r="I152">
            <v>9.0861920924264344E-3</v>
          </cell>
          <cell r="J152">
            <v>9.0696633975770272E-3</v>
          </cell>
          <cell r="K152">
            <v>1.9098158865880031E-2</v>
          </cell>
        </row>
        <row r="153">
          <cell r="A153" t="str">
            <v>Depreciation on leased assets</v>
          </cell>
          <cell r="I153">
            <v>24.254999999999999</v>
          </cell>
          <cell r="J153">
            <v>172.63900000000001</v>
          </cell>
          <cell r="K153">
            <v>433.52600000000001</v>
          </cell>
        </row>
        <row r="154">
          <cell r="I154">
            <v>0.22004590526821921</v>
          </cell>
          <cell r="J154">
            <v>0.10900647198105762</v>
          </cell>
        </row>
        <row r="155">
          <cell r="A155" t="str">
            <v>Other Income</v>
          </cell>
          <cell r="J155">
            <v>4.6591199999999997</v>
          </cell>
          <cell r="K155">
            <v>512.26499999999999</v>
          </cell>
        </row>
        <row r="156">
          <cell r="A156" t="str">
            <v>% y-o-y</v>
          </cell>
        </row>
        <row r="158">
          <cell r="A158" t="str">
            <v>Interest Income :</v>
          </cell>
          <cell r="I158">
            <v>290.245</v>
          </cell>
          <cell r="J158">
            <v>175.428</v>
          </cell>
          <cell r="K158">
            <v>253.02199999999999</v>
          </cell>
        </row>
        <row r="159">
          <cell r="A159" t="str">
            <v>On Investments</v>
          </cell>
          <cell r="I159">
            <v>133.47499999999999</v>
          </cell>
          <cell r="J159">
            <v>81.558000000000007</v>
          </cell>
          <cell r="K159">
            <v>26.706</v>
          </cell>
        </row>
        <row r="160">
          <cell r="A160" t="str">
            <v>B-O-Y Investments</v>
          </cell>
          <cell r="I160">
            <v>3370.4</v>
          </cell>
          <cell r="J160">
            <v>1350.6</v>
          </cell>
          <cell r="K160">
            <v>240.995</v>
          </cell>
        </row>
        <row r="161">
          <cell r="A161" t="str">
            <v>From employees</v>
          </cell>
          <cell r="I161">
            <v>43.39</v>
          </cell>
          <cell r="J161">
            <v>42.42</v>
          </cell>
          <cell r="K161">
            <v>45.404000000000003</v>
          </cell>
        </row>
        <row r="162">
          <cell r="A162" t="str">
            <v>B-O-Y advance to Employees</v>
          </cell>
        </row>
        <row r="163">
          <cell r="A163" t="str">
            <v>From Banks (on Cash)</v>
          </cell>
          <cell r="I163">
            <v>11.07</v>
          </cell>
          <cell r="J163">
            <v>13.19</v>
          </cell>
          <cell r="K163">
            <v>3.012</v>
          </cell>
        </row>
        <row r="164">
          <cell r="A164" t="str">
            <v>E-O-Y Cash</v>
          </cell>
          <cell r="H164">
            <v>3448.5</v>
          </cell>
          <cell r="I164">
            <v>3502.9</v>
          </cell>
          <cell r="J164">
            <v>4153.0969999999998</v>
          </cell>
          <cell r="K164">
            <v>5374.2969999999996</v>
          </cell>
        </row>
        <row r="165">
          <cell r="I165">
            <v>3.210091344062636E-3</v>
          </cell>
          <cell r="J165">
            <v>3.7654514830568957E-3</v>
          </cell>
          <cell r="K165">
            <v>7.2524190983259008E-4</v>
          </cell>
        </row>
        <row r="166">
          <cell r="A166" t="str">
            <v>From Others</v>
          </cell>
          <cell r="I166">
            <v>102.31</v>
          </cell>
          <cell r="J166">
            <v>38.259999999999991</v>
          </cell>
          <cell r="K166">
            <v>177.9</v>
          </cell>
        </row>
        <row r="167">
          <cell r="A167" t="str">
            <v xml:space="preserve">E-O-Y Advances </v>
          </cell>
          <cell r="J167">
            <v>3012.91</v>
          </cell>
          <cell r="K167">
            <v>3531.13</v>
          </cell>
        </row>
        <row r="168">
          <cell r="J168">
            <v>1.2698686651775192E-2</v>
          </cell>
          <cell r="K168">
            <v>5.0380473106342728E-2</v>
          </cell>
        </row>
        <row r="169">
          <cell r="A169" t="str">
            <v>Dividend Income</v>
          </cell>
        </row>
        <row r="170">
          <cell r="A170" t="str">
            <v>Investments</v>
          </cell>
        </row>
        <row r="172">
          <cell r="A172" t="str">
            <v>Exchange Variation :</v>
          </cell>
        </row>
        <row r="173">
          <cell r="A173" t="str">
            <v>- Favorable</v>
          </cell>
          <cell r="I173">
            <v>133.47499999999999</v>
          </cell>
        </row>
        <row r="174">
          <cell r="A174" t="str">
            <v>- Unfavorable</v>
          </cell>
          <cell r="J174">
            <v>118.19</v>
          </cell>
        </row>
        <row r="175">
          <cell r="A175" t="str">
            <v>Net Provisions</v>
          </cell>
          <cell r="I175">
            <v>-1496.77</v>
          </cell>
          <cell r="J175">
            <v>-2864.57</v>
          </cell>
          <cell r="K175">
            <v>-6078.8159999999989</v>
          </cell>
        </row>
        <row r="176">
          <cell r="A176" t="str">
            <v>Write back of Provisions</v>
          </cell>
          <cell r="I176">
            <v>1338.23</v>
          </cell>
          <cell r="J176">
            <v>2297.23</v>
          </cell>
          <cell r="K176">
            <v>-1291.2464999999984</v>
          </cell>
        </row>
        <row r="177">
          <cell r="A177" t="str">
            <v>Provisions made during the year</v>
          </cell>
          <cell r="I177">
            <v>2835</v>
          </cell>
          <cell r="J177">
            <v>5161.8</v>
          </cell>
          <cell r="K177">
            <v>4787.5695000000005</v>
          </cell>
        </row>
        <row r="178">
          <cell r="A178" t="str">
            <v>(of which , Others)</v>
          </cell>
          <cell r="I178">
            <v>1556.83</v>
          </cell>
          <cell r="J178">
            <v>3599.88</v>
          </cell>
        </row>
        <row r="179">
          <cell r="A179" t="str">
            <v>(of which , Interest on Tax refund)</v>
          </cell>
          <cell r="J179">
            <v>820</v>
          </cell>
        </row>
        <row r="181">
          <cell r="A181" t="str">
            <v>MATERIAL COSTS :</v>
          </cell>
        </row>
        <row r="182">
          <cell r="A182" t="str">
            <v xml:space="preserve"> Raw materials consumed (RM+WIP)</v>
          </cell>
          <cell r="F182">
            <v>16125.305</v>
          </cell>
          <cell r="G182">
            <v>18510.177</v>
          </cell>
          <cell r="H182">
            <v>22470.141</v>
          </cell>
          <cell r="I182">
            <v>24336.969999999998</v>
          </cell>
          <cell r="J182">
            <v>26131.53</v>
          </cell>
          <cell r="K182">
            <v>28179.67</v>
          </cell>
        </row>
        <row r="183">
          <cell r="A183" t="str">
            <v xml:space="preserve"> Packing materials consumed</v>
          </cell>
        </row>
        <row r="184">
          <cell r="A184" t="str">
            <v xml:space="preserve"> Loss on sale of raw materials</v>
          </cell>
        </row>
        <row r="185">
          <cell r="A185" t="str">
            <v>Less Adjustments</v>
          </cell>
        </row>
        <row r="186">
          <cell r="F186">
            <v>16125.305</v>
          </cell>
          <cell r="G186">
            <v>18510.177</v>
          </cell>
          <cell r="H186">
            <v>22470.141</v>
          </cell>
          <cell r="I186">
            <v>24336.969999999998</v>
          </cell>
          <cell r="J186">
            <v>26131.53</v>
          </cell>
          <cell r="K186">
            <v>28179.67</v>
          </cell>
        </row>
        <row r="187">
          <cell r="K187">
            <v>-823.0010000000002</v>
          </cell>
        </row>
        <row r="188">
          <cell r="A188" t="str">
            <v>(ACCRETION)/DECRETION TO STOCKS :</v>
          </cell>
        </row>
        <row r="189">
          <cell r="A189" t="str">
            <v xml:space="preserve"> Opening FG inventory</v>
          </cell>
          <cell r="F189">
            <v>7253.665</v>
          </cell>
          <cell r="G189">
            <v>7390.9269999999997</v>
          </cell>
          <cell r="H189">
            <v>8006.2400000000007</v>
          </cell>
          <cell r="I189">
            <v>10265.527000000002</v>
          </cell>
          <cell r="J189">
            <v>9733.1785999999993</v>
          </cell>
          <cell r="K189">
            <v>9600.2099999999991</v>
          </cell>
        </row>
        <row r="190">
          <cell r="A190" t="str">
            <v xml:space="preserve"> Less : Closing FG inventory</v>
          </cell>
          <cell r="F190">
            <v>7390.9269999999997</v>
          </cell>
          <cell r="G190">
            <v>8006.2400000000007</v>
          </cell>
          <cell r="H190">
            <v>10265.527000000002</v>
          </cell>
          <cell r="I190">
            <v>10064.775</v>
          </cell>
          <cell r="J190">
            <v>9600.2099999999991</v>
          </cell>
          <cell r="K190">
            <v>10423.210999999999</v>
          </cell>
        </row>
        <row r="191">
          <cell r="F191">
            <v>-137.26199999999972</v>
          </cell>
          <cell r="G191">
            <v>-615.31300000000101</v>
          </cell>
          <cell r="H191">
            <v>-2259.2870000000012</v>
          </cell>
          <cell r="I191">
            <v>200.75200000000223</v>
          </cell>
          <cell r="J191">
            <v>132.96860000000015</v>
          </cell>
          <cell r="K191">
            <v>-823.0010000000002</v>
          </cell>
        </row>
        <row r="193">
          <cell r="A193" t="str">
            <v>CONSUMABLE STORES :</v>
          </cell>
        </row>
        <row r="194">
          <cell r="A194" t="str">
            <v xml:space="preserve"> Opening Stores &amp; Spares inventory</v>
          </cell>
        </row>
        <row r="195">
          <cell r="A195" t="str">
            <v xml:space="preserve"> Add : Purchases of Stores inv.</v>
          </cell>
          <cell r="F195"/>
          <cell r="G195"/>
          <cell r="I195"/>
          <cell r="J195"/>
          <cell r="K195"/>
        </row>
        <row r="196">
          <cell r="A196" t="str">
            <v xml:space="preserve"> Less : Closing Stores inventory</v>
          </cell>
        </row>
        <row r="197">
          <cell r="F197">
            <v>1248.6379999999999</v>
          </cell>
          <cell r="G197">
            <v>1399.6189999999999</v>
          </cell>
          <cell r="H197">
            <v>1408.9970000000001</v>
          </cell>
          <cell r="I197">
            <v>1753.8040000000001</v>
          </cell>
          <cell r="J197">
            <v>2250.3780000000002</v>
          </cell>
          <cell r="K197">
            <v>2314.953</v>
          </cell>
        </row>
        <row r="199">
          <cell r="A199" t="str">
            <v>POWER AND FUEL :</v>
          </cell>
        </row>
        <row r="200">
          <cell r="A200" t="str">
            <v xml:space="preserve"> Power</v>
          </cell>
          <cell r="F200">
            <v>1025.539</v>
          </cell>
          <cell r="G200">
            <v>1191.1079999999999</v>
          </cell>
          <cell r="H200">
            <v>1299.1669999999999</v>
          </cell>
          <cell r="I200">
            <v>1535.577</v>
          </cell>
          <cell r="J200">
            <v>1745.92</v>
          </cell>
          <cell r="K200">
            <v>1765.4590000000001</v>
          </cell>
        </row>
        <row r="201">
          <cell r="A201" t="str">
            <v xml:space="preserve"> Fuel Oils</v>
          </cell>
        </row>
        <row r="202">
          <cell r="A202" t="str">
            <v xml:space="preserve"> Water and Steam</v>
          </cell>
        </row>
        <row r="203">
          <cell r="F203">
            <v>1025.539</v>
          </cell>
          <cell r="G203">
            <v>1191.1079999999999</v>
          </cell>
          <cell r="H203">
            <v>1299.1669999999999</v>
          </cell>
          <cell r="I203">
            <v>1535.577</v>
          </cell>
          <cell r="J203">
            <v>1745.92</v>
          </cell>
          <cell r="K203">
            <v>1765.4590000000001</v>
          </cell>
        </row>
        <row r="205">
          <cell r="A205" t="str">
            <v>EMPLOYEE COSTS :</v>
          </cell>
        </row>
        <row r="206">
          <cell r="A206" t="str">
            <v xml:space="preserve"> Salaries, Wages &amp; Bonus</v>
          </cell>
          <cell r="F206">
            <v>4546.8590000000004</v>
          </cell>
          <cell r="G206">
            <v>5672.058</v>
          </cell>
          <cell r="H206">
            <v>8903.9269999999997</v>
          </cell>
          <cell r="I206">
            <v>7293.7470000000003</v>
          </cell>
          <cell r="J206">
            <v>7464.6980000000003</v>
          </cell>
          <cell r="K206">
            <v>9932.5419999999995</v>
          </cell>
        </row>
        <row r="207">
          <cell r="A207" t="str">
            <v xml:space="preserve"> Gratuity &amp; Superannuation</v>
          </cell>
          <cell r="F207">
            <v>132.47200000000001</v>
          </cell>
          <cell r="G207">
            <v>101.069</v>
          </cell>
          <cell r="H207">
            <v>130.762</v>
          </cell>
          <cell r="I207">
            <v>124.724</v>
          </cell>
          <cell r="J207">
            <v>504.47</v>
          </cell>
          <cell r="K207">
            <v>564.47299999999996</v>
          </cell>
        </row>
        <row r="208">
          <cell r="A208" t="str">
            <v xml:space="preserve"> Contribution to PF etc</v>
          </cell>
          <cell r="F208">
            <v>319.92500000000001</v>
          </cell>
          <cell r="G208">
            <v>406.80500000000001</v>
          </cell>
          <cell r="H208">
            <v>618.93499999999995</v>
          </cell>
          <cell r="I208">
            <v>499.93700000000001</v>
          </cell>
          <cell r="J208">
            <v>578.54499999999996</v>
          </cell>
          <cell r="K208">
            <v>862.11699999999996</v>
          </cell>
        </row>
        <row r="209">
          <cell r="A209" t="str">
            <v>Group insurance</v>
          </cell>
          <cell r="F209">
            <v>16.693000000000001</v>
          </cell>
          <cell r="G209">
            <v>19.826000000000001</v>
          </cell>
          <cell r="H209">
            <v>26.706</v>
          </cell>
          <cell r="I209">
            <v>24.338999999999999</v>
          </cell>
          <cell r="J209">
            <v>29.555</v>
          </cell>
          <cell r="K209">
            <v>31.975000000000001</v>
          </cell>
        </row>
        <row r="210">
          <cell r="A210" t="str">
            <v xml:space="preserve"> Staff &amp; Labour welfare exps</v>
          </cell>
          <cell r="F210">
            <v>592.54100000000005</v>
          </cell>
          <cell r="G210">
            <v>617.42899999999997</v>
          </cell>
          <cell r="H210">
            <v>685.36599999999999</v>
          </cell>
          <cell r="I210">
            <v>795.85400000000004</v>
          </cell>
          <cell r="J210">
            <v>947.32500000000005</v>
          </cell>
          <cell r="K210">
            <v>1024.9100000000001</v>
          </cell>
        </row>
        <row r="211">
          <cell r="H211">
            <v>-2215.1</v>
          </cell>
        </row>
        <row r="212">
          <cell r="F212">
            <v>5608.4900000000007</v>
          </cell>
          <cell r="G212">
            <v>6817.1870000000008</v>
          </cell>
          <cell r="H212">
            <v>8150.5959999999995</v>
          </cell>
          <cell r="I212">
            <v>8738.6010000000006</v>
          </cell>
          <cell r="J212">
            <v>9524.5930000000008</v>
          </cell>
          <cell r="K212">
            <v>12416.017</v>
          </cell>
        </row>
        <row r="214">
          <cell r="A214" t="str">
            <v>OTHER MANUFACTURING EXPENSES :</v>
          </cell>
          <cell r="F214"/>
          <cell r="G214"/>
        </row>
        <row r="215">
          <cell r="A215" t="str">
            <v>Job work expenses</v>
          </cell>
          <cell r="F215"/>
          <cell r="G215"/>
        </row>
        <row r="216">
          <cell r="A216" t="str">
            <v>Processing Charges paid</v>
          </cell>
          <cell r="F216">
            <v>1631.1880000000001</v>
          </cell>
          <cell r="G216">
            <v>1522.587</v>
          </cell>
          <cell r="H216">
            <v>1693.1859999999999</v>
          </cell>
          <cell r="I216">
            <v>1977.4880000000001</v>
          </cell>
          <cell r="J216">
            <v>3132.6080000000002</v>
          </cell>
          <cell r="K216">
            <v>4060.4720000000002</v>
          </cell>
        </row>
        <row r="217">
          <cell r="A217" t="str">
            <v>Repairs to Plant and Machinery</v>
          </cell>
          <cell r="F217">
            <v>65.055000000000007</v>
          </cell>
          <cell r="G217">
            <v>72.614000000000004</v>
          </cell>
          <cell r="H217">
            <v>91.433999999999997</v>
          </cell>
          <cell r="J217">
            <v>695.58300000000008</v>
          </cell>
          <cell r="K217">
            <v>836.76900000000001</v>
          </cell>
        </row>
        <row r="218">
          <cell r="A218" t="str">
            <v>Repairs to Buildings</v>
          </cell>
          <cell r="F218">
            <v>87.182000000000002</v>
          </cell>
          <cell r="G218">
            <v>94.46</v>
          </cell>
          <cell r="H218">
            <v>289.64100000000002</v>
          </cell>
          <cell r="J218">
            <v>304.69799999999998</v>
          </cell>
          <cell r="K218">
            <v>371.74</v>
          </cell>
        </row>
        <row r="219">
          <cell r="A219" t="str">
            <v>Others repairs</v>
          </cell>
        </row>
        <row r="220">
          <cell r="A220" t="str">
            <v>Hire charges paid</v>
          </cell>
          <cell r="K220"/>
        </row>
        <row r="221">
          <cell r="A221" t="str">
            <v>Rent</v>
          </cell>
          <cell r="F221">
            <v>32.261000000000003</v>
          </cell>
          <cell r="G221">
            <v>36.021999999999998</v>
          </cell>
          <cell r="H221">
            <v>40.058999999999997</v>
          </cell>
          <cell r="J221">
            <v>90.8</v>
          </cell>
          <cell r="K221">
            <v>91.415000000000006</v>
          </cell>
        </row>
        <row r="222">
          <cell r="A222" t="str">
            <v>Royalty</v>
          </cell>
          <cell r="F222">
            <v>57.439</v>
          </cell>
          <cell r="G222">
            <v>89.11</v>
          </cell>
          <cell r="H222">
            <v>191.46299999999999</v>
          </cell>
          <cell r="J222">
            <v>145.054</v>
          </cell>
          <cell r="K222">
            <v>235.005</v>
          </cell>
        </row>
        <row r="223">
          <cell r="A223" t="str">
            <v>Factory rent rate and taxes</v>
          </cell>
          <cell r="F223">
            <v>32.261000000000003</v>
          </cell>
          <cell r="G223">
            <v>66.933000000000007</v>
          </cell>
          <cell r="J223">
            <v>63.987000000000002</v>
          </cell>
          <cell r="K223">
            <v>68.924000000000007</v>
          </cell>
        </row>
        <row r="224">
          <cell r="A224" t="str">
            <v>Insurance</v>
          </cell>
          <cell r="F224">
            <v>189.06899999999999</v>
          </cell>
          <cell r="G224">
            <v>215.65100000000001</v>
          </cell>
          <cell r="H224">
            <v>240.71199999999999</v>
          </cell>
          <cell r="J224">
            <v>251.69800000000001</v>
          </cell>
          <cell r="K224">
            <v>324.49799999999999</v>
          </cell>
        </row>
        <row r="225">
          <cell r="A225" t="str">
            <v>Research and Development exps</v>
          </cell>
          <cell r="J225">
            <v>543.41200000000003</v>
          </cell>
          <cell r="K225">
            <v>613.64099999999996</v>
          </cell>
        </row>
        <row r="226">
          <cell r="A226" t="str">
            <v>Temporary work written off</v>
          </cell>
        </row>
        <row r="227">
          <cell r="A227" t="str">
            <v>Customs, freight and handling charges</v>
          </cell>
        </row>
        <row r="228">
          <cell r="A228" t="str">
            <v>Training Expenses</v>
          </cell>
        </row>
        <row r="229">
          <cell r="A229" t="str">
            <v>Others</v>
          </cell>
          <cell r="F229">
            <v>1315.2815000000003</v>
          </cell>
          <cell r="G229">
            <v>1353.127</v>
          </cell>
          <cell r="H229">
            <v>1318.2744999999995</v>
          </cell>
          <cell r="I229">
            <v>2009.8114999999998</v>
          </cell>
          <cell r="J229">
            <v>795.19800000000032</v>
          </cell>
          <cell r="K229">
            <v>696.14400000000012</v>
          </cell>
        </row>
        <row r="231">
          <cell r="F231">
            <v>3409.7365000000009</v>
          </cell>
          <cell r="G231">
            <v>3450.5039999999999</v>
          </cell>
          <cell r="H231">
            <v>3864.7694999999999</v>
          </cell>
          <cell r="I231">
            <v>3987.2995000000001</v>
          </cell>
          <cell r="J231">
            <v>6023.0380000000014</v>
          </cell>
          <cell r="K231">
            <v>7298.6079999999993</v>
          </cell>
        </row>
        <row r="232">
          <cell r="G232">
            <v>2706.2539999999999</v>
          </cell>
          <cell r="H232">
            <v>0</v>
          </cell>
          <cell r="K232">
            <v>1392.2880000000002</v>
          </cell>
        </row>
        <row r="233">
          <cell r="A233" t="str">
            <v>OTHER EXPENSES :</v>
          </cell>
        </row>
        <row r="234">
          <cell r="A234" t="str">
            <v xml:space="preserve"> Rent rates and taxes</v>
          </cell>
          <cell r="I234"/>
          <cell r="J234">
            <v>90.08</v>
          </cell>
          <cell r="K234">
            <v>145.03700000000001</v>
          </cell>
        </row>
        <row r="235">
          <cell r="A235" t="str">
            <v xml:space="preserve"> Other repairs</v>
          </cell>
          <cell r="I235"/>
          <cell r="J235">
            <v>475.69200000000001</v>
          </cell>
          <cell r="K235">
            <v>611.47499999999991</v>
          </cell>
        </row>
        <row r="236">
          <cell r="A236" t="str">
            <v xml:space="preserve"> Audit/Legal expenses</v>
          </cell>
          <cell r="J236">
            <v>2.5979999999999999</v>
          </cell>
          <cell r="K236">
            <v>3.113</v>
          </cell>
        </row>
        <row r="237">
          <cell r="A237" t="str">
            <v xml:space="preserve"> Directors fees and allowances</v>
          </cell>
          <cell r="I237"/>
          <cell r="J237">
            <v>1.4E-2</v>
          </cell>
          <cell r="K237">
            <v>6.4000000000000001E-2</v>
          </cell>
        </row>
        <row r="238">
          <cell r="A238" t="str">
            <v xml:space="preserve"> Travelling and conveyance</v>
          </cell>
          <cell r="I238"/>
          <cell r="J238"/>
          <cell r="K238"/>
        </row>
        <row r="239">
          <cell r="A239" t="str">
            <v xml:space="preserve"> Postage phone and telex</v>
          </cell>
          <cell r="I239"/>
          <cell r="J239"/>
          <cell r="K239"/>
        </row>
        <row r="240">
          <cell r="A240" t="str">
            <v xml:space="preserve"> Printing and stationery</v>
          </cell>
          <cell r="I240"/>
          <cell r="J240"/>
          <cell r="K240"/>
        </row>
        <row r="241">
          <cell r="A241" t="str">
            <v xml:space="preserve"> Donations</v>
          </cell>
          <cell r="J241">
            <v>1.7999999999999999E-2</v>
          </cell>
          <cell r="K241">
            <v>5.1150000000000002</v>
          </cell>
        </row>
        <row r="242">
          <cell r="A242" t="str">
            <v xml:space="preserve"> Irrecoverable advances</v>
          </cell>
        </row>
        <row r="243">
          <cell r="A243" t="str">
            <v xml:space="preserve"> Vehicle expenses</v>
          </cell>
        </row>
        <row r="244">
          <cell r="A244" t="str">
            <v xml:space="preserve"> Miscellaneous expenses</v>
          </cell>
        </row>
        <row r="245">
          <cell r="A245" t="str">
            <v xml:space="preserve"> Wealth Tax</v>
          </cell>
        </row>
        <row r="246">
          <cell r="A246" t="str">
            <v xml:space="preserve"> Guarantee fees </v>
          </cell>
          <cell r="G246">
            <v>216.29900000000001</v>
          </cell>
          <cell r="H246">
            <v>419.13200000000001</v>
          </cell>
          <cell r="I246">
            <v>168.434</v>
          </cell>
          <cell r="J246">
            <v>110.08</v>
          </cell>
          <cell r="K246">
            <v>70.988</v>
          </cell>
        </row>
        <row r="247">
          <cell r="A247" t="str">
            <v>Others</v>
          </cell>
          <cell r="F247">
            <v>1315.3</v>
          </cell>
          <cell r="G247">
            <v>1353.15</v>
          </cell>
          <cell r="H247">
            <v>1318.2744999999995</v>
          </cell>
          <cell r="I247">
            <v>2009.8114999999998</v>
          </cell>
          <cell r="J247">
            <v>795.19800000000032</v>
          </cell>
          <cell r="K247">
            <v>696.14400000000012</v>
          </cell>
        </row>
        <row r="249">
          <cell r="F249">
            <v>1315.3</v>
          </cell>
          <cell r="G249">
            <v>1569.4490000000001</v>
          </cell>
          <cell r="H249">
            <v>1737.4064999999996</v>
          </cell>
          <cell r="I249">
            <v>2178.2455</v>
          </cell>
          <cell r="J249">
            <v>1473.6800000000003</v>
          </cell>
          <cell r="K249">
            <v>1531.9360000000001</v>
          </cell>
        </row>
        <row r="250">
          <cell r="J250">
            <v>1590.3960000000006</v>
          </cell>
        </row>
        <row r="251">
          <cell r="A251" t="str">
            <v>SELLING EXPENSES :</v>
          </cell>
        </row>
        <row r="252">
          <cell r="A252" t="str">
            <v xml:space="preserve"> Advertising and publicity</v>
          </cell>
          <cell r="H252"/>
          <cell r="I252"/>
          <cell r="J252"/>
          <cell r="K252"/>
        </row>
        <row r="253">
          <cell r="A253" t="str">
            <v xml:space="preserve"> Sales promotion</v>
          </cell>
          <cell r="J253">
            <v>337.512</v>
          </cell>
          <cell r="K253">
            <v>310.35399999999998</v>
          </cell>
        </row>
        <row r="254">
          <cell r="A254" t="str">
            <v xml:space="preserve"> Freight outward/distribution</v>
          </cell>
        </row>
        <row r="255">
          <cell r="A255" t="str">
            <v xml:space="preserve"> Commission on sales paid</v>
          </cell>
          <cell r="I255"/>
          <cell r="J255"/>
          <cell r="K255"/>
        </row>
        <row r="256">
          <cell r="A256" t="str">
            <v xml:space="preserve"> Sales discount/dealer margins</v>
          </cell>
          <cell r="I256"/>
          <cell r="J256"/>
          <cell r="K256"/>
        </row>
        <row r="257">
          <cell r="A257" t="str">
            <v xml:space="preserve"> Liquidated damages</v>
          </cell>
        </row>
        <row r="258">
          <cell r="A258" t="str">
            <v xml:space="preserve"> Bad debts written off</v>
          </cell>
          <cell r="G258"/>
          <cell r="H258"/>
          <cell r="I258"/>
          <cell r="J258"/>
          <cell r="K258"/>
        </row>
        <row r="259">
          <cell r="A259" t="str">
            <v xml:space="preserve"> Provisions for doubtful debts</v>
          </cell>
          <cell r="F259">
            <v>1829.175</v>
          </cell>
          <cell r="G259">
            <v>2842.201</v>
          </cell>
          <cell r="H259">
            <v>1623.5810000000001</v>
          </cell>
          <cell r="I259">
            <v>1278.5150000000001</v>
          </cell>
          <cell r="J259">
            <v>585.79999999999995</v>
          </cell>
          <cell r="K259">
            <v>602.94000000000005</v>
          </cell>
        </row>
        <row r="260">
          <cell r="A260" t="str">
            <v xml:space="preserve"> Octroi</v>
          </cell>
        </row>
        <row r="261">
          <cell r="A261" t="str">
            <v xml:space="preserve"> Royalty</v>
          </cell>
        </row>
        <row r="262">
          <cell r="A262" t="str">
            <v>Packing and Forwarding</v>
          </cell>
        </row>
        <row r="263">
          <cell r="A263" t="str">
            <v>Agency fees and port charges</v>
          </cell>
        </row>
        <row r="264">
          <cell r="A264" t="str">
            <v>Provisions for DD, LD &amp; L&amp;A</v>
          </cell>
        </row>
        <row r="266">
          <cell r="F266">
            <v>1829.175</v>
          </cell>
          <cell r="G266">
            <v>2842.201</v>
          </cell>
          <cell r="H266">
            <v>1623.5810000000001</v>
          </cell>
          <cell r="I266">
            <v>1278.5150000000001</v>
          </cell>
          <cell r="J266">
            <v>923.3119999999999</v>
          </cell>
          <cell r="K266">
            <v>913.2940000000001</v>
          </cell>
        </row>
        <row r="268">
          <cell r="A268" t="str">
            <v>INTEREST AND FINANCE CHARGES :</v>
          </cell>
        </row>
        <row r="269">
          <cell r="A269" t="str">
            <v xml:space="preserve"> Interest on foreign loans</v>
          </cell>
          <cell r="F269">
            <v>412.31200000000001</v>
          </cell>
          <cell r="G269">
            <v>446.584</v>
          </cell>
          <cell r="H269">
            <v>429.43700000000001</v>
          </cell>
          <cell r="I269">
            <v>292.971</v>
          </cell>
          <cell r="J269">
            <v>186.62</v>
          </cell>
          <cell r="K269">
            <v>100.732</v>
          </cell>
        </row>
        <row r="270">
          <cell r="A270" t="str">
            <v xml:space="preserve"> Interest on Fixed Deposits</v>
          </cell>
        </row>
        <row r="271">
          <cell r="A271" t="str">
            <v xml:space="preserve"> Interest on Term loans from FI's</v>
          </cell>
        </row>
        <row r="272">
          <cell r="A272" t="str">
            <v xml:space="preserve"> Interest on Term loans from banks</v>
          </cell>
        </row>
        <row r="273">
          <cell r="A273" t="str">
            <v xml:space="preserve"> Interest on Bank borrowings</v>
          </cell>
          <cell r="F273">
            <v>195.172</v>
          </cell>
          <cell r="G273">
            <v>194.22900000000001</v>
          </cell>
          <cell r="H273">
            <v>366.81900000000002</v>
          </cell>
          <cell r="I273">
            <v>443.62200000000001</v>
          </cell>
          <cell r="J273">
            <v>179.411</v>
          </cell>
          <cell r="K273">
            <v>70.215999999999994</v>
          </cell>
        </row>
        <row r="274">
          <cell r="A274" t="str">
            <v xml:space="preserve"> Interest on Intercorporate loans</v>
          </cell>
        </row>
        <row r="275">
          <cell r="A275" t="str">
            <v xml:space="preserve"> Interest on deferred payments</v>
          </cell>
        </row>
        <row r="276">
          <cell r="A276" t="str">
            <v xml:space="preserve"> Interest on other borrowings</v>
          </cell>
          <cell r="I276"/>
          <cell r="J276"/>
          <cell r="K276"/>
        </row>
        <row r="277">
          <cell r="A277" t="str">
            <v xml:space="preserve"> Interest on Govt. loans</v>
          </cell>
          <cell r="F277">
            <v>43.462000000000003</v>
          </cell>
          <cell r="G277">
            <v>32.575000000000003</v>
          </cell>
          <cell r="H277">
            <v>21.238</v>
          </cell>
          <cell r="I277">
            <v>9.5719999999999992</v>
          </cell>
          <cell r="J277">
            <v>4.3099999999999996</v>
          </cell>
          <cell r="K277">
            <v>0.90900000000000003</v>
          </cell>
        </row>
        <row r="278">
          <cell r="A278" t="str">
            <v xml:space="preserve"> Bank charges/Commission</v>
          </cell>
          <cell r="I278"/>
          <cell r="J278"/>
          <cell r="K278"/>
        </row>
        <row r="279">
          <cell r="A279" t="str">
            <v xml:space="preserve"> Brokerage/Commission paid</v>
          </cell>
        </row>
        <row r="280">
          <cell r="A280" t="str">
            <v xml:space="preserve"> Exchange rate loss/(profit)</v>
          </cell>
          <cell r="I280"/>
          <cell r="J280"/>
          <cell r="K280"/>
        </row>
        <row r="281">
          <cell r="A281" t="str">
            <v xml:space="preserve"> Bills/LC's/Guarantee charges</v>
          </cell>
        </row>
        <row r="282">
          <cell r="A282" t="str">
            <v xml:space="preserve"> Lease rentals</v>
          </cell>
          <cell r="I282"/>
          <cell r="J282"/>
          <cell r="K282"/>
        </row>
        <row r="283">
          <cell r="A283" t="str">
            <v>General charges</v>
          </cell>
        </row>
        <row r="284">
          <cell r="A284" t="str">
            <v xml:space="preserve"> Rollover charges</v>
          </cell>
          <cell r="H284">
            <v>43.115000000000002</v>
          </cell>
          <cell r="I284">
            <v>3.3839999999999999</v>
          </cell>
          <cell r="J284">
            <v>0.61</v>
          </cell>
          <cell r="K284">
            <v>0.27100000000000002</v>
          </cell>
        </row>
        <row r="285">
          <cell r="A285" t="str">
            <v>Other</v>
          </cell>
          <cell r="F285">
            <v>445.5</v>
          </cell>
          <cell r="G285">
            <v>365.64</v>
          </cell>
          <cell r="H285">
            <v>268.536</v>
          </cell>
          <cell r="I285">
            <v>841.83699999999999</v>
          </cell>
          <cell r="J285">
            <v>225.82400000000001</v>
          </cell>
          <cell r="K285">
            <v>144.523</v>
          </cell>
        </row>
        <row r="286">
          <cell r="A286" t="str">
            <v>Redemption premium on Bonds</v>
          </cell>
          <cell r="J286">
            <v>23.567</v>
          </cell>
          <cell r="K286">
            <v>1.25</v>
          </cell>
        </row>
        <row r="289">
          <cell r="F289">
            <v>1096.4459999999999</v>
          </cell>
          <cell r="G289">
            <v>1039.028</v>
          </cell>
          <cell r="H289">
            <v>1129.1450000000002</v>
          </cell>
          <cell r="I289">
            <v>1591.386</v>
          </cell>
          <cell r="J289">
            <v>620.3420000000001</v>
          </cell>
          <cell r="K289">
            <v>317.90099999999995</v>
          </cell>
        </row>
        <row r="291">
          <cell r="A291" t="str">
            <v>NON OPERATING INCOME :</v>
          </cell>
        </row>
        <row r="292">
          <cell r="A292" t="str">
            <v>Interest on investmnets</v>
          </cell>
          <cell r="H292">
            <v>767.154</v>
          </cell>
          <cell r="I292">
            <v>143.624</v>
          </cell>
          <cell r="J292">
            <v>81.558000000000007</v>
          </cell>
          <cell r="K292">
            <v>26.706</v>
          </cell>
        </row>
        <row r="293">
          <cell r="A293" t="str">
            <v xml:space="preserve"> Interest earned</v>
          </cell>
          <cell r="F293">
            <v>642.70899999999995</v>
          </cell>
          <cell r="G293">
            <v>794.46400000000006</v>
          </cell>
          <cell r="I293">
            <v>426.92500000000001</v>
          </cell>
          <cell r="K293">
            <v>2218.6109999999999</v>
          </cell>
        </row>
        <row r="294">
          <cell r="A294" t="str">
            <v xml:space="preserve"> Dividend from investments</v>
          </cell>
          <cell r="F294">
            <v>314.92599999999999</v>
          </cell>
          <cell r="G294">
            <v>336.89499999999998</v>
          </cell>
          <cell r="H294">
            <v>349.67399999999998</v>
          </cell>
          <cell r="I294">
            <v>268.98</v>
          </cell>
          <cell r="J294">
            <v>0</v>
          </cell>
        </row>
        <row r="295">
          <cell r="A295" t="str">
            <v xml:space="preserve"> Rent income</v>
          </cell>
          <cell r="I295"/>
        </row>
        <row r="296">
          <cell r="A296" t="str">
            <v xml:space="preserve"> Profit/Loss on As/inv</v>
          </cell>
          <cell r="I296"/>
          <cell r="J296"/>
          <cell r="K296"/>
        </row>
        <row r="297">
          <cell r="A297" t="str">
            <v xml:space="preserve"> Recoveries from employees</v>
          </cell>
        </row>
        <row r="298">
          <cell r="A298" t="str">
            <v xml:space="preserve"> Income from time charter</v>
          </cell>
        </row>
        <row r="299">
          <cell r="A299" t="str">
            <v>Others</v>
          </cell>
          <cell r="G299">
            <v>534.61800000000005</v>
          </cell>
          <cell r="J299">
            <v>1222.0129999999999</v>
          </cell>
        </row>
        <row r="301">
          <cell r="F301">
            <v>957.63499999999999</v>
          </cell>
          <cell r="G301">
            <v>1665.9769999999999</v>
          </cell>
          <cell r="H301">
            <v>1116.828</v>
          </cell>
          <cell r="I301">
            <v>839.529</v>
          </cell>
          <cell r="J301">
            <v>1303.5709999999999</v>
          </cell>
          <cell r="K301">
            <v>2245.317</v>
          </cell>
        </row>
        <row r="303">
          <cell r="A303" t="str">
            <v>EXTRAORDINARY INCOME :</v>
          </cell>
        </row>
        <row r="304">
          <cell r="A304" t="str">
            <v>Exchange variation gain</v>
          </cell>
          <cell r="I304">
            <v>133.47499999999999</v>
          </cell>
          <cell r="J304">
            <v>0</v>
          </cell>
        </row>
        <row r="305">
          <cell r="A305" t="str">
            <v>Gain on sale of units</v>
          </cell>
          <cell r="F305">
            <v>118.098</v>
          </cell>
          <cell r="G305">
            <v>4.9160000000000004</v>
          </cell>
          <cell r="H305">
            <v>564.87</v>
          </cell>
          <cell r="I305">
            <v>211.46700000000001</v>
          </cell>
          <cell r="J305">
            <v>0</v>
          </cell>
        </row>
        <row r="306">
          <cell r="A306" t="str">
            <v>Sale of fixed assets</v>
          </cell>
          <cell r="F306">
            <v>3.5219999999999998</v>
          </cell>
          <cell r="G306">
            <v>189.11799999999999</v>
          </cell>
          <cell r="H306">
            <v>4.8470000000000004</v>
          </cell>
          <cell r="I306">
            <v>4.5819999999999999</v>
          </cell>
          <cell r="J306">
            <v>1.6890000000000001</v>
          </cell>
          <cell r="K306">
            <v>3.22</v>
          </cell>
        </row>
        <row r="307">
          <cell r="A307" t="str">
            <v>Vehicle charges recoverd</v>
          </cell>
          <cell r="F307">
            <v>1.617</v>
          </cell>
          <cell r="G307">
            <v>1.4339999999999999</v>
          </cell>
          <cell r="H307">
            <v>1.6419999999999999</v>
          </cell>
          <cell r="I307">
            <v>2.1339999999999999</v>
          </cell>
          <cell r="J307">
            <v>0</v>
          </cell>
        </row>
        <row r="308">
          <cell r="A308" t="str">
            <v>Prior period I.T. refund</v>
          </cell>
          <cell r="J308">
            <v>938.61800000000005</v>
          </cell>
          <cell r="K308">
            <v>52.904000000000003</v>
          </cell>
        </row>
        <row r="309">
          <cell r="A309" t="str">
            <v>profit on sale of investments</v>
          </cell>
          <cell r="J309">
            <v>2.75</v>
          </cell>
          <cell r="K309">
            <v>0.59</v>
          </cell>
        </row>
        <row r="310">
          <cell r="A310" t="str">
            <v>Provisions written back (wages related)</v>
          </cell>
          <cell r="F310">
            <v>419.06</v>
          </cell>
          <cell r="G310">
            <v>961.18100000000004</v>
          </cell>
          <cell r="H310">
            <v>2075.8000000000002</v>
          </cell>
          <cell r="I310">
            <v>1038.23</v>
          </cell>
          <cell r="J310">
            <v>1847.2339999999999</v>
          </cell>
        </row>
        <row r="311">
          <cell r="A311" t="str">
            <v>Provisions written back (Operations)</v>
          </cell>
          <cell r="H311">
            <v>624.39999999999964</v>
          </cell>
          <cell r="I311">
            <v>300</v>
          </cell>
          <cell r="J311">
            <v>450</v>
          </cell>
          <cell r="K311">
            <v>2957.8389999999999</v>
          </cell>
        </row>
        <row r="312">
          <cell r="A312" t="str">
            <v>Provisions written back (Others)</v>
          </cell>
          <cell r="F312">
            <v>452.709</v>
          </cell>
          <cell r="H312">
            <v>484.33629999999999</v>
          </cell>
          <cell r="K312">
            <v>23.771000000000001</v>
          </cell>
        </row>
        <row r="313">
          <cell r="A313" t="str">
            <v>others</v>
          </cell>
          <cell r="F313">
            <v>361.048</v>
          </cell>
          <cell r="I313">
            <v>612.226</v>
          </cell>
          <cell r="J313">
            <v>481.089</v>
          </cell>
          <cell r="K313">
            <v>539.92500000000007</v>
          </cell>
        </row>
        <row r="314">
          <cell r="F314" t="str">
            <v>-</v>
          </cell>
          <cell r="G314" t="str">
            <v>-</v>
          </cell>
          <cell r="H314" t="str">
            <v>-</v>
          </cell>
          <cell r="I314" t="str">
            <v>-</v>
          </cell>
          <cell r="J314" t="str">
            <v>-</v>
          </cell>
          <cell r="K314" t="str">
            <v>-</v>
          </cell>
        </row>
        <row r="315">
          <cell r="F315">
            <v>1356.0540000000001</v>
          </cell>
          <cell r="G315">
            <v>1156.6490000000001</v>
          </cell>
          <cell r="H315">
            <v>3755.8952999999997</v>
          </cell>
          <cell r="I315">
            <v>2302.114</v>
          </cell>
          <cell r="J315">
            <v>3721.38</v>
          </cell>
          <cell r="K315">
            <v>3578.2490000000003</v>
          </cell>
        </row>
        <row r="317">
          <cell r="A317" t="str">
            <v>EXTRAORDINARY EXPENSES :</v>
          </cell>
        </row>
        <row r="318">
          <cell r="A318" t="str">
            <v>Deffered revenue expenses</v>
          </cell>
          <cell r="F318">
            <v>440.1</v>
          </cell>
          <cell r="G318">
            <v>400.00099999999998</v>
          </cell>
          <cell r="H318">
            <v>331.1</v>
          </cell>
          <cell r="I318">
            <v>270</v>
          </cell>
          <cell r="J318">
            <v>179.6</v>
          </cell>
          <cell r="K318">
            <v>131.07</v>
          </cell>
        </row>
        <row r="319">
          <cell r="A319" t="str">
            <v xml:space="preserve">Arrears of wages </v>
          </cell>
          <cell r="H319">
            <v>2215.1</v>
          </cell>
          <cell r="I319">
            <v>0</v>
          </cell>
          <cell r="J319">
            <v>314</v>
          </cell>
          <cell r="K319">
            <v>0</v>
          </cell>
        </row>
        <row r="320">
          <cell r="A320" t="str">
            <v>Gratuity provisioning</v>
          </cell>
          <cell r="I320">
            <v>175.43</v>
          </cell>
          <cell r="K320">
            <v>0</v>
          </cell>
        </row>
        <row r="321">
          <cell r="A321" t="str">
            <v>Other provisions</v>
          </cell>
          <cell r="H321">
            <v>674.69299999999998</v>
          </cell>
          <cell r="I321">
            <v>1381.404</v>
          </cell>
          <cell r="J321">
            <v>3285.884</v>
          </cell>
          <cell r="K321">
            <v>4678.7339999999995</v>
          </cell>
        </row>
        <row r="322">
          <cell r="A322" t="str">
            <v xml:space="preserve">Exchange variation </v>
          </cell>
          <cell r="F322">
            <v>347.76100000000002</v>
          </cell>
          <cell r="G322">
            <v>544.471</v>
          </cell>
          <cell r="H322">
            <v>545.29700000000003</v>
          </cell>
          <cell r="J322">
            <v>118.191</v>
          </cell>
          <cell r="K322">
            <v>67.695999999999998</v>
          </cell>
        </row>
        <row r="323">
          <cell r="A323" t="str">
            <v>VRS</v>
          </cell>
        </row>
        <row r="324">
          <cell r="A324" t="str">
            <v>Projects /Contracts</v>
          </cell>
          <cell r="J324">
            <v>976.18399999999997</v>
          </cell>
          <cell r="K324">
            <v>1201.316</v>
          </cell>
        </row>
        <row r="325">
          <cell r="A325" t="str">
            <v>I.T. of prior years</v>
          </cell>
          <cell r="J325">
            <v>0</v>
          </cell>
          <cell r="K325">
            <v>0</v>
          </cell>
        </row>
        <row r="328">
          <cell r="F328">
            <v>787.8610000000001</v>
          </cell>
          <cell r="G328">
            <v>944.47199999999998</v>
          </cell>
          <cell r="H328">
            <v>3766.19</v>
          </cell>
          <cell r="I328">
            <v>1826.8340000000001</v>
          </cell>
          <cell r="J328">
            <v>4873.8589999999995</v>
          </cell>
          <cell r="K328">
            <v>6078.8159999999989</v>
          </cell>
        </row>
        <row r="330">
          <cell r="A330" t="str">
            <v>CASH ADJUSTMENTS :</v>
          </cell>
        </row>
        <row r="331">
          <cell r="A331" t="str">
            <v xml:space="preserve"> Excess/short prov of tax</v>
          </cell>
        </row>
        <row r="332">
          <cell r="A332" t="str">
            <v xml:space="preserve"> Excess/short prov of expenses</v>
          </cell>
        </row>
        <row r="334">
          <cell r="F334">
            <v>0</v>
          </cell>
          <cell r="G334">
            <v>0</v>
          </cell>
          <cell r="H334">
            <v>0</v>
          </cell>
          <cell r="I334">
            <v>0</v>
          </cell>
          <cell r="J334">
            <v>0</v>
          </cell>
          <cell r="K334">
            <v>0</v>
          </cell>
        </row>
      </sheetData>
      <sheetData sheetId="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F Annual"/>
      <sheetName val="RMF Quarter"/>
      <sheetName val="Capex Tran Lines"/>
      <sheetName val="Capex Sub station"/>
      <sheetName val="Capex Dispatch centre"/>
      <sheetName val="FP"/>
      <sheetName val="Comparative"/>
      <sheetName val="Power Grid"/>
      <sheetName val="vs NTPC"/>
      <sheetName val="Old Update"/>
      <sheetName val="Power Grid others"/>
      <sheetName val="#ref"/>
      <sheetName val="rev sum"/>
      <sheetName val="nopat_vdf"/>
      <sheetName val="invested capital_vdf"/>
      <sheetName val="Income Statement"/>
      <sheetName val="1q98"/>
      <sheetName val="foundry "/>
    </sheetNames>
    <sheetDataSet>
      <sheetData sheetId="0">
        <row r="21">
          <cell r="E21">
            <v>0</v>
          </cell>
        </row>
        <row r="45">
          <cell r="F45">
            <v>0</v>
          </cell>
          <cell r="G45">
            <v>0</v>
          </cell>
          <cell r="H45">
            <v>-64.06</v>
          </cell>
          <cell r="I45">
            <v>-278.36</v>
          </cell>
          <cell r="J45">
            <v>-256.98</v>
          </cell>
          <cell r="K45">
            <v>-463.5</v>
          </cell>
          <cell r="L45">
            <v>-858.4</v>
          </cell>
          <cell r="M45">
            <v>-858.4</v>
          </cell>
          <cell r="N45">
            <v>-1056.7</v>
          </cell>
          <cell r="O45">
            <v>-1323.3</v>
          </cell>
          <cell r="P45">
            <v>-1643.3362982648366</v>
          </cell>
          <cell r="Q45">
            <v>-2239.686286142824</v>
          </cell>
          <cell r="R45">
            <v>-2592.2139870976621</v>
          </cell>
          <cell r="S45">
            <v>-3156.9842908936621</v>
          </cell>
          <cell r="T45">
            <v>-3730.3060030688271</v>
          </cell>
          <cell r="U45">
            <v>-4420.2154077233527</v>
          </cell>
        </row>
        <row r="65">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row>
        <row r="70">
          <cell r="F70">
            <v>-7390.3</v>
          </cell>
          <cell r="G70">
            <v>-11447.600000000002</v>
          </cell>
          <cell r="H70">
            <v>-1142.1299999999974</v>
          </cell>
          <cell r="I70">
            <v>-312.86000000000058</v>
          </cell>
          <cell r="J70">
            <v>-1102.010000000002</v>
          </cell>
          <cell r="K70">
            <v>1724.8499999999985</v>
          </cell>
          <cell r="L70">
            <v>2307.8200000000033</v>
          </cell>
          <cell r="M70">
            <v>1434</v>
          </cell>
          <cell r="N70">
            <v>1396.0299999999988</v>
          </cell>
          <cell r="O70">
            <v>548.70000000000073</v>
          </cell>
          <cell r="P70">
            <v>1138.9999999999982</v>
          </cell>
          <cell r="Q70">
            <v>3586.6000000000022</v>
          </cell>
          <cell r="R70">
            <v>1793.4999999999991</v>
          </cell>
          <cell r="S70">
            <v>1782.6000000000004</v>
          </cell>
          <cell r="T70">
            <v>0</v>
          </cell>
          <cell r="U70">
            <v>0</v>
          </cell>
        </row>
        <row r="72">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row>
        <row r="143">
          <cell r="E143" t="str">
            <v/>
          </cell>
          <cell r="F143">
            <v>7.2322868930860729</v>
          </cell>
          <cell r="G143">
            <v>12.628509992886872</v>
          </cell>
          <cell r="H143">
            <v>7.7024274970499667</v>
          </cell>
          <cell r="I143">
            <v>25.608594869624604</v>
          </cell>
          <cell r="J143">
            <v>15.859030074426562</v>
          </cell>
          <cell r="K143">
            <v>30.106897937206003</v>
          </cell>
          <cell r="L143">
            <v>30.959911732254511</v>
          </cell>
          <cell r="M143">
            <v>27.433676962207489</v>
          </cell>
          <cell r="N143">
            <v>29.216124538971652</v>
          </cell>
          <cell r="O143">
            <v>29.982866510503975</v>
          </cell>
          <cell r="P143">
            <v>30.423761783945633</v>
          </cell>
          <cell r="Q143">
            <v>29.4961438566074</v>
          </cell>
          <cell r="R143">
            <v>30.000000000000007</v>
          </cell>
          <cell r="S143">
            <v>29.999999999999993</v>
          </cell>
          <cell r="T143">
            <v>30</v>
          </cell>
          <cell r="U143">
            <v>29.999999999999989</v>
          </cell>
        </row>
        <row r="149">
          <cell r="E149" t="str">
            <v/>
          </cell>
          <cell r="F149" t="str">
            <v/>
          </cell>
          <cell r="G149">
            <v>13.79745028338113</v>
          </cell>
          <cell r="H149">
            <v>-18.563272392885779</v>
          </cell>
          <cell r="I149">
            <v>28.130189510526058</v>
          </cell>
          <cell r="J149">
            <v>38.907631120814926</v>
          </cell>
          <cell r="K149">
            <v>-5.0008352324413252</v>
          </cell>
          <cell r="L149">
            <v>48.63487152294708</v>
          </cell>
          <cell r="M149">
            <v>12.853671693024404</v>
          </cell>
          <cell r="N149">
            <v>17.372011479256798</v>
          </cell>
          <cell r="O149">
            <v>25.053102136580073</v>
          </cell>
          <cell r="P149">
            <v>21.141911919801991</v>
          </cell>
          <cell r="Q149">
            <v>40.57510347487321</v>
          </cell>
          <cell r="R149">
            <v>13.796170388699135</v>
          </cell>
          <cell r="S149">
            <v>21.787179091196073</v>
          </cell>
          <cell r="T149">
            <v>18.16042334543484</v>
          </cell>
          <cell r="U149">
            <v>18.494713411901209</v>
          </cell>
        </row>
        <row r="154">
          <cell r="E154" t="str">
            <v/>
          </cell>
          <cell r="F154">
            <v>31.105871068302619</v>
          </cell>
          <cell r="G154">
            <v>37.24856237914684</v>
          </cell>
          <cell r="H154">
            <v>28.684778348349326</v>
          </cell>
          <cell r="I154">
            <v>33.097035459801972</v>
          </cell>
          <cell r="J154">
            <v>36.732658472533984</v>
          </cell>
          <cell r="K154">
            <v>30.574787247378023</v>
          </cell>
          <cell r="L154">
            <v>35.351324645381609</v>
          </cell>
          <cell r="M154">
            <v>27.980972094938902</v>
          </cell>
          <cell r="N154">
            <v>30.318416825091717</v>
          </cell>
          <cell r="O154">
            <v>32.21369222883164</v>
          </cell>
          <cell r="P154">
            <v>32.621082337185065</v>
          </cell>
          <cell r="Q154">
            <v>33.622868701611182</v>
          </cell>
          <cell r="R154">
            <v>32.588955640331648</v>
          </cell>
          <cell r="S154">
            <v>32.420711096325441</v>
          </cell>
          <cell r="T154">
            <v>32.63989576776261</v>
          </cell>
          <cell r="U154">
            <v>32.816736441724359</v>
          </cell>
        </row>
        <row r="156">
          <cell r="E156" t="str">
            <v/>
          </cell>
          <cell r="F156">
            <v>25.22764721186368</v>
          </cell>
          <cell r="G156">
            <v>43.331501843626107</v>
          </cell>
          <cell r="H156">
            <v>60.111144160705543</v>
          </cell>
          <cell r="I156">
            <v>33.204623093047452</v>
          </cell>
          <cell r="J156">
            <v>25.925948450512568</v>
          </cell>
          <cell r="K156">
            <v>26.590165609926078</v>
          </cell>
          <cell r="L156">
            <v>23.952421268278417</v>
          </cell>
          <cell r="M156">
            <v>20.20948823877449</v>
          </cell>
          <cell r="N156">
            <v>13.688185237646152</v>
          </cell>
          <cell r="O156">
            <v>18.565852512303696</v>
          </cell>
          <cell r="P156">
            <v>16.239916122938812</v>
          </cell>
          <cell r="Q156">
            <v>11.81826729697544</v>
          </cell>
          <cell r="R156">
            <v>9.0885696508722358</v>
          </cell>
          <cell r="S156">
            <v>8.1376322638637681</v>
          </cell>
          <cell r="T156">
            <v>7.7443990908715845</v>
          </cell>
          <cell r="U156">
            <v>7.579919259433022</v>
          </cell>
        </row>
        <row r="159">
          <cell r="E159" t="str">
            <v/>
          </cell>
          <cell r="F159">
            <v>7.259300262791295</v>
          </cell>
          <cell r="G159">
            <v>-2.3105669858888858</v>
          </cell>
          <cell r="H159">
            <v>1.1095892587906295</v>
          </cell>
          <cell r="I159">
            <v>10.884167173873115</v>
          </cell>
          <cell r="J159">
            <v>16.24435379931278</v>
          </cell>
          <cell r="K159">
            <v>3.7416287998715658</v>
          </cell>
          <cell r="L159">
            <v>10.54455602208356</v>
          </cell>
          <cell r="M159">
            <v>20.954713804929479</v>
          </cell>
          <cell r="N159">
            <v>-6.9227461083668755</v>
          </cell>
          <cell r="O159">
            <v>8.2719692386206063</v>
          </cell>
          <cell r="P159">
            <v>7.0464820173625577</v>
          </cell>
          <cell r="Q159">
            <v>16.036324778173849</v>
          </cell>
          <cell r="R159">
            <v>7.6224851958640825</v>
          </cell>
          <cell r="S159">
            <v>13.533729801340861</v>
          </cell>
          <cell r="T159">
            <v>11.284600143635322</v>
          </cell>
          <cell r="U159">
            <v>13.347293899569296</v>
          </cell>
        </row>
        <row r="160">
          <cell r="E160" t="str">
            <v/>
          </cell>
          <cell r="F160">
            <v>260.22432268005991</v>
          </cell>
          <cell r="G160">
            <v>44.038396836626646</v>
          </cell>
          <cell r="H160">
            <v>77.051940912925261</v>
          </cell>
          <cell r="I160">
            <v>82.981487590282981</v>
          </cell>
          <cell r="J160">
            <v>51.099698283810326</v>
          </cell>
          <cell r="K160">
            <v>49.861693385517505</v>
          </cell>
          <cell r="L160">
            <v>87.041856453772851</v>
          </cell>
          <cell r="M160">
            <v>76.195118096115223</v>
          </cell>
          <cell r="N160">
            <v>113.42400157138948</v>
          </cell>
          <cell r="O160">
            <v>48.47115762871482</v>
          </cell>
          <cell r="P160">
            <v>84.213562696555741</v>
          </cell>
          <cell r="Q160">
            <v>75</v>
          </cell>
          <cell r="R160">
            <v>75</v>
          </cell>
          <cell r="S160">
            <v>75.000000000000014</v>
          </cell>
          <cell r="T160">
            <v>75</v>
          </cell>
          <cell r="U160">
            <v>75</v>
          </cell>
        </row>
        <row r="164">
          <cell r="E164" t="str">
            <v/>
          </cell>
          <cell r="F164">
            <v>4.3831471025845676</v>
          </cell>
          <cell r="G164">
            <v>4.2962472626702022</v>
          </cell>
          <cell r="H164">
            <v>3.85271762765684</v>
          </cell>
          <cell r="I164">
            <v>3.675530535936006</v>
          </cell>
          <cell r="J164">
            <v>3.7251470569020442</v>
          </cell>
          <cell r="K164">
            <v>3.6286760223722174</v>
          </cell>
          <cell r="L164">
            <v>3.1643819563887292</v>
          </cell>
          <cell r="M164">
            <v>2.9223876717136097</v>
          </cell>
          <cell r="N164">
            <v>2.6803121278627513</v>
          </cell>
          <cell r="O164">
            <v>2.1992691230492172</v>
          </cell>
          <cell r="P164">
            <v>2.000690739947657</v>
          </cell>
          <cell r="Q164">
            <v>1.7717816140505906</v>
          </cell>
          <cell r="R164">
            <v>1.5701155718361233</v>
          </cell>
          <cell r="S164">
            <v>1.3789643051796703</v>
          </cell>
          <cell r="T164">
            <v>1.2055437495365808</v>
          </cell>
          <cell r="U164">
            <v>1.0491923919586734</v>
          </cell>
        </row>
        <row r="165">
          <cell r="E165" t="str">
            <v/>
          </cell>
          <cell r="F165">
            <v>0.1626936806688194</v>
          </cell>
          <cell r="G165">
            <v>0.32262324878980264</v>
          </cell>
          <cell r="H165">
            <v>0.16024758046064266</v>
          </cell>
          <cell r="I165">
            <v>0.65495699597719415</v>
          </cell>
          <cell r="J165">
            <v>0.49820644930519009</v>
          </cell>
          <cell r="K165">
            <v>0.85088308448380545</v>
          </cell>
          <cell r="L165">
            <v>1.1823109539607062</v>
          </cell>
          <cell r="M165">
            <v>1.1823109539607062</v>
          </cell>
          <cell r="N165">
            <v>1.4778652840610449</v>
          </cell>
          <cell r="O165">
            <v>1.7241948026710565</v>
          </cell>
          <cell r="P165">
            <v>2.1194370206955262</v>
          </cell>
          <cell r="Q165">
            <v>2.8885591066218739</v>
          </cell>
          <cell r="R165">
            <v>3.3432197022730978</v>
          </cell>
          <cell r="S165">
            <v>4.0716129662194867</v>
          </cell>
          <cell r="T165">
            <v>4.8110351178725637</v>
          </cell>
          <cell r="U165">
            <v>5.7008222750690178</v>
          </cell>
        </row>
        <row r="167">
          <cell r="E167" t="str">
            <v/>
          </cell>
          <cell r="F167">
            <v>3.2719507233234042</v>
          </cell>
          <cell r="G167">
            <v>3.0283241076362599</v>
          </cell>
          <cell r="H167">
            <v>2.7678099762051738</v>
          </cell>
          <cell r="I167">
            <v>2.5953016504709483</v>
          </cell>
          <cell r="J167">
            <v>2.3767316172001256</v>
          </cell>
          <cell r="K167">
            <v>2.0864871001055278</v>
          </cell>
          <cell r="L167">
            <v>1.8149521560909825</v>
          </cell>
          <cell r="M167">
            <v>1.6391696904818831</v>
          </cell>
          <cell r="N167">
            <v>1.5062978882607407</v>
          </cell>
          <cell r="O167">
            <v>1.3274480801679303</v>
          </cell>
          <cell r="P167">
            <v>1.2488264153464266</v>
          </cell>
          <cell r="Q167">
            <v>1.1265310241741693</v>
          </cell>
          <cell r="R167">
            <v>1.0604381043847049</v>
          </cell>
          <cell r="S167">
            <v>1.0025653308976441</v>
          </cell>
          <cell r="T167">
            <v>0.95155549988940602</v>
          </cell>
          <cell r="U167">
            <v>0.90295467775955729</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N"/>
      <sheetName val="CHN WIP"/>
      <sheetName val="INFRA WIP"/>
      <sheetName val="INFRA WIP (2)"/>
      <sheetName val="CHN_WIP"/>
      <sheetName val="INFRA_WIP"/>
      <sheetName val="INFRA_WIP_(2)"/>
      <sheetName val="Template"/>
      <sheetName val="P&amp;L"/>
      <sheetName val="earning_assum"/>
      <sheetName val="Template-Q"/>
      <sheetName val="Profile"/>
      <sheetName val="Input"/>
      <sheetName val="Capital"/>
      <sheetName val="Formats"/>
      <sheetName val="check"/>
      <sheetName val="Hi_low"/>
    </sheetNames>
    <sheetDataSet>
      <sheetData sheetId="0" refreshError="1"/>
      <sheetData sheetId="1" refreshError="1">
        <row r="5">
          <cell r="B5" t="str">
            <v>EC173</v>
          </cell>
          <cell r="C5" t="str">
            <v>SANKARA COLLEGE -  KALADI PHASE II</v>
          </cell>
          <cell r="D5">
            <v>78450000</v>
          </cell>
          <cell r="E5">
            <v>78681418</v>
          </cell>
          <cell r="F5">
            <v>786.81</v>
          </cell>
          <cell r="G5">
            <v>78251418</v>
          </cell>
          <cell r="H5">
            <v>430000</v>
          </cell>
          <cell r="I5">
            <v>0</v>
          </cell>
          <cell r="J5">
            <v>0</v>
          </cell>
          <cell r="K5">
            <v>78251418</v>
          </cell>
          <cell r="M5" t="str">
            <v>R</v>
          </cell>
          <cell r="P5">
            <v>0</v>
          </cell>
          <cell r="Q5">
            <v>78251418</v>
          </cell>
          <cell r="R5">
            <v>0</v>
          </cell>
          <cell r="S5">
            <v>58584080.5</v>
          </cell>
          <cell r="T5">
            <v>799927</v>
          </cell>
          <cell r="U5">
            <v>1124692</v>
          </cell>
          <cell r="V5">
            <v>-324765</v>
          </cell>
          <cell r="W5">
            <v>19667337.5</v>
          </cell>
          <cell r="X5">
            <v>57459388.5</v>
          </cell>
          <cell r="Y5">
            <v>0</v>
          </cell>
          <cell r="Z5">
            <v>77451491</v>
          </cell>
        </row>
        <row r="6">
          <cell r="B6" t="str">
            <v>EC215</v>
          </cell>
          <cell r="C6" t="str">
            <v>TECHNO POLIS</v>
          </cell>
          <cell r="D6">
            <v>191139000</v>
          </cell>
          <cell r="E6">
            <v>190068022</v>
          </cell>
          <cell r="F6">
            <v>1903.39</v>
          </cell>
          <cell r="G6">
            <v>189821845</v>
          </cell>
          <cell r="H6">
            <v>246177</v>
          </cell>
          <cell r="I6">
            <v>0</v>
          </cell>
          <cell r="J6">
            <v>0</v>
          </cell>
          <cell r="K6">
            <v>189821845</v>
          </cell>
          <cell r="M6" t="str">
            <v>R</v>
          </cell>
          <cell r="P6">
            <v>0</v>
          </cell>
          <cell r="Q6">
            <v>189821845</v>
          </cell>
          <cell r="R6">
            <v>0</v>
          </cell>
          <cell r="S6">
            <v>163365881.51999998</v>
          </cell>
          <cell r="T6">
            <v>10815768</v>
          </cell>
          <cell r="U6">
            <v>13416957</v>
          </cell>
          <cell r="V6">
            <v>-2601189</v>
          </cell>
          <cell r="W6">
            <v>26455963.480000019</v>
          </cell>
          <cell r="X6">
            <v>149948924.51999998</v>
          </cell>
          <cell r="Z6">
            <v>179006077</v>
          </cell>
        </row>
        <row r="7">
          <cell r="B7" t="str">
            <v>TC145</v>
          </cell>
          <cell r="C7" t="str">
            <v>TWAD BOARD  MADURANDHAGAM</v>
          </cell>
          <cell r="D7">
            <v>22000000</v>
          </cell>
          <cell r="E7">
            <v>20586433</v>
          </cell>
          <cell r="G7">
            <v>20586433</v>
          </cell>
          <cell r="H7">
            <v>0</v>
          </cell>
          <cell r="I7">
            <v>0</v>
          </cell>
          <cell r="J7">
            <v>0</v>
          </cell>
          <cell r="K7">
            <v>20586433</v>
          </cell>
          <cell r="M7" t="str">
            <v>R</v>
          </cell>
          <cell r="P7">
            <v>0</v>
          </cell>
          <cell r="Q7">
            <v>20586433</v>
          </cell>
          <cell r="R7">
            <v>0</v>
          </cell>
          <cell r="S7">
            <v>19872483.120000001</v>
          </cell>
          <cell r="T7">
            <v>-1400000</v>
          </cell>
          <cell r="U7">
            <v>8528</v>
          </cell>
          <cell r="V7">
            <v>-1408528</v>
          </cell>
          <cell r="W7">
            <v>713949.87999999896</v>
          </cell>
          <cell r="X7">
            <v>19863955.120000001</v>
          </cell>
          <cell r="Y7">
            <v>0</v>
          </cell>
          <cell r="Z7">
            <v>21986433</v>
          </cell>
        </row>
        <row r="8">
          <cell r="B8" t="str">
            <v>TC163</v>
          </cell>
          <cell r="C8" t="str">
            <v>COKE SIVAGANGA</v>
          </cell>
          <cell r="D8">
            <v>39186000</v>
          </cell>
          <cell r="E8">
            <v>38986220</v>
          </cell>
          <cell r="F8">
            <v>391.51</v>
          </cell>
          <cell r="G8">
            <v>38986220</v>
          </cell>
          <cell r="H8">
            <v>0</v>
          </cell>
          <cell r="I8">
            <v>0</v>
          </cell>
          <cell r="J8">
            <v>0</v>
          </cell>
          <cell r="K8">
            <v>38986220</v>
          </cell>
          <cell r="M8" t="str">
            <v>R</v>
          </cell>
          <cell r="P8">
            <v>0</v>
          </cell>
          <cell r="Q8">
            <v>38986220</v>
          </cell>
          <cell r="R8">
            <v>0</v>
          </cell>
          <cell r="S8">
            <v>34544698</v>
          </cell>
          <cell r="T8">
            <v>0</v>
          </cell>
          <cell r="U8">
            <v>0</v>
          </cell>
          <cell r="V8">
            <v>0</v>
          </cell>
          <cell r="W8">
            <v>4441522</v>
          </cell>
          <cell r="X8">
            <v>34544698</v>
          </cell>
          <cell r="Y8">
            <v>0</v>
          </cell>
          <cell r="Z8">
            <v>38986220</v>
          </cell>
        </row>
        <row r="9">
          <cell r="B9" t="str">
            <v>TC169</v>
          </cell>
          <cell r="C9" t="str">
            <v>CHENNAI TRADE CENTRE  MANAPAKKAM</v>
          </cell>
          <cell r="D9">
            <v>70900000</v>
          </cell>
          <cell r="E9">
            <v>70854710</v>
          </cell>
          <cell r="G9">
            <v>70854710</v>
          </cell>
          <cell r="H9">
            <v>0</v>
          </cell>
          <cell r="I9">
            <v>0</v>
          </cell>
          <cell r="J9">
            <v>0</v>
          </cell>
          <cell r="K9">
            <v>70854710</v>
          </cell>
          <cell r="M9" t="str">
            <v>R</v>
          </cell>
          <cell r="P9">
            <v>0</v>
          </cell>
          <cell r="Q9">
            <v>70854710</v>
          </cell>
          <cell r="R9">
            <v>0</v>
          </cell>
          <cell r="S9">
            <v>78887907.799999997</v>
          </cell>
          <cell r="T9">
            <v>0</v>
          </cell>
          <cell r="U9">
            <v>62400</v>
          </cell>
          <cell r="V9">
            <v>-62400</v>
          </cell>
          <cell r="W9">
            <v>-8033197.799999997</v>
          </cell>
          <cell r="X9">
            <v>78825507.799999997</v>
          </cell>
          <cell r="Y9">
            <v>0</v>
          </cell>
          <cell r="Z9">
            <v>70854710</v>
          </cell>
        </row>
        <row r="10">
          <cell r="B10" t="str">
            <v>TC189</v>
          </cell>
          <cell r="C10" t="str">
            <v>HCL-RALLIES</v>
          </cell>
          <cell r="D10">
            <v>66974000</v>
          </cell>
          <cell r="E10">
            <v>66107517</v>
          </cell>
          <cell r="F10">
            <v>997.87</v>
          </cell>
          <cell r="G10">
            <v>66107517</v>
          </cell>
          <cell r="H10">
            <v>0</v>
          </cell>
          <cell r="I10">
            <v>0</v>
          </cell>
          <cell r="J10">
            <v>0</v>
          </cell>
          <cell r="K10">
            <v>66107517</v>
          </cell>
          <cell r="M10" t="str">
            <v>R</v>
          </cell>
          <cell r="P10">
            <v>0</v>
          </cell>
          <cell r="Q10">
            <v>66107517</v>
          </cell>
          <cell r="R10">
            <v>0</v>
          </cell>
          <cell r="S10">
            <v>48778402.509999998</v>
          </cell>
          <cell r="T10">
            <v>-700000</v>
          </cell>
          <cell r="U10">
            <v>44525</v>
          </cell>
          <cell r="V10">
            <v>-744525</v>
          </cell>
          <cell r="W10">
            <v>17329114.490000002</v>
          </cell>
          <cell r="X10">
            <v>48733877.509999998</v>
          </cell>
          <cell r="Z10">
            <v>66807517</v>
          </cell>
        </row>
        <row r="11">
          <cell r="B11" t="str">
            <v>TC196</v>
          </cell>
          <cell r="C11" t="str">
            <v>BDHC</v>
          </cell>
          <cell r="D11">
            <v>220352000</v>
          </cell>
          <cell r="E11">
            <v>220267064</v>
          </cell>
          <cell r="F11">
            <v>2210.67</v>
          </cell>
          <cell r="G11">
            <v>220267064</v>
          </cell>
          <cell r="H11">
            <v>0</v>
          </cell>
          <cell r="I11">
            <v>0</v>
          </cell>
          <cell r="J11">
            <v>0</v>
          </cell>
          <cell r="K11">
            <v>220267064</v>
          </cell>
          <cell r="M11" t="str">
            <v>R</v>
          </cell>
          <cell r="P11">
            <v>0</v>
          </cell>
          <cell r="Q11">
            <v>220267064</v>
          </cell>
          <cell r="R11">
            <v>0</v>
          </cell>
          <cell r="S11">
            <v>190793302.22999999</v>
          </cell>
          <cell r="T11">
            <v>-800000</v>
          </cell>
          <cell r="U11">
            <v>2918010.84</v>
          </cell>
          <cell r="V11">
            <v>-3718010.84</v>
          </cell>
          <cell r="W11">
            <v>29473761.770000011</v>
          </cell>
          <cell r="X11">
            <v>187875291.38999999</v>
          </cell>
          <cell r="Z11">
            <v>221067064</v>
          </cell>
        </row>
        <row r="12">
          <cell r="B12" t="str">
            <v>TC200</v>
          </cell>
          <cell r="C12" t="str">
            <v>ARIHANT VAIKUNTH</v>
          </cell>
          <cell r="D12">
            <v>140164000</v>
          </cell>
          <cell r="E12">
            <v>126929136</v>
          </cell>
          <cell r="F12">
            <v>1401.36</v>
          </cell>
          <cell r="G12">
            <v>126929136</v>
          </cell>
          <cell r="H12">
            <v>0</v>
          </cell>
          <cell r="I12">
            <v>0</v>
          </cell>
          <cell r="J12">
            <v>0</v>
          </cell>
          <cell r="K12">
            <v>126929136</v>
          </cell>
          <cell r="M12" t="str">
            <v>R</v>
          </cell>
          <cell r="P12">
            <v>0</v>
          </cell>
          <cell r="Q12">
            <v>126929136</v>
          </cell>
          <cell r="R12">
            <v>0</v>
          </cell>
          <cell r="S12">
            <v>120274601.69</v>
          </cell>
          <cell r="T12">
            <v>1216564</v>
          </cell>
          <cell r="U12">
            <v>511052</v>
          </cell>
          <cell r="V12">
            <v>705512</v>
          </cell>
          <cell r="W12">
            <v>6654534.3100000024</v>
          </cell>
          <cell r="X12">
            <v>119763549.69</v>
          </cell>
          <cell r="Z12">
            <v>125712572</v>
          </cell>
        </row>
        <row r="13">
          <cell r="B13" t="str">
            <v>TC203</v>
          </cell>
          <cell r="C13" t="str">
            <v>MITSUBA SICAL</v>
          </cell>
          <cell r="D13">
            <v>66645226</v>
          </cell>
          <cell r="E13">
            <v>66390689</v>
          </cell>
          <cell r="G13">
            <v>66390689</v>
          </cell>
          <cell r="H13">
            <v>0</v>
          </cell>
          <cell r="I13">
            <v>0</v>
          </cell>
          <cell r="J13">
            <v>0</v>
          </cell>
          <cell r="K13">
            <v>66390689</v>
          </cell>
          <cell r="M13" t="str">
            <v>R</v>
          </cell>
          <cell r="P13">
            <v>0</v>
          </cell>
          <cell r="Q13">
            <v>66390689</v>
          </cell>
          <cell r="R13">
            <v>0</v>
          </cell>
          <cell r="S13">
            <v>62612949</v>
          </cell>
          <cell r="T13">
            <v>0</v>
          </cell>
          <cell r="U13">
            <v>0</v>
          </cell>
          <cell r="V13">
            <v>0</v>
          </cell>
          <cell r="W13">
            <v>3777740</v>
          </cell>
          <cell r="X13">
            <v>62612949</v>
          </cell>
          <cell r="Z13">
            <v>66390689</v>
          </cell>
        </row>
        <row r="14">
          <cell r="B14" t="str">
            <v>TC219</v>
          </cell>
          <cell r="C14" t="str">
            <v>GRUNDFOS</v>
          </cell>
          <cell r="D14">
            <v>54336000</v>
          </cell>
          <cell r="E14">
            <v>54335810</v>
          </cell>
          <cell r="F14">
            <v>543.36</v>
          </cell>
          <cell r="G14">
            <v>54335810</v>
          </cell>
          <cell r="H14">
            <v>0</v>
          </cell>
          <cell r="I14">
            <v>0</v>
          </cell>
          <cell r="J14">
            <v>0</v>
          </cell>
          <cell r="K14">
            <v>54335810</v>
          </cell>
          <cell r="M14" t="str">
            <v>R</v>
          </cell>
          <cell r="P14">
            <v>0</v>
          </cell>
          <cell r="Q14">
            <v>54335810</v>
          </cell>
          <cell r="R14">
            <v>0</v>
          </cell>
          <cell r="S14">
            <v>52156397.32</v>
          </cell>
          <cell r="T14">
            <v>0</v>
          </cell>
          <cell r="U14">
            <v>226706</v>
          </cell>
          <cell r="V14">
            <v>-226706</v>
          </cell>
          <cell r="W14">
            <v>2179412.6799999997</v>
          </cell>
          <cell r="X14">
            <v>51929691.32</v>
          </cell>
          <cell r="Z14">
            <v>54335810</v>
          </cell>
        </row>
        <row r="15">
          <cell r="B15" t="str">
            <v>TC223</v>
          </cell>
          <cell r="C15" t="str">
            <v>AMBATTUR CLOTHING LTD - MEPZ</v>
          </cell>
          <cell r="D15">
            <v>69802000</v>
          </cell>
          <cell r="E15">
            <v>69734400</v>
          </cell>
          <cell r="F15">
            <v>698.02</v>
          </cell>
          <cell r="G15">
            <v>69734400</v>
          </cell>
          <cell r="H15">
            <v>0</v>
          </cell>
          <cell r="I15">
            <v>0</v>
          </cell>
          <cell r="J15">
            <v>0</v>
          </cell>
          <cell r="K15">
            <v>69734400</v>
          </cell>
          <cell r="M15" t="str">
            <v>R</v>
          </cell>
          <cell r="P15">
            <v>0</v>
          </cell>
          <cell r="Q15">
            <v>69734400</v>
          </cell>
          <cell r="R15">
            <v>0</v>
          </cell>
          <cell r="S15">
            <v>58588506.100000001</v>
          </cell>
          <cell r="T15">
            <v>0</v>
          </cell>
          <cell r="U15">
            <v>0</v>
          </cell>
          <cell r="V15">
            <v>0</v>
          </cell>
          <cell r="W15">
            <v>11145893.899999999</v>
          </cell>
          <cell r="X15">
            <v>58588506.100000001</v>
          </cell>
          <cell r="Z15">
            <v>69734400</v>
          </cell>
        </row>
        <row r="16">
          <cell r="B16" t="str">
            <v>TC229</v>
          </cell>
          <cell r="C16" t="str">
            <v>SRI KUMARAN TEXTILES</v>
          </cell>
          <cell r="D16">
            <v>1506000</v>
          </cell>
          <cell r="E16">
            <v>27499126</v>
          </cell>
          <cell r="F16">
            <v>275</v>
          </cell>
          <cell r="G16">
            <v>27499126</v>
          </cell>
          <cell r="H16">
            <v>0</v>
          </cell>
          <cell r="I16">
            <v>0</v>
          </cell>
          <cell r="J16">
            <v>0</v>
          </cell>
          <cell r="K16">
            <v>27499126</v>
          </cell>
          <cell r="M16" t="str">
            <v>R</v>
          </cell>
          <cell r="P16">
            <v>0</v>
          </cell>
          <cell r="Q16">
            <v>27499126</v>
          </cell>
          <cell r="R16">
            <v>0</v>
          </cell>
          <cell r="S16">
            <v>1763060</v>
          </cell>
          <cell r="T16">
            <v>27499126</v>
          </cell>
          <cell r="U16">
            <v>1763060</v>
          </cell>
          <cell r="V16">
            <v>25736066</v>
          </cell>
          <cell r="W16">
            <v>25736066</v>
          </cell>
          <cell r="X16">
            <v>0</v>
          </cell>
        </row>
        <row r="17">
          <cell r="B17" t="str">
            <v>TC231</v>
          </cell>
          <cell r="C17" t="str">
            <v>TRUE VALUE HOMES</v>
          </cell>
          <cell r="D17">
            <v>161840000</v>
          </cell>
          <cell r="E17">
            <v>161838845</v>
          </cell>
          <cell r="F17">
            <v>1628.96</v>
          </cell>
          <cell r="G17">
            <v>161229931</v>
          </cell>
          <cell r="H17">
            <v>608914</v>
          </cell>
          <cell r="I17">
            <v>0</v>
          </cell>
          <cell r="J17">
            <v>0</v>
          </cell>
          <cell r="K17">
            <v>161229931</v>
          </cell>
          <cell r="M17" t="str">
            <v>R</v>
          </cell>
          <cell r="P17">
            <v>0</v>
          </cell>
          <cell r="Q17">
            <v>161229931</v>
          </cell>
          <cell r="R17">
            <v>0</v>
          </cell>
          <cell r="S17">
            <v>158517777.13999999</v>
          </cell>
          <cell r="T17">
            <v>2425210</v>
          </cell>
          <cell r="U17">
            <v>2476580.64</v>
          </cell>
          <cell r="V17">
            <v>-51370.64000000013</v>
          </cell>
          <cell r="W17">
            <v>2712153.8600000143</v>
          </cell>
          <cell r="X17">
            <v>156041196.5</v>
          </cell>
          <cell r="Z17">
            <v>158804721</v>
          </cell>
        </row>
        <row r="18">
          <cell r="B18" t="str">
            <v>TC233</v>
          </cell>
          <cell r="C18" t="str">
            <v>MEDOPHARM PHARMACHEUTICALS P LTD</v>
          </cell>
          <cell r="D18">
            <v>27963000</v>
          </cell>
          <cell r="E18">
            <v>28519799</v>
          </cell>
          <cell r="F18">
            <v>279.63</v>
          </cell>
          <cell r="G18">
            <v>28519799</v>
          </cell>
          <cell r="H18">
            <v>0</v>
          </cell>
          <cell r="I18">
            <v>0</v>
          </cell>
          <cell r="J18">
            <v>0</v>
          </cell>
          <cell r="K18">
            <v>28519799</v>
          </cell>
          <cell r="M18" t="str">
            <v>R</v>
          </cell>
          <cell r="P18">
            <v>0</v>
          </cell>
          <cell r="Q18">
            <v>28519799</v>
          </cell>
          <cell r="R18">
            <v>0</v>
          </cell>
          <cell r="S18">
            <v>21617896.079999998</v>
          </cell>
          <cell r="T18">
            <v>1819215</v>
          </cell>
          <cell r="U18">
            <v>1834174</v>
          </cell>
          <cell r="V18">
            <v>-14959</v>
          </cell>
          <cell r="W18">
            <v>6901902.9200000018</v>
          </cell>
          <cell r="X18">
            <v>19783722.079999998</v>
          </cell>
          <cell r="Z18">
            <v>26700584</v>
          </cell>
        </row>
        <row r="19">
          <cell r="B19" t="str">
            <v>TC237</v>
          </cell>
          <cell r="C19" t="str">
            <v>YUGA  HOMES - VENKATRATHNAM NAGAR PROJECT</v>
          </cell>
          <cell r="D19">
            <v>12354000</v>
          </cell>
          <cell r="E19">
            <v>12309028</v>
          </cell>
          <cell r="F19">
            <v>123.54</v>
          </cell>
          <cell r="G19">
            <v>12309028</v>
          </cell>
          <cell r="H19">
            <v>0</v>
          </cell>
          <cell r="I19">
            <v>0</v>
          </cell>
          <cell r="J19">
            <v>0</v>
          </cell>
          <cell r="K19">
            <v>12309028</v>
          </cell>
          <cell r="M19" t="str">
            <v>R</v>
          </cell>
          <cell r="P19">
            <v>0</v>
          </cell>
          <cell r="Q19">
            <v>12309028</v>
          </cell>
          <cell r="R19">
            <v>0</v>
          </cell>
          <cell r="S19">
            <v>15573871.960000001</v>
          </cell>
          <cell r="T19">
            <v>1809028</v>
          </cell>
          <cell r="U19">
            <v>2009470</v>
          </cell>
          <cell r="V19">
            <v>-200442</v>
          </cell>
          <cell r="W19">
            <v>-3264843.9600000009</v>
          </cell>
          <cell r="X19">
            <v>13564401.960000001</v>
          </cell>
          <cell r="Z19">
            <v>10500000</v>
          </cell>
        </row>
        <row r="20">
          <cell r="B20" t="str">
            <v>TC241</v>
          </cell>
          <cell r="C20" t="str">
            <v>CHAITANYA NEST</v>
          </cell>
          <cell r="D20">
            <v>98641000</v>
          </cell>
          <cell r="E20">
            <v>99482187</v>
          </cell>
          <cell r="F20">
            <v>1004.82</v>
          </cell>
          <cell r="G20">
            <v>92736261</v>
          </cell>
          <cell r="H20">
            <v>6745926</v>
          </cell>
          <cell r="I20">
            <v>0</v>
          </cell>
          <cell r="J20">
            <v>0</v>
          </cell>
          <cell r="K20">
            <v>92736261</v>
          </cell>
          <cell r="M20" t="str">
            <v>R</v>
          </cell>
          <cell r="P20">
            <v>0</v>
          </cell>
          <cell r="Q20">
            <v>92736261</v>
          </cell>
          <cell r="R20">
            <v>0</v>
          </cell>
          <cell r="S20">
            <v>99198407.140000015</v>
          </cell>
          <cell r="T20">
            <v>19843804</v>
          </cell>
          <cell r="U20">
            <v>24164531.68</v>
          </cell>
          <cell r="V20">
            <v>-4320727.68</v>
          </cell>
          <cell r="W20">
            <v>-6462146.1400000155</v>
          </cell>
          <cell r="X20">
            <v>75033875.460000008</v>
          </cell>
          <cell r="Z20">
            <v>72892457</v>
          </cell>
        </row>
        <row r="21">
          <cell r="B21" t="str">
            <v>TC242</v>
          </cell>
          <cell r="C21" t="str">
            <v>ARIHANT TECHNOPOLIES</v>
          </cell>
          <cell r="D21">
            <v>42771000</v>
          </cell>
          <cell r="E21">
            <v>42771336</v>
          </cell>
          <cell r="F21">
            <v>427.71</v>
          </cell>
          <cell r="G21">
            <v>41688500</v>
          </cell>
          <cell r="H21">
            <v>1082836</v>
          </cell>
          <cell r="I21">
            <v>0</v>
          </cell>
          <cell r="J21">
            <v>0</v>
          </cell>
          <cell r="K21">
            <v>41688500</v>
          </cell>
          <cell r="M21" t="str">
            <v>R</v>
          </cell>
          <cell r="P21">
            <v>0</v>
          </cell>
          <cell r="Q21">
            <v>41688500</v>
          </cell>
          <cell r="R21">
            <v>0</v>
          </cell>
          <cell r="S21">
            <v>30284125.240000002</v>
          </cell>
          <cell r="T21">
            <v>15835781</v>
          </cell>
          <cell r="U21">
            <v>423804.01</v>
          </cell>
          <cell r="V21">
            <v>15411976.99</v>
          </cell>
          <cell r="W21">
            <v>11404374.759999998</v>
          </cell>
          <cell r="X21">
            <v>29860321.23</v>
          </cell>
          <cell r="Z21">
            <v>25852719</v>
          </cell>
        </row>
        <row r="22">
          <cell r="B22" t="str">
            <v>TC243</v>
          </cell>
          <cell r="C22" t="str">
            <v>INTEGRA PONDY</v>
          </cell>
          <cell r="D22">
            <v>37300000</v>
          </cell>
          <cell r="E22">
            <v>37299763</v>
          </cell>
          <cell r="F22">
            <v>372.99</v>
          </cell>
          <cell r="G22">
            <v>37299763</v>
          </cell>
          <cell r="H22">
            <v>0</v>
          </cell>
          <cell r="I22">
            <v>0</v>
          </cell>
          <cell r="J22">
            <v>0</v>
          </cell>
          <cell r="K22">
            <v>37299763</v>
          </cell>
          <cell r="M22" t="str">
            <v>R</v>
          </cell>
          <cell r="P22">
            <v>0</v>
          </cell>
          <cell r="Q22">
            <v>37299763</v>
          </cell>
          <cell r="R22">
            <v>0</v>
          </cell>
          <cell r="S22">
            <v>32562042.5</v>
          </cell>
          <cell r="T22">
            <v>772116</v>
          </cell>
          <cell r="U22">
            <v>459335</v>
          </cell>
          <cell r="V22">
            <v>312781</v>
          </cell>
          <cell r="W22">
            <v>4737720.5</v>
          </cell>
          <cell r="X22">
            <v>32102707.5</v>
          </cell>
          <cell r="Z22">
            <v>36527647</v>
          </cell>
        </row>
        <row r="23">
          <cell r="B23" t="str">
            <v>TC246</v>
          </cell>
          <cell r="C23" t="str">
            <v>CROWN WORLD WIDE</v>
          </cell>
          <cell r="D23">
            <v>23432000</v>
          </cell>
          <cell r="E23">
            <v>23331754</v>
          </cell>
          <cell r="F23">
            <v>234.32</v>
          </cell>
          <cell r="G23">
            <v>23331754</v>
          </cell>
          <cell r="H23">
            <v>0</v>
          </cell>
          <cell r="I23">
            <v>0</v>
          </cell>
          <cell r="J23">
            <v>0</v>
          </cell>
          <cell r="K23">
            <v>23331754</v>
          </cell>
          <cell r="M23" t="str">
            <v>R</v>
          </cell>
          <cell r="P23">
            <v>0</v>
          </cell>
          <cell r="Q23">
            <v>23331754</v>
          </cell>
          <cell r="R23">
            <v>0</v>
          </cell>
          <cell r="S23">
            <v>22412073.479999997</v>
          </cell>
          <cell r="T23">
            <v>0</v>
          </cell>
          <cell r="U23">
            <v>153527</v>
          </cell>
          <cell r="V23">
            <v>-153527</v>
          </cell>
          <cell r="W23">
            <v>919680.52000000328</v>
          </cell>
          <cell r="X23">
            <v>22258546.479999997</v>
          </cell>
          <cell r="Z23">
            <v>23331754</v>
          </cell>
        </row>
        <row r="24">
          <cell r="B24" t="str">
            <v>TC248</v>
          </cell>
          <cell r="C24" t="str">
            <v>SVEC - TIRUPATHI</v>
          </cell>
          <cell r="D24">
            <v>45750000</v>
          </cell>
          <cell r="E24">
            <v>45798013</v>
          </cell>
          <cell r="F24">
            <v>458.79</v>
          </cell>
          <cell r="G24">
            <v>45798013</v>
          </cell>
          <cell r="H24">
            <v>0</v>
          </cell>
          <cell r="I24">
            <v>0</v>
          </cell>
          <cell r="J24">
            <v>0</v>
          </cell>
          <cell r="K24">
            <v>45798013</v>
          </cell>
          <cell r="M24" t="str">
            <v>R</v>
          </cell>
          <cell r="P24">
            <v>0</v>
          </cell>
          <cell r="Q24">
            <v>45798013</v>
          </cell>
          <cell r="R24">
            <v>0</v>
          </cell>
          <cell r="S24">
            <v>34741193</v>
          </cell>
          <cell r="T24">
            <v>3792975</v>
          </cell>
          <cell r="U24">
            <v>2957762.5</v>
          </cell>
          <cell r="V24">
            <v>835212.5</v>
          </cell>
          <cell r="W24">
            <v>11056820</v>
          </cell>
          <cell r="X24">
            <v>31783430.5</v>
          </cell>
          <cell r="Z24">
            <v>42005038</v>
          </cell>
        </row>
        <row r="25">
          <cell r="B25" t="str">
            <v>TC256</v>
          </cell>
          <cell r="C25" t="str">
            <v>COCO COLA BOTTLING (SOUTH)</v>
          </cell>
          <cell r="D25">
            <v>79370000</v>
          </cell>
          <cell r="E25">
            <v>78798384</v>
          </cell>
          <cell r="F25">
            <v>789.89</v>
          </cell>
          <cell r="G25">
            <v>78798384</v>
          </cell>
          <cell r="H25">
            <v>0</v>
          </cell>
          <cell r="I25">
            <v>0</v>
          </cell>
          <cell r="J25">
            <v>0</v>
          </cell>
          <cell r="K25">
            <v>78798384</v>
          </cell>
          <cell r="M25" t="str">
            <v>R</v>
          </cell>
          <cell r="P25">
            <v>0</v>
          </cell>
          <cell r="Q25">
            <v>78798384</v>
          </cell>
          <cell r="R25">
            <v>0</v>
          </cell>
          <cell r="S25">
            <v>59276076.140000001</v>
          </cell>
          <cell r="T25">
            <v>0</v>
          </cell>
          <cell r="U25">
            <v>756651.55</v>
          </cell>
          <cell r="V25">
            <v>-756651.55</v>
          </cell>
          <cell r="W25">
            <v>19522307.859999999</v>
          </cell>
          <cell r="X25">
            <v>58519424.590000004</v>
          </cell>
          <cell r="Z25">
            <v>78798384</v>
          </cell>
        </row>
        <row r="26">
          <cell r="B26" t="str">
            <v>TC259</v>
          </cell>
          <cell r="C26" t="str">
            <v>RR LEATHER PRODUCTS PVT LTD</v>
          </cell>
          <cell r="D26">
            <v>10725000</v>
          </cell>
          <cell r="E26">
            <v>10411391</v>
          </cell>
          <cell r="F26">
            <v>107.25</v>
          </cell>
          <cell r="G26">
            <v>10411391</v>
          </cell>
          <cell r="H26">
            <v>0</v>
          </cell>
          <cell r="I26">
            <v>0</v>
          </cell>
          <cell r="J26">
            <v>0</v>
          </cell>
          <cell r="K26">
            <v>10411391</v>
          </cell>
          <cell r="M26" t="str">
            <v>R</v>
          </cell>
          <cell r="P26">
            <v>0</v>
          </cell>
          <cell r="Q26">
            <v>10411391</v>
          </cell>
          <cell r="R26">
            <v>0</v>
          </cell>
          <cell r="S26">
            <v>8174383</v>
          </cell>
          <cell r="T26">
            <v>0</v>
          </cell>
          <cell r="U26">
            <v>0</v>
          </cell>
          <cell r="V26">
            <v>0</v>
          </cell>
          <cell r="W26">
            <v>2237008</v>
          </cell>
          <cell r="X26">
            <v>8174383</v>
          </cell>
          <cell r="Z26">
            <v>10411391</v>
          </cell>
        </row>
        <row r="27">
          <cell r="B27" t="str">
            <v>TC262</v>
          </cell>
          <cell r="C27" t="str">
            <v>DR MGR GENERAL HOSPITAL</v>
          </cell>
          <cell r="D27">
            <v>46958000</v>
          </cell>
          <cell r="E27">
            <v>46757398</v>
          </cell>
          <cell r="F27">
            <v>482.97</v>
          </cell>
          <cell r="G27">
            <v>46757398</v>
          </cell>
          <cell r="H27">
            <v>0</v>
          </cell>
          <cell r="I27">
            <v>0</v>
          </cell>
          <cell r="J27">
            <v>0</v>
          </cell>
          <cell r="K27">
            <v>46757398</v>
          </cell>
          <cell r="M27" t="str">
            <v>R</v>
          </cell>
          <cell r="P27">
            <v>0</v>
          </cell>
          <cell r="Q27">
            <v>46757398</v>
          </cell>
          <cell r="R27">
            <v>0</v>
          </cell>
          <cell r="S27">
            <v>39038746.149999999</v>
          </cell>
          <cell r="T27">
            <v>12780168</v>
          </cell>
          <cell r="U27">
            <v>1925242</v>
          </cell>
          <cell r="V27">
            <v>10854926</v>
          </cell>
          <cell r="W27">
            <v>7718651.8500000015</v>
          </cell>
          <cell r="X27">
            <v>37113504.149999999</v>
          </cell>
          <cell r="Z27">
            <v>33977230</v>
          </cell>
        </row>
        <row r="28">
          <cell r="B28" t="str">
            <v>TC263</v>
          </cell>
          <cell r="C28" t="str">
            <v>BELECIA TOWERS</v>
          </cell>
          <cell r="D28">
            <v>87054000</v>
          </cell>
          <cell r="E28">
            <v>86226394</v>
          </cell>
          <cell r="F28">
            <v>867.41</v>
          </cell>
          <cell r="G28">
            <v>85220688</v>
          </cell>
          <cell r="H28">
            <v>1005706</v>
          </cell>
          <cell r="I28">
            <v>0</v>
          </cell>
          <cell r="J28">
            <v>0</v>
          </cell>
          <cell r="K28">
            <v>85220688</v>
          </cell>
          <cell r="M28" t="str">
            <v>R</v>
          </cell>
          <cell r="P28">
            <v>0</v>
          </cell>
          <cell r="Q28">
            <v>85220688</v>
          </cell>
          <cell r="R28">
            <v>0</v>
          </cell>
          <cell r="S28">
            <v>78156842.239999995</v>
          </cell>
          <cell r="T28">
            <v>5931043</v>
          </cell>
          <cell r="U28">
            <v>7171005.5499999998</v>
          </cell>
          <cell r="V28">
            <v>-1239962.5499999998</v>
          </cell>
          <cell r="W28">
            <v>7063845.7600000054</v>
          </cell>
          <cell r="X28">
            <v>70985836.689999998</v>
          </cell>
          <cell r="Z28">
            <v>79289645</v>
          </cell>
        </row>
        <row r="29">
          <cell r="B29" t="str">
            <v>TC264</v>
          </cell>
          <cell r="C29" t="str">
            <v>INDO AMERICAN SCHOOL,CHEYYAR</v>
          </cell>
          <cell r="D29">
            <v>12365320</v>
          </cell>
          <cell r="E29">
            <v>12365192</v>
          </cell>
          <cell r="F29">
            <v>123.65</v>
          </cell>
          <cell r="G29">
            <v>12365192</v>
          </cell>
          <cell r="H29">
            <v>0</v>
          </cell>
          <cell r="I29">
            <v>0</v>
          </cell>
          <cell r="J29">
            <v>0</v>
          </cell>
          <cell r="K29">
            <v>12365192</v>
          </cell>
          <cell r="M29" t="str">
            <v>R</v>
          </cell>
          <cell r="P29">
            <v>0</v>
          </cell>
          <cell r="Q29">
            <v>12365192</v>
          </cell>
          <cell r="R29">
            <v>0</v>
          </cell>
          <cell r="S29">
            <v>10379829</v>
          </cell>
          <cell r="T29">
            <v>65192</v>
          </cell>
          <cell r="U29">
            <v>0</v>
          </cell>
          <cell r="V29">
            <v>65192</v>
          </cell>
          <cell r="W29">
            <v>1985363</v>
          </cell>
          <cell r="X29">
            <v>10379829</v>
          </cell>
          <cell r="Z29">
            <v>12300000</v>
          </cell>
        </row>
        <row r="30">
          <cell r="B30" t="str">
            <v>TC265</v>
          </cell>
          <cell r="C30" t="str">
            <v>HCL AMBATTUR V</v>
          </cell>
          <cell r="D30">
            <v>37978000</v>
          </cell>
          <cell r="E30">
            <v>31614989</v>
          </cell>
          <cell r="F30">
            <v>383.4</v>
          </cell>
          <cell r="G30">
            <v>31614989</v>
          </cell>
          <cell r="H30">
            <v>0</v>
          </cell>
          <cell r="I30">
            <v>0</v>
          </cell>
          <cell r="J30">
            <v>0</v>
          </cell>
          <cell r="K30">
            <v>31614989</v>
          </cell>
          <cell r="M30" t="str">
            <v>R</v>
          </cell>
          <cell r="P30">
            <v>0</v>
          </cell>
          <cell r="Q30">
            <v>31614989</v>
          </cell>
          <cell r="R30">
            <v>0</v>
          </cell>
          <cell r="S30">
            <v>25164217.100000001</v>
          </cell>
          <cell r="T30">
            <v>-5800000</v>
          </cell>
          <cell r="U30">
            <v>452642</v>
          </cell>
          <cell r="V30">
            <v>-6252642</v>
          </cell>
          <cell r="W30">
            <v>6450771.8999999985</v>
          </cell>
          <cell r="X30">
            <v>24711575.100000001</v>
          </cell>
          <cell r="Z30">
            <v>37414989</v>
          </cell>
        </row>
        <row r="31">
          <cell r="B31" t="str">
            <v>TC271</v>
          </cell>
          <cell r="C31" t="str">
            <v>FICUS GROVE</v>
          </cell>
          <cell r="D31">
            <v>36493850</v>
          </cell>
          <cell r="E31">
            <v>37352575</v>
          </cell>
          <cell r="F31">
            <v>373.53</v>
          </cell>
          <cell r="G31">
            <v>33481375</v>
          </cell>
          <cell r="H31">
            <v>3871200</v>
          </cell>
          <cell r="I31">
            <v>0</v>
          </cell>
          <cell r="J31">
            <v>0</v>
          </cell>
          <cell r="K31">
            <v>33481375</v>
          </cell>
          <cell r="M31" t="str">
            <v>R</v>
          </cell>
          <cell r="P31">
            <v>0</v>
          </cell>
          <cell r="Q31">
            <v>33481375</v>
          </cell>
          <cell r="R31">
            <v>0</v>
          </cell>
          <cell r="S31">
            <v>27703203.25</v>
          </cell>
          <cell r="T31">
            <v>3920059</v>
          </cell>
          <cell r="U31">
            <v>9185501.5500000007</v>
          </cell>
          <cell r="V31">
            <v>-5265442.5500000007</v>
          </cell>
          <cell r="W31">
            <v>5778171.75</v>
          </cell>
          <cell r="X31">
            <v>18517701.699999999</v>
          </cell>
          <cell r="Z31">
            <v>29561316</v>
          </cell>
        </row>
        <row r="32">
          <cell r="B32" t="str">
            <v>TC273</v>
          </cell>
          <cell r="C32" t="str">
            <v>TECHNIP INDIA LTD, KARAIKAL</v>
          </cell>
          <cell r="D32">
            <v>32220999.999999996</v>
          </cell>
          <cell r="E32">
            <v>32221737</v>
          </cell>
          <cell r="F32">
            <v>322.22000000000003</v>
          </cell>
          <cell r="G32">
            <v>32221737</v>
          </cell>
          <cell r="H32">
            <v>0</v>
          </cell>
          <cell r="I32">
            <v>0</v>
          </cell>
          <cell r="J32">
            <v>0</v>
          </cell>
          <cell r="K32">
            <v>32221737</v>
          </cell>
          <cell r="M32" t="str">
            <v>R</v>
          </cell>
          <cell r="P32">
            <v>0</v>
          </cell>
          <cell r="Q32">
            <v>32221737</v>
          </cell>
          <cell r="R32">
            <v>0</v>
          </cell>
          <cell r="S32">
            <v>40051027.969999999</v>
          </cell>
          <cell r="T32">
            <v>4144838</v>
          </cell>
          <cell r="U32">
            <v>3304822.4</v>
          </cell>
          <cell r="V32">
            <v>840015.60000000009</v>
          </cell>
          <cell r="W32">
            <v>-7829290.9699999988</v>
          </cell>
          <cell r="X32">
            <v>36746205.57</v>
          </cell>
          <cell r="Z32">
            <v>28076899</v>
          </cell>
        </row>
        <row r="33">
          <cell r="B33" t="str">
            <v>TC274</v>
          </cell>
          <cell r="C33" t="str">
            <v>OLYMPIA TECHNOLOGY PARK</v>
          </cell>
          <cell r="D33">
            <v>279716000</v>
          </cell>
          <cell r="E33">
            <v>286780063</v>
          </cell>
          <cell r="F33">
            <v>2874.92</v>
          </cell>
          <cell r="G33">
            <v>280398983</v>
          </cell>
          <cell r="H33">
            <v>6381080</v>
          </cell>
          <cell r="I33">
            <v>0</v>
          </cell>
          <cell r="J33">
            <v>0</v>
          </cell>
          <cell r="K33">
            <v>280398983</v>
          </cell>
          <cell r="M33" t="str">
            <v>R</v>
          </cell>
          <cell r="P33">
            <v>0</v>
          </cell>
          <cell r="Q33">
            <v>280398983</v>
          </cell>
          <cell r="R33">
            <v>0</v>
          </cell>
          <cell r="S33">
            <v>221275453.76999998</v>
          </cell>
          <cell r="T33">
            <v>31924723</v>
          </cell>
          <cell r="U33">
            <v>28893100.390000001</v>
          </cell>
          <cell r="V33">
            <v>3031622.6099999994</v>
          </cell>
          <cell r="W33">
            <v>59123529.230000019</v>
          </cell>
          <cell r="X33">
            <v>192382353.38</v>
          </cell>
          <cell r="Z33">
            <v>248474260</v>
          </cell>
        </row>
        <row r="34">
          <cell r="B34" t="str">
            <v>TC275</v>
          </cell>
          <cell r="C34" t="str">
            <v>MARG CONSTRUCTIONS</v>
          </cell>
          <cell r="D34">
            <v>26600000</v>
          </cell>
          <cell r="E34">
            <v>28028308</v>
          </cell>
          <cell r="F34">
            <v>280.27999999999997</v>
          </cell>
          <cell r="G34">
            <v>26821923</v>
          </cell>
          <cell r="H34">
            <v>1206385</v>
          </cell>
          <cell r="I34">
            <v>0</v>
          </cell>
          <cell r="J34">
            <v>0</v>
          </cell>
          <cell r="K34">
            <v>26821923</v>
          </cell>
          <cell r="M34" t="str">
            <v>R</v>
          </cell>
          <cell r="P34">
            <v>0</v>
          </cell>
          <cell r="Q34">
            <v>26821923</v>
          </cell>
          <cell r="R34">
            <v>0</v>
          </cell>
          <cell r="S34">
            <v>22766552.079999998</v>
          </cell>
          <cell r="T34">
            <v>1740377</v>
          </cell>
          <cell r="U34">
            <v>2106388</v>
          </cell>
          <cell r="V34">
            <v>-366011</v>
          </cell>
          <cell r="W34">
            <v>4055370.9200000018</v>
          </cell>
          <cell r="X34">
            <v>20660164.079999998</v>
          </cell>
          <cell r="Z34">
            <v>25081546</v>
          </cell>
        </row>
        <row r="35">
          <cell r="B35" t="str">
            <v>TC280</v>
          </cell>
          <cell r="C35" t="str">
            <v>TVH AKHIRAA</v>
          </cell>
          <cell r="D35">
            <v>9183000</v>
          </cell>
          <cell r="E35">
            <v>9182900</v>
          </cell>
          <cell r="F35">
            <v>91.83</v>
          </cell>
          <cell r="G35">
            <v>8734584</v>
          </cell>
          <cell r="H35">
            <v>448316</v>
          </cell>
          <cell r="I35">
            <v>0</v>
          </cell>
          <cell r="J35">
            <v>0</v>
          </cell>
          <cell r="K35">
            <v>8734584</v>
          </cell>
          <cell r="M35" t="str">
            <v>R</v>
          </cell>
          <cell r="P35">
            <v>0</v>
          </cell>
          <cell r="Q35">
            <v>8734584</v>
          </cell>
          <cell r="R35">
            <v>0</v>
          </cell>
          <cell r="S35">
            <v>9515004</v>
          </cell>
          <cell r="T35">
            <v>-303299</v>
          </cell>
          <cell r="U35">
            <v>297386</v>
          </cell>
          <cell r="V35">
            <v>-600685</v>
          </cell>
          <cell r="W35">
            <v>-780420</v>
          </cell>
          <cell r="X35">
            <v>9217618</v>
          </cell>
          <cell r="Z35">
            <v>9037883</v>
          </cell>
        </row>
        <row r="36">
          <cell r="B36" t="str">
            <v>TC281</v>
          </cell>
          <cell r="C36" t="str">
            <v>GOVERNMENT HOSPITAL - NAGAI</v>
          </cell>
          <cell r="D36">
            <v>31343000</v>
          </cell>
          <cell r="E36">
            <v>33497076</v>
          </cell>
          <cell r="F36">
            <v>330.66</v>
          </cell>
          <cell r="G36">
            <v>32745025</v>
          </cell>
          <cell r="H36">
            <v>752051</v>
          </cell>
          <cell r="I36">
            <v>0</v>
          </cell>
          <cell r="J36">
            <v>0</v>
          </cell>
          <cell r="K36">
            <v>32745025</v>
          </cell>
          <cell r="M36" t="str">
            <v>R</v>
          </cell>
          <cell r="P36">
            <v>0</v>
          </cell>
          <cell r="Q36">
            <v>32745025</v>
          </cell>
          <cell r="R36">
            <v>0</v>
          </cell>
          <cell r="S36">
            <v>27304459</v>
          </cell>
          <cell r="T36">
            <v>25126340</v>
          </cell>
          <cell r="U36">
            <v>20784175</v>
          </cell>
          <cell r="V36">
            <v>4342165</v>
          </cell>
          <cell r="W36">
            <v>5440566</v>
          </cell>
          <cell r="X36">
            <v>6520284</v>
          </cell>
          <cell r="Z36">
            <v>7618685</v>
          </cell>
        </row>
        <row r="37">
          <cell r="B37" t="str">
            <v>TC283</v>
          </cell>
          <cell r="C37" t="str">
            <v>ASHOK LEYLAND</v>
          </cell>
          <cell r="D37">
            <v>82879000</v>
          </cell>
          <cell r="E37">
            <v>89323119.599999994</v>
          </cell>
          <cell r="F37">
            <v>880.37</v>
          </cell>
          <cell r="G37">
            <v>86204568.411499992</v>
          </cell>
          <cell r="H37">
            <v>3118551.188500002</v>
          </cell>
          <cell r="I37">
            <v>0</v>
          </cell>
          <cell r="J37">
            <v>0</v>
          </cell>
          <cell r="K37">
            <v>86204568.411499992</v>
          </cell>
          <cell r="M37" t="str">
            <v>R</v>
          </cell>
          <cell r="P37">
            <v>0</v>
          </cell>
          <cell r="Q37">
            <v>86204568.411499992</v>
          </cell>
          <cell r="R37">
            <v>0</v>
          </cell>
          <cell r="S37">
            <v>77785018.439999998</v>
          </cell>
          <cell r="T37">
            <v>36471440.411499992</v>
          </cell>
          <cell r="U37">
            <v>32474141.82</v>
          </cell>
          <cell r="V37">
            <v>3997298.5914999917</v>
          </cell>
          <cell r="W37">
            <v>8419549.9714999944</v>
          </cell>
          <cell r="X37">
            <v>45310876.619999997</v>
          </cell>
          <cell r="Z37">
            <v>49733128</v>
          </cell>
        </row>
        <row r="38">
          <cell r="B38" t="str">
            <v>TC284</v>
          </cell>
          <cell r="C38" t="str">
            <v>ACL E3 OFFICE BUILDING</v>
          </cell>
          <cell r="D38">
            <v>26020000</v>
          </cell>
          <cell r="E38">
            <v>26344402</v>
          </cell>
          <cell r="F38">
            <v>263.44</v>
          </cell>
          <cell r="G38">
            <v>26186170</v>
          </cell>
          <cell r="H38">
            <v>158232</v>
          </cell>
          <cell r="I38">
            <v>0</v>
          </cell>
          <cell r="J38">
            <v>0</v>
          </cell>
          <cell r="K38">
            <v>26186170</v>
          </cell>
          <cell r="M38" t="str">
            <v>R</v>
          </cell>
          <cell r="P38">
            <v>0</v>
          </cell>
          <cell r="Q38">
            <v>26186170</v>
          </cell>
          <cell r="R38">
            <v>0</v>
          </cell>
          <cell r="S38">
            <v>23082282.629999999</v>
          </cell>
          <cell r="T38">
            <v>4317480</v>
          </cell>
          <cell r="U38">
            <v>3450926</v>
          </cell>
          <cell r="V38">
            <v>866554</v>
          </cell>
          <cell r="W38">
            <v>3103887.370000001</v>
          </cell>
          <cell r="X38">
            <v>19631356.629999999</v>
          </cell>
          <cell r="Z38">
            <v>21868690</v>
          </cell>
        </row>
        <row r="39">
          <cell r="B39" t="str">
            <v>TC285</v>
          </cell>
          <cell r="C39" t="str">
            <v>LADIES HOSTEL, KALADY</v>
          </cell>
          <cell r="D39">
            <v>33459000</v>
          </cell>
          <cell r="E39">
            <v>33844313</v>
          </cell>
          <cell r="F39">
            <v>338.44</v>
          </cell>
          <cell r="G39">
            <v>33295222</v>
          </cell>
          <cell r="H39">
            <v>549091</v>
          </cell>
          <cell r="I39">
            <v>0</v>
          </cell>
          <cell r="J39">
            <v>0</v>
          </cell>
          <cell r="K39">
            <v>33295222</v>
          </cell>
          <cell r="L39" t="str">
            <v>A</v>
          </cell>
          <cell r="M39" t="str">
            <v>R</v>
          </cell>
          <cell r="P39">
            <v>0</v>
          </cell>
          <cell r="Q39">
            <v>33295222</v>
          </cell>
          <cell r="R39">
            <v>0</v>
          </cell>
          <cell r="S39">
            <v>25813065</v>
          </cell>
          <cell r="T39">
            <v>3802684</v>
          </cell>
          <cell r="U39">
            <v>7505569</v>
          </cell>
          <cell r="V39">
            <v>-3702885</v>
          </cell>
          <cell r="W39">
            <v>7482157</v>
          </cell>
          <cell r="X39">
            <v>18307496</v>
          </cell>
          <cell r="Z39">
            <v>29492538</v>
          </cell>
        </row>
        <row r="40">
          <cell r="B40" t="str">
            <v>TC293</v>
          </cell>
          <cell r="C40" t="str">
            <v>KRISP IT PARK</v>
          </cell>
          <cell r="D40">
            <v>70900000</v>
          </cell>
          <cell r="E40">
            <v>72451165</v>
          </cell>
          <cell r="F40">
            <v>724.51</v>
          </cell>
          <cell r="G40">
            <v>66455741</v>
          </cell>
          <cell r="H40">
            <v>5995424</v>
          </cell>
          <cell r="I40">
            <v>0</v>
          </cell>
          <cell r="J40">
            <v>0</v>
          </cell>
          <cell r="K40">
            <v>66455741</v>
          </cell>
          <cell r="M40" t="str">
            <v>R</v>
          </cell>
          <cell r="P40">
            <v>0</v>
          </cell>
          <cell r="Q40">
            <v>66455741</v>
          </cell>
          <cell r="R40">
            <v>0</v>
          </cell>
          <cell r="S40">
            <v>57849794.200000003</v>
          </cell>
          <cell r="T40">
            <v>27235417</v>
          </cell>
          <cell r="U40">
            <v>26236332.629999999</v>
          </cell>
          <cell r="V40">
            <v>999084.37000000104</v>
          </cell>
          <cell r="W40">
            <v>8605946.799999997</v>
          </cell>
          <cell r="X40">
            <v>31613461.57</v>
          </cell>
          <cell r="Z40">
            <v>39220324</v>
          </cell>
        </row>
        <row r="41">
          <cell r="B41" t="str">
            <v>TC296</v>
          </cell>
          <cell r="C41" t="str">
            <v>CATHIDRAL SQUARE</v>
          </cell>
          <cell r="D41">
            <v>39373000</v>
          </cell>
          <cell r="E41">
            <v>40742242</v>
          </cell>
          <cell r="F41">
            <v>413.44</v>
          </cell>
          <cell r="G41">
            <v>39217507</v>
          </cell>
          <cell r="H41">
            <v>1524735</v>
          </cell>
          <cell r="I41">
            <v>0</v>
          </cell>
          <cell r="J41">
            <v>0</v>
          </cell>
          <cell r="K41">
            <v>39217507</v>
          </cell>
          <cell r="M41" t="str">
            <v>R</v>
          </cell>
          <cell r="P41">
            <v>0</v>
          </cell>
          <cell r="Q41">
            <v>39217507</v>
          </cell>
          <cell r="R41">
            <v>0</v>
          </cell>
          <cell r="S41">
            <v>45329548.209999993</v>
          </cell>
          <cell r="T41">
            <v>15695776</v>
          </cell>
          <cell r="U41">
            <v>18123882.579999998</v>
          </cell>
          <cell r="V41">
            <v>-2428106.5799999982</v>
          </cell>
          <cell r="W41">
            <v>-6112041.2099999934</v>
          </cell>
          <cell r="X41">
            <v>27205665.629999999</v>
          </cell>
          <cell r="Z41">
            <v>23521731</v>
          </cell>
        </row>
        <row r="42">
          <cell r="B42" t="str">
            <v>TC297</v>
          </cell>
          <cell r="C42" t="str">
            <v>SAK ABRASIVE LTD</v>
          </cell>
          <cell r="D42">
            <v>9810000</v>
          </cell>
          <cell r="E42">
            <v>6753831</v>
          </cell>
          <cell r="F42">
            <v>67.81</v>
          </cell>
          <cell r="G42">
            <v>6753831</v>
          </cell>
          <cell r="H42">
            <v>0</v>
          </cell>
          <cell r="I42">
            <v>0</v>
          </cell>
          <cell r="J42">
            <v>0</v>
          </cell>
          <cell r="K42">
            <v>6753831</v>
          </cell>
          <cell r="M42" t="str">
            <v>R</v>
          </cell>
          <cell r="P42">
            <v>0</v>
          </cell>
          <cell r="Q42">
            <v>6753831</v>
          </cell>
          <cell r="R42">
            <v>0</v>
          </cell>
          <cell r="S42">
            <v>3793292</v>
          </cell>
          <cell r="T42">
            <v>0</v>
          </cell>
          <cell r="U42">
            <v>88460</v>
          </cell>
          <cell r="V42">
            <v>-88460</v>
          </cell>
          <cell r="W42">
            <v>2960539</v>
          </cell>
          <cell r="X42">
            <v>3704832</v>
          </cell>
          <cell r="Z42">
            <v>6753831</v>
          </cell>
        </row>
        <row r="43">
          <cell r="B43" t="str">
            <v>TC298</v>
          </cell>
          <cell r="C43" t="str">
            <v>BHARAT OVERSEAS BANK LTD</v>
          </cell>
          <cell r="D43">
            <v>58539000</v>
          </cell>
          <cell r="E43">
            <v>51211642</v>
          </cell>
          <cell r="F43">
            <v>512.12</v>
          </cell>
          <cell r="G43">
            <v>51211642</v>
          </cell>
          <cell r="H43">
            <v>0</v>
          </cell>
          <cell r="I43">
            <v>0</v>
          </cell>
          <cell r="J43">
            <v>0</v>
          </cell>
          <cell r="K43">
            <v>51211642</v>
          </cell>
          <cell r="L43" t="str">
            <v>A</v>
          </cell>
          <cell r="M43" t="str">
            <v>R</v>
          </cell>
          <cell r="P43">
            <v>0</v>
          </cell>
          <cell r="Q43">
            <v>51211642</v>
          </cell>
          <cell r="R43">
            <v>0</v>
          </cell>
          <cell r="S43">
            <v>42394057.460000001</v>
          </cell>
          <cell r="T43">
            <v>21988625</v>
          </cell>
          <cell r="U43">
            <v>18698698.460000001</v>
          </cell>
          <cell r="V43">
            <v>3289926.5399999991</v>
          </cell>
          <cell r="W43">
            <v>8817584.5399999991</v>
          </cell>
          <cell r="X43">
            <v>23695359</v>
          </cell>
          <cell r="Z43">
            <v>29223017</v>
          </cell>
        </row>
        <row r="44">
          <cell r="B44" t="str">
            <v>TC301</v>
          </cell>
          <cell r="C44" t="str">
            <v>THE HINDU</v>
          </cell>
          <cell r="D44">
            <v>99500000</v>
          </cell>
          <cell r="E44">
            <v>97840246</v>
          </cell>
          <cell r="F44">
            <v>1019.6</v>
          </cell>
          <cell r="G44">
            <v>92375225</v>
          </cell>
          <cell r="H44">
            <v>5465021</v>
          </cell>
          <cell r="I44">
            <v>0</v>
          </cell>
          <cell r="J44">
            <v>0</v>
          </cell>
          <cell r="K44">
            <v>92375225</v>
          </cell>
          <cell r="L44" t="str">
            <v>A</v>
          </cell>
          <cell r="M44" t="str">
            <v>R</v>
          </cell>
          <cell r="P44">
            <v>0</v>
          </cell>
          <cell r="Q44">
            <v>92375225</v>
          </cell>
          <cell r="R44">
            <v>0</v>
          </cell>
          <cell r="S44">
            <v>90263727.099999994</v>
          </cell>
          <cell r="T44">
            <v>48835430</v>
          </cell>
          <cell r="U44">
            <v>48170760.450000003</v>
          </cell>
          <cell r="V44">
            <v>664669.54999999702</v>
          </cell>
          <cell r="W44">
            <v>2111497.900000006</v>
          </cell>
          <cell r="X44">
            <v>42092966.649999999</v>
          </cell>
          <cell r="Z44">
            <v>43539795</v>
          </cell>
        </row>
        <row r="45">
          <cell r="B45" t="str">
            <v>TC302</v>
          </cell>
          <cell r="C45" t="str">
            <v>NEG MICON INDIA PVT LTD</v>
          </cell>
          <cell r="D45">
            <v>31254000.000000004</v>
          </cell>
          <cell r="E45">
            <v>30771563</v>
          </cell>
          <cell r="F45">
            <v>307.81</v>
          </cell>
          <cell r="G45">
            <v>30771563</v>
          </cell>
          <cell r="H45">
            <v>0</v>
          </cell>
          <cell r="I45">
            <v>0</v>
          </cell>
          <cell r="J45">
            <v>0</v>
          </cell>
          <cell r="K45">
            <v>30771563</v>
          </cell>
          <cell r="M45" t="str">
            <v>R</v>
          </cell>
          <cell r="P45">
            <v>0</v>
          </cell>
          <cell r="Q45">
            <v>30771563</v>
          </cell>
          <cell r="R45">
            <v>0</v>
          </cell>
          <cell r="S45">
            <v>22513257.299999997</v>
          </cell>
          <cell r="T45">
            <v>16170552</v>
          </cell>
          <cell r="U45">
            <v>11596388.949999999</v>
          </cell>
          <cell r="V45">
            <v>4574163.0500000007</v>
          </cell>
          <cell r="W45">
            <v>8258305.700000003</v>
          </cell>
          <cell r="X45">
            <v>10916868.35</v>
          </cell>
          <cell r="Z45">
            <v>14601011</v>
          </cell>
        </row>
        <row r="46">
          <cell r="B46" t="str">
            <v>TC306</v>
          </cell>
          <cell r="C46" t="str">
            <v>REGENCY CLOTHING</v>
          </cell>
          <cell r="D46">
            <v>48700000</v>
          </cell>
          <cell r="E46">
            <v>48007184</v>
          </cell>
          <cell r="F46">
            <v>486.88</v>
          </cell>
          <cell r="G46">
            <v>48007184</v>
          </cell>
          <cell r="H46">
            <v>0</v>
          </cell>
          <cell r="I46">
            <v>0</v>
          </cell>
          <cell r="J46">
            <v>0</v>
          </cell>
          <cell r="K46">
            <v>48007184</v>
          </cell>
          <cell r="M46" t="str">
            <v>R</v>
          </cell>
          <cell r="P46">
            <v>0</v>
          </cell>
          <cell r="Q46">
            <v>48007184</v>
          </cell>
          <cell r="R46">
            <v>0</v>
          </cell>
          <cell r="S46">
            <v>40417753.420000002</v>
          </cell>
          <cell r="T46">
            <v>3108340</v>
          </cell>
          <cell r="U46">
            <v>3279476.7</v>
          </cell>
          <cell r="V46">
            <v>-171136.70000000019</v>
          </cell>
          <cell r="W46">
            <v>7589430.5799999982</v>
          </cell>
          <cell r="X46">
            <v>37138276.719999999</v>
          </cell>
          <cell r="Z46">
            <v>44898844</v>
          </cell>
        </row>
        <row r="47">
          <cell r="B47" t="str">
            <v>TC307</v>
          </cell>
          <cell r="C47" t="str">
            <v>HCL - VADAPALANI</v>
          </cell>
          <cell r="D47">
            <v>341000</v>
          </cell>
          <cell r="E47">
            <v>340298</v>
          </cell>
          <cell r="F47">
            <v>3.4</v>
          </cell>
          <cell r="G47">
            <v>212143</v>
          </cell>
          <cell r="H47">
            <v>128155</v>
          </cell>
          <cell r="I47">
            <v>0</v>
          </cell>
          <cell r="J47">
            <v>0</v>
          </cell>
          <cell r="K47">
            <v>212143</v>
          </cell>
          <cell r="M47" t="str">
            <v>R</v>
          </cell>
          <cell r="P47">
            <v>0</v>
          </cell>
          <cell r="Q47">
            <v>212143</v>
          </cell>
          <cell r="R47">
            <v>0</v>
          </cell>
          <cell r="S47">
            <v>1064852</v>
          </cell>
          <cell r="T47">
            <v>212143</v>
          </cell>
          <cell r="U47">
            <v>15484</v>
          </cell>
          <cell r="V47">
            <v>196659</v>
          </cell>
          <cell r="W47">
            <v>-852709</v>
          </cell>
          <cell r="X47">
            <v>1049368</v>
          </cell>
          <cell r="Z47">
            <v>0</v>
          </cell>
        </row>
        <row r="48">
          <cell r="B48" t="str">
            <v>TC309</v>
          </cell>
          <cell r="C48" t="str">
            <v>REYNOLDS PENS INDIA PVT LTD</v>
          </cell>
          <cell r="D48">
            <v>10823000</v>
          </cell>
          <cell r="E48">
            <v>10822600</v>
          </cell>
          <cell r="F48">
            <v>108.22</v>
          </cell>
          <cell r="G48">
            <v>10822600</v>
          </cell>
          <cell r="H48">
            <v>0</v>
          </cell>
          <cell r="I48">
            <v>0</v>
          </cell>
          <cell r="J48">
            <v>0</v>
          </cell>
          <cell r="K48">
            <v>10822600</v>
          </cell>
          <cell r="M48" t="str">
            <v>R</v>
          </cell>
          <cell r="P48">
            <v>0</v>
          </cell>
          <cell r="Q48">
            <v>10822600</v>
          </cell>
          <cell r="R48">
            <v>0</v>
          </cell>
          <cell r="S48">
            <v>5300164.38</v>
          </cell>
          <cell r="T48">
            <v>472600</v>
          </cell>
          <cell r="U48">
            <v>267186.39</v>
          </cell>
          <cell r="V48">
            <v>205413.61</v>
          </cell>
          <cell r="W48">
            <v>5522435.6200000001</v>
          </cell>
          <cell r="X48">
            <v>5032977.99</v>
          </cell>
          <cell r="Z48">
            <v>10350000</v>
          </cell>
        </row>
        <row r="49">
          <cell r="B49" t="str">
            <v>TC310</v>
          </cell>
          <cell r="C49" t="str">
            <v>LOYAL TEXTILE MILLS LTD</v>
          </cell>
          <cell r="D49">
            <v>11158000</v>
          </cell>
          <cell r="E49">
            <v>9957575</v>
          </cell>
          <cell r="F49">
            <v>98.49</v>
          </cell>
          <cell r="G49">
            <v>9849097</v>
          </cell>
          <cell r="H49">
            <v>108478</v>
          </cell>
          <cell r="I49">
            <v>0</v>
          </cell>
          <cell r="J49">
            <v>0</v>
          </cell>
          <cell r="K49">
            <v>9849097</v>
          </cell>
          <cell r="M49" t="str">
            <v>R</v>
          </cell>
          <cell r="P49">
            <v>0</v>
          </cell>
          <cell r="Q49">
            <v>9849097</v>
          </cell>
          <cell r="R49">
            <v>0</v>
          </cell>
          <cell r="S49">
            <v>10208523</v>
          </cell>
          <cell r="T49">
            <v>3299947</v>
          </cell>
          <cell r="U49">
            <v>3771756</v>
          </cell>
          <cell r="V49">
            <v>-471809</v>
          </cell>
          <cell r="W49">
            <v>-359426</v>
          </cell>
          <cell r="X49">
            <v>6436767</v>
          </cell>
          <cell r="Z49">
            <v>6549150</v>
          </cell>
        </row>
        <row r="50">
          <cell r="B50" t="str">
            <v>TC312</v>
          </cell>
          <cell r="C50" t="str">
            <v>MIPL - INFOSYS</v>
          </cell>
          <cell r="D50">
            <v>58039000</v>
          </cell>
          <cell r="E50">
            <v>50080208</v>
          </cell>
          <cell r="F50">
            <v>540.1</v>
          </cell>
          <cell r="G50">
            <v>47221612</v>
          </cell>
          <cell r="H50">
            <v>2858596</v>
          </cell>
          <cell r="I50">
            <v>0</v>
          </cell>
          <cell r="J50">
            <v>0</v>
          </cell>
          <cell r="K50">
            <v>47221612</v>
          </cell>
          <cell r="L50" t="str">
            <v>A</v>
          </cell>
          <cell r="M50" t="str">
            <v>R</v>
          </cell>
          <cell r="P50">
            <v>0</v>
          </cell>
          <cell r="Q50">
            <v>47221612</v>
          </cell>
          <cell r="R50">
            <v>0</v>
          </cell>
          <cell r="S50">
            <v>53534542.049999997</v>
          </cell>
          <cell r="T50">
            <v>6571689</v>
          </cell>
          <cell r="U50">
            <v>17877157.050000001</v>
          </cell>
          <cell r="V50">
            <v>-11305468.050000001</v>
          </cell>
          <cell r="W50">
            <v>-6312930.049999997</v>
          </cell>
          <cell r="X50">
            <v>35657385</v>
          </cell>
          <cell r="Z50">
            <v>40649923</v>
          </cell>
        </row>
        <row r="51">
          <cell r="B51" t="str">
            <v>TC313</v>
          </cell>
          <cell r="C51" t="str">
            <v xml:space="preserve">SAINT GOBAIN PVT LTD </v>
          </cell>
          <cell r="D51">
            <v>33691000</v>
          </cell>
          <cell r="E51">
            <v>36321635</v>
          </cell>
          <cell r="F51">
            <v>364.34</v>
          </cell>
          <cell r="G51">
            <v>36321635</v>
          </cell>
          <cell r="H51">
            <v>0</v>
          </cell>
          <cell r="I51">
            <v>0</v>
          </cell>
          <cell r="J51">
            <v>0</v>
          </cell>
          <cell r="K51">
            <v>36321635</v>
          </cell>
          <cell r="M51" t="str">
            <v>R</v>
          </cell>
          <cell r="P51">
            <v>0</v>
          </cell>
          <cell r="Q51">
            <v>36321635</v>
          </cell>
          <cell r="R51">
            <v>0</v>
          </cell>
          <cell r="S51">
            <v>29712524.289999999</v>
          </cell>
          <cell r="T51">
            <v>11962454</v>
          </cell>
          <cell r="U51">
            <v>9604977.5</v>
          </cell>
          <cell r="V51">
            <v>2357476.5</v>
          </cell>
          <cell r="W51">
            <v>6609110.7100000009</v>
          </cell>
          <cell r="X51">
            <v>20107546.789999999</v>
          </cell>
          <cell r="Z51">
            <v>24359181</v>
          </cell>
        </row>
        <row r="52">
          <cell r="B52" t="str">
            <v>TC314</v>
          </cell>
          <cell r="C52" t="str">
            <v>ADDISON &amp; COMPANY LTD</v>
          </cell>
          <cell r="D52">
            <v>87205000</v>
          </cell>
          <cell r="E52">
            <v>90587500</v>
          </cell>
          <cell r="F52">
            <v>908.73</v>
          </cell>
          <cell r="G52">
            <v>86660685</v>
          </cell>
          <cell r="H52">
            <v>3926815</v>
          </cell>
          <cell r="I52">
            <v>0</v>
          </cell>
          <cell r="J52">
            <v>0</v>
          </cell>
          <cell r="K52">
            <v>86660685</v>
          </cell>
          <cell r="M52" t="str">
            <v>R</v>
          </cell>
          <cell r="P52">
            <v>0</v>
          </cell>
          <cell r="Q52">
            <v>86660685</v>
          </cell>
          <cell r="R52">
            <v>0</v>
          </cell>
          <cell r="S52">
            <v>83800355.469999999</v>
          </cell>
          <cell r="T52">
            <v>50716912</v>
          </cell>
          <cell r="U52">
            <v>51843457.200000003</v>
          </cell>
          <cell r="V52">
            <v>-1126545.200000003</v>
          </cell>
          <cell r="W52">
            <v>2860329.5300000012</v>
          </cell>
          <cell r="X52">
            <v>31956898.27</v>
          </cell>
          <cell r="Z52">
            <v>35943773</v>
          </cell>
        </row>
        <row r="53">
          <cell r="B53" t="str">
            <v>TC315</v>
          </cell>
          <cell r="C53" t="str">
            <v>JAYARAM HOTELS PVT LTD</v>
          </cell>
          <cell r="D53">
            <v>30522000.000000004</v>
          </cell>
          <cell r="E53">
            <v>32042898</v>
          </cell>
          <cell r="F53">
            <v>320.45999999999998</v>
          </cell>
          <cell r="G53">
            <v>31648490</v>
          </cell>
          <cell r="H53">
            <v>394408</v>
          </cell>
          <cell r="I53">
            <v>0</v>
          </cell>
          <cell r="J53">
            <v>0</v>
          </cell>
          <cell r="K53">
            <v>31648490</v>
          </cell>
          <cell r="M53" t="str">
            <v>R</v>
          </cell>
          <cell r="P53">
            <v>0</v>
          </cell>
          <cell r="Q53">
            <v>31648490</v>
          </cell>
          <cell r="R53">
            <v>0</v>
          </cell>
          <cell r="S53">
            <v>28707229.5</v>
          </cell>
          <cell r="T53">
            <v>18576768</v>
          </cell>
          <cell r="U53">
            <v>16519453.5</v>
          </cell>
          <cell r="V53">
            <v>2057314.5</v>
          </cell>
          <cell r="W53">
            <v>2941260.5</v>
          </cell>
          <cell r="X53">
            <v>12187776</v>
          </cell>
          <cell r="Z53">
            <v>13071722</v>
          </cell>
        </row>
        <row r="54">
          <cell r="B54" t="str">
            <v>TC316</v>
          </cell>
          <cell r="C54" t="str">
            <v>G.R. THANGAMALIGAI</v>
          </cell>
          <cell r="D54">
            <v>40939000</v>
          </cell>
          <cell r="E54">
            <v>36317862</v>
          </cell>
          <cell r="F54">
            <v>539.63</v>
          </cell>
          <cell r="G54">
            <v>36317862</v>
          </cell>
          <cell r="H54">
            <v>0</v>
          </cell>
          <cell r="I54">
            <v>0</v>
          </cell>
          <cell r="J54">
            <v>0</v>
          </cell>
          <cell r="K54">
            <v>36317862</v>
          </cell>
          <cell r="M54" t="str">
            <v>R</v>
          </cell>
          <cell r="P54">
            <v>0</v>
          </cell>
          <cell r="Q54">
            <v>36317862</v>
          </cell>
          <cell r="R54">
            <v>0</v>
          </cell>
          <cell r="S54">
            <v>36906219.009999998</v>
          </cell>
          <cell r="T54">
            <v>6783271</v>
          </cell>
          <cell r="U54">
            <v>10442552.65</v>
          </cell>
          <cell r="V54">
            <v>-3659281.6500000004</v>
          </cell>
          <cell r="W54">
            <v>-588357.00999999791</v>
          </cell>
          <cell r="X54">
            <v>26463666.359999999</v>
          </cell>
          <cell r="Z54">
            <v>29534591</v>
          </cell>
        </row>
        <row r="55">
          <cell r="B55" t="str">
            <v>TC317</v>
          </cell>
          <cell r="C55" t="str">
            <v>CHINMAYA  INTERNATIONAL RESD.SCH.</v>
          </cell>
          <cell r="D55">
            <v>55020000</v>
          </cell>
          <cell r="E55">
            <v>52912039</v>
          </cell>
          <cell r="F55">
            <v>529.12</v>
          </cell>
          <cell r="G55">
            <v>52912039</v>
          </cell>
          <cell r="H55">
            <v>0</v>
          </cell>
          <cell r="I55">
            <v>0</v>
          </cell>
          <cell r="J55">
            <v>0</v>
          </cell>
          <cell r="K55">
            <v>52912039</v>
          </cell>
          <cell r="M55" t="str">
            <v>R</v>
          </cell>
          <cell r="P55">
            <v>0</v>
          </cell>
          <cell r="Q55">
            <v>52912039</v>
          </cell>
          <cell r="R55">
            <v>0</v>
          </cell>
          <cell r="S55">
            <v>51926933.960000001</v>
          </cell>
          <cell r="T55">
            <v>31426541</v>
          </cell>
          <cell r="U55">
            <v>28649042.359999999</v>
          </cell>
          <cell r="V55">
            <v>2777498.6400000006</v>
          </cell>
          <cell r="W55">
            <v>985105.03999999911</v>
          </cell>
          <cell r="X55">
            <v>23277891.600000001</v>
          </cell>
          <cell r="Z55">
            <v>21485498</v>
          </cell>
        </row>
        <row r="56">
          <cell r="B56" t="str">
            <v>TC319</v>
          </cell>
          <cell r="C56" t="str">
            <v>ASHOK MATCHES &amp; TIMBERS PVT. LTD.</v>
          </cell>
          <cell r="D56">
            <v>124700000</v>
          </cell>
          <cell r="E56">
            <v>112903471</v>
          </cell>
          <cell r="F56">
            <v>1129.03</v>
          </cell>
          <cell r="G56">
            <v>106707167</v>
          </cell>
          <cell r="H56">
            <v>6196304</v>
          </cell>
          <cell r="I56">
            <v>0</v>
          </cell>
          <cell r="J56">
            <v>0</v>
          </cell>
          <cell r="K56">
            <v>106707167</v>
          </cell>
          <cell r="M56" t="str">
            <v>R</v>
          </cell>
          <cell r="P56">
            <v>0</v>
          </cell>
          <cell r="Q56">
            <v>106707167</v>
          </cell>
          <cell r="R56">
            <v>0</v>
          </cell>
          <cell r="S56">
            <v>91953560.189999998</v>
          </cell>
          <cell r="T56">
            <v>93572882.640000001</v>
          </cell>
          <cell r="U56">
            <v>78819275.829999998</v>
          </cell>
          <cell r="V56">
            <v>14753606.810000002</v>
          </cell>
          <cell r="W56">
            <v>14753606.810000002</v>
          </cell>
          <cell r="X56">
            <v>13134284.359999999</v>
          </cell>
          <cell r="Z56">
            <v>13134284.359999999</v>
          </cell>
        </row>
        <row r="57">
          <cell r="B57" t="str">
            <v>TC323</v>
          </cell>
          <cell r="C57" t="str">
            <v>RMZ MILLENNIA REALTORS</v>
          </cell>
          <cell r="D57">
            <v>1185000000</v>
          </cell>
          <cell r="E57">
            <v>155437241</v>
          </cell>
          <cell r="F57">
            <v>1616.75</v>
          </cell>
          <cell r="G57">
            <v>152613860</v>
          </cell>
          <cell r="H57">
            <v>2823381</v>
          </cell>
          <cell r="I57">
            <v>0</v>
          </cell>
          <cell r="J57">
            <v>0</v>
          </cell>
          <cell r="K57">
            <v>152613860</v>
          </cell>
          <cell r="M57" t="str">
            <v>R</v>
          </cell>
          <cell r="P57">
            <v>0</v>
          </cell>
          <cell r="Q57">
            <v>152613860</v>
          </cell>
          <cell r="R57">
            <v>0</v>
          </cell>
          <cell r="S57">
            <v>208354896.37</v>
          </cell>
          <cell r="T57">
            <v>128032212.41</v>
          </cell>
          <cell r="U57">
            <v>183773248.78</v>
          </cell>
          <cell r="V57">
            <v>-55741036.370000005</v>
          </cell>
          <cell r="W57">
            <v>-55741036.370000005</v>
          </cell>
          <cell r="X57">
            <v>24581647.59</v>
          </cell>
          <cell r="Z57">
            <v>24581647.59</v>
          </cell>
        </row>
        <row r="58">
          <cell r="B58" t="str">
            <v>TC324</v>
          </cell>
          <cell r="C58" t="str">
            <v>SRI TRIPURASUNDRI HOTELS LTD</v>
          </cell>
          <cell r="D58">
            <v>79900000</v>
          </cell>
          <cell r="E58">
            <v>75756526</v>
          </cell>
          <cell r="F58">
            <v>757.57</v>
          </cell>
          <cell r="G58">
            <v>72159161</v>
          </cell>
          <cell r="H58">
            <v>3597365</v>
          </cell>
          <cell r="I58">
            <v>0</v>
          </cell>
          <cell r="J58">
            <v>0</v>
          </cell>
          <cell r="K58">
            <v>72159161</v>
          </cell>
          <cell r="M58" t="str">
            <v>R</v>
          </cell>
          <cell r="P58">
            <v>0</v>
          </cell>
          <cell r="Q58">
            <v>72159161</v>
          </cell>
          <cell r="R58">
            <v>0</v>
          </cell>
          <cell r="S58">
            <v>61840105.030000001</v>
          </cell>
          <cell r="T58">
            <v>56519495.5</v>
          </cell>
          <cell r="U58">
            <v>46200439.530000001</v>
          </cell>
          <cell r="V58">
            <v>10319055.969999999</v>
          </cell>
          <cell r="W58">
            <v>10319055.969999999</v>
          </cell>
          <cell r="X58">
            <v>15639665.5</v>
          </cell>
          <cell r="Z58">
            <v>15639665.5</v>
          </cell>
        </row>
        <row r="59">
          <cell r="B59" t="str">
            <v>TC325</v>
          </cell>
          <cell r="C59" t="str">
            <v>SRI KRISHNA ARTS &amp; SCIENCE COLLEGE</v>
          </cell>
          <cell r="D59">
            <v>285538000</v>
          </cell>
          <cell r="E59">
            <v>151930504</v>
          </cell>
          <cell r="F59">
            <v>1504.42</v>
          </cell>
          <cell r="G59">
            <v>146715670</v>
          </cell>
          <cell r="H59">
            <v>5214834</v>
          </cell>
          <cell r="I59">
            <v>0</v>
          </cell>
          <cell r="J59">
            <v>0</v>
          </cell>
          <cell r="K59">
            <v>146715670</v>
          </cell>
          <cell r="M59" t="str">
            <v>R</v>
          </cell>
          <cell r="P59">
            <v>0</v>
          </cell>
          <cell r="Q59">
            <v>146715670</v>
          </cell>
          <cell r="R59">
            <v>0</v>
          </cell>
          <cell r="S59">
            <v>146277897</v>
          </cell>
          <cell r="T59">
            <v>120325264</v>
          </cell>
          <cell r="U59">
            <v>119887491</v>
          </cell>
          <cell r="V59">
            <v>437773</v>
          </cell>
          <cell r="W59">
            <v>437773</v>
          </cell>
          <cell r="X59">
            <v>26390406</v>
          </cell>
          <cell r="Z59">
            <v>26390406</v>
          </cell>
        </row>
        <row r="60">
          <cell r="B60" t="str">
            <v>TC328</v>
          </cell>
          <cell r="C60" t="str">
            <v>BEVERELY HOTEL</v>
          </cell>
          <cell r="D60">
            <v>2081000</v>
          </cell>
          <cell r="E60">
            <v>2226761</v>
          </cell>
          <cell r="F60">
            <v>22.26</v>
          </cell>
          <cell r="G60">
            <v>2098955</v>
          </cell>
          <cell r="H60">
            <v>127806</v>
          </cell>
          <cell r="I60">
            <v>0</v>
          </cell>
          <cell r="J60">
            <v>0</v>
          </cell>
          <cell r="K60">
            <v>2098955</v>
          </cell>
          <cell r="M60" t="str">
            <v>R</v>
          </cell>
          <cell r="P60">
            <v>0</v>
          </cell>
          <cell r="Q60">
            <v>2098955</v>
          </cell>
          <cell r="R60">
            <v>0</v>
          </cell>
          <cell r="S60">
            <v>1634924</v>
          </cell>
          <cell r="T60">
            <v>821343</v>
          </cell>
          <cell r="U60">
            <v>1058020</v>
          </cell>
          <cell r="V60">
            <v>-236677</v>
          </cell>
          <cell r="W60">
            <v>464031</v>
          </cell>
          <cell r="X60">
            <v>576904</v>
          </cell>
          <cell r="Z60">
            <v>1277612</v>
          </cell>
        </row>
        <row r="61">
          <cell r="B61" t="str">
            <v>TC329</v>
          </cell>
          <cell r="C61" t="str">
            <v>AMCO - PRESS &amp; PAINT SHOP</v>
          </cell>
          <cell r="D61">
            <v>65155000</v>
          </cell>
          <cell r="E61">
            <v>60186018.399999999</v>
          </cell>
          <cell r="F61">
            <v>673.76</v>
          </cell>
          <cell r="G61">
            <v>60186018.399999999</v>
          </cell>
          <cell r="H61">
            <v>0</v>
          </cell>
          <cell r="I61">
            <v>0</v>
          </cell>
          <cell r="J61">
            <v>0</v>
          </cell>
          <cell r="K61">
            <v>60186018.399999999</v>
          </cell>
          <cell r="M61" t="str">
            <v>R</v>
          </cell>
          <cell r="P61">
            <v>0</v>
          </cell>
          <cell r="Q61">
            <v>60186018.399999999</v>
          </cell>
          <cell r="R61">
            <v>0</v>
          </cell>
          <cell r="S61">
            <v>42441194.839999996</v>
          </cell>
          <cell r="T61">
            <v>33557576.399999999</v>
          </cell>
          <cell r="U61">
            <v>28153491.899999999</v>
          </cell>
          <cell r="V61">
            <v>5404084.5</v>
          </cell>
          <cell r="W61">
            <v>17744823.560000002</v>
          </cell>
          <cell r="X61">
            <v>14287702.939999999</v>
          </cell>
          <cell r="Z61">
            <v>26628442</v>
          </cell>
        </row>
        <row r="62">
          <cell r="B62" t="str">
            <v>TC330</v>
          </cell>
          <cell r="C62" t="str">
            <v>MAHINDRA WORLDCITY</v>
          </cell>
          <cell r="D62">
            <v>41396000</v>
          </cell>
          <cell r="E62">
            <v>20879776</v>
          </cell>
          <cell r="F62">
            <v>208.79</v>
          </cell>
          <cell r="G62">
            <v>17503354</v>
          </cell>
          <cell r="H62">
            <v>3376422</v>
          </cell>
          <cell r="I62">
            <v>0</v>
          </cell>
          <cell r="J62">
            <v>0</v>
          </cell>
          <cell r="K62">
            <v>17503354</v>
          </cell>
          <cell r="M62" t="str">
            <v>R</v>
          </cell>
          <cell r="P62">
            <v>0</v>
          </cell>
          <cell r="Q62">
            <v>17503354</v>
          </cell>
          <cell r="R62">
            <v>0</v>
          </cell>
          <cell r="S62">
            <v>20523833.829999998</v>
          </cell>
          <cell r="T62">
            <v>13330923.939999999</v>
          </cell>
          <cell r="U62">
            <v>16351403.77</v>
          </cell>
          <cell r="V62">
            <v>-3020479.83</v>
          </cell>
          <cell r="W62">
            <v>-3020479.8299999982</v>
          </cell>
          <cell r="X62">
            <v>4172430.06</v>
          </cell>
          <cell r="Z62">
            <v>4172430.06</v>
          </cell>
        </row>
        <row r="63">
          <cell r="B63" t="str">
            <v>TC331</v>
          </cell>
          <cell r="C63" t="str">
            <v>MAHINDRA REALITY</v>
          </cell>
          <cell r="D63">
            <v>96783000</v>
          </cell>
          <cell r="E63">
            <v>66606974</v>
          </cell>
          <cell r="F63">
            <v>666.06</v>
          </cell>
          <cell r="G63">
            <v>65607398</v>
          </cell>
          <cell r="H63">
            <v>999576</v>
          </cell>
          <cell r="I63">
            <v>0</v>
          </cell>
          <cell r="J63">
            <v>0</v>
          </cell>
          <cell r="K63">
            <v>65607398</v>
          </cell>
          <cell r="M63" t="str">
            <v>R</v>
          </cell>
          <cell r="P63">
            <v>0</v>
          </cell>
          <cell r="Q63">
            <v>65607398</v>
          </cell>
          <cell r="R63">
            <v>0</v>
          </cell>
          <cell r="S63">
            <v>65053837.699999996</v>
          </cell>
          <cell r="T63">
            <v>51351451.060000002</v>
          </cell>
          <cell r="U63">
            <v>50797890.759999998</v>
          </cell>
          <cell r="V63">
            <v>553560.30000000447</v>
          </cell>
          <cell r="W63">
            <v>553560.30000000447</v>
          </cell>
          <cell r="X63">
            <v>14255946.939999999</v>
          </cell>
          <cell r="Z63">
            <v>14255946.939999999</v>
          </cell>
        </row>
        <row r="64">
          <cell r="B64" t="str">
            <v>TC333</v>
          </cell>
          <cell r="C64" t="str">
            <v>INDO TECH TRANSFORMERS LTD</v>
          </cell>
          <cell r="D64">
            <v>17700000</v>
          </cell>
          <cell r="E64">
            <v>21270334</v>
          </cell>
          <cell r="F64">
            <v>212.7</v>
          </cell>
          <cell r="G64">
            <v>17729541.5</v>
          </cell>
          <cell r="H64">
            <v>3540792.5</v>
          </cell>
          <cell r="I64">
            <v>0</v>
          </cell>
          <cell r="J64">
            <v>0</v>
          </cell>
          <cell r="K64">
            <v>17729541.5</v>
          </cell>
          <cell r="M64" t="str">
            <v>R</v>
          </cell>
          <cell r="P64">
            <v>0</v>
          </cell>
          <cell r="Q64">
            <v>17729541.5</v>
          </cell>
          <cell r="R64">
            <v>0</v>
          </cell>
          <cell r="S64">
            <v>16502562</v>
          </cell>
          <cell r="T64">
            <v>14768625.5</v>
          </cell>
          <cell r="U64">
            <v>13541646</v>
          </cell>
          <cell r="V64">
            <v>1226979.5</v>
          </cell>
          <cell r="W64">
            <v>1226979.5</v>
          </cell>
          <cell r="X64">
            <v>2960916</v>
          </cell>
          <cell r="Z64">
            <v>2960916</v>
          </cell>
        </row>
        <row r="65">
          <cell r="B65" t="str">
            <v>TC337</v>
          </cell>
          <cell r="C65" t="str">
            <v>AMCO - MOBIS</v>
          </cell>
          <cell r="D65">
            <v>161717000</v>
          </cell>
          <cell r="E65">
            <v>149728385</v>
          </cell>
          <cell r="F65">
            <v>1544.06</v>
          </cell>
          <cell r="G65">
            <v>149728385</v>
          </cell>
          <cell r="H65">
            <v>0</v>
          </cell>
          <cell r="I65">
            <v>0</v>
          </cell>
          <cell r="J65">
            <v>0</v>
          </cell>
          <cell r="K65">
            <v>149728385</v>
          </cell>
          <cell r="M65" t="str">
            <v>R</v>
          </cell>
          <cell r="P65">
            <v>0</v>
          </cell>
          <cell r="Q65">
            <v>149728385</v>
          </cell>
          <cell r="R65">
            <v>0</v>
          </cell>
          <cell r="S65">
            <v>157631543.74000001</v>
          </cell>
          <cell r="T65">
            <v>96815645.189999998</v>
          </cell>
          <cell r="U65">
            <v>104718803.93000001</v>
          </cell>
          <cell r="V65">
            <v>-7903158.7400000095</v>
          </cell>
          <cell r="W65">
            <v>-7903158.7400000095</v>
          </cell>
          <cell r="X65">
            <v>52912739.810000002</v>
          </cell>
          <cell r="Z65">
            <v>52912739.810000002</v>
          </cell>
        </row>
        <row r="66">
          <cell r="B66" t="str">
            <v>TC341</v>
          </cell>
          <cell r="C66" t="str">
            <v>MEDOPHARM PHARMA - LIQUID BLOCK</v>
          </cell>
          <cell r="D66">
            <v>656000</v>
          </cell>
          <cell r="E66">
            <v>655675</v>
          </cell>
          <cell r="F66">
            <v>6.56</v>
          </cell>
          <cell r="G66">
            <v>622120</v>
          </cell>
          <cell r="H66">
            <v>33555</v>
          </cell>
          <cell r="I66">
            <v>0</v>
          </cell>
          <cell r="J66">
            <v>0</v>
          </cell>
          <cell r="K66">
            <v>622120</v>
          </cell>
          <cell r="M66" t="str">
            <v>R</v>
          </cell>
          <cell r="P66">
            <v>0</v>
          </cell>
          <cell r="Q66">
            <v>622120</v>
          </cell>
          <cell r="R66">
            <v>0</v>
          </cell>
          <cell r="S66">
            <v>137545</v>
          </cell>
          <cell r="T66">
            <v>-210000</v>
          </cell>
          <cell r="U66">
            <v>38953</v>
          </cell>
          <cell r="V66">
            <v>-248953</v>
          </cell>
          <cell r="W66">
            <v>484575</v>
          </cell>
          <cell r="X66">
            <v>98592</v>
          </cell>
          <cell r="Z66">
            <v>832120</v>
          </cell>
        </row>
        <row r="67">
          <cell r="B67" t="str">
            <v>TC344</v>
          </cell>
          <cell r="C67" t="str">
            <v>RAMANATHAN OFFICE BUILDING</v>
          </cell>
          <cell r="D67">
            <v>43199000</v>
          </cell>
          <cell r="E67">
            <v>32335275</v>
          </cell>
          <cell r="F67">
            <v>323.35000000000002</v>
          </cell>
          <cell r="G67">
            <v>26005992</v>
          </cell>
          <cell r="H67">
            <v>6329283</v>
          </cell>
          <cell r="I67">
            <v>0</v>
          </cell>
          <cell r="J67">
            <v>0</v>
          </cell>
          <cell r="K67">
            <v>26005992</v>
          </cell>
          <cell r="M67" t="str">
            <v>R</v>
          </cell>
          <cell r="P67">
            <v>0</v>
          </cell>
          <cell r="Q67">
            <v>26005992</v>
          </cell>
          <cell r="R67">
            <v>0</v>
          </cell>
          <cell r="S67">
            <v>29934928.949999999</v>
          </cell>
          <cell r="T67">
            <v>22216824</v>
          </cell>
          <cell r="U67">
            <v>26145760.949999999</v>
          </cell>
          <cell r="V67">
            <v>-3928936.9499999993</v>
          </cell>
          <cell r="W67">
            <v>-3928936.9499999993</v>
          </cell>
          <cell r="X67">
            <v>3789168</v>
          </cell>
          <cell r="Z67">
            <v>3789168</v>
          </cell>
        </row>
        <row r="68">
          <cell r="B68" t="str">
            <v>TC345</v>
          </cell>
          <cell r="C68" t="str">
            <v>STPI THARAMANI</v>
          </cell>
          <cell r="D68">
            <v>164869000</v>
          </cell>
          <cell r="E68">
            <v>60610667</v>
          </cell>
          <cell r="F68">
            <v>606.11</v>
          </cell>
          <cell r="G68">
            <v>49049086</v>
          </cell>
          <cell r="H68">
            <v>11561581</v>
          </cell>
          <cell r="I68">
            <v>0</v>
          </cell>
          <cell r="J68">
            <v>0</v>
          </cell>
          <cell r="K68">
            <v>49049086</v>
          </cell>
          <cell r="M68" t="str">
            <v>R</v>
          </cell>
          <cell r="P68">
            <v>0</v>
          </cell>
          <cell r="Q68">
            <v>49049086</v>
          </cell>
          <cell r="R68">
            <v>0</v>
          </cell>
          <cell r="S68">
            <v>76838607.930000007</v>
          </cell>
          <cell r="T68">
            <v>46247235</v>
          </cell>
          <cell r="U68">
            <v>74036756.930000007</v>
          </cell>
          <cell r="V68">
            <v>-27789521.930000007</v>
          </cell>
          <cell r="W68">
            <v>-27789521.930000007</v>
          </cell>
          <cell r="X68">
            <v>2801851</v>
          </cell>
          <cell r="Z68">
            <v>2801851</v>
          </cell>
        </row>
        <row r="69">
          <cell r="B69" t="str">
            <v>TC349</v>
          </cell>
          <cell r="C69" t="str">
            <v>MAHINDRA GESCO ( APARTMENTS )</v>
          </cell>
          <cell r="D69">
            <v>76675000</v>
          </cell>
          <cell r="E69">
            <v>36236295</v>
          </cell>
          <cell r="F69">
            <v>362.74</v>
          </cell>
          <cell r="G69">
            <v>35661590</v>
          </cell>
          <cell r="H69">
            <v>574705</v>
          </cell>
          <cell r="I69">
            <v>0</v>
          </cell>
          <cell r="J69">
            <v>0</v>
          </cell>
          <cell r="K69">
            <v>35661590</v>
          </cell>
          <cell r="M69" t="str">
            <v>R</v>
          </cell>
          <cell r="P69">
            <v>0</v>
          </cell>
          <cell r="Q69">
            <v>35661590</v>
          </cell>
          <cell r="R69">
            <v>0</v>
          </cell>
          <cell r="S69">
            <v>36913944</v>
          </cell>
          <cell r="T69">
            <v>34390933</v>
          </cell>
          <cell r="U69">
            <v>35643287</v>
          </cell>
          <cell r="V69">
            <v>-1252354</v>
          </cell>
          <cell r="W69">
            <v>-1252354</v>
          </cell>
          <cell r="X69">
            <v>1270657</v>
          </cell>
          <cell r="Z69">
            <v>1270657</v>
          </cell>
        </row>
        <row r="70">
          <cell r="B70" t="str">
            <v>TC351</v>
          </cell>
          <cell r="C70" t="str">
            <v>VANMALLEE EXPANTION</v>
          </cell>
          <cell r="D70">
            <v>17247000</v>
          </cell>
          <cell r="E70">
            <v>17658998</v>
          </cell>
          <cell r="F70">
            <v>172.47</v>
          </cell>
          <cell r="G70">
            <v>17658998</v>
          </cell>
          <cell r="H70">
            <v>0</v>
          </cell>
          <cell r="I70">
            <v>0</v>
          </cell>
          <cell r="J70">
            <v>0</v>
          </cell>
          <cell r="K70">
            <v>17658998</v>
          </cell>
          <cell r="M70" t="str">
            <v>R</v>
          </cell>
          <cell r="P70">
            <v>0</v>
          </cell>
          <cell r="Q70">
            <v>17658998</v>
          </cell>
          <cell r="R70">
            <v>0</v>
          </cell>
          <cell r="S70">
            <v>9885139</v>
          </cell>
          <cell r="T70">
            <v>15944460</v>
          </cell>
          <cell r="U70">
            <v>8170601</v>
          </cell>
          <cell r="V70">
            <v>7773859</v>
          </cell>
          <cell r="W70">
            <v>7773859</v>
          </cell>
          <cell r="X70">
            <v>1714538</v>
          </cell>
          <cell r="Z70">
            <v>1714538</v>
          </cell>
        </row>
        <row r="71">
          <cell r="B71" t="str">
            <v>TC352</v>
          </cell>
          <cell r="C71" t="str">
            <v>YUGA MITHILA</v>
          </cell>
          <cell r="D71">
            <v>31633999.999999996</v>
          </cell>
          <cell r="E71">
            <v>18166115</v>
          </cell>
          <cell r="F71">
            <v>181.66</v>
          </cell>
          <cell r="G71">
            <v>18166115</v>
          </cell>
          <cell r="H71">
            <v>0</v>
          </cell>
          <cell r="I71">
            <v>0</v>
          </cell>
          <cell r="J71">
            <v>0</v>
          </cell>
          <cell r="K71">
            <v>18166115</v>
          </cell>
          <cell r="M71" t="str">
            <v>R</v>
          </cell>
          <cell r="P71">
            <v>0</v>
          </cell>
          <cell r="Q71">
            <v>18166115</v>
          </cell>
          <cell r="R71">
            <v>0</v>
          </cell>
          <cell r="S71">
            <v>14554925</v>
          </cell>
          <cell r="T71">
            <v>17219418</v>
          </cell>
          <cell r="U71">
            <v>13608228</v>
          </cell>
          <cell r="V71">
            <v>3611190</v>
          </cell>
          <cell r="W71">
            <v>3611190</v>
          </cell>
          <cell r="X71">
            <v>946697</v>
          </cell>
          <cell r="Z71">
            <v>946697</v>
          </cell>
        </row>
        <row r="72">
          <cell r="B72" t="str">
            <v>TC353</v>
          </cell>
          <cell r="C72" t="str">
            <v>HCL VII</v>
          </cell>
          <cell r="D72">
            <v>108801000</v>
          </cell>
          <cell r="E72">
            <v>10756689</v>
          </cell>
          <cell r="F72">
            <v>81.822000000000003</v>
          </cell>
          <cell r="G72">
            <v>7358787</v>
          </cell>
          <cell r="H72">
            <v>3397902</v>
          </cell>
          <cell r="I72">
            <v>0</v>
          </cell>
          <cell r="J72">
            <v>0</v>
          </cell>
          <cell r="K72">
            <v>7358787</v>
          </cell>
          <cell r="M72" t="str">
            <v>R</v>
          </cell>
          <cell r="P72">
            <v>0</v>
          </cell>
          <cell r="Q72">
            <v>7358787</v>
          </cell>
          <cell r="R72">
            <v>0</v>
          </cell>
          <cell r="S72">
            <v>10576032.09</v>
          </cell>
          <cell r="T72">
            <v>6234117</v>
          </cell>
          <cell r="U72">
            <v>9451362.0899999999</v>
          </cell>
          <cell r="V72">
            <v>-3217245.09</v>
          </cell>
          <cell r="W72">
            <v>-3217245.09</v>
          </cell>
          <cell r="X72">
            <v>1124670</v>
          </cell>
          <cell r="Z72">
            <v>1124670</v>
          </cell>
        </row>
        <row r="73">
          <cell r="B73" t="str">
            <v>TC354</v>
          </cell>
          <cell r="C73" t="str">
            <v>ROYAL MULTIPLEX</v>
          </cell>
          <cell r="D73">
            <v>56905999.999999993</v>
          </cell>
          <cell r="E73">
            <v>38692516</v>
          </cell>
          <cell r="F73">
            <v>386.92</v>
          </cell>
          <cell r="G73">
            <v>36377279</v>
          </cell>
          <cell r="H73">
            <v>2315237</v>
          </cell>
          <cell r="I73">
            <v>0</v>
          </cell>
          <cell r="J73">
            <v>0</v>
          </cell>
          <cell r="K73">
            <v>36377279</v>
          </cell>
          <cell r="M73" t="str">
            <v>R</v>
          </cell>
          <cell r="P73">
            <v>0</v>
          </cell>
          <cell r="Q73">
            <v>36377279</v>
          </cell>
          <cell r="R73">
            <v>0</v>
          </cell>
          <cell r="S73">
            <v>29305241.93</v>
          </cell>
          <cell r="T73">
            <v>36111483</v>
          </cell>
          <cell r="U73">
            <v>29039445.93</v>
          </cell>
          <cell r="V73">
            <v>7072037.0700000003</v>
          </cell>
          <cell r="W73">
            <v>7072037.0700000003</v>
          </cell>
          <cell r="X73">
            <v>265796</v>
          </cell>
          <cell r="Z73">
            <v>265796</v>
          </cell>
        </row>
        <row r="74">
          <cell r="B74" t="str">
            <v>TC357</v>
          </cell>
          <cell r="C74" t="str">
            <v>ASCENDAS IT PARK - PH II</v>
          </cell>
          <cell r="D74">
            <v>1060000000</v>
          </cell>
          <cell r="E74">
            <v>229944114</v>
          </cell>
          <cell r="F74">
            <v>2303.9299999999998</v>
          </cell>
          <cell r="G74">
            <v>226670154</v>
          </cell>
          <cell r="H74">
            <v>3273960</v>
          </cell>
          <cell r="I74">
            <v>0</v>
          </cell>
          <cell r="J74">
            <v>0</v>
          </cell>
          <cell r="K74">
            <v>226670154</v>
          </cell>
          <cell r="M74" t="str">
            <v>R</v>
          </cell>
          <cell r="P74">
            <v>0</v>
          </cell>
          <cell r="Q74">
            <v>226670154</v>
          </cell>
          <cell r="R74">
            <v>0</v>
          </cell>
          <cell r="S74">
            <v>274729614.74000001</v>
          </cell>
          <cell r="T74">
            <v>226601344</v>
          </cell>
          <cell r="U74">
            <v>274660804.74000001</v>
          </cell>
          <cell r="V74">
            <v>-48059460.74000001</v>
          </cell>
          <cell r="W74">
            <v>-48059460.74000001</v>
          </cell>
          <cell r="X74">
            <v>68810</v>
          </cell>
          <cell r="Z74">
            <v>68810</v>
          </cell>
        </row>
        <row r="75">
          <cell r="B75" t="str">
            <v>TC358</v>
          </cell>
          <cell r="C75" t="str">
            <v>SVEC - CHANDAMAMA TOWERS</v>
          </cell>
          <cell r="D75">
            <v>18300000</v>
          </cell>
          <cell r="E75">
            <v>7239430</v>
          </cell>
          <cell r="F75">
            <v>103.42</v>
          </cell>
          <cell r="G75">
            <v>7239430</v>
          </cell>
          <cell r="H75">
            <v>0</v>
          </cell>
          <cell r="I75">
            <v>0</v>
          </cell>
          <cell r="J75">
            <v>0</v>
          </cell>
          <cell r="K75">
            <v>7239430</v>
          </cell>
          <cell r="M75" t="str">
            <v>R</v>
          </cell>
          <cell r="P75">
            <v>0</v>
          </cell>
          <cell r="Q75">
            <v>7239430</v>
          </cell>
          <cell r="R75">
            <v>0</v>
          </cell>
          <cell r="S75">
            <v>6558112</v>
          </cell>
          <cell r="T75">
            <v>7228714</v>
          </cell>
          <cell r="U75">
            <v>6547396</v>
          </cell>
          <cell r="V75">
            <v>681318</v>
          </cell>
          <cell r="W75">
            <v>681318</v>
          </cell>
          <cell r="X75">
            <v>10716</v>
          </cell>
          <cell r="Z75">
            <v>10716</v>
          </cell>
        </row>
        <row r="76">
          <cell r="B76" t="str">
            <v>TC359</v>
          </cell>
          <cell r="C76" t="str">
            <v>SVEC - NURSING BUILDING</v>
          </cell>
          <cell r="D76">
            <v>19447000</v>
          </cell>
          <cell r="E76">
            <v>14711068</v>
          </cell>
          <cell r="F76">
            <v>147.11000000000001</v>
          </cell>
          <cell r="G76">
            <v>14711068</v>
          </cell>
          <cell r="H76">
            <v>0</v>
          </cell>
          <cell r="I76">
            <v>0</v>
          </cell>
          <cell r="J76">
            <v>0</v>
          </cell>
          <cell r="K76">
            <v>14711068</v>
          </cell>
          <cell r="M76" t="str">
            <v>R</v>
          </cell>
          <cell r="P76">
            <v>0</v>
          </cell>
          <cell r="Q76">
            <v>14711068</v>
          </cell>
          <cell r="R76">
            <v>0</v>
          </cell>
          <cell r="S76">
            <v>12858741</v>
          </cell>
          <cell r="T76">
            <v>14711068</v>
          </cell>
          <cell r="U76">
            <v>12858741</v>
          </cell>
          <cell r="V76">
            <v>1852327</v>
          </cell>
          <cell r="W76">
            <v>1852327</v>
          </cell>
        </row>
        <row r="77">
          <cell r="B77" t="str">
            <v>TC360</v>
          </cell>
          <cell r="C77" t="str">
            <v>MENAKUR INFRASTRUCTURE</v>
          </cell>
          <cell r="D77">
            <v>220500000</v>
          </cell>
          <cell r="E77">
            <v>80005250</v>
          </cell>
          <cell r="F77">
            <v>800.13</v>
          </cell>
          <cell r="G77">
            <v>79816197</v>
          </cell>
          <cell r="H77">
            <v>189053</v>
          </cell>
          <cell r="I77">
            <v>0</v>
          </cell>
          <cell r="J77">
            <v>0</v>
          </cell>
          <cell r="K77">
            <v>79816197</v>
          </cell>
          <cell r="M77" t="str">
            <v>R</v>
          </cell>
          <cell r="P77">
            <v>0</v>
          </cell>
          <cell r="Q77">
            <v>79816197</v>
          </cell>
          <cell r="R77">
            <v>0</v>
          </cell>
          <cell r="S77">
            <v>81441961.670000002</v>
          </cell>
          <cell r="T77">
            <v>79816197</v>
          </cell>
          <cell r="U77">
            <v>81441961.670000002</v>
          </cell>
          <cell r="V77">
            <v>-1625764.6700000018</v>
          </cell>
          <cell r="W77">
            <v>-1625764.6700000018</v>
          </cell>
        </row>
        <row r="78">
          <cell r="B78" t="str">
            <v>TC370</v>
          </cell>
          <cell r="C78" t="str">
            <v>MIPL - INFOSYS</v>
          </cell>
          <cell r="D78">
            <v>52119000.000000007</v>
          </cell>
          <cell r="E78">
            <v>38807766</v>
          </cell>
          <cell r="F78">
            <v>422.97</v>
          </cell>
          <cell r="G78">
            <v>33793212</v>
          </cell>
          <cell r="H78">
            <v>5014554</v>
          </cell>
          <cell r="I78">
            <v>0</v>
          </cell>
          <cell r="J78">
            <v>0</v>
          </cell>
          <cell r="K78">
            <v>33793212</v>
          </cell>
          <cell r="M78" t="str">
            <v>R</v>
          </cell>
          <cell r="P78">
            <v>0</v>
          </cell>
          <cell r="Q78">
            <v>33793212</v>
          </cell>
          <cell r="R78">
            <v>0</v>
          </cell>
          <cell r="S78">
            <v>44913101.5</v>
          </cell>
          <cell r="T78">
            <v>33793212</v>
          </cell>
          <cell r="U78">
            <v>44913101.5</v>
          </cell>
          <cell r="V78">
            <v>-11119889.5</v>
          </cell>
          <cell r="W78">
            <v>-11119889.5</v>
          </cell>
        </row>
        <row r="79">
          <cell r="B79" t="str">
            <v>TC373</v>
          </cell>
          <cell r="C79" t="str">
            <v>LEMON TREE HOTEL</v>
          </cell>
          <cell r="D79">
            <v>48500000</v>
          </cell>
          <cell r="E79">
            <v>9945871</v>
          </cell>
          <cell r="F79">
            <v>93.6</v>
          </cell>
          <cell r="G79">
            <v>9945871</v>
          </cell>
          <cell r="H79">
            <v>0</v>
          </cell>
          <cell r="I79">
            <v>0</v>
          </cell>
          <cell r="J79">
            <v>0</v>
          </cell>
          <cell r="K79">
            <v>9945871</v>
          </cell>
          <cell r="M79" t="str">
            <v>R</v>
          </cell>
          <cell r="P79">
            <v>0</v>
          </cell>
          <cell r="Q79">
            <v>9945871</v>
          </cell>
          <cell r="R79">
            <v>0</v>
          </cell>
          <cell r="S79">
            <v>8593403.1799999997</v>
          </cell>
          <cell r="T79">
            <v>9945871</v>
          </cell>
          <cell r="U79">
            <v>8593403.1799999997</v>
          </cell>
          <cell r="V79">
            <v>1352467.8200000003</v>
          </cell>
          <cell r="W79">
            <v>1352467.8200000003</v>
          </cell>
        </row>
        <row r="80">
          <cell r="B80" t="str">
            <v>TC374</v>
          </cell>
          <cell r="C80" t="str">
            <v>AIR TEL</v>
          </cell>
          <cell r="D80">
            <v>163000000</v>
          </cell>
          <cell r="E80">
            <v>63548913</v>
          </cell>
          <cell r="F80">
            <v>635.49</v>
          </cell>
          <cell r="G80">
            <v>63107451</v>
          </cell>
          <cell r="H80">
            <v>441462</v>
          </cell>
          <cell r="I80">
            <v>0</v>
          </cell>
          <cell r="J80">
            <v>0</v>
          </cell>
          <cell r="K80">
            <v>63107451</v>
          </cell>
          <cell r="M80" t="str">
            <v>R</v>
          </cell>
          <cell r="P80">
            <v>0</v>
          </cell>
          <cell r="Q80">
            <v>63107451</v>
          </cell>
          <cell r="R80">
            <v>0</v>
          </cell>
          <cell r="S80">
            <v>47412469.25</v>
          </cell>
          <cell r="T80">
            <v>63107451</v>
          </cell>
          <cell r="U80">
            <v>47412469.25</v>
          </cell>
          <cell r="V80">
            <v>15694981.75</v>
          </cell>
          <cell r="W80">
            <v>15694981.75</v>
          </cell>
        </row>
        <row r="81">
          <cell r="B81" t="str">
            <v>TC375</v>
          </cell>
          <cell r="C81" t="str">
            <v>INDUSND BANK</v>
          </cell>
          <cell r="D81">
            <v>56100000</v>
          </cell>
          <cell r="E81">
            <v>16903484</v>
          </cell>
          <cell r="F81">
            <v>199.42</v>
          </cell>
          <cell r="G81">
            <v>16903484</v>
          </cell>
          <cell r="H81">
            <v>0</v>
          </cell>
          <cell r="I81">
            <v>0</v>
          </cell>
          <cell r="J81">
            <v>0</v>
          </cell>
          <cell r="K81">
            <v>16903484</v>
          </cell>
          <cell r="M81" t="str">
            <v>R</v>
          </cell>
          <cell r="P81">
            <v>0</v>
          </cell>
          <cell r="Q81">
            <v>16903484</v>
          </cell>
          <cell r="R81">
            <v>0</v>
          </cell>
          <cell r="S81">
            <v>15146568.130000001</v>
          </cell>
          <cell r="T81">
            <v>16903484</v>
          </cell>
          <cell r="U81">
            <v>15146568.130000001</v>
          </cell>
          <cell r="V81">
            <v>1756915.8699999992</v>
          </cell>
          <cell r="W81">
            <v>1756915.8699999992</v>
          </cell>
        </row>
        <row r="82">
          <cell r="B82" t="str">
            <v>TC376</v>
          </cell>
          <cell r="C82" t="str">
            <v>GRT THANGAMALIGAI BURKIT ROAD</v>
          </cell>
          <cell r="D82">
            <v>11678000</v>
          </cell>
          <cell r="E82">
            <v>599918</v>
          </cell>
          <cell r="F82">
            <v>5.99</v>
          </cell>
          <cell r="G82">
            <v>599918</v>
          </cell>
          <cell r="H82">
            <v>0</v>
          </cell>
          <cell r="I82">
            <v>0</v>
          </cell>
          <cell r="J82">
            <v>0</v>
          </cell>
          <cell r="K82">
            <v>599918</v>
          </cell>
          <cell r="M82" t="str">
            <v>R</v>
          </cell>
          <cell r="P82">
            <v>0</v>
          </cell>
          <cell r="Q82">
            <v>599918</v>
          </cell>
          <cell r="R82">
            <v>0</v>
          </cell>
          <cell r="S82">
            <v>1728779</v>
          </cell>
          <cell r="T82">
            <v>599918</v>
          </cell>
          <cell r="U82">
            <v>1728779</v>
          </cell>
          <cell r="V82">
            <v>-1128861</v>
          </cell>
          <cell r="W82">
            <v>-1128861</v>
          </cell>
        </row>
        <row r="83">
          <cell r="B83" t="str">
            <v>TC377</v>
          </cell>
          <cell r="C83" t="str">
            <v>TAFE</v>
          </cell>
          <cell r="D83">
            <v>47101000</v>
          </cell>
          <cell r="E83">
            <v>32695202</v>
          </cell>
          <cell r="F83">
            <v>326.95</v>
          </cell>
          <cell r="G83">
            <v>18734932</v>
          </cell>
          <cell r="H83">
            <v>13960270</v>
          </cell>
          <cell r="I83">
            <v>0</v>
          </cell>
          <cell r="J83">
            <v>0</v>
          </cell>
          <cell r="K83">
            <v>18734932</v>
          </cell>
          <cell r="M83" t="str">
            <v>R</v>
          </cell>
          <cell r="P83">
            <v>0</v>
          </cell>
          <cell r="Q83">
            <v>18734932</v>
          </cell>
          <cell r="R83">
            <v>0</v>
          </cell>
          <cell r="S83">
            <v>30515912.469999999</v>
          </cell>
          <cell r="T83">
            <v>18734932</v>
          </cell>
          <cell r="U83">
            <v>30515912.469999999</v>
          </cell>
          <cell r="V83">
            <v>-11780980.469999999</v>
          </cell>
          <cell r="W83">
            <v>-11780980.469999999</v>
          </cell>
        </row>
        <row r="84">
          <cell r="B84" t="str">
            <v>TC378</v>
          </cell>
          <cell r="C84" t="str">
            <v>SHINHAN PLASTO I PVT LTD</v>
          </cell>
          <cell r="D84">
            <v>173100000</v>
          </cell>
          <cell r="E84">
            <v>85789969</v>
          </cell>
          <cell r="F84">
            <v>857.9</v>
          </cell>
          <cell r="G84">
            <v>59027278</v>
          </cell>
          <cell r="H84">
            <v>26762691</v>
          </cell>
          <cell r="I84">
            <v>0</v>
          </cell>
          <cell r="J84">
            <v>0</v>
          </cell>
          <cell r="K84">
            <v>59027278</v>
          </cell>
          <cell r="M84" t="str">
            <v>R</v>
          </cell>
          <cell r="P84">
            <v>0</v>
          </cell>
          <cell r="Q84">
            <v>59027278</v>
          </cell>
          <cell r="R84">
            <v>0</v>
          </cell>
          <cell r="S84">
            <v>71230782</v>
          </cell>
          <cell r="T84">
            <v>59027278</v>
          </cell>
          <cell r="U84">
            <v>71230782</v>
          </cell>
          <cell r="V84">
            <v>-12203504</v>
          </cell>
          <cell r="W84">
            <v>-12203504</v>
          </cell>
        </row>
        <row r="85">
          <cell r="B85" t="str">
            <v>TC379</v>
          </cell>
          <cell r="C85" t="str">
            <v>MIPL - ASCENDAS</v>
          </cell>
          <cell r="D85">
            <v>299500000</v>
          </cell>
          <cell r="E85">
            <v>78460709</v>
          </cell>
          <cell r="F85">
            <v>784.6</v>
          </cell>
          <cell r="G85">
            <v>75263349</v>
          </cell>
          <cell r="H85">
            <v>3197360</v>
          </cell>
          <cell r="I85">
            <v>0</v>
          </cell>
          <cell r="J85">
            <v>0</v>
          </cell>
          <cell r="K85">
            <v>75263349</v>
          </cell>
          <cell r="M85" t="str">
            <v>R</v>
          </cell>
          <cell r="P85">
            <v>0</v>
          </cell>
          <cell r="Q85">
            <v>75263349</v>
          </cell>
          <cell r="R85">
            <v>0</v>
          </cell>
          <cell r="S85">
            <v>73373466</v>
          </cell>
          <cell r="T85">
            <v>75263349</v>
          </cell>
          <cell r="U85">
            <v>73373466</v>
          </cell>
          <cell r="V85">
            <v>1889883</v>
          </cell>
          <cell r="W85">
            <v>1889883</v>
          </cell>
        </row>
        <row r="86">
          <cell r="B86" t="str">
            <v>TC380</v>
          </cell>
          <cell r="C86" t="str">
            <v>BANNARI AMMAN SUGARS LTD</v>
          </cell>
          <cell r="D86">
            <v>24389500</v>
          </cell>
          <cell r="E86">
            <v>1932200</v>
          </cell>
          <cell r="F86">
            <v>26.31</v>
          </cell>
          <cell r="G86">
            <v>1320541</v>
          </cell>
          <cell r="H86">
            <v>611659</v>
          </cell>
          <cell r="I86">
            <v>0</v>
          </cell>
          <cell r="J86">
            <v>0</v>
          </cell>
          <cell r="K86">
            <v>1320541</v>
          </cell>
          <cell r="M86" t="str">
            <v>R</v>
          </cell>
          <cell r="P86">
            <v>0</v>
          </cell>
          <cell r="Q86">
            <v>1320541</v>
          </cell>
          <cell r="R86">
            <v>0</v>
          </cell>
          <cell r="S86">
            <v>2873114.17</v>
          </cell>
          <cell r="T86">
            <v>1320541</v>
          </cell>
          <cell r="U86">
            <v>2873114.17</v>
          </cell>
          <cell r="V86">
            <v>-1552573.17</v>
          </cell>
          <cell r="W86">
            <v>-1552573.17</v>
          </cell>
        </row>
        <row r="87">
          <cell r="B87" t="str">
            <v>TC385</v>
          </cell>
          <cell r="C87" t="str">
            <v>SAMSON LIGHTINGS</v>
          </cell>
          <cell r="D87">
            <v>66000000</v>
          </cell>
          <cell r="E87">
            <v>8784880</v>
          </cell>
          <cell r="F87">
            <v>147.37</v>
          </cell>
          <cell r="G87">
            <v>8784880</v>
          </cell>
          <cell r="H87">
            <v>0</v>
          </cell>
          <cell r="I87">
            <v>0</v>
          </cell>
          <cell r="J87">
            <v>0</v>
          </cell>
          <cell r="K87">
            <v>8784880</v>
          </cell>
          <cell r="P87">
            <v>0</v>
          </cell>
          <cell r="Q87">
            <v>0</v>
          </cell>
          <cell r="R87">
            <v>0</v>
          </cell>
          <cell r="S87">
            <v>17251223.75</v>
          </cell>
          <cell r="T87">
            <v>0</v>
          </cell>
          <cell r="U87">
            <v>17251223.75</v>
          </cell>
          <cell r="V87">
            <v>-17251223.75</v>
          </cell>
          <cell r="W87">
            <v>-17251223.75</v>
          </cell>
        </row>
        <row r="88">
          <cell r="B88" t="str">
            <v>TC386</v>
          </cell>
          <cell r="C88" t="str">
            <v>ROBIN ESTATES</v>
          </cell>
          <cell r="D88">
            <v>52600000</v>
          </cell>
          <cell r="E88">
            <v>6351046</v>
          </cell>
          <cell r="F88">
            <v>63.51</v>
          </cell>
          <cell r="G88">
            <v>4500000</v>
          </cell>
          <cell r="H88">
            <v>1851046</v>
          </cell>
          <cell r="I88">
            <v>0</v>
          </cell>
          <cell r="J88">
            <v>0</v>
          </cell>
          <cell r="K88">
            <v>4500000</v>
          </cell>
          <cell r="M88" t="str">
            <v>R</v>
          </cell>
          <cell r="P88">
            <v>0</v>
          </cell>
          <cell r="Q88">
            <v>4500000</v>
          </cell>
          <cell r="R88">
            <v>0</v>
          </cell>
          <cell r="S88">
            <v>3956820</v>
          </cell>
          <cell r="T88">
            <v>4500000</v>
          </cell>
          <cell r="U88">
            <v>3956820</v>
          </cell>
          <cell r="V88">
            <v>543180</v>
          </cell>
          <cell r="W88">
            <v>543180</v>
          </cell>
        </row>
        <row r="89">
          <cell r="B89" t="str">
            <v>TC387</v>
          </cell>
          <cell r="C89" t="str">
            <v>ARIHANT FOUNDATIONS PVT LTD</v>
          </cell>
          <cell r="D89">
            <v>233894000</v>
          </cell>
          <cell r="E89">
            <v>46887522</v>
          </cell>
          <cell r="F89">
            <v>468.88</v>
          </cell>
          <cell r="G89">
            <v>46263899</v>
          </cell>
          <cell r="H89">
            <v>623623</v>
          </cell>
          <cell r="I89">
            <v>0</v>
          </cell>
          <cell r="J89">
            <v>0</v>
          </cell>
          <cell r="K89">
            <v>46263899</v>
          </cell>
          <cell r="M89" t="str">
            <v>R</v>
          </cell>
          <cell r="P89">
            <v>0</v>
          </cell>
          <cell r="Q89">
            <v>46263899</v>
          </cell>
          <cell r="R89">
            <v>0</v>
          </cell>
          <cell r="S89">
            <v>49076700</v>
          </cell>
          <cell r="T89">
            <v>46263899</v>
          </cell>
          <cell r="U89">
            <v>49076700</v>
          </cell>
          <cell r="V89">
            <v>-2812801</v>
          </cell>
          <cell r="W89">
            <v>-2812801</v>
          </cell>
        </row>
        <row r="90">
          <cell r="B90" t="str">
            <v>TC391</v>
          </cell>
          <cell r="C90" t="str">
            <v>PONDY COLLEDGE</v>
          </cell>
          <cell r="D90">
            <v>453642000</v>
          </cell>
          <cell r="E90">
            <v>32574860</v>
          </cell>
          <cell r="G90">
            <v>32574860</v>
          </cell>
          <cell r="H90">
            <v>0</v>
          </cell>
          <cell r="I90">
            <v>0</v>
          </cell>
          <cell r="J90">
            <v>0</v>
          </cell>
          <cell r="K90">
            <v>32574860</v>
          </cell>
          <cell r="M90" t="str">
            <v>R</v>
          </cell>
          <cell r="P90">
            <v>0</v>
          </cell>
          <cell r="Q90">
            <v>32574860</v>
          </cell>
          <cell r="R90">
            <v>0</v>
          </cell>
          <cell r="S90">
            <v>153623645.5</v>
          </cell>
          <cell r="T90">
            <v>32574860</v>
          </cell>
          <cell r="U90">
            <v>153623645.5</v>
          </cell>
          <cell r="V90">
            <v>-121048785.5</v>
          </cell>
          <cell r="W90">
            <v>-121048785.5</v>
          </cell>
        </row>
        <row r="91">
          <cell r="B91" t="str">
            <v>TC392</v>
          </cell>
          <cell r="C91" t="str">
            <v>PONDICHERRY MEDICAL COLLEGE - HOSTEL BLOCK</v>
          </cell>
          <cell r="D91">
            <v>675466000</v>
          </cell>
          <cell r="E91">
            <v>72631486</v>
          </cell>
          <cell r="G91">
            <v>72610039</v>
          </cell>
          <cell r="H91">
            <v>21447</v>
          </cell>
          <cell r="I91">
            <v>0</v>
          </cell>
          <cell r="J91">
            <v>0</v>
          </cell>
          <cell r="K91">
            <v>72610039</v>
          </cell>
          <cell r="P91">
            <v>0</v>
          </cell>
          <cell r="Q91">
            <v>0</v>
          </cell>
          <cell r="R91">
            <v>0</v>
          </cell>
          <cell r="S91">
            <v>1212560</v>
          </cell>
          <cell r="T91">
            <v>0</v>
          </cell>
          <cell r="U91">
            <v>1212560</v>
          </cell>
          <cell r="V91">
            <v>-1212560</v>
          </cell>
          <cell r="W91">
            <v>-1212560</v>
          </cell>
        </row>
        <row r="92">
          <cell r="B92" t="str">
            <v>TC393</v>
          </cell>
          <cell r="C92" t="str">
            <v>FERDOUS HOTEL</v>
          </cell>
          <cell r="D92">
            <v>109491000.00000001</v>
          </cell>
          <cell r="F92">
            <v>0</v>
          </cell>
          <cell r="H92">
            <v>0</v>
          </cell>
          <cell r="I92">
            <v>0</v>
          </cell>
          <cell r="J92">
            <v>0</v>
          </cell>
          <cell r="K92">
            <v>0</v>
          </cell>
          <cell r="P92">
            <v>0</v>
          </cell>
          <cell r="Q92">
            <v>0</v>
          </cell>
          <cell r="R92">
            <v>0</v>
          </cell>
          <cell r="S92">
            <v>443164</v>
          </cell>
          <cell r="T92">
            <v>0</v>
          </cell>
          <cell r="U92">
            <v>443164</v>
          </cell>
          <cell r="V92">
            <v>-443164</v>
          </cell>
          <cell r="W92">
            <v>-443164</v>
          </cell>
        </row>
        <row r="93">
          <cell r="B93" t="str">
            <v>TC394</v>
          </cell>
          <cell r="C93" t="str">
            <v>INDO TECH TRANSFORMERS LTD</v>
          </cell>
          <cell r="D93">
            <v>6496000</v>
          </cell>
          <cell r="E93">
            <v>4703051</v>
          </cell>
          <cell r="F93">
            <v>49.03</v>
          </cell>
          <cell r="G93">
            <v>4658100</v>
          </cell>
          <cell r="H93">
            <v>44951</v>
          </cell>
          <cell r="I93">
            <v>0</v>
          </cell>
          <cell r="J93">
            <v>0</v>
          </cell>
          <cell r="K93">
            <v>4658100</v>
          </cell>
          <cell r="M93" t="str">
            <v>R</v>
          </cell>
          <cell r="P93">
            <v>0</v>
          </cell>
          <cell r="Q93">
            <v>4658100</v>
          </cell>
          <cell r="R93">
            <v>0</v>
          </cell>
          <cell r="S93">
            <v>5275703</v>
          </cell>
          <cell r="T93">
            <v>4658100</v>
          </cell>
          <cell r="U93">
            <v>5275703</v>
          </cell>
          <cell r="V93">
            <v>-617603</v>
          </cell>
          <cell r="W93">
            <v>-617603</v>
          </cell>
        </row>
        <row r="94">
          <cell r="B94" t="str">
            <v>TC395</v>
          </cell>
          <cell r="C94" t="str">
            <v>BUNDI I PVT LTD</v>
          </cell>
          <cell r="D94">
            <v>56585000</v>
          </cell>
          <cell r="E94">
            <v>25398745</v>
          </cell>
          <cell r="F94">
            <v>253.99</v>
          </cell>
          <cell r="G94">
            <v>25398745</v>
          </cell>
          <cell r="H94">
            <v>0</v>
          </cell>
          <cell r="I94">
            <v>0</v>
          </cell>
          <cell r="J94">
            <v>0</v>
          </cell>
          <cell r="K94">
            <v>25398745</v>
          </cell>
          <cell r="M94" t="str">
            <v>R</v>
          </cell>
          <cell r="P94">
            <v>0</v>
          </cell>
          <cell r="Q94">
            <v>25398745</v>
          </cell>
          <cell r="R94">
            <v>0</v>
          </cell>
          <cell r="S94">
            <v>26568920</v>
          </cell>
          <cell r="T94">
            <v>25398745</v>
          </cell>
          <cell r="U94">
            <v>26568920</v>
          </cell>
          <cell r="V94">
            <v>-1170175</v>
          </cell>
          <cell r="W94">
            <v>-1170175</v>
          </cell>
        </row>
        <row r="95">
          <cell r="B95" t="str">
            <v>TC399</v>
          </cell>
          <cell r="C95" t="str">
            <v>CAPRO ENGINEERING INDIA PVT LTD</v>
          </cell>
          <cell r="D95">
            <v>69470000</v>
          </cell>
          <cell r="E95">
            <v>17104178</v>
          </cell>
          <cell r="F95">
            <v>171.04</v>
          </cell>
          <cell r="G95">
            <v>16545680</v>
          </cell>
          <cell r="H95">
            <v>558498</v>
          </cell>
          <cell r="I95">
            <v>0</v>
          </cell>
          <cell r="J95">
            <v>0</v>
          </cell>
          <cell r="K95">
            <v>16545680</v>
          </cell>
          <cell r="P95">
            <v>0</v>
          </cell>
          <cell r="Q95">
            <v>0</v>
          </cell>
          <cell r="R95">
            <v>0</v>
          </cell>
          <cell r="S95">
            <v>16260784</v>
          </cell>
          <cell r="T95">
            <v>0</v>
          </cell>
          <cell r="U95">
            <v>16260784</v>
          </cell>
          <cell r="V95">
            <v>-16260784</v>
          </cell>
          <cell r="W95">
            <v>-16260784</v>
          </cell>
        </row>
        <row r="96">
          <cell r="B96" t="str">
            <v>TC400</v>
          </cell>
          <cell r="C96" t="str">
            <v>HEXAWARE TECHNOLOGIES</v>
          </cell>
          <cell r="D96">
            <v>1065500000</v>
          </cell>
          <cell r="E96">
            <v>72786220</v>
          </cell>
          <cell r="F96">
            <v>727.86</v>
          </cell>
          <cell r="G96">
            <v>55238692</v>
          </cell>
          <cell r="H96">
            <v>17547528</v>
          </cell>
          <cell r="I96">
            <v>0</v>
          </cell>
          <cell r="J96">
            <v>0</v>
          </cell>
          <cell r="K96">
            <v>55238692</v>
          </cell>
          <cell r="P96">
            <v>0</v>
          </cell>
          <cell r="Q96">
            <v>0</v>
          </cell>
          <cell r="R96">
            <v>0</v>
          </cell>
          <cell r="S96">
            <v>79562479.599999994</v>
          </cell>
          <cell r="T96">
            <v>0</v>
          </cell>
          <cell r="U96">
            <v>79562479.599999994</v>
          </cell>
          <cell r="V96">
            <v>-79562479.599999994</v>
          </cell>
          <cell r="W96">
            <v>-79562479.599999994</v>
          </cell>
        </row>
        <row r="97">
          <cell r="B97" t="str">
            <v>TC405</v>
          </cell>
          <cell r="C97" t="str">
            <v>GROUPO ANTOLIN</v>
          </cell>
          <cell r="D97">
            <v>64844000.000000007</v>
          </cell>
          <cell r="E97">
            <v>16222228</v>
          </cell>
          <cell r="F97">
            <v>162.22</v>
          </cell>
          <cell r="G97">
            <v>15753578</v>
          </cell>
          <cell r="H97">
            <v>468650</v>
          </cell>
          <cell r="I97">
            <v>0</v>
          </cell>
          <cell r="J97">
            <v>0</v>
          </cell>
          <cell r="K97">
            <v>15753578</v>
          </cell>
          <cell r="P97">
            <v>0</v>
          </cell>
          <cell r="Q97">
            <v>0</v>
          </cell>
          <cell r="R97">
            <v>0</v>
          </cell>
          <cell r="S97">
            <v>18527531</v>
          </cell>
          <cell r="T97">
            <v>0</v>
          </cell>
          <cell r="U97">
            <v>18527531</v>
          </cell>
          <cell r="V97">
            <v>-18527531</v>
          </cell>
          <cell r="W97">
            <v>-18527531</v>
          </cell>
        </row>
        <row r="98">
          <cell r="B98" t="str">
            <v>TC406</v>
          </cell>
          <cell r="C98" t="str">
            <v>KUPPURAJ IT PARK</v>
          </cell>
          <cell r="D98">
            <v>146740000</v>
          </cell>
          <cell r="E98">
            <v>27227625</v>
          </cell>
          <cell r="F98">
            <v>272.27999999999997</v>
          </cell>
          <cell r="G98">
            <v>20029858</v>
          </cell>
          <cell r="H98">
            <v>7197767</v>
          </cell>
          <cell r="I98">
            <v>0</v>
          </cell>
          <cell r="J98">
            <v>0</v>
          </cell>
          <cell r="K98">
            <v>20029858</v>
          </cell>
          <cell r="P98">
            <v>0</v>
          </cell>
          <cell r="Q98">
            <v>0</v>
          </cell>
          <cell r="R98">
            <v>0</v>
          </cell>
          <cell r="S98">
            <v>8366258</v>
          </cell>
          <cell r="T98">
            <v>0</v>
          </cell>
          <cell r="U98">
            <v>8366258</v>
          </cell>
          <cell r="V98">
            <v>-8366258</v>
          </cell>
          <cell r="W98">
            <v>-8366258</v>
          </cell>
        </row>
        <row r="99">
          <cell r="B99" t="str">
            <v>TC407</v>
          </cell>
          <cell r="C99" t="str">
            <v>ELNET-COIMBATORE</v>
          </cell>
        </row>
        <row r="100">
          <cell r="B100" t="str">
            <v>TC408</v>
          </cell>
          <cell r="C100" t="str">
            <v>H S I ( KI JUNG CONSTRUCTION )</v>
          </cell>
          <cell r="D100">
            <v>29068000</v>
          </cell>
          <cell r="E100">
            <v>5191882</v>
          </cell>
          <cell r="F100">
            <v>51.92</v>
          </cell>
          <cell r="G100">
            <v>5191882</v>
          </cell>
          <cell r="H100">
            <v>0</v>
          </cell>
          <cell r="I100">
            <v>0</v>
          </cell>
          <cell r="J100">
            <v>0</v>
          </cell>
          <cell r="K100">
            <v>5191882</v>
          </cell>
          <cell r="P100">
            <v>0</v>
          </cell>
          <cell r="Q100">
            <v>0</v>
          </cell>
          <cell r="R100">
            <v>0</v>
          </cell>
          <cell r="S100">
            <v>5115934</v>
          </cell>
          <cell r="T100">
            <v>0</v>
          </cell>
          <cell r="U100">
            <v>5115934</v>
          </cell>
          <cell r="V100">
            <v>-5115934</v>
          </cell>
          <cell r="W100">
            <v>-5115934</v>
          </cell>
        </row>
        <row r="101">
          <cell r="B101" t="str">
            <v>TC409</v>
          </cell>
          <cell r="C101" t="str">
            <v>TECHPRO SYSTEMS LTD</v>
          </cell>
          <cell r="D101">
            <v>111261999.99999999</v>
          </cell>
          <cell r="E101">
            <v>9501411</v>
          </cell>
          <cell r="F101">
            <v>95.01</v>
          </cell>
          <cell r="G101">
            <v>7969584</v>
          </cell>
          <cell r="H101">
            <v>1531827</v>
          </cell>
          <cell r="I101">
            <v>0</v>
          </cell>
          <cell r="J101">
            <v>0</v>
          </cell>
          <cell r="K101">
            <v>7969584</v>
          </cell>
          <cell r="P101">
            <v>0</v>
          </cell>
          <cell r="Q101">
            <v>0</v>
          </cell>
          <cell r="R101">
            <v>0</v>
          </cell>
          <cell r="S101">
            <v>8497369</v>
          </cell>
          <cell r="T101">
            <v>0</v>
          </cell>
          <cell r="U101">
            <v>8497369</v>
          </cell>
          <cell r="V101">
            <v>-8497369</v>
          </cell>
          <cell r="W101">
            <v>-8497369</v>
          </cell>
        </row>
        <row r="102">
          <cell r="B102" t="str">
            <v>TC410</v>
          </cell>
          <cell r="C102" t="str">
            <v>INDO AMERICAN SCHOOL,CHEYYAR</v>
          </cell>
          <cell r="D102">
            <v>15000000</v>
          </cell>
          <cell r="E102">
            <v>2094146</v>
          </cell>
          <cell r="F102">
            <v>20.94</v>
          </cell>
          <cell r="G102">
            <v>2094146</v>
          </cell>
          <cell r="H102">
            <v>0</v>
          </cell>
          <cell r="I102">
            <v>0</v>
          </cell>
          <cell r="J102">
            <v>0</v>
          </cell>
          <cell r="K102">
            <v>2094146</v>
          </cell>
          <cell r="P102">
            <v>0</v>
          </cell>
          <cell r="Q102">
            <v>0</v>
          </cell>
          <cell r="R102">
            <v>0</v>
          </cell>
          <cell r="S102">
            <v>4741900</v>
          </cell>
          <cell r="T102">
            <v>0</v>
          </cell>
          <cell r="U102">
            <v>4741900</v>
          </cell>
          <cell r="V102">
            <v>-4741900</v>
          </cell>
          <cell r="W102">
            <v>-4741900</v>
          </cell>
        </row>
        <row r="103">
          <cell r="B103" t="str">
            <v>TC411</v>
          </cell>
          <cell r="C103" t="str">
            <v>MIPL SDP V</v>
          </cell>
          <cell r="D103">
            <v>54940000</v>
          </cell>
          <cell r="E103">
            <v>1683808</v>
          </cell>
          <cell r="F103">
            <v>16.829999999999998</v>
          </cell>
          <cell r="H103">
            <v>1683808</v>
          </cell>
          <cell r="I103">
            <v>0</v>
          </cell>
          <cell r="J103">
            <v>0</v>
          </cell>
          <cell r="K103">
            <v>0</v>
          </cell>
          <cell r="P103">
            <v>0</v>
          </cell>
          <cell r="Q103">
            <v>0</v>
          </cell>
          <cell r="R103">
            <v>0</v>
          </cell>
          <cell r="S103">
            <v>3857815</v>
          </cell>
          <cell r="T103">
            <v>0</v>
          </cell>
          <cell r="U103">
            <v>3857815</v>
          </cell>
          <cell r="V103">
            <v>-3857815</v>
          </cell>
          <cell r="W103">
            <v>-3857815</v>
          </cell>
        </row>
        <row r="104">
          <cell r="B104" t="str">
            <v>TC412</v>
          </cell>
          <cell r="C104" t="str">
            <v>FOXCONN</v>
          </cell>
        </row>
        <row r="105">
          <cell r="B105" t="str">
            <v>TC418</v>
          </cell>
          <cell r="C105" t="str">
            <v>INDOTECH II</v>
          </cell>
        </row>
        <row r="106">
          <cell r="B106" t="str">
            <v>TC419</v>
          </cell>
          <cell r="C106" t="str">
            <v>CITI BANK - OFFICE BUILDING</v>
          </cell>
        </row>
        <row r="107">
          <cell r="B107" t="str">
            <v>TC420</v>
          </cell>
          <cell r="C107" t="str">
            <v>HEDONG CONSTRUCTION I PVT LTD</v>
          </cell>
          <cell r="D107">
            <v>51150000</v>
          </cell>
          <cell r="E107">
            <v>7019837</v>
          </cell>
          <cell r="F107">
            <v>70.2</v>
          </cell>
          <cell r="G107">
            <v>5324725</v>
          </cell>
          <cell r="H107">
            <v>1695112</v>
          </cell>
          <cell r="I107">
            <v>0</v>
          </cell>
          <cell r="J107">
            <v>0</v>
          </cell>
          <cell r="K107">
            <v>5324725</v>
          </cell>
          <cell r="P107">
            <v>0</v>
          </cell>
          <cell r="Q107">
            <v>0</v>
          </cell>
          <cell r="R107">
            <v>0</v>
          </cell>
          <cell r="S107">
            <v>3791177</v>
          </cell>
          <cell r="T107">
            <v>0</v>
          </cell>
          <cell r="U107">
            <v>3791177</v>
          </cell>
          <cell r="V107">
            <v>-3791177</v>
          </cell>
          <cell r="W107">
            <v>-3791177</v>
          </cell>
        </row>
        <row r="108">
          <cell r="B108" t="str">
            <v>TC423</v>
          </cell>
          <cell r="C108" t="str">
            <v>TRIUMPH - MARAIMALAI NAGAR</v>
          </cell>
        </row>
        <row r="109">
          <cell r="B109" t="str">
            <v>TC425</v>
          </cell>
          <cell r="C109" t="str">
            <v>AIRPORT - CHENNAI - CARGO</v>
          </cell>
        </row>
        <row r="110">
          <cell r="B110" t="str">
            <v>TC426</v>
          </cell>
          <cell r="C110" t="str">
            <v>SAMSON FOUNDATIONS - VEPERY</v>
          </cell>
        </row>
        <row r="111">
          <cell r="B111" t="str">
            <v>TC428</v>
          </cell>
          <cell r="C111" t="str">
            <v>MUTHRA - IRUNGATTUKOTTAI</v>
          </cell>
        </row>
        <row r="112">
          <cell r="B112" t="str">
            <v>TC430</v>
          </cell>
          <cell r="C112" t="str">
            <v>HYUNDAI ENGINE BLOCK SHOP</v>
          </cell>
        </row>
        <row r="113">
          <cell r="B113" t="str">
            <v>TC434</v>
          </cell>
          <cell r="C113" t="str">
            <v>SVEC BOYS AND GIRLS HOSTEL</v>
          </cell>
        </row>
        <row r="114">
          <cell r="B114" t="str">
            <v>TC438</v>
          </cell>
          <cell r="C114" t="str">
            <v>ASCENDAS MIPL III PHASE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Company Sheet"/>
      <sheetName val="Rank Report"/>
      <sheetName val="Menu"/>
      <sheetName val="Module1"/>
    </sheetNames>
    <sheetDataSet>
      <sheetData sheetId="0" refreshError="1">
        <row r="1">
          <cell r="DH1" t="str">
            <v>Total Market</v>
          </cell>
          <cell r="DR1">
            <v>20</v>
          </cell>
          <cell r="DU1" t="str">
            <v>Worldwide Companies</v>
          </cell>
        </row>
      </sheetData>
      <sheetData sheetId="1" refreshError="1"/>
      <sheetData sheetId="2" refreshError="1"/>
      <sheetData sheetId="3" refreshError="1"/>
      <sheetData sheetId="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
      <sheetName val="Figures"/>
      <sheetName val="projections"/>
      <sheetName val="Targets &amp; Cost cutting"/>
      <sheetName val="eval"/>
      <sheetName val="dayval"/>
      <sheetName val="debt"/>
      <sheetName val="dcf"/>
      <sheetName val="Oildisc"/>
      <sheetName val="assms"/>
      <sheetName val="chem"/>
      <sheetName val="r&amp;m"/>
      <sheetName val="Gas&amp;Power"/>
      <sheetName val="group e&amp;p"/>
      <sheetName val="ARCO_E&amp;P"/>
      <sheetName val="USA"/>
      <sheetName val="UK"/>
      <sheetName val="Europe"/>
      <sheetName val="RoW"/>
      <sheetName val="prodprofile"/>
      <sheetName val="lr"/>
      <sheetName val="SOP"/>
      <sheetName val="Amoco Cost savings"/>
      <sheetName val="Quarter"/>
      <sheetName val="NXp"/>
      <sheetName val="TNK-BP"/>
      <sheetName val="OLD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2)"/>
      <sheetName val="org rank"/>
      <sheetName val="Profile"/>
      <sheetName val="Capital"/>
      <sheetName val="Form."/>
      <sheetName val="DCF"/>
      <sheetName val="RMC"/>
      <sheetName val="Top Brands"/>
      <sheetName val="US -data"/>
      <sheetName val="Caraco"/>
      <sheetName val="merged fin."/>
      <sheetName val="Debt"/>
      <sheetName val="Tax"/>
      <sheetName val="Sales"/>
      <sheetName val="CapEx"/>
      <sheetName val="Input"/>
      <sheetName val="Sheet1"/>
      <sheetName val="Formats"/>
      <sheetName val="WICarrDataV2"/>
      <sheetName val="4QFY01"/>
      <sheetName val="result"/>
      <sheetName val="MJ"/>
      <sheetName val="reptable"/>
      <sheetName val="Calc"/>
      <sheetName val="VarName"/>
      <sheetName val="I-tax"/>
      <sheetName val="CoSheet"/>
      <sheetName val="Half Yearly"/>
      <sheetName val="MJ3Q"/>
      <sheetName val="Financials "/>
      <sheetName val="Introduction"/>
      <sheetName val="Operating Statistics"/>
      <sheetName val="Market Info"/>
      <sheetName val="FS1"/>
      <sheetName val="FS2"/>
      <sheetName val="Capex &amp; Depreciation"/>
      <sheetName val="Reporting"/>
      <sheetName val="Cover"/>
      <sheetName val="System_Defaults"/>
      <sheetName val="RBS"/>
      <sheetName val="Sheet3"/>
      <sheetName val="bonny"/>
      <sheetName val="Figures"/>
      <sheetName val="projections"/>
      <sheetName val="demand"/>
      <sheetName val="Front"/>
      <sheetName val="Sales_(2)"/>
      <sheetName val="org_rank"/>
      <sheetName val="Form_"/>
      <sheetName val="Top_Brands"/>
      <sheetName val="US_-data"/>
      <sheetName val="merged_fin_"/>
      <sheetName val="Half_Yearly"/>
      <sheetName val="Financials_"/>
      <sheetName val="Operating_Statistics"/>
      <sheetName val="Market_Info"/>
      <sheetName val="Capex_&amp;_Depreciation"/>
      <sheetName val="Model"/>
      <sheetName val="Charts &amp; Tables"/>
      <sheetName val="DCF_VDF"/>
      <sheetName val="NOPAT_VDF"/>
      <sheetName val="Invested capital_VDF"/>
      <sheetName val="Summary Page_VDF"/>
      <sheetName val="Income Statement_VDF"/>
      <sheetName val="Download_Qtr_LT"/>
      <sheetName val="CHN WIP"/>
      <sheetName val="Sales_(2)1"/>
      <sheetName val="org_rank1"/>
      <sheetName val="Form_1"/>
      <sheetName val="Top_Brands1"/>
      <sheetName val="US_-data1"/>
      <sheetName val="merged_fin_1"/>
      <sheetName val="Half_Yearly1"/>
      <sheetName val="Financials_1"/>
      <sheetName val="Operating_Statistics1"/>
      <sheetName val="Market_Info1"/>
      <sheetName val="Capex_&amp;_Depreciation1"/>
      <sheetName val="Charts_&amp;_Tables"/>
      <sheetName val="Invested_capital_VDF"/>
      <sheetName val="Summary_Page_VDF"/>
      <sheetName val="Income_Statement_VDF"/>
      <sheetName val="divmargins"/>
      <sheetName val="Balsheet"/>
      <sheetName val="Staff Acco."/>
      <sheetName val="SUNPHAR1"/>
      <sheetName val="List"/>
      <sheetName val="F-DCF"/>
      <sheetName val="mAssmp"/>
    </sheetNames>
    <sheetDataSet>
      <sheetData sheetId="0" refreshError="1"/>
      <sheetData sheetId="1" refreshError="1"/>
      <sheetData sheetId="2" refreshError="1">
        <row r="4">
          <cell r="D4" t="str">
            <v>Sun Pharmaceuticals</v>
          </cell>
        </row>
        <row r="5">
          <cell r="L5">
            <v>1993</v>
          </cell>
          <cell r="M5">
            <v>1994</v>
          </cell>
          <cell r="N5">
            <v>1995</v>
          </cell>
          <cell r="O5">
            <v>1996</v>
          </cell>
          <cell r="P5">
            <v>1997</v>
          </cell>
          <cell r="Q5" t="str">
            <v>1998E</v>
          </cell>
          <cell r="R5">
            <v>1998</v>
          </cell>
          <cell r="S5" t="str">
            <v>1999E</v>
          </cell>
          <cell r="T5">
            <v>1999</v>
          </cell>
          <cell r="U5" t="str">
            <v>2000E</v>
          </cell>
          <cell r="V5">
            <v>2000</v>
          </cell>
          <cell r="W5" t="str">
            <v>2001E</v>
          </cell>
          <cell r="X5">
            <v>2001</v>
          </cell>
          <cell r="Y5" t="str">
            <v>2002E</v>
          </cell>
          <cell r="Z5">
            <v>2002</v>
          </cell>
        </row>
        <row r="13">
          <cell r="K13" t="str">
            <v>Estimate Basis</v>
          </cell>
          <cell r="Q13" t="str">
            <v>A</v>
          </cell>
          <cell r="S13" t="str">
            <v>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39">
          <cell r="L139">
            <v>85.16</v>
          </cell>
        </row>
        <row r="257">
          <cell r="L257">
            <v>0</v>
          </cell>
          <cell r="M257">
            <v>84.97</v>
          </cell>
          <cell r="N257">
            <v>-74.855999999999995</v>
          </cell>
          <cell r="O257">
            <v>77.788000000000011</v>
          </cell>
          <cell r="P257">
            <v>-80.907000000000011</v>
          </cell>
          <cell r="Q257">
            <v>0</v>
          </cell>
          <cell r="R257">
            <v>267.90499999999997</v>
          </cell>
          <cell r="S257">
            <v>0</v>
          </cell>
          <cell r="T257">
            <v>-78.564999999999998</v>
          </cell>
          <cell r="U257">
            <v>-261.76499999999999</v>
          </cell>
          <cell r="V257">
            <v>-194.37400000000002</v>
          </cell>
          <cell r="W257">
            <v>-11.173999999999992</v>
          </cell>
          <cell r="X257">
            <v>272.93900000000002</v>
          </cell>
          <cell r="Y257">
            <v>0</v>
          </cell>
          <cell r="Z257">
            <v>0</v>
          </cell>
        </row>
        <row r="258">
          <cell r="L258">
            <v>0</v>
          </cell>
          <cell r="M258">
            <v>0</v>
          </cell>
          <cell r="N258">
            <v>57.691000000000003</v>
          </cell>
          <cell r="O258">
            <v>-49.821000000000005</v>
          </cell>
          <cell r="P258">
            <v>92.329999999999984</v>
          </cell>
          <cell r="Q258">
            <v>0</v>
          </cell>
          <cell r="R258">
            <v>-52.269999999999982</v>
          </cell>
          <cell r="S258">
            <v>0</v>
          </cell>
          <cell r="T258">
            <v>340.89699999999999</v>
          </cell>
          <cell r="U258">
            <v>140.89699999999999</v>
          </cell>
          <cell r="V258">
            <v>10.22399999999999</v>
          </cell>
          <cell r="W258">
            <v>159.99999999999994</v>
          </cell>
          <cell r="X258">
            <v>-511.12099999999992</v>
          </cell>
          <cell r="Y258">
            <v>200.00000000000011</v>
          </cell>
          <cell r="Z258">
            <v>0</v>
          </cell>
        </row>
      </sheetData>
      <sheetData sheetId="12" refreshError="1"/>
      <sheetData sheetId="13" refreshError="1"/>
      <sheetData sheetId="14" refreshError="1">
        <row r="81">
          <cell r="L81">
            <v>0</v>
          </cell>
        </row>
        <row r="117">
          <cell r="M117">
            <v>115.005</v>
          </cell>
          <cell r="N117">
            <v>171.37799999999999</v>
          </cell>
          <cell r="O117">
            <v>177.38000000000011</v>
          </cell>
          <cell r="P117">
            <v>139.46199999999988</v>
          </cell>
          <cell r="Q117" t="e">
            <v>#NAME?</v>
          </cell>
          <cell r="R117">
            <v>340.76600000000008</v>
          </cell>
          <cell r="S117" t="e">
            <v>#NAME?</v>
          </cell>
          <cell r="T117">
            <v>511.14499999999987</v>
          </cell>
          <cell r="U117">
            <v>181.10900000000038</v>
          </cell>
          <cell r="V117">
            <v>-103.47600000000034</v>
          </cell>
          <cell r="W117">
            <v>396.21268298022392</v>
          </cell>
          <cell r="X117" t="e">
            <v>#NAME?</v>
          </cell>
          <cell r="Y117">
            <v>350.00000000000045</v>
          </cell>
          <cell r="Z117" t="e">
            <v>#NAME?</v>
          </cell>
        </row>
      </sheetData>
      <sheetData sheetId="15" refreshError="1">
        <row r="30">
          <cell r="L30">
            <v>9</v>
          </cell>
        </row>
        <row r="46">
          <cell r="L46">
            <v>0</v>
          </cell>
          <cell r="M46">
            <v>62.849999999999994</v>
          </cell>
          <cell r="N46">
            <v>75.75</v>
          </cell>
          <cell r="O46">
            <v>0.35600000000002296</v>
          </cell>
          <cell r="P46">
            <v>2.5999999999982037E-2</v>
          </cell>
          <cell r="Q46">
            <v>4.1499999999999773</v>
          </cell>
          <cell r="R46">
            <v>0</v>
          </cell>
          <cell r="S46">
            <v>0</v>
          </cell>
          <cell r="T46">
            <v>503.83100000000002</v>
          </cell>
          <cell r="U46">
            <v>497.61800000000005</v>
          </cell>
          <cell r="V46">
            <v>297.38699999999994</v>
          </cell>
          <cell r="W46">
            <v>144.81666666666661</v>
          </cell>
          <cell r="X46">
            <v>4.8000000000000682</v>
          </cell>
          <cell r="Y46">
            <v>-327.16666666666663</v>
          </cell>
          <cell r="Z46">
            <v>-315.26800000000003</v>
          </cell>
        </row>
        <row r="47">
          <cell r="L47">
            <v>0</v>
          </cell>
          <cell r="M47">
            <v>18.324999999999999</v>
          </cell>
          <cell r="N47">
            <v>520.66599999999994</v>
          </cell>
          <cell r="O47">
            <v>5.4119999999999209</v>
          </cell>
          <cell r="P47">
            <v>0.36400000000003274</v>
          </cell>
          <cell r="Q47">
            <v>0</v>
          </cell>
          <cell r="R47">
            <v>2.3410000000000082</v>
          </cell>
          <cell r="S47">
            <v>0</v>
          </cell>
          <cell r="T47">
            <v>1.4999999999986358E-2</v>
          </cell>
          <cell r="U47">
            <v>18.073999999999955</v>
          </cell>
          <cell r="V47">
            <v>18.058999999999969</v>
          </cell>
          <cell r="W47">
            <v>0</v>
          </cell>
          <cell r="X47">
            <v>2.3410000000000082</v>
          </cell>
          <cell r="Y47">
            <v>0</v>
          </cell>
          <cell r="Z47">
            <v>0</v>
          </cell>
        </row>
        <row r="99">
          <cell r="L99">
            <v>0</v>
          </cell>
          <cell r="M99">
            <v>1.0000000000000009E-3</v>
          </cell>
          <cell r="N99">
            <v>31.792999999999999</v>
          </cell>
          <cell r="O99">
            <v>40.836000000000006</v>
          </cell>
          <cell r="P99">
            <v>96.296000000000006</v>
          </cell>
          <cell r="Q99">
            <v>226</v>
          </cell>
          <cell r="R99">
            <v>288.24</v>
          </cell>
          <cell r="S99">
            <v>160</v>
          </cell>
          <cell r="T99">
            <v>102.86099999999999</v>
          </cell>
          <cell r="U99">
            <v>-59.045000000000016</v>
          </cell>
          <cell r="V99">
            <v>-560.18700000000001</v>
          </cell>
          <cell r="W99">
            <v>0</v>
          </cell>
          <cell r="X99">
            <v>180.52599999999998</v>
          </cell>
          <cell r="Y99">
            <v>0</v>
          </cell>
          <cell r="Z99">
            <v>0</v>
          </cell>
        </row>
        <row r="100">
          <cell r="L100">
            <v>0</v>
          </cell>
          <cell r="M100">
            <v>-1.0000000000000009E-3</v>
          </cell>
          <cell r="N100">
            <v>0</v>
          </cell>
          <cell r="O100">
            <v>0</v>
          </cell>
          <cell r="P100">
            <v>0</v>
          </cell>
          <cell r="Q100">
            <v>96.699999999999989</v>
          </cell>
          <cell r="R100">
            <v>0</v>
          </cell>
          <cell r="S100">
            <v>79.899999999999977</v>
          </cell>
          <cell r="T100">
            <v>0</v>
          </cell>
          <cell r="U100">
            <v>0</v>
          </cell>
          <cell r="V100">
            <v>105.07</v>
          </cell>
          <cell r="W100">
            <v>336.00000000000006</v>
          </cell>
          <cell r="X100">
            <v>507.726</v>
          </cell>
          <cell r="Y100">
            <v>200</v>
          </cell>
          <cell r="Z100">
            <v>-50</v>
          </cell>
        </row>
        <row r="101">
          <cell r="L101">
            <v>0</v>
          </cell>
          <cell r="M101">
            <v>43.822999999999993</v>
          </cell>
          <cell r="N101">
            <v>569.245</v>
          </cell>
          <cell r="O101">
            <v>142.06099999999992</v>
          </cell>
          <cell r="P101">
            <v>21.125000000000114</v>
          </cell>
          <cell r="Q101" t="e">
            <v>#NAME?</v>
          </cell>
          <cell r="R101">
            <v>161.27500000000009</v>
          </cell>
          <cell r="S101" t="e">
            <v>#NAME?</v>
          </cell>
          <cell r="T101">
            <v>533.24199999999973</v>
          </cell>
          <cell r="U101">
            <v>246.82200000000034</v>
          </cell>
          <cell r="V101">
            <v>-425.09400000000005</v>
          </cell>
          <cell r="W101">
            <v>651.53679843749933</v>
          </cell>
          <cell r="X101" t="e">
            <v>#NAME?</v>
          </cell>
          <cell r="Y101">
            <v>547.32857706042341</v>
          </cell>
          <cell r="Z101" t="e">
            <v>#NAME?</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Inc"/>
      <sheetName val="PL-Proj"/>
      <sheetName val="BS-Proj"/>
      <sheetName val="CF-Proj"/>
      <sheetName val="Assumptions"/>
      <sheetName val="Qtrly"/>
      <sheetName val="Summary"/>
      <sheetName val="Qtrly Tab"/>
      <sheetName val="Excise Duty"/>
      <sheetName val="Structure"/>
      <sheetName val="Business"/>
      <sheetName val="Denim"/>
      <sheetName val="Denim-Peer"/>
      <sheetName val="Industry"/>
      <sheetName val="Peer Info"/>
      <sheetName val="Mgt Q"/>
      <sheetName val="Validation"/>
      <sheetName val="SWOT"/>
    </sheetNames>
    <sheetDataSet>
      <sheetData sheetId="0"/>
      <sheetData sheetId="1"/>
      <sheetData sheetId="2"/>
      <sheetData sheetId="3"/>
      <sheetData sheetId="4"/>
      <sheetData sheetId="5">
        <row r="21">
          <cell r="AH21">
            <v>744.9</v>
          </cell>
        </row>
      </sheetData>
      <sheetData sheetId="6"/>
      <sheetData sheetId="7">
        <row r="66">
          <cell r="D66" t="str">
            <v>Sales</v>
          </cell>
        </row>
      </sheetData>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BankXRef"/>
      <sheetName val="Buffer"/>
      <sheetName val="MenuData"/>
      <sheetName val="TPBANK"/>
      <sheetName val="consumption"/>
      <sheetName val="excise"/>
      <sheetName val="demo"/>
      <sheetName val="global"/>
      <sheetName val="rural"/>
      <sheetName val="#REF"/>
      <sheetName val="Financials"/>
      <sheetName val="Mar97"/>
      <sheetName val="RBS"/>
      <sheetName val="Database"/>
      <sheetName val="TPBANK.XLS"/>
      <sheetName val="data"/>
    </sheetNames>
    <definedNames>
      <definedName name="Macro2"/>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ass"/>
      <sheetName val="FPage Table"/>
      <sheetName val="First Page "/>
      <sheetName val="Financials"/>
      <sheetName val="DCF(Final)"/>
      <sheetName val="Fin'l data"/>
      <sheetName val="Cashflow"/>
      <sheetName val="Hlf yearly"/>
      <sheetName val="Q-dbase"/>
      <sheetName val="Op stats"/>
      <sheetName val="EBITDA est."/>
      <sheetName val="Capex &amp; Depreciation"/>
      <sheetName val="Debt (2)"/>
      <sheetName val="Income Tax"/>
      <sheetName val="OI"/>
      <sheetName val="Queries"/>
      <sheetName val="People"/>
      <sheetName val="industry"/>
      <sheetName val="Brands"/>
      <sheetName val="Tables"/>
      <sheetName val="tariff"/>
      <sheetName val="DCF"/>
      <sheetName val="Data"/>
      <sheetName val="Capital History"/>
      <sheetName val="Rep-opstat"/>
      <sheetName val="EBITDA"/>
      <sheetName val="Sheet2"/>
      <sheetName val="Introduction"/>
      <sheetName val="commodity price"/>
      <sheetName val="NCDs+Warrants"/>
      <sheetName val="Graph"/>
      <sheetName val="Financials1"/>
      <sheetName val="FS1"/>
      <sheetName val="FS2"/>
      <sheetName val="One Pager"/>
      <sheetName val="Market info"/>
      <sheetName val="Sheet1"/>
      <sheetName val="eva summary"/>
      <sheetName val="eva summary (2)"/>
      <sheetName val="Operating Statistics"/>
      <sheetName val="Debt"/>
      <sheetName val="Sheet3"/>
      <sheetName val="Forex"/>
      <sheetName val="ASPN"/>
      <sheetName val="Main Sheet"/>
      <sheetName val="Crude prod"/>
      <sheetName val="Model"/>
      <sheetName val="Inc-Yr Summary"/>
      <sheetName val="Earning_Assum"/>
      <sheetName val="Black-Scholes"/>
      <sheetName val="ANI"/>
      <sheetName val="Assets"/>
      <sheetName val="Core Tax"/>
      <sheetName val="Coverage %"/>
      <sheetName val="CV"/>
      <sheetName val="CV ANI %"/>
      <sheetName val="Effective Tax Rate"/>
      <sheetName val="ENI"/>
      <sheetName val="Financing Receivables"/>
      <sheetName val="FX BS"/>
      <sheetName val="FX P&amp;L"/>
      <sheetName val="Goodwill"/>
      <sheetName val="Headcount"/>
      <sheetName val="Income Before Taxes"/>
      <sheetName val="Interest"/>
      <sheetName val="Interest ANI %"/>
      <sheetName val="Losses"/>
      <sheetName val="Losses ANI %"/>
      <sheetName val="Net Earning Assets"/>
      <sheetName val="OP Admin"/>
      <sheetName val="OP Admin ANI %"/>
      <sheetName val="OPEX"/>
      <sheetName val="OPEX ANI %"/>
      <sheetName val="OPEX CV %"/>
      <sheetName val="Provision For Taxes"/>
      <sheetName val="Reserves"/>
      <sheetName val="Served Assets"/>
      <sheetName val="SG&amp;A"/>
      <sheetName val="SG&amp;A ANI %"/>
      <sheetName val="Workforce"/>
      <sheetName val="Write Offs"/>
      <sheetName val="Write Offs ANI %"/>
      <sheetName val="Allocated NI"/>
      <sheetName val="Database"/>
      <sheetName val="UploadCheck"/>
      <sheetName val="BS"/>
      <sheetName val="comp sheet"/>
      <sheetName val="BS Schedules"/>
      <sheetName val="cash flow"/>
      <sheetName val="CostBreakup"/>
      <sheetName val="Sales"/>
      <sheetName val="RM"/>
      <sheetName val="consol vs standalone"/>
      <sheetName val="PL"/>
      <sheetName val="quarterlies"/>
      <sheetName val="Q Res"/>
      <sheetName val="Std "/>
      <sheetName val="segmental"/>
      <sheetName val="simple"/>
      <sheetName val="valmat"/>
      <sheetName val="WACC"/>
      <sheetName val="Paints Market"/>
      <sheetName val="results"/>
      <sheetName val="four pager"/>
      <sheetName val="consolidation"/>
      <sheetName val="charts"/>
      <sheetName val="Interims"/>
      <sheetName val="GEMiUploadCheck"/>
      <sheetName val="GEMiUploadError"/>
      <sheetName val="altzmaan etc"/>
      <sheetName val="divisional performance"/>
      <sheetName val="Cover"/>
      <sheetName val="Financial2"/>
      <sheetName val="quarterlies Consol"/>
      <sheetName val="cons qtr"/>
      <sheetName val="berger"/>
      <sheetName val="3Q02"/>
      <sheetName val="for mps"/>
      <sheetName val="margins"/>
      <sheetName val="corr"/>
      <sheetName val="cashflows"/>
      <sheetName val="ebitda margin"/>
      <sheetName val="net margins"/>
      <sheetName val="pe"/>
      <sheetName val="mcapsales"/>
      <sheetName val="gwccycle"/>
      <sheetName val="roe"/>
      <sheetName val="salbrkup"/>
      <sheetName val="wcap"/>
      <sheetName val="paint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9">
          <cell r="E9" t="str">
            <v>Working Draft</v>
          </cell>
        </row>
        <row r="10">
          <cell r="E10">
            <v>35045</v>
          </cell>
        </row>
        <row r="14">
          <cell r="E14" t="str">
            <v>Rs</v>
          </cell>
        </row>
        <row r="15">
          <cell r="E15" t="str">
            <v>m</v>
          </cell>
        </row>
        <row r="17">
          <cell r="E17" t="str">
            <v>31 March</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refreshError="1"/>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Month End Stock Prices"/>
      <sheetName val="PBI ESO"/>
      <sheetName val="ANC ESO"/>
      <sheetName val="ANT ESO New"/>
      <sheetName val="ANT-ESO"/>
      <sheetName val="Black-Scholes"/>
      <sheetName val="ANT ESO Backup"/>
      <sheetName val="Header"/>
      <sheetName val="1"/>
      <sheetName val="P&amp;L(F)"/>
      <sheetName val="TB"/>
      <sheetName val="Presentation"/>
      <sheetName val="XII_Plan_Mkt_shr"/>
      <sheetName val="RR(P)"/>
      <sheetName val="Tables"/>
      <sheetName val="Segment"/>
      <sheetName val="Capacity"/>
      <sheetName val="Orders-Power"/>
      <sheetName val="Supercritcal"/>
      <sheetName val="Sales_table"/>
      <sheetName val="EE"/>
      <sheetName val="Market"/>
      <sheetName val="Bidding"/>
      <sheetName val="systems"/>
      <sheetName val="data"/>
      <sheetName val="bhel(p)"/>
    </sheetNames>
    <sheetDataSet>
      <sheetData sheetId="0"/>
      <sheetData sheetId="1"/>
      <sheetData sheetId="2"/>
      <sheetData sheetId="3"/>
      <sheetData sheetId="4"/>
      <sheetData sheetId="5"/>
      <sheetData sheetId="6">
        <row r="7">
          <cell r="B7">
            <v>0.66348601741202795</v>
          </cell>
        </row>
      </sheetData>
      <sheetData sheetId="7"/>
      <sheetData sheetId="8" refreshError="1"/>
      <sheetData sheetId="9" refreshError="1"/>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Monthly Stock Prices"/>
      <sheetName val="PBI ESO"/>
      <sheetName val="Black-Scholes"/>
      <sheetName val="PBI ESO - Old"/>
    </sheetNames>
    <sheetDataSet>
      <sheetData sheetId="0"/>
      <sheetData sheetId="1"/>
      <sheetData sheetId="2"/>
      <sheetData sheetId="3"/>
      <sheetData sheetId="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3)"/>
      <sheetName val="Sheet1"/>
      <sheetName val="Sheet2"/>
      <sheetName val="Sheet1 (2)"/>
      <sheetName val="jobwise"/>
      <sheetName val="Sheet1_(3)"/>
      <sheetName val="Sheet1_(2)"/>
      <sheetName val="Key"/>
      <sheetName val="DCF"/>
      <sheetName val="input"/>
      <sheetName val="profile"/>
      <sheetName val="Bhira"/>
      <sheetName val="Bhivpuri"/>
      <sheetName val="Khopoli"/>
      <sheetName val="P&amp;L"/>
    </sheetNames>
    <sheetDataSet>
      <sheetData sheetId="0" refreshError="1"/>
      <sheetData sheetId="1" refreshError="1"/>
      <sheetData sheetId="2" refreshError="1">
        <row r="2">
          <cell r="C2" t="str">
            <v>EC173</v>
          </cell>
          <cell r="D2" t="str">
            <v>EC215</v>
          </cell>
          <cell r="E2" t="str">
            <v>TC145</v>
          </cell>
          <cell r="F2" t="str">
            <v>TC163</v>
          </cell>
          <cell r="G2" t="str">
            <v>TC169</v>
          </cell>
          <cell r="H2" t="str">
            <v>TC189</v>
          </cell>
          <cell r="I2" t="str">
            <v>TC196</v>
          </cell>
          <cell r="J2" t="str">
            <v>TC200</v>
          </cell>
          <cell r="K2" t="str">
            <v>TC203</v>
          </cell>
          <cell r="L2" t="str">
            <v>TC219</v>
          </cell>
          <cell r="M2" t="str">
            <v>TC223</v>
          </cell>
          <cell r="N2" t="str">
            <v>TC229</v>
          </cell>
          <cell r="O2" t="str">
            <v>TC231</v>
          </cell>
          <cell r="P2" t="str">
            <v>TC233</v>
          </cell>
          <cell r="Q2" t="str">
            <v>TC237</v>
          </cell>
          <cell r="R2" t="str">
            <v>TC241</v>
          </cell>
          <cell r="S2" t="str">
            <v>TC242</v>
          </cell>
          <cell r="T2" t="str">
            <v>TC243</v>
          </cell>
          <cell r="U2" t="str">
            <v>TC246</v>
          </cell>
          <cell r="V2" t="str">
            <v>TC248</v>
          </cell>
          <cell r="W2" t="str">
            <v>TC256</v>
          </cell>
          <cell r="X2" t="str">
            <v>TC259</v>
          </cell>
          <cell r="Y2" t="str">
            <v>TC262</v>
          </cell>
          <cell r="Z2" t="str">
            <v>TC263</v>
          </cell>
          <cell r="AA2" t="str">
            <v>TC264</v>
          </cell>
          <cell r="AB2" t="str">
            <v>TC265</v>
          </cell>
          <cell r="AC2" t="str">
            <v>TC271</v>
          </cell>
          <cell r="AD2" t="str">
            <v>TC273</v>
          </cell>
          <cell r="AE2" t="str">
            <v>TC274</v>
          </cell>
          <cell r="AF2" t="str">
            <v>TC275</v>
          </cell>
          <cell r="AG2" t="str">
            <v>TC280</v>
          </cell>
          <cell r="AH2" t="str">
            <v>TC281</v>
          </cell>
          <cell r="AI2" t="str">
            <v>TC283</v>
          </cell>
          <cell r="AJ2" t="str">
            <v>TC284</v>
          </cell>
          <cell r="AK2" t="str">
            <v>TC285</v>
          </cell>
          <cell r="AL2" t="str">
            <v>TC293</v>
          </cell>
          <cell r="AM2" t="str">
            <v>TC296</v>
          </cell>
          <cell r="AN2" t="str">
            <v>TC297</v>
          </cell>
          <cell r="AO2" t="str">
            <v>TC298</v>
          </cell>
          <cell r="AP2" t="str">
            <v>TC301</v>
          </cell>
          <cell r="AQ2" t="str">
            <v>TC302</v>
          </cell>
          <cell r="AR2" t="str">
            <v>TC306</v>
          </cell>
          <cell r="AS2" t="str">
            <v>TC307</v>
          </cell>
          <cell r="AT2" t="str">
            <v>TC309</v>
          </cell>
          <cell r="AU2" t="str">
            <v>TC310</v>
          </cell>
          <cell r="AV2" t="str">
            <v>TC312</v>
          </cell>
          <cell r="AW2" t="str">
            <v>TC313</v>
          </cell>
          <cell r="AX2" t="str">
            <v>TC314</v>
          </cell>
          <cell r="AY2" t="str">
            <v>TC315</v>
          </cell>
          <cell r="AZ2" t="str">
            <v>TC316</v>
          </cell>
          <cell r="BA2" t="str">
            <v>TC317</v>
          </cell>
          <cell r="BB2" t="str">
            <v>TC319</v>
          </cell>
          <cell r="BC2" t="str">
            <v>TC323</v>
          </cell>
          <cell r="BD2" t="str">
            <v>TC324</v>
          </cell>
          <cell r="BE2" t="str">
            <v>TC325</v>
          </cell>
          <cell r="BF2" t="str">
            <v>TC328</v>
          </cell>
          <cell r="BG2" t="str">
            <v>TC329</v>
          </cell>
          <cell r="BH2" t="str">
            <v>TC330</v>
          </cell>
          <cell r="BI2" t="str">
            <v>TC331</v>
          </cell>
          <cell r="BJ2" t="str">
            <v>TC333</v>
          </cell>
          <cell r="BK2" t="str">
            <v>TC337</v>
          </cell>
          <cell r="BL2" t="str">
            <v>TC341</v>
          </cell>
          <cell r="BM2" t="str">
            <v>TC344</v>
          </cell>
          <cell r="BN2" t="str">
            <v>TC345</v>
          </cell>
          <cell r="BO2" t="str">
            <v>TC349</v>
          </cell>
          <cell r="BP2" t="str">
            <v>TC351</v>
          </cell>
          <cell r="BQ2" t="str">
            <v>TC352</v>
          </cell>
          <cell r="BR2" t="str">
            <v>TC353</v>
          </cell>
          <cell r="BS2" t="str">
            <v>TC354</v>
          </cell>
          <cell r="BT2" t="str">
            <v>TC357</v>
          </cell>
          <cell r="BU2" t="str">
            <v>TC358</v>
          </cell>
          <cell r="BV2" t="str">
            <v>TC359</v>
          </cell>
          <cell r="BW2" t="str">
            <v>TC360</v>
          </cell>
          <cell r="BX2" t="str">
            <v>TC370</v>
          </cell>
          <cell r="BY2" t="str">
            <v>TC373</v>
          </cell>
          <cell r="BZ2" t="str">
            <v>TC374</v>
          </cell>
          <cell r="CA2" t="str">
            <v>TC375</v>
          </cell>
          <cell r="CB2" t="str">
            <v>TC376</v>
          </cell>
          <cell r="CC2" t="str">
            <v>TC377</v>
          </cell>
          <cell r="CD2" t="str">
            <v>TC378</v>
          </cell>
          <cell r="CE2" t="str">
            <v>TC379</v>
          </cell>
          <cell r="CF2" t="str">
            <v>TC380</v>
          </cell>
          <cell r="CG2" t="str">
            <v>TC385</v>
          </cell>
          <cell r="CH2" t="str">
            <v>TC386</v>
          </cell>
          <cell r="CI2" t="str">
            <v>TC387</v>
          </cell>
          <cell r="CJ2" t="str">
            <v>TC391</v>
          </cell>
          <cell r="CK2" t="str">
            <v>TC392</v>
          </cell>
          <cell r="CL2" t="str">
            <v>TC393</v>
          </cell>
          <cell r="CM2" t="str">
            <v>TC394</v>
          </cell>
          <cell r="CN2" t="str">
            <v>TC395</v>
          </cell>
          <cell r="CO2" t="str">
            <v>TC399</v>
          </cell>
          <cell r="CP2" t="str">
            <v>TC400</v>
          </cell>
          <cell r="CQ2" t="str">
            <v>TC405</v>
          </cell>
          <cell r="CR2" t="str">
            <v>DC161</v>
          </cell>
          <cell r="CS2" t="str">
            <v>DC165</v>
          </cell>
          <cell r="CT2" t="str">
            <v>DC176</v>
          </cell>
          <cell r="CU2" t="str">
            <v>DC198</v>
          </cell>
          <cell r="CV2" t="str">
            <v>RC205</v>
          </cell>
          <cell r="CW2" t="str">
            <v>DC216</v>
          </cell>
          <cell r="CX2" t="str">
            <v>DC232</v>
          </cell>
          <cell r="CY2" t="str">
            <v>DC234</v>
          </cell>
          <cell r="CZ2" t="str">
            <v>DC269</v>
          </cell>
          <cell r="DA2" t="str">
            <v>DC291</v>
          </cell>
          <cell r="DB2" t="str">
            <v>DC294</v>
          </cell>
          <cell r="DC2" t="str">
            <v>DC311</v>
          </cell>
          <cell r="DD2" t="str">
            <v>DC322</v>
          </cell>
          <cell r="DE2" t="str">
            <v>DC335</v>
          </cell>
          <cell r="DF2" t="str">
            <v>DC384</v>
          </cell>
          <cell r="DG2" t="str">
            <v>DC389</v>
          </cell>
          <cell r="DH2" t="str">
            <v>DC390</v>
          </cell>
          <cell r="DI2" t="str">
            <v>DC401</v>
          </cell>
          <cell r="DJ2" t="str">
            <v>KC150</v>
          </cell>
          <cell r="DK2" t="str">
            <v>KC179</v>
          </cell>
          <cell r="DL2" t="str">
            <v>KC191</v>
          </cell>
          <cell r="DM2" t="str">
            <v>KC192</v>
          </cell>
          <cell r="DN2" t="str">
            <v>KC201</v>
          </cell>
          <cell r="DO2" t="str">
            <v>KC221</v>
          </cell>
          <cell r="DP2" t="str">
            <v>KC222</v>
          </cell>
          <cell r="DQ2" t="str">
            <v>KC226</v>
          </cell>
          <cell r="DR2" t="str">
            <v>KC236</v>
          </cell>
          <cell r="DS2" t="str">
            <v>KC238</v>
          </cell>
          <cell r="DT2" t="str">
            <v>KC243</v>
          </cell>
          <cell r="DU2" t="str">
            <v>KC250</v>
          </cell>
          <cell r="DV2" t="str">
            <v>KC252</v>
          </cell>
          <cell r="DW2" t="str">
            <v>KC254</v>
          </cell>
          <cell r="DX2" t="str">
            <v>KC257</v>
          </cell>
          <cell r="DY2" t="str">
            <v>KC258</v>
          </cell>
          <cell r="DZ2" t="str">
            <v>KC260</v>
          </cell>
          <cell r="EA2" t="str">
            <v>KC267</v>
          </cell>
          <cell r="EB2" t="str">
            <v>KC268</v>
          </cell>
          <cell r="EC2" t="str">
            <v>KC270</v>
          </cell>
          <cell r="ED2" t="str">
            <v>KC276</v>
          </cell>
          <cell r="EE2" t="str">
            <v>KC277</v>
          </cell>
          <cell r="EF2" t="str">
            <v>KC278</v>
          </cell>
          <cell r="EG2" t="str">
            <v>KC279</v>
          </cell>
          <cell r="EH2" t="str">
            <v>KC286</v>
          </cell>
          <cell r="EI2" t="str">
            <v>KC287</v>
          </cell>
          <cell r="EJ2" t="str">
            <v>KC288</v>
          </cell>
          <cell r="EK2" t="str">
            <v>KC289</v>
          </cell>
          <cell r="EL2" t="str">
            <v>KC292</v>
          </cell>
          <cell r="EM2" t="str">
            <v>KC295</v>
          </cell>
          <cell r="EN2" t="str">
            <v>KC303</v>
          </cell>
          <cell r="EO2" t="str">
            <v>KC304</v>
          </cell>
          <cell r="EP2" t="str">
            <v>KC308</v>
          </cell>
          <cell r="EQ2" t="str">
            <v>KC320</v>
          </cell>
          <cell r="ER2" t="str">
            <v>KC321</v>
          </cell>
          <cell r="ES2" t="str">
            <v>KC327</v>
          </cell>
          <cell r="ET2" t="str">
            <v>KC332</v>
          </cell>
          <cell r="EU2" t="str">
            <v>KC334</v>
          </cell>
          <cell r="EV2" t="str">
            <v>KC336</v>
          </cell>
          <cell r="EW2" t="str">
            <v>KC342</v>
          </cell>
          <cell r="EX2" t="str">
            <v>KC343</v>
          </cell>
          <cell r="EY2" t="str">
            <v>KC346</v>
          </cell>
          <cell r="EZ2" t="str">
            <v>KC347</v>
          </cell>
          <cell r="FA2" t="str">
            <v>KC348</v>
          </cell>
          <cell r="FB2" t="str">
            <v>KC350</v>
          </cell>
          <cell r="FC2" t="str">
            <v>KC355</v>
          </cell>
          <cell r="FD2" t="str">
            <v>KC364</v>
          </cell>
          <cell r="FE2" t="str">
            <v>KC365</v>
          </cell>
          <cell r="FF2" t="str">
            <v>KC388</v>
          </cell>
          <cell r="FG2" t="str">
            <v>KC402</v>
          </cell>
          <cell r="FH2" t="str">
            <v>KC403</v>
          </cell>
          <cell r="FI2" t="str">
            <v>TC356</v>
          </cell>
          <cell r="FJ2" t="str">
            <v>TC372</v>
          </cell>
          <cell r="FK2" t="str">
            <v>AC147</v>
          </cell>
          <cell r="FL2" t="str">
            <v>AC162</v>
          </cell>
          <cell r="FM2" t="str">
            <v>AC187</v>
          </cell>
          <cell r="FN2" t="str">
            <v>AC217</v>
          </cell>
          <cell r="FO2" t="str">
            <v>AC227</v>
          </cell>
          <cell r="FP2" t="str">
            <v>AC235</v>
          </cell>
          <cell r="FQ2" t="str">
            <v>AC240</v>
          </cell>
          <cell r="FR2" t="str">
            <v>AC253</v>
          </cell>
          <cell r="FS2" t="str">
            <v>AC255</v>
          </cell>
          <cell r="FT2" t="str">
            <v>AC261</v>
          </cell>
          <cell r="FU2" t="str">
            <v>AC272</v>
          </cell>
          <cell r="FV2" t="str">
            <v>AC282</v>
          </cell>
          <cell r="FW2" t="str">
            <v>AC290</v>
          </cell>
          <cell r="FX2" t="str">
            <v>AC299</v>
          </cell>
          <cell r="FY2" t="str">
            <v>AC300</v>
          </cell>
          <cell r="FZ2" t="str">
            <v>AC305</v>
          </cell>
          <cell r="GA2" t="str">
            <v>AC318</v>
          </cell>
          <cell r="GB2" t="str">
            <v>AC326</v>
          </cell>
          <cell r="GC2" t="str">
            <v>AC338</v>
          </cell>
          <cell r="GD2" t="str">
            <v>AC339</v>
          </cell>
          <cell r="GE2" t="str">
            <v>AC340</v>
          </cell>
          <cell r="GF2" t="str">
            <v>AC362</v>
          </cell>
          <cell r="GG2" t="str">
            <v>AC361</v>
          </cell>
          <cell r="GH2" t="str">
            <v>AC366</v>
          </cell>
          <cell r="GI2" t="str">
            <v>AC367</v>
          </cell>
          <cell r="GJ2" t="str">
            <v>AC368</v>
          </cell>
          <cell r="GK2" t="str">
            <v>AC369</v>
          </cell>
          <cell r="GL2" t="str">
            <v>AC371</v>
          </cell>
          <cell r="GM2" t="str">
            <v>AC381</v>
          </cell>
          <cell r="GN2" t="str">
            <v>AC382</v>
          </cell>
          <cell r="GO2" t="str">
            <v>AC383</v>
          </cell>
          <cell r="GP2" t="str">
            <v>AC396</v>
          </cell>
          <cell r="GQ2" t="str">
            <v>AC397</v>
          </cell>
          <cell r="GR2" t="str">
            <v>AC398</v>
          </cell>
          <cell r="GS2" t="str">
            <v>AC404</v>
          </cell>
        </row>
        <row r="3">
          <cell r="C3" t="str">
            <v>SANKARA COLLEGE -  KALADI PHASE II</v>
          </cell>
          <cell r="D3" t="str">
            <v>TECHNO POLIS</v>
          </cell>
          <cell r="E3" t="str">
            <v>TWAD BOARD  MADURANDHAGAM</v>
          </cell>
          <cell r="F3" t="str">
            <v>COKE SIVAGANGA</v>
          </cell>
          <cell r="G3" t="str">
            <v>CHENNAI TRADE CENTRE  MANAPAKKAM</v>
          </cell>
          <cell r="H3" t="str">
            <v>HCL-RALLIES</v>
          </cell>
          <cell r="I3" t="str">
            <v>BDHC</v>
          </cell>
          <cell r="J3" t="str">
            <v>ARIHANT VAIKUNTH</v>
          </cell>
          <cell r="K3" t="str">
            <v>MITSUBA SICAL</v>
          </cell>
          <cell r="L3" t="str">
            <v>GRUNDFOS</v>
          </cell>
          <cell r="M3" t="str">
            <v>AMBATTUR CLOTHING LTD - MEPZ</v>
          </cell>
          <cell r="N3" t="str">
            <v>SRI KUMARAN TEXTILES</v>
          </cell>
          <cell r="O3" t="str">
            <v>TRUE VALUE HOMES</v>
          </cell>
          <cell r="P3" t="str">
            <v>MEDOPHARM PHARMACHEUTICALS P LTD</v>
          </cell>
          <cell r="Q3" t="str">
            <v>YUGA  HOMES - VENKATRATHNAM NAGAR PROJECT</v>
          </cell>
          <cell r="R3" t="str">
            <v>CHAITANYA NEST</v>
          </cell>
          <cell r="S3" t="str">
            <v>ARIHANT TECHNOPOLIES</v>
          </cell>
          <cell r="T3" t="str">
            <v>INTEGRA PONDY</v>
          </cell>
          <cell r="U3" t="str">
            <v>CROWN WORLD WIDE</v>
          </cell>
          <cell r="V3" t="str">
            <v>SVEC - TIRUPATHI</v>
          </cell>
          <cell r="W3" t="str">
            <v>COCO COLA BOTTLING (SOUTH)</v>
          </cell>
          <cell r="X3" t="str">
            <v>RR LEATHER PRODUCTS PVT LTD</v>
          </cell>
          <cell r="Y3" t="str">
            <v>DR MGR GENERAL HOSPITAL</v>
          </cell>
          <cell r="Z3" t="str">
            <v>BELECIA TOWERS</v>
          </cell>
          <cell r="AA3" t="str">
            <v>INDO AMERICAN SCHOOL,CHEYYAR</v>
          </cell>
          <cell r="AB3" t="str">
            <v>HCL AMBATTUR V</v>
          </cell>
          <cell r="AC3" t="str">
            <v>FICUS GROVE</v>
          </cell>
          <cell r="AD3" t="str">
            <v>TECHNIP INDIA LTD, KARAIKAL</v>
          </cell>
          <cell r="AE3" t="str">
            <v>OLYMPIA TECHNOLOGY PARK</v>
          </cell>
          <cell r="AF3" t="str">
            <v>MARG CONSTRUCTIONS</v>
          </cell>
          <cell r="AG3" t="str">
            <v>TVH AKHIRAA</v>
          </cell>
          <cell r="AH3" t="str">
            <v>GOVERNMENT HOSPITAL - NAGAI</v>
          </cell>
          <cell r="AI3" t="str">
            <v>ASHOK LEYLAND</v>
          </cell>
          <cell r="AJ3" t="str">
            <v>ACL E3 OFFICE BUILDING</v>
          </cell>
          <cell r="AK3" t="str">
            <v>LADIES HOSTEL, KALADY</v>
          </cell>
          <cell r="AL3" t="str">
            <v>KRISP IT PARK</v>
          </cell>
          <cell r="AM3" t="str">
            <v>CATHIDRAL SQUARE</v>
          </cell>
          <cell r="AN3" t="str">
            <v>SAK ABRASIVE LTD</v>
          </cell>
          <cell r="AO3" t="str">
            <v>BHARAT OVERSEAS BANK LTD</v>
          </cell>
          <cell r="AP3" t="str">
            <v>THE HINDU</v>
          </cell>
          <cell r="AQ3" t="str">
            <v>NEG MICON INDIA PVT LTD</v>
          </cell>
          <cell r="AR3" t="str">
            <v>REGENCY CLOTHING</v>
          </cell>
          <cell r="AS3" t="str">
            <v>HCL - VADAPALANI</v>
          </cell>
          <cell r="AT3" t="str">
            <v>REYNOLDS PENS INDIA PVT LTD</v>
          </cell>
          <cell r="AU3" t="str">
            <v>LOYAL TEXTILE MILLS LTD</v>
          </cell>
          <cell r="AV3" t="str">
            <v>MIPL - INFOSYS</v>
          </cell>
          <cell r="AW3" t="str">
            <v xml:space="preserve">SAINT GOBAIN PVT LTD </v>
          </cell>
          <cell r="AX3" t="str">
            <v>ADDISON &amp; COMPANY LTD</v>
          </cell>
          <cell r="AY3" t="str">
            <v>JAYARAM HOTELS PVT LTD</v>
          </cell>
          <cell r="AZ3" t="str">
            <v>G.R. THANGAMALIGAI</v>
          </cell>
          <cell r="BA3" t="str">
            <v>CHINMAYA  INTERNATIONAL RESD.SCH.</v>
          </cell>
          <cell r="BB3" t="str">
            <v>ASHOK MATCHES &amp; TIMBERS PVT. LTD.</v>
          </cell>
          <cell r="BC3" t="str">
            <v>RMZ MILLENNIA REALTORS</v>
          </cell>
          <cell r="BD3" t="str">
            <v>SRI TRIPURASUNDRI HOTELS LTD</v>
          </cell>
          <cell r="BE3" t="str">
            <v>SRI KRISHNA ARTS &amp; SCIENCE COLLEGE</v>
          </cell>
          <cell r="BF3" t="str">
            <v>BEVERELY HOTEL</v>
          </cell>
          <cell r="BG3" t="str">
            <v>AMCO - PRESS &amp; PAINT SHOP</v>
          </cell>
          <cell r="BH3" t="str">
            <v>MAHINDRA WORLDCITY</v>
          </cell>
          <cell r="BI3" t="str">
            <v>MAHINDRA REALITY</v>
          </cell>
          <cell r="BJ3" t="str">
            <v>INDO TECH TRANSFORMERS LTD</v>
          </cell>
          <cell r="BK3" t="str">
            <v>AMCO - MOBIS</v>
          </cell>
          <cell r="BL3" t="str">
            <v>MEDOPHARM PHARMA - LIQUID BLOCK</v>
          </cell>
          <cell r="BM3" t="str">
            <v>RAMANATHAN OFFICE BUILDING</v>
          </cell>
          <cell r="BN3" t="str">
            <v>STPI THARAMANI</v>
          </cell>
          <cell r="BO3" t="str">
            <v>MAHINDRA GESCO ( APARTMENTS )</v>
          </cell>
          <cell r="BP3" t="str">
            <v>VANMALLEE EXPANTION</v>
          </cell>
          <cell r="BQ3" t="str">
            <v>YUGA MITHILA</v>
          </cell>
          <cell r="BR3" t="str">
            <v>HCL VII</v>
          </cell>
          <cell r="BS3" t="str">
            <v>ROYAL MULTIPLEX</v>
          </cell>
          <cell r="BT3" t="str">
            <v>ASCENDAS IT PARK - PH II</v>
          </cell>
          <cell r="BU3" t="str">
            <v>SVEC - CHANDAMAMA TOWERS</v>
          </cell>
          <cell r="BV3" t="str">
            <v>SVEC - NURSING BUILDING</v>
          </cell>
          <cell r="BW3" t="str">
            <v>MENAKUR INFRASTRUCTURE</v>
          </cell>
          <cell r="BX3" t="str">
            <v>MIPL - INFOSYS</v>
          </cell>
          <cell r="BY3" t="str">
            <v>LEMON TREE HOTEL</v>
          </cell>
          <cell r="BZ3" t="str">
            <v>AIR TEL</v>
          </cell>
          <cell r="CA3" t="str">
            <v>INDUSND BANK</v>
          </cell>
          <cell r="CB3" t="str">
            <v>GRT THANGAMALIGAI BURKIT ROAD</v>
          </cell>
          <cell r="CC3" t="str">
            <v>TAFE</v>
          </cell>
          <cell r="CD3" t="str">
            <v>SHINHAN PLASTO I PVT LTD</v>
          </cell>
          <cell r="CE3" t="str">
            <v>MIPL - ASCENDAS</v>
          </cell>
          <cell r="CF3" t="str">
            <v>BANNARI AMMAN SUGARS LTD</v>
          </cell>
          <cell r="CG3" t="str">
            <v>SAMSON LIGHTINGS</v>
          </cell>
          <cell r="CH3" t="str">
            <v>ROBIN ESTATES</v>
          </cell>
          <cell r="CI3" t="str">
            <v>ARIHANT FOUNDATIONS PVT LTD</v>
          </cell>
          <cell r="CJ3" t="str">
            <v>PONDY COLLEDGE</v>
          </cell>
          <cell r="CK3" t="str">
            <v>PONDICHERRY MEDICAL COLLEGE - HOSTEL BLOCK</v>
          </cell>
          <cell r="CL3" t="str">
            <v>FERDOUS HOTEL</v>
          </cell>
          <cell r="CM3" t="str">
            <v>INDO TECH TRANSFORMERS LTD</v>
          </cell>
          <cell r="CN3" t="str">
            <v>BUNDI I PVT LTD</v>
          </cell>
          <cell r="CO3" t="str">
            <v>CAPRO ENGINEERING INDIA PVT LTD</v>
          </cell>
          <cell r="CP3" t="str">
            <v>HEXAWARE TECHNOLOGIES</v>
          </cell>
          <cell r="CQ3" t="str">
            <v>GROUPO ANTOLIN</v>
          </cell>
          <cell r="CR3" t="str">
            <v>RENU RAO</v>
          </cell>
          <cell r="CS3" t="str">
            <v>MRF-Delhi</v>
          </cell>
          <cell r="CT3" t="str">
            <v>A P   PAVILION</v>
          </cell>
          <cell r="CU3" t="str">
            <v>TRICOLITE</v>
          </cell>
          <cell r="CV3" t="str">
            <v>MICO-JAIPUR</v>
          </cell>
          <cell r="CW3" t="str">
            <v>INTERNATIONAL TOBACCO</v>
          </cell>
          <cell r="CX3" t="str">
            <v>INFOSYS - CHANDIGARH</v>
          </cell>
          <cell r="CY3" t="str">
            <v>MICO - JAIPUR PHASE 3</v>
          </cell>
          <cell r="CZ3" t="str">
            <v>HCL TECHNOLOGIES, MOIDA, U.P</v>
          </cell>
          <cell r="DA3" t="str">
            <v>BELLA VISTA - PANCHKULA</v>
          </cell>
          <cell r="DB3" t="str">
            <v>R &amp; R TECH MACH LTD., NOIDA</v>
          </cell>
          <cell r="DC3" t="str">
            <v>HCL TECHNOLOGIES - II, MOIDA, U.P</v>
          </cell>
          <cell r="DD3" t="str">
            <v>DSM ANTI INFECTIVES INDIA LTD</v>
          </cell>
          <cell r="DE3" t="str">
            <v>EVEREADY INDUSTRIES INDIA LTD</v>
          </cell>
          <cell r="DF3" t="str">
            <v>SRF</v>
          </cell>
          <cell r="DG3" t="str">
            <v>TAJ</v>
          </cell>
          <cell r="DH3" t="str">
            <v>INFOSYS - CHANDIGARH</v>
          </cell>
          <cell r="DI3" t="str">
            <v>RANE</v>
          </cell>
          <cell r="DK3" t="str">
            <v>GARUDA PHASE  II</v>
          </cell>
          <cell r="DL3" t="str">
            <v>MSPL</v>
          </cell>
          <cell r="DM3" t="str">
            <v>VVIP -SRINGERI</v>
          </cell>
          <cell r="DN3" t="str">
            <v>RED WOOD</v>
          </cell>
          <cell r="DO3" t="str">
            <v>TCG</v>
          </cell>
          <cell r="DP3" t="str">
            <v>TEXAS INSTRUMENTS</v>
          </cell>
          <cell r="DQ3" t="str">
            <v>MIND TREE</v>
          </cell>
          <cell r="DR3" t="str">
            <v>INFOSYS BANGALORE</v>
          </cell>
          <cell r="DS3" t="str">
            <v>DENTAL</v>
          </cell>
          <cell r="DT3" t="str">
            <v>MICO</v>
          </cell>
          <cell r="DU3" t="str">
            <v>FAIRMOUNT HOTELS</v>
          </cell>
          <cell r="DV3" t="str">
            <v>INFOSYS -MULTI LEVEL CAR PARKING</v>
          </cell>
          <cell r="DW3" t="str">
            <v>TIFFANY</v>
          </cell>
          <cell r="DX3" t="str">
            <v>MAGADI MARRIAGE HALL</v>
          </cell>
          <cell r="DY3" t="str">
            <v>PASADINA</v>
          </cell>
          <cell r="DZ3" t="str">
            <v>INNOVATION CENTER MANIPAL</v>
          </cell>
          <cell r="EA3" t="str">
            <v>FOOD COURT MANIPAL</v>
          </cell>
          <cell r="EB3" t="str">
            <v>VICTORIA HOSIPTAL -INFOSYS FOUNDATION</v>
          </cell>
          <cell r="EC3" t="str">
            <v>INMAR HOTELS</v>
          </cell>
          <cell r="ED3" t="str">
            <v>INFOSYS - SDP</v>
          </cell>
          <cell r="EE3" t="str">
            <v>SATKO PALM TREE APARTMENTS</v>
          </cell>
          <cell r="EF3" t="str">
            <v>BHART FRITZ WERNER FOUNDRY</v>
          </cell>
          <cell r="EG3" t="str">
            <v>SIGMA ALDIRCH LABOURATORIES</v>
          </cell>
          <cell r="EH3" t="str">
            <v>KSHEMA  MPHASIS</v>
          </cell>
          <cell r="EI3" t="str">
            <v>TECHNICAL TRAINING INSTITUTE, MES</v>
          </cell>
          <cell r="EJ3" t="str">
            <v>ABB LIMITED</v>
          </cell>
          <cell r="EK3" t="str">
            <v>MIND TREE- PHASE II</v>
          </cell>
          <cell r="EL3" t="str">
            <v>ASTRA ZENECA - PHASE II</v>
          </cell>
          <cell r="EM3" t="str">
            <v>KEMWELL</v>
          </cell>
          <cell r="EN3" t="str">
            <v>RITTAL BIR</v>
          </cell>
          <cell r="EO3" t="str">
            <v>HINDUSTAN LEVER LTD</v>
          </cell>
          <cell r="EP3" t="str">
            <v>LEITZ</v>
          </cell>
          <cell r="EQ3" t="str">
            <v>KIRLOSKAR TOYODS TEXTILES MACHINERY P LTD</v>
          </cell>
          <cell r="ER3" t="str">
            <v>MANN &amp; HUMMEL</v>
          </cell>
          <cell r="ES3" t="str">
            <v>ASHOK LEYLAND</v>
          </cell>
          <cell r="ET3" t="str">
            <v>Vakil Housing Development Corporation</v>
          </cell>
          <cell r="EU3" t="str">
            <v>HAL - Hanger</v>
          </cell>
          <cell r="EV3" t="str">
            <v>Cosmopolitan Club, Phase - II</v>
          </cell>
          <cell r="EW3" t="str">
            <v>Humen Centrifugal</v>
          </cell>
          <cell r="EX3" t="str">
            <v>KERN &amp; LEBERS - Spring</v>
          </cell>
          <cell r="EY3" t="str">
            <v>ITC BISCUIT MANUFACTURING FACTORY</v>
          </cell>
          <cell r="EZ3" t="str">
            <v>HOSPITAL BUILDING INFOSYS FOUNDAATION</v>
          </cell>
          <cell r="FA3" t="str">
            <v>INFOSYS TECHNOLOGY LIMITED</v>
          </cell>
          <cell r="FB3" t="str">
            <v>HCL TECHNOLOGY</v>
          </cell>
          <cell r="FC3" t="str">
            <v>ASHOK LEYLAND - CANTEEN ADDITION/ALTERATION</v>
          </cell>
          <cell r="FD3" t="str">
            <v>DSN PEDESTAL- ECIL</v>
          </cell>
          <cell r="FE3" t="str">
            <v>SHANKARA MUTT</v>
          </cell>
          <cell r="FF3" t="str">
            <v>INFOSYS - MYSORE</v>
          </cell>
          <cell r="FG3" t="str">
            <v>TEXAS,GLOBAL VILLAGE</v>
          </cell>
          <cell r="FH3" t="str">
            <v>MICO STP,BANGALORE</v>
          </cell>
          <cell r="FI3" t="str">
            <v>TNPL</v>
          </cell>
          <cell r="FJ3" t="str">
            <v>TRICHY AIRPORT OF INDIA</v>
          </cell>
          <cell r="FK3" t="str">
            <v xml:space="preserve">SUPRABHA HOTEL   WARANGAL </v>
          </cell>
          <cell r="FL3" t="str">
            <v>CII - GODREJ  -  GBC</v>
          </cell>
          <cell r="FM3" t="str">
            <v>INFOSYS -KONARK</v>
          </cell>
          <cell r="FN3" t="str">
            <v>GMR -RAJAM</v>
          </cell>
          <cell r="FO3" t="str">
            <v>AIRPORT</v>
          </cell>
          <cell r="FP3" t="str">
            <v>INSTITUE OF LIFE SCIENCE</v>
          </cell>
          <cell r="FQ3" t="str">
            <v>DANMED</v>
          </cell>
          <cell r="FR3" t="str">
            <v>SKOL BEREWERY LTD</v>
          </cell>
          <cell r="FS3" t="str">
            <v>HUNTER ROAD VAMSEE ESTATE</v>
          </cell>
          <cell r="FT3" t="str">
            <v>DR.REDDYS LAB</v>
          </cell>
          <cell r="FU3" t="str">
            <v>SHANTHA BIO-TECH PHASE 2</v>
          </cell>
          <cell r="FV3" t="str">
            <v>ICICI KNOWLEDGE PARK</v>
          </cell>
          <cell r="FW3" t="str">
            <v>RAHEJA IT PARK  PHASE II</v>
          </cell>
          <cell r="FX3" t="str">
            <v>L V PRASAD EYE INSTITUETE</v>
          </cell>
          <cell r="FY3" t="str">
            <v>INFOSYS - FOOD COURT</v>
          </cell>
          <cell r="FZ3" t="str">
            <v>NUZIVEEDU SEEDS LIMITED</v>
          </cell>
          <cell r="GA3" t="str">
            <v>SOFTSOL INDIA LTD</v>
          </cell>
          <cell r="GB3" t="str">
            <v>TAJ GVK HOTELS LTD</v>
          </cell>
          <cell r="GC3" t="str">
            <v>SREENIDHI INTERNATIONAL SCHOOL</v>
          </cell>
          <cell r="GD3" t="str">
            <v>INFOSYS - CCC</v>
          </cell>
          <cell r="GE3" t="str">
            <v>DR.REDDYS LAB - BACHUPALLY</v>
          </cell>
          <cell r="GF3" t="str">
            <v>ISRO - SRIHARIKOTTA</v>
          </cell>
          <cell r="GG3" t="str">
            <v>SRI SARVARAYA SUGARS - CHELLUR</v>
          </cell>
          <cell r="GH3" t="str">
            <v>FEC - VIJAYAWADA</v>
          </cell>
          <cell r="GI3" t="str">
            <v>DRL - IPDO</v>
          </cell>
          <cell r="GJ3" t="str">
            <v>MALLADI AGRO INDUSTRIES</v>
          </cell>
          <cell r="GK3" t="str">
            <v>EFFEM INDIA</v>
          </cell>
          <cell r="GL3" t="str">
            <v>ITC - BHADRACHALAM</v>
          </cell>
          <cell r="GM3" t="str">
            <v>INFOSYS - HOSTEL BLOCK</v>
          </cell>
          <cell r="GN3" t="str">
            <v>ALBANY MOLECULAR</v>
          </cell>
          <cell r="GO3" t="str">
            <v>VIJAI ELECTRICALS</v>
          </cell>
          <cell r="GP3" t="str">
            <v>SANKYA TECHNOLOGIES</v>
          </cell>
          <cell r="GQ3" t="str">
            <v>KHIVIRAJ IT PARK</v>
          </cell>
          <cell r="GR3" t="str">
            <v>JEYABHARI IT PARK</v>
          </cell>
          <cell r="GS3" t="str">
            <v>JEYPORE SUGARS</v>
          </cell>
        </row>
        <row r="4">
          <cell r="C4">
            <v>784.5</v>
          </cell>
          <cell r="D4">
            <v>1911.39</v>
          </cell>
          <cell r="E4">
            <v>220</v>
          </cell>
          <cell r="F4">
            <v>391.86</v>
          </cell>
          <cell r="G4">
            <v>709</v>
          </cell>
          <cell r="H4">
            <v>669.74</v>
          </cell>
          <cell r="I4">
            <v>2203.52</v>
          </cell>
          <cell r="J4">
            <v>1401.64</v>
          </cell>
          <cell r="K4">
            <v>666.45</v>
          </cell>
          <cell r="L4">
            <v>543.36</v>
          </cell>
          <cell r="M4">
            <v>698.02</v>
          </cell>
          <cell r="N4">
            <v>15.06</v>
          </cell>
          <cell r="O4">
            <v>1618.4</v>
          </cell>
          <cell r="P4">
            <v>279.63</v>
          </cell>
          <cell r="Q4">
            <v>123.54</v>
          </cell>
          <cell r="R4">
            <v>986.41</v>
          </cell>
          <cell r="S4">
            <v>427.71</v>
          </cell>
          <cell r="T4">
            <v>373</v>
          </cell>
          <cell r="U4">
            <v>234.32</v>
          </cell>
          <cell r="V4">
            <v>457.5</v>
          </cell>
          <cell r="W4">
            <v>793.7</v>
          </cell>
          <cell r="X4">
            <v>107.25</v>
          </cell>
          <cell r="Y4">
            <v>469.58</v>
          </cell>
          <cell r="Z4">
            <v>870.54</v>
          </cell>
          <cell r="AA4">
            <v>123.65</v>
          </cell>
          <cell r="AB4">
            <v>379.78</v>
          </cell>
          <cell r="AC4">
            <v>364.94</v>
          </cell>
          <cell r="AD4">
            <v>322.20999999999998</v>
          </cell>
          <cell r="AE4">
            <v>2797.16</v>
          </cell>
          <cell r="AF4">
            <v>266</v>
          </cell>
          <cell r="AG4">
            <v>91.83</v>
          </cell>
          <cell r="AH4">
            <v>313.43</v>
          </cell>
          <cell r="AI4">
            <v>828.79</v>
          </cell>
          <cell r="AJ4">
            <v>260.2</v>
          </cell>
          <cell r="AK4">
            <v>334.59</v>
          </cell>
          <cell r="AL4">
            <v>709</v>
          </cell>
          <cell r="AM4">
            <v>393.73</v>
          </cell>
          <cell r="AN4">
            <v>98.1</v>
          </cell>
          <cell r="AO4">
            <v>585.39</v>
          </cell>
          <cell r="AP4">
            <v>995</v>
          </cell>
          <cell r="AQ4">
            <v>312.54000000000002</v>
          </cell>
          <cell r="AR4">
            <v>487</v>
          </cell>
          <cell r="AS4">
            <v>3.41</v>
          </cell>
          <cell r="AT4">
            <v>108.23</v>
          </cell>
          <cell r="AU4">
            <v>111.58</v>
          </cell>
          <cell r="AV4">
            <v>580.39</v>
          </cell>
          <cell r="AW4">
            <v>336.91</v>
          </cell>
          <cell r="AX4">
            <v>872.05</v>
          </cell>
          <cell r="AY4">
            <v>305.22000000000003</v>
          </cell>
          <cell r="AZ4">
            <v>409.39</v>
          </cell>
          <cell r="BA4">
            <v>550.20000000000005</v>
          </cell>
          <cell r="BB4">
            <v>1247</v>
          </cell>
          <cell r="BC4">
            <v>11850</v>
          </cell>
          <cell r="BD4">
            <v>799</v>
          </cell>
          <cell r="BE4">
            <v>2855.38</v>
          </cell>
          <cell r="BF4">
            <v>20.81</v>
          </cell>
          <cell r="BG4">
            <v>651.54999999999995</v>
          </cell>
          <cell r="BH4">
            <v>413.96</v>
          </cell>
          <cell r="BI4">
            <v>967.83</v>
          </cell>
          <cell r="BJ4">
            <v>177</v>
          </cell>
          <cell r="BK4">
            <v>1617.17</v>
          </cell>
          <cell r="BL4">
            <v>6.56</v>
          </cell>
          <cell r="BM4">
            <v>431.99</v>
          </cell>
          <cell r="BN4">
            <v>1648.69</v>
          </cell>
          <cell r="BO4">
            <v>766.75</v>
          </cell>
          <cell r="BP4">
            <v>172.47</v>
          </cell>
          <cell r="BQ4">
            <v>316.33999999999997</v>
          </cell>
          <cell r="BR4">
            <v>1088.01</v>
          </cell>
          <cell r="BS4">
            <v>569.05999999999995</v>
          </cell>
          <cell r="BT4">
            <v>10600</v>
          </cell>
          <cell r="BU4">
            <v>183</v>
          </cell>
          <cell r="BV4">
            <v>194.47</v>
          </cell>
          <cell r="BW4">
            <v>2205</v>
          </cell>
          <cell r="BX4">
            <v>521.19000000000005</v>
          </cell>
          <cell r="BY4">
            <v>485</v>
          </cell>
          <cell r="BZ4">
            <v>1630</v>
          </cell>
          <cell r="CA4">
            <v>561</v>
          </cell>
          <cell r="CB4">
            <v>116.78</v>
          </cell>
          <cell r="CC4">
            <v>471.01</v>
          </cell>
          <cell r="CD4">
            <v>1731</v>
          </cell>
          <cell r="CE4">
            <v>2995</v>
          </cell>
          <cell r="CF4">
            <v>243.9</v>
          </cell>
          <cell r="CG4">
            <v>0</v>
          </cell>
          <cell r="CH4">
            <v>526</v>
          </cell>
          <cell r="CI4">
            <v>2338.94</v>
          </cell>
          <cell r="CJ4">
            <v>0</v>
          </cell>
          <cell r="CK4">
            <v>0</v>
          </cell>
          <cell r="CL4">
            <v>0</v>
          </cell>
          <cell r="CM4">
            <v>64.959999999999994</v>
          </cell>
          <cell r="CN4">
            <v>565.85</v>
          </cell>
          <cell r="CO4">
            <v>0</v>
          </cell>
          <cell r="CP4">
            <v>0</v>
          </cell>
          <cell r="CQ4">
            <v>0</v>
          </cell>
          <cell r="CR4">
            <v>16.8</v>
          </cell>
          <cell r="CS4">
            <v>231.9</v>
          </cell>
          <cell r="CT4">
            <v>492</v>
          </cell>
          <cell r="CU4">
            <v>288.5</v>
          </cell>
          <cell r="CV4">
            <v>90.79</v>
          </cell>
          <cell r="CW4">
            <v>961.89</v>
          </cell>
          <cell r="CX4">
            <v>2300</v>
          </cell>
          <cell r="CY4">
            <v>210.09</v>
          </cell>
          <cell r="CZ4">
            <v>46</v>
          </cell>
          <cell r="DA4">
            <v>840</v>
          </cell>
          <cell r="DB4">
            <v>710</v>
          </cell>
          <cell r="DC4">
            <v>1963</v>
          </cell>
          <cell r="DD4">
            <v>736</v>
          </cell>
          <cell r="DE4">
            <v>1172.23</v>
          </cell>
          <cell r="DF4">
            <v>500</v>
          </cell>
          <cell r="DG4">
            <v>300</v>
          </cell>
          <cell r="DH4">
            <v>750</v>
          </cell>
          <cell r="DI4">
            <v>200</v>
          </cell>
          <cell r="DJ4">
            <v>0.84</v>
          </cell>
          <cell r="DK4">
            <v>1171.0899999999999</v>
          </cell>
          <cell r="DL4">
            <v>155.07</v>
          </cell>
          <cell r="DM4">
            <v>59.39</v>
          </cell>
          <cell r="DN4">
            <v>4.12</v>
          </cell>
          <cell r="DO4">
            <v>264.69</v>
          </cell>
          <cell r="DP4">
            <v>402.07</v>
          </cell>
          <cell r="DQ4">
            <v>652.26</v>
          </cell>
          <cell r="DR4">
            <v>913.1</v>
          </cell>
          <cell r="DS4">
            <v>601.35</v>
          </cell>
          <cell r="DT4">
            <v>1509.17</v>
          </cell>
          <cell r="DU4">
            <v>263.45</v>
          </cell>
          <cell r="DV4">
            <v>708.94</v>
          </cell>
          <cell r="DW4">
            <v>421.26</v>
          </cell>
          <cell r="DX4">
            <v>208.48</v>
          </cell>
          <cell r="DY4">
            <v>143.25</v>
          </cell>
          <cell r="DZ4">
            <v>1326.66</v>
          </cell>
          <cell r="EA4">
            <v>361.42</v>
          </cell>
          <cell r="EB4">
            <v>233.19</v>
          </cell>
          <cell r="EC4">
            <v>236.99</v>
          </cell>
          <cell r="ED4">
            <v>782.28</v>
          </cell>
          <cell r="EE4">
            <v>634.15</v>
          </cell>
          <cell r="EF4">
            <v>326.98</v>
          </cell>
          <cell r="EG4">
            <v>780.35</v>
          </cell>
          <cell r="EH4">
            <v>246.75</v>
          </cell>
          <cell r="EI4">
            <v>285.14</v>
          </cell>
          <cell r="EJ4">
            <v>1384.39</v>
          </cell>
          <cell r="EK4">
            <v>564.52</v>
          </cell>
          <cell r="EL4">
            <v>537.25</v>
          </cell>
          <cell r="EM4">
            <v>594.03</v>
          </cell>
          <cell r="EN4">
            <v>503.16</v>
          </cell>
          <cell r="EO4">
            <v>938.73</v>
          </cell>
          <cell r="EP4">
            <v>405.66</v>
          </cell>
          <cell r="EQ4">
            <v>54.81</v>
          </cell>
          <cell r="ER4">
            <v>970.52</v>
          </cell>
          <cell r="ES4">
            <v>140.13</v>
          </cell>
          <cell r="ET4">
            <v>697.58</v>
          </cell>
          <cell r="EU4">
            <v>279.76</v>
          </cell>
          <cell r="EV4">
            <v>249.2</v>
          </cell>
          <cell r="EW4">
            <v>280.73</v>
          </cell>
          <cell r="EX4">
            <v>882.28</v>
          </cell>
          <cell r="EY4">
            <v>2410.44</v>
          </cell>
          <cell r="EZ4">
            <v>500</v>
          </cell>
          <cell r="FA4">
            <v>0</v>
          </cell>
          <cell r="FB4">
            <v>150</v>
          </cell>
          <cell r="FC4">
            <v>216</v>
          </cell>
          <cell r="FD4">
            <v>171.33</v>
          </cell>
          <cell r="FE4">
            <v>180</v>
          </cell>
          <cell r="FF4">
            <v>6500</v>
          </cell>
          <cell r="FG4">
            <v>225</v>
          </cell>
          <cell r="FH4">
            <v>42</v>
          </cell>
          <cell r="FI4">
            <v>926.5</v>
          </cell>
          <cell r="FJ4">
            <v>4137.05</v>
          </cell>
          <cell r="FK4">
            <v>204.94</v>
          </cell>
          <cell r="FL4">
            <v>356.91</v>
          </cell>
          <cell r="FM4">
            <v>1484.99</v>
          </cell>
          <cell r="FN4">
            <v>265.95999999999998</v>
          </cell>
          <cell r="FO4">
            <v>686.94</v>
          </cell>
          <cell r="FP4">
            <v>548.48</v>
          </cell>
          <cell r="FQ4">
            <v>198.88</v>
          </cell>
          <cell r="FR4">
            <v>635.54</v>
          </cell>
          <cell r="FS4">
            <v>5.52</v>
          </cell>
          <cell r="FT4">
            <v>163.37</v>
          </cell>
          <cell r="FU4">
            <v>615</v>
          </cell>
          <cell r="FV4">
            <v>295.82</v>
          </cell>
          <cell r="FW4">
            <v>738.02</v>
          </cell>
          <cell r="FX4">
            <v>308.82</v>
          </cell>
          <cell r="FY4">
            <v>110.93</v>
          </cell>
          <cell r="FZ4">
            <v>636.64</v>
          </cell>
          <cell r="GA4">
            <v>536</v>
          </cell>
          <cell r="GB4">
            <v>43.1</v>
          </cell>
          <cell r="GC4">
            <v>732</v>
          </cell>
          <cell r="GD4">
            <v>425</v>
          </cell>
          <cell r="GE4">
            <v>514</v>
          </cell>
          <cell r="GF4">
            <v>1143.1500000000001</v>
          </cell>
          <cell r="GG4">
            <v>30.15</v>
          </cell>
          <cell r="GH4">
            <v>565</v>
          </cell>
          <cell r="GI4">
            <v>1291.83</v>
          </cell>
          <cell r="GJ4">
            <v>41.44</v>
          </cell>
          <cell r="GK4">
            <v>363</v>
          </cell>
          <cell r="GL4">
            <v>1241</v>
          </cell>
          <cell r="GM4">
            <v>35</v>
          </cell>
          <cell r="GN4">
            <v>783</v>
          </cell>
          <cell r="GO4">
            <v>329</v>
          </cell>
          <cell r="GP4">
            <v>91.2</v>
          </cell>
          <cell r="GQ4">
            <v>430</v>
          </cell>
          <cell r="GR4">
            <v>2293</v>
          </cell>
          <cell r="GS4">
            <v>2583.1999999999998</v>
          </cell>
        </row>
        <row r="5">
          <cell r="C5">
            <v>784.01</v>
          </cell>
          <cell r="D5">
            <v>1893.48</v>
          </cell>
          <cell r="E5">
            <v>205.86</v>
          </cell>
          <cell r="F5">
            <v>391.51</v>
          </cell>
          <cell r="G5">
            <v>708.55</v>
          </cell>
          <cell r="H5">
            <v>668.96</v>
          </cell>
          <cell r="I5">
            <v>2202.67</v>
          </cell>
          <cell r="J5">
            <v>1269.29</v>
          </cell>
          <cell r="K5">
            <v>666.45</v>
          </cell>
          <cell r="L5">
            <v>543.36</v>
          </cell>
          <cell r="M5">
            <v>697.34</v>
          </cell>
          <cell r="N5">
            <v>15.06</v>
          </cell>
          <cell r="O5">
            <v>1618.39</v>
          </cell>
          <cell r="P5">
            <v>269.02</v>
          </cell>
          <cell r="Q5">
            <v>123.09</v>
          </cell>
          <cell r="R5">
            <v>941.73</v>
          </cell>
          <cell r="S5">
            <v>290.70999999999998</v>
          </cell>
          <cell r="T5">
            <v>373</v>
          </cell>
          <cell r="U5">
            <v>233.32</v>
          </cell>
          <cell r="V5">
            <v>457.45</v>
          </cell>
          <cell r="W5">
            <v>789.89</v>
          </cell>
          <cell r="X5">
            <v>104.11</v>
          </cell>
          <cell r="Y5">
            <v>342.98</v>
          </cell>
          <cell r="Z5">
            <v>840.13</v>
          </cell>
          <cell r="AA5">
            <v>123.65</v>
          </cell>
          <cell r="AB5">
            <v>377.01</v>
          </cell>
          <cell r="AC5">
            <v>355.8</v>
          </cell>
          <cell r="AD5">
            <v>322.22000000000003</v>
          </cell>
          <cell r="AE5">
            <v>2797.16</v>
          </cell>
          <cell r="AF5">
            <v>273.23</v>
          </cell>
          <cell r="AG5">
            <v>91.83</v>
          </cell>
          <cell r="AH5">
            <v>278.97000000000003</v>
          </cell>
          <cell r="AI5">
            <v>763.1</v>
          </cell>
          <cell r="AJ5">
            <v>260.18</v>
          </cell>
          <cell r="AK5">
            <v>334.59</v>
          </cell>
          <cell r="AL5">
            <v>652.21</v>
          </cell>
          <cell r="AM5">
            <v>384.81</v>
          </cell>
          <cell r="AN5">
            <v>67.540000000000006</v>
          </cell>
          <cell r="AO5">
            <v>412.09</v>
          </cell>
          <cell r="AP5">
            <v>847.74</v>
          </cell>
          <cell r="AQ5">
            <v>307.72000000000003</v>
          </cell>
          <cell r="AR5">
            <v>486.88</v>
          </cell>
          <cell r="AS5">
            <v>3.4</v>
          </cell>
          <cell r="AT5">
            <v>108.23</v>
          </cell>
          <cell r="AU5">
            <v>94.57</v>
          </cell>
          <cell r="AV5">
            <v>492.67</v>
          </cell>
          <cell r="AW5">
            <v>336.9</v>
          </cell>
          <cell r="AX5">
            <v>861.62</v>
          </cell>
          <cell r="AY5">
            <v>274.97000000000003</v>
          </cell>
          <cell r="AZ5">
            <v>407.47</v>
          </cell>
          <cell r="BA5">
            <v>550.11</v>
          </cell>
          <cell r="BB5">
            <v>802.79</v>
          </cell>
          <cell r="BC5">
            <v>629.49</v>
          </cell>
          <cell r="BD5">
            <v>618.33000000000004</v>
          </cell>
          <cell r="BE5">
            <v>916.82</v>
          </cell>
          <cell r="BF5">
            <v>20.37</v>
          </cell>
          <cell r="BG5">
            <v>651.53</v>
          </cell>
          <cell r="BH5">
            <v>131.44</v>
          </cell>
          <cell r="BI5">
            <v>482.46</v>
          </cell>
          <cell r="BJ5">
            <v>164.46</v>
          </cell>
          <cell r="BK5">
            <v>1446.46</v>
          </cell>
          <cell r="BL5">
            <v>6.56</v>
          </cell>
          <cell r="BM5">
            <v>221.1</v>
          </cell>
          <cell r="BN5">
            <v>346.07</v>
          </cell>
          <cell r="BO5">
            <v>259.27</v>
          </cell>
          <cell r="BP5">
            <v>172.47</v>
          </cell>
          <cell r="BQ5">
            <v>123.45</v>
          </cell>
          <cell r="BR5">
            <v>81.819999999999993</v>
          </cell>
          <cell r="BS5">
            <v>255.22</v>
          </cell>
          <cell r="BT5">
            <v>1175.02</v>
          </cell>
          <cell r="BU5">
            <v>45.1</v>
          </cell>
          <cell r="BV5">
            <v>87.09</v>
          </cell>
          <cell r="BW5">
            <v>309.22000000000003</v>
          </cell>
          <cell r="BX5">
            <v>214.57</v>
          </cell>
          <cell r="BY5">
            <v>51.96</v>
          </cell>
          <cell r="BZ5">
            <v>298.32</v>
          </cell>
          <cell r="CA5">
            <v>183.85</v>
          </cell>
          <cell r="CB5">
            <v>6</v>
          </cell>
          <cell r="CC5">
            <v>129.62</v>
          </cell>
          <cell r="CD5">
            <v>289.41000000000003</v>
          </cell>
          <cell r="CE5">
            <v>247.87</v>
          </cell>
          <cell r="CF5">
            <v>8.58</v>
          </cell>
          <cell r="CG5">
            <v>0</v>
          </cell>
          <cell r="CH5">
            <v>16.82</v>
          </cell>
          <cell r="CI5">
            <v>135.88</v>
          </cell>
          <cell r="CJ5">
            <v>0</v>
          </cell>
          <cell r="CK5">
            <v>0</v>
          </cell>
          <cell r="CL5">
            <v>0</v>
          </cell>
          <cell r="CM5">
            <v>32.07</v>
          </cell>
          <cell r="CN5">
            <v>37.14</v>
          </cell>
          <cell r="CO5">
            <v>0</v>
          </cell>
          <cell r="CP5">
            <v>0</v>
          </cell>
          <cell r="CQ5">
            <v>0</v>
          </cell>
          <cell r="CR5">
            <v>16.8</v>
          </cell>
          <cell r="CS5">
            <v>229.12</v>
          </cell>
          <cell r="CT5">
            <v>480.27</v>
          </cell>
          <cell r="CU5">
            <v>288.39999999999998</v>
          </cell>
          <cell r="CV5">
            <v>90.79</v>
          </cell>
          <cell r="CW5">
            <v>961.89</v>
          </cell>
          <cell r="CX5">
            <v>2276.75</v>
          </cell>
          <cell r="CY5">
            <v>210.09</v>
          </cell>
          <cell r="CZ5">
            <v>45.61</v>
          </cell>
          <cell r="DA5">
            <v>828.01</v>
          </cell>
          <cell r="DB5">
            <v>499.29</v>
          </cell>
          <cell r="DC5">
            <v>1119.19</v>
          </cell>
          <cell r="DD5">
            <v>735.6</v>
          </cell>
          <cell r="DE5">
            <v>736.03</v>
          </cell>
          <cell r="DF5">
            <v>252.22</v>
          </cell>
          <cell r="DG5">
            <v>48.97</v>
          </cell>
          <cell r="DH5">
            <v>0</v>
          </cell>
          <cell r="DI5">
            <v>8.8699999999999992</v>
          </cell>
          <cell r="DJ5">
            <v>0.84</v>
          </cell>
          <cell r="DK5">
            <v>1171.0899999999999</v>
          </cell>
          <cell r="DL5">
            <v>155.07</v>
          </cell>
          <cell r="DM5">
            <v>59.39</v>
          </cell>
          <cell r="DN5">
            <v>4.12</v>
          </cell>
          <cell r="DO5">
            <v>264.69</v>
          </cell>
          <cell r="DP5">
            <v>394.5</v>
          </cell>
          <cell r="DQ5">
            <v>652.26</v>
          </cell>
          <cell r="DR5">
            <v>913.1</v>
          </cell>
          <cell r="DS5">
            <v>601.35</v>
          </cell>
          <cell r="DT5">
            <v>1509.02</v>
          </cell>
          <cell r="DU5">
            <v>261.33999999999997</v>
          </cell>
          <cell r="DV5">
            <v>708.94</v>
          </cell>
          <cell r="DW5">
            <v>421.26</v>
          </cell>
          <cell r="DX5">
            <v>207.12</v>
          </cell>
          <cell r="DY5">
            <v>143.25</v>
          </cell>
          <cell r="DZ5">
            <v>1326.66</v>
          </cell>
          <cell r="EA5">
            <v>361.42</v>
          </cell>
          <cell r="EB5">
            <v>233.19</v>
          </cell>
          <cell r="EC5">
            <v>236.99</v>
          </cell>
          <cell r="ED5">
            <v>772.27</v>
          </cell>
          <cell r="EE5">
            <v>634.15</v>
          </cell>
          <cell r="EF5">
            <v>326.98</v>
          </cell>
          <cell r="EG5">
            <v>780.35</v>
          </cell>
          <cell r="EH5">
            <v>246.75</v>
          </cell>
          <cell r="EI5">
            <v>201.34</v>
          </cell>
          <cell r="EJ5">
            <v>1336.43</v>
          </cell>
          <cell r="EK5">
            <v>529.72</v>
          </cell>
          <cell r="EL5">
            <v>477.76</v>
          </cell>
          <cell r="EM5">
            <v>590.67999999999995</v>
          </cell>
          <cell r="EN5">
            <v>503.16</v>
          </cell>
          <cell r="EO5">
            <v>913.73</v>
          </cell>
          <cell r="EP5">
            <v>405.66</v>
          </cell>
          <cell r="EQ5">
            <v>54.8</v>
          </cell>
          <cell r="ER5">
            <v>966.17</v>
          </cell>
          <cell r="ES5">
            <v>100.44</v>
          </cell>
          <cell r="ET5">
            <v>412.3</v>
          </cell>
          <cell r="EU5">
            <v>153.96</v>
          </cell>
          <cell r="EV5">
            <v>120.88</v>
          </cell>
          <cell r="EW5">
            <v>174.03</v>
          </cell>
          <cell r="EX5">
            <v>882.28</v>
          </cell>
          <cell r="EY5">
            <v>1965.25</v>
          </cell>
          <cell r="EZ5">
            <v>153.44999999999999</v>
          </cell>
          <cell r="FA5">
            <v>0</v>
          </cell>
          <cell r="FB5">
            <v>65.44</v>
          </cell>
          <cell r="FC5">
            <v>89.33</v>
          </cell>
          <cell r="FD5">
            <v>56.47</v>
          </cell>
          <cell r="FE5">
            <v>100.13</v>
          </cell>
          <cell r="FF5">
            <v>0</v>
          </cell>
          <cell r="FG5">
            <v>0</v>
          </cell>
          <cell r="FH5">
            <v>0</v>
          </cell>
          <cell r="FI5">
            <v>240.22</v>
          </cell>
          <cell r="FJ5">
            <v>58.86</v>
          </cell>
          <cell r="FK5">
            <v>204.94</v>
          </cell>
          <cell r="FL5">
            <v>355.5</v>
          </cell>
          <cell r="FM5">
            <v>1484.99</v>
          </cell>
          <cell r="FN5">
            <v>265.95999999999998</v>
          </cell>
          <cell r="FO5">
            <v>676.37</v>
          </cell>
          <cell r="FP5">
            <v>452.97</v>
          </cell>
          <cell r="FQ5">
            <v>198.88</v>
          </cell>
          <cell r="FR5">
            <v>635.54</v>
          </cell>
          <cell r="FS5">
            <v>5.52</v>
          </cell>
          <cell r="FT5">
            <v>163.37</v>
          </cell>
          <cell r="FU5">
            <v>632.99</v>
          </cell>
          <cell r="FV5">
            <v>295.82</v>
          </cell>
          <cell r="FW5">
            <v>738.02</v>
          </cell>
          <cell r="FX5">
            <v>308.82</v>
          </cell>
          <cell r="FY5">
            <v>91.52</v>
          </cell>
          <cell r="FZ5">
            <v>468.43</v>
          </cell>
          <cell r="GA5">
            <v>510.4</v>
          </cell>
          <cell r="GB5">
            <v>43.1</v>
          </cell>
          <cell r="GC5">
            <v>37.950000000000003</v>
          </cell>
          <cell r="GD5">
            <v>179.48</v>
          </cell>
          <cell r="GE5">
            <v>409.22</v>
          </cell>
          <cell r="GF5">
            <v>77.489999999999995</v>
          </cell>
          <cell r="GG5">
            <v>30.15</v>
          </cell>
          <cell r="GH5">
            <v>32.33</v>
          </cell>
          <cell r="GI5">
            <v>440.98</v>
          </cell>
          <cell r="GJ5">
            <v>0</v>
          </cell>
          <cell r="GK5">
            <v>60.8</v>
          </cell>
          <cell r="GL5">
            <v>0</v>
          </cell>
          <cell r="GM5">
            <v>0</v>
          </cell>
          <cell r="GN5">
            <v>124.75</v>
          </cell>
          <cell r="GO5">
            <v>0</v>
          </cell>
          <cell r="GP5">
            <v>0.4</v>
          </cell>
          <cell r="GQ5">
            <v>0</v>
          </cell>
          <cell r="GR5">
            <v>0</v>
          </cell>
          <cell r="GS5">
            <v>0</v>
          </cell>
        </row>
        <row r="6">
          <cell r="C6">
            <v>782.51</v>
          </cell>
          <cell r="D6">
            <v>1893.48</v>
          </cell>
          <cell r="E6">
            <v>219.86</v>
          </cell>
          <cell r="F6">
            <v>389.86</v>
          </cell>
          <cell r="G6">
            <v>708.55</v>
          </cell>
          <cell r="H6">
            <v>661.08</v>
          </cell>
          <cell r="I6">
            <v>2202.67</v>
          </cell>
          <cell r="J6">
            <v>1269.29</v>
          </cell>
          <cell r="K6">
            <v>663.91</v>
          </cell>
          <cell r="L6">
            <v>543.36</v>
          </cell>
          <cell r="M6">
            <v>697.34</v>
          </cell>
          <cell r="N6">
            <v>15.06</v>
          </cell>
          <cell r="O6">
            <v>1616</v>
          </cell>
          <cell r="P6">
            <v>267.01</v>
          </cell>
          <cell r="Q6">
            <v>123.09</v>
          </cell>
          <cell r="R6">
            <v>934.41</v>
          </cell>
          <cell r="S6">
            <v>286.38</v>
          </cell>
          <cell r="T6">
            <v>371.09</v>
          </cell>
          <cell r="U6">
            <v>233.32</v>
          </cell>
          <cell r="V6">
            <v>457.42</v>
          </cell>
          <cell r="W6">
            <v>787.98</v>
          </cell>
          <cell r="X6">
            <v>104.11</v>
          </cell>
          <cell r="Y6">
            <v>342.98</v>
          </cell>
          <cell r="Z6">
            <v>818.24</v>
          </cell>
          <cell r="AA6">
            <v>123.65</v>
          </cell>
          <cell r="AB6">
            <v>316.14999999999998</v>
          </cell>
          <cell r="AC6">
            <v>352.54</v>
          </cell>
          <cell r="AD6">
            <v>322.22000000000003</v>
          </cell>
          <cell r="AE6">
            <v>2745.27</v>
          </cell>
          <cell r="AF6">
            <v>272.01</v>
          </cell>
          <cell r="AG6">
            <v>91.16</v>
          </cell>
          <cell r="AH6">
            <v>277.74</v>
          </cell>
          <cell r="AI6">
            <v>773.23</v>
          </cell>
          <cell r="AJ6">
            <v>260.18</v>
          </cell>
          <cell r="AK6">
            <v>324.95</v>
          </cell>
          <cell r="AL6">
            <v>652.21</v>
          </cell>
          <cell r="AM6">
            <v>338.04</v>
          </cell>
          <cell r="AN6">
            <v>67.540000000000006</v>
          </cell>
          <cell r="AO6">
            <v>412.09</v>
          </cell>
          <cell r="AP6">
            <v>847.74</v>
          </cell>
          <cell r="AQ6">
            <v>307.72000000000003</v>
          </cell>
          <cell r="AR6">
            <v>421.4</v>
          </cell>
          <cell r="AS6">
            <v>2.06</v>
          </cell>
          <cell r="AT6">
            <v>108.23</v>
          </cell>
          <cell r="AU6">
            <v>97.83</v>
          </cell>
          <cell r="AV6">
            <v>467.99</v>
          </cell>
          <cell r="AW6">
            <v>326.64</v>
          </cell>
          <cell r="AX6">
            <v>853.43</v>
          </cell>
          <cell r="AY6">
            <v>273.63</v>
          </cell>
          <cell r="AZ6">
            <v>407.47</v>
          </cell>
          <cell r="BA6">
            <v>550.11</v>
          </cell>
          <cell r="BB6">
            <v>743.27</v>
          </cell>
          <cell r="BC6">
            <v>1073.72</v>
          </cell>
          <cell r="BD6">
            <v>618.33000000000004</v>
          </cell>
          <cell r="BE6">
            <v>923.18</v>
          </cell>
          <cell r="BF6">
            <v>20.37</v>
          </cell>
          <cell r="BG6">
            <v>591.95000000000005</v>
          </cell>
          <cell r="BH6">
            <v>131.44</v>
          </cell>
          <cell r="BI6">
            <v>485.07</v>
          </cell>
          <cell r="BJ6">
            <v>164.46</v>
          </cell>
          <cell r="BK6">
            <v>1446.46</v>
          </cell>
          <cell r="BL6">
            <v>0</v>
          </cell>
          <cell r="BM6">
            <v>218.55</v>
          </cell>
          <cell r="BN6">
            <v>346.07</v>
          </cell>
          <cell r="BO6">
            <v>258.42</v>
          </cell>
          <cell r="BP6">
            <v>172.24</v>
          </cell>
          <cell r="BQ6">
            <v>123.45</v>
          </cell>
          <cell r="BR6">
            <v>81.680000000000007</v>
          </cell>
          <cell r="BS6">
            <v>252.72</v>
          </cell>
          <cell r="BT6">
            <v>1129.49</v>
          </cell>
          <cell r="BU6">
            <v>45.1</v>
          </cell>
          <cell r="BV6">
            <v>87.09</v>
          </cell>
          <cell r="BW6">
            <v>302.58</v>
          </cell>
          <cell r="BX6">
            <v>230.57</v>
          </cell>
          <cell r="BY6">
            <v>58.26</v>
          </cell>
          <cell r="BZ6">
            <v>298.32</v>
          </cell>
          <cell r="CA6">
            <v>183.85</v>
          </cell>
          <cell r="CB6">
            <v>6</v>
          </cell>
          <cell r="CC6">
            <v>130.35</v>
          </cell>
          <cell r="CD6">
            <v>285.89999999999998</v>
          </cell>
          <cell r="CE6">
            <v>252.31</v>
          </cell>
          <cell r="CF6">
            <v>10.28</v>
          </cell>
          <cell r="CG6">
            <v>0</v>
          </cell>
          <cell r="CH6">
            <v>0</v>
          </cell>
          <cell r="CI6">
            <v>135.88</v>
          </cell>
          <cell r="CJ6">
            <v>182</v>
          </cell>
          <cell r="CK6">
            <v>0</v>
          </cell>
          <cell r="CL6">
            <v>0</v>
          </cell>
          <cell r="CM6">
            <v>31.99</v>
          </cell>
          <cell r="CN6">
            <v>37.14</v>
          </cell>
          <cell r="CO6">
            <v>0</v>
          </cell>
          <cell r="CP6">
            <v>0</v>
          </cell>
          <cell r="CQ6">
            <v>0</v>
          </cell>
          <cell r="CR6">
            <v>16.8</v>
          </cell>
          <cell r="CS6">
            <v>226.62</v>
          </cell>
          <cell r="CT6">
            <v>480.27</v>
          </cell>
          <cell r="CU6">
            <v>288.39999999999998</v>
          </cell>
          <cell r="CV6">
            <v>90.79</v>
          </cell>
          <cell r="CW6">
            <v>961.89</v>
          </cell>
          <cell r="CX6">
            <v>2262.5100000000002</v>
          </cell>
          <cell r="CY6">
            <v>210.09</v>
          </cell>
          <cell r="CZ6">
            <v>45.61</v>
          </cell>
          <cell r="DA6">
            <v>823</v>
          </cell>
          <cell r="DB6">
            <v>499.28</v>
          </cell>
          <cell r="DC6">
            <v>1117.53</v>
          </cell>
          <cell r="DD6">
            <v>706.05</v>
          </cell>
          <cell r="DE6">
            <v>753.71</v>
          </cell>
          <cell r="DF6">
            <v>252.07</v>
          </cell>
          <cell r="DG6">
            <v>46.26</v>
          </cell>
          <cell r="DH6">
            <v>0</v>
          </cell>
          <cell r="DI6">
            <v>8.8699999999999992</v>
          </cell>
          <cell r="DJ6">
            <v>0.84</v>
          </cell>
          <cell r="DK6">
            <v>1171.0899999999999</v>
          </cell>
          <cell r="DL6">
            <v>150.22999999999999</v>
          </cell>
          <cell r="DM6">
            <v>59.39</v>
          </cell>
          <cell r="DN6">
            <v>4.12</v>
          </cell>
          <cell r="DO6">
            <v>264.69</v>
          </cell>
          <cell r="DP6">
            <v>392.52</v>
          </cell>
          <cell r="DQ6">
            <v>652.26</v>
          </cell>
          <cell r="DR6">
            <v>913.1</v>
          </cell>
          <cell r="DS6">
            <v>601.35</v>
          </cell>
          <cell r="DT6">
            <v>1509.02</v>
          </cell>
          <cell r="DU6">
            <v>261.33999999999997</v>
          </cell>
          <cell r="DV6">
            <v>657.88</v>
          </cell>
          <cell r="DW6">
            <v>416.28</v>
          </cell>
          <cell r="DX6">
            <v>190.44</v>
          </cell>
          <cell r="DY6">
            <v>139.54</v>
          </cell>
          <cell r="DZ6">
            <v>1270</v>
          </cell>
          <cell r="EA6">
            <v>356.41</v>
          </cell>
          <cell r="EB6">
            <v>233.19</v>
          </cell>
          <cell r="EC6">
            <v>234.99</v>
          </cell>
          <cell r="ED6">
            <v>930.7</v>
          </cell>
          <cell r="EE6">
            <v>620.15</v>
          </cell>
          <cell r="EF6">
            <v>326.98</v>
          </cell>
          <cell r="EG6">
            <v>727.75</v>
          </cell>
          <cell r="EH6">
            <v>238.44</v>
          </cell>
          <cell r="EI6">
            <v>201.34</v>
          </cell>
          <cell r="EJ6">
            <v>1377.19</v>
          </cell>
          <cell r="EK6">
            <v>558.82000000000005</v>
          </cell>
          <cell r="EL6">
            <v>456.85</v>
          </cell>
          <cell r="EM6">
            <v>590.66</v>
          </cell>
          <cell r="EN6">
            <v>500.3</v>
          </cell>
          <cell r="EO6">
            <v>906.84</v>
          </cell>
          <cell r="EP6">
            <v>396.54</v>
          </cell>
          <cell r="EQ6">
            <v>54.8</v>
          </cell>
          <cell r="ER6">
            <v>959.36</v>
          </cell>
          <cell r="ES6">
            <v>100.15</v>
          </cell>
          <cell r="ET6">
            <v>411.46</v>
          </cell>
          <cell r="EU6">
            <v>155.26</v>
          </cell>
          <cell r="EV6">
            <v>120.67</v>
          </cell>
          <cell r="EW6">
            <v>182.45</v>
          </cell>
          <cell r="EX6">
            <v>921.13</v>
          </cell>
          <cell r="EY6">
            <v>1965.25</v>
          </cell>
          <cell r="EZ6">
            <v>182.97</v>
          </cell>
          <cell r="FA6">
            <v>23.75</v>
          </cell>
          <cell r="FB6">
            <v>45.45</v>
          </cell>
          <cell r="FC6">
            <v>88.74</v>
          </cell>
          <cell r="FD6">
            <v>67.33</v>
          </cell>
          <cell r="FE6">
            <v>115.13</v>
          </cell>
          <cell r="FF6">
            <v>105.12</v>
          </cell>
          <cell r="FG6">
            <v>14.72</v>
          </cell>
          <cell r="FH6">
            <v>8</v>
          </cell>
          <cell r="FI6">
            <v>240.22</v>
          </cell>
          <cell r="FJ6">
            <v>56.25</v>
          </cell>
          <cell r="FK6">
            <v>204.94</v>
          </cell>
          <cell r="FL6">
            <v>355.5</v>
          </cell>
          <cell r="FM6">
            <v>1484.99</v>
          </cell>
          <cell r="FN6">
            <v>265.95999999999998</v>
          </cell>
          <cell r="FO6">
            <v>676.37</v>
          </cell>
          <cell r="FP6">
            <v>452.97</v>
          </cell>
          <cell r="FQ6">
            <v>198.88</v>
          </cell>
          <cell r="FR6">
            <v>635.54</v>
          </cell>
          <cell r="FS6">
            <v>5.52</v>
          </cell>
          <cell r="FT6">
            <v>163.37</v>
          </cell>
          <cell r="FU6">
            <v>632.99</v>
          </cell>
          <cell r="FV6">
            <v>295.82</v>
          </cell>
          <cell r="FW6">
            <v>738.02</v>
          </cell>
          <cell r="FX6">
            <v>308.82</v>
          </cell>
          <cell r="FY6">
            <v>91.52</v>
          </cell>
          <cell r="FZ6">
            <v>468.43</v>
          </cell>
          <cell r="GA6">
            <v>510.4</v>
          </cell>
          <cell r="GB6">
            <v>43.1</v>
          </cell>
          <cell r="GC6">
            <v>90.37</v>
          </cell>
          <cell r="GD6">
            <v>252.53</v>
          </cell>
          <cell r="GE6">
            <v>409.22</v>
          </cell>
          <cell r="GF6">
            <v>77.489999999999995</v>
          </cell>
          <cell r="GG6">
            <v>30.15</v>
          </cell>
          <cell r="GH6">
            <v>32.33</v>
          </cell>
          <cell r="GI6">
            <v>440.98</v>
          </cell>
          <cell r="GJ6">
            <v>0</v>
          </cell>
          <cell r="GK6">
            <v>60.8</v>
          </cell>
          <cell r="GL6">
            <v>53.12</v>
          </cell>
          <cell r="GM6">
            <v>21.7</v>
          </cell>
          <cell r="GN6">
            <v>124.75</v>
          </cell>
          <cell r="GO6">
            <v>0</v>
          </cell>
          <cell r="GP6">
            <v>0.4</v>
          </cell>
          <cell r="GQ6">
            <v>0</v>
          </cell>
          <cell r="GR6">
            <v>0</v>
          </cell>
          <cell r="GS6">
            <v>0</v>
          </cell>
        </row>
        <row r="7">
          <cell r="C7">
            <v>584.55999999999995</v>
          </cell>
          <cell r="D7">
            <v>1623.21</v>
          </cell>
          <cell r="E7">
            <v>198.72</v>
          </cell>
          <cell r="F7">
            <v>345.45</v>
          </cell>
          <cell r="G7">
            <v>788.26</v>
          </cell>
          <cell r="H7">
            <v>487.78</v>
          </cell>
          <cell r="I7">
            <v>1906.73</v>
          </cell>
          <cell r="J7">
            <v>1202.71</v>
          </cell>
          <cell r="K7">
            <v>626.1</v>
          </cell>
          <cell r="L7">
            <v>521.36</v>
          </cell>
          <cell r="M7">
            <v>585.97</v>
          </cell>
          <cell r="N7">
            <v>17.690000000000001</v>
          </cell>
          <cell r="O7">
            <v>1585.1</v>
          </cell>
          <cell r="P7">
            <v>215.88</v>
          </cell>
          <cell r="Q7">
            <v>155.46</v>
          </cell>
          <cell r="R7">
            <v>943.06</v>
          </cell>
          <cell r="S7">
            <v>302.87</v>
          </cell>
          <cell r="T7">
            <v>325.94</v>
          </cell>
          <cell r="U7">
            <v>224.15</v>
          </cell>
          <cell r="V7">
            <v>346.46</v>
          </cell>
          <cell r="W7">
            <v>592.67999999999995</v>
          </cell>
          <cell r="X7">
            <v>81.56</v>
          </cell>
          <cell r="Y7">
            <v>386.26</v>
          </cell>
          <cell r="Z7">
            <v>779.95</v>
          </cell>
          <cell r="AA7">
            <v>103.91</v>
          </cell>
          <cell r="AB7">
            <v>252.03</v>
          </cell>
          <cell r="AC7">
            <v>253.6</v>
          </cell>
          <cell r="AD7">
            <v>399.56</v>
          </cell>
          <cell r="AE7">
            <v>2175.5500000000002</v>
          </cell>
          <cell r="AF7">
            <v>227.08</v>
          </cell>
          <cell r="AG7">
            <v>95.19</v>
          </cell>
          <cell r="AH7">
            <v>242.01</v>
          </cell>
          <cell r="AI7">
            <v>735.44</v>
          </cell>
          <cell r="AJ7">
            <v>230.61</v>
          </cell>
          <cell r="AK7">
            <v>254.99</v>
          </cell>
          <cell r="AL7">
            <v>549.44000000000005</v>
          </cell>
          <cell r="AM7">
            <v>418.89</v>
          </cell>
          <cell r="AN7">
            <v>37.93</v>
          </cell>
          <cell r="AO7">
            <v>337.9</v>
          </cell>
          <cell r="AP7">
            <v>785.73</v>
          </cell>
          <cell r="AQ7">
            <v>221.49</v>
          </cell>
          <cell r="AR7">
            <v>401.82</v>
          </cell>
          <cell r="AS7">
            <v>10.65</v>
          </cell>
          <cell r="AT7">
            <v>53</v>
          </cell>
          <cell r="AU7">
            <v>93.58</v>
          </cell>
          <cell r="AV7">
            <v>507.21</v>
          </cell>
          <cell r="AW7">
            <v>278.55</v>
          </cell>
          <cell r="AX7">
            <v>783.9</v>
          </cell>
          <cell r="AY7">
            <v>251.71</v>
          </cell>
          <cell r="AZ7">
            <v>368.29</v>
          </cell>
          <cell r="BA7">
            <v>506.07</v>
          </cell>
          <cell r="BB7">
            <v>665.45</v>
          </cell>
          <cell r="BC7">
            <v>1099.19</v>
          </cell>
          <cell r="BD7">
            <v>515.16</v>
          </cell>
          <cell r="BE7">
            <v>1067.74</v>
          </cell>
          <cell r="BF7">
            <v>14.83</v>
          </cell>
          <cell r="BG7">
            <v>412.58</v>
          </cell>
          <cell r="BH7">
            <v>151.16999999999999</v>
          </cell>
          <cell r="BI7">
            <v>448.64</v>
          </cell>
          <cell r="BJ7">
            <v>132.63999999999999</v>
          </cell>
          <cell r="BK7">
            <v>1409.22</v>
          </cell>
          <cell r="BL7">
            <v>1.38</v>
          </cell>
          <cell r="BM7">
            <v>206.4</v>
          </cell>
          <cell r="BN7">
            <v>463.76</v>
          </cell>
          <cell r="BO7">
            <v>306.44</v>
          </cell>
          <cell r="BP7">
            <v>98.43</v>
          </cell>
          <cell r="BQ7">
            <v>105.29</v>
          </cell>
          <cell r="BR7">
            <v>92.64</v>
          </cell>
          <cell r="BS7">
            <v>200.12</v>
          </cell>
          <cell r="BT7">
            <v>1562.14</v>
          </cell>
          <cell r="BU7">
            <v>42.28</v>
          </cell>
          <cell r="BV7">
            <v>78.400000000000006</v>
          </cell>
          <cell r="BW7">
            <v>340.57</v>
          </cell>
          <cell r="BX7">
            <v>277.52</v>
          </cell>
          <cell r="BY7">
            <v>55.25</v>
          </cell>
          <cell r="BZ7">
            <v>266.02999999999997</v>
          </cell>
          <cell r="CA7">
            <v>115.49</v>
          </cell>
          <cell r="CB7">
            <v>13.25</v>
          </cell>
          <cell r="CC7">
            <v>135.74</v>
          </cell>
          <cell r="CD7">
            <v>341.89</v>
          </cell>
          <cell r="CE7">
            <v>322.98</v>
          </cell>
          <cell r="CF7">
            <v>15.61</v>
          </cell>
          <cell r="CG7">
            <v>15.39</v>
          </cell>
          <cell r="CH7">
            <v>18.100000000000001</v>
          </cell>
          <cell r="CI7">
            <v>106.9</v>
          </cell>
          <cell r="CJ7">
            <v>281.37</v>
          </cell>
          <cell r="CK7">
            <v>11.46</v>
          </cell>
          <cell r="CL7">
            <v>2.02</v>
          </cell>
          <cell r="CM7">
            <v>24.6</v>
          </cell>
          <cell r="CN7">
            <v>74.459999999999994</v>
          </cell>
          <cell r="CO7">
            <v>10.41</v>
          </cell>
          <cell r="CP7">
            <v>92.06</v>
          </cell>
          <cell r="CQ7">
            <v>1</v>
          </cell>
          <cell r="CR7">
            <v>13.61</v>
          </cell>
          <cell r="CS7">
            <v>233.75</v>
          </cell>
          <cell r="CT7">
            <v>471.37</v>
          </cell>
          <cell r="CU7">
            <v>250.99</v>
          </cell>
          <cell r="CV7">
            <v>80.47</v>
          </cell>
          <cell r="CW7">
            <v>934.72</v>
          </cell>
          <cell r="CX7">
            <v>1983.72</v>
          </cell>
          <cell r="CY7">
            <v>206.5</v>
          </cell>
          <cell r="CZ7">
            <v>52.08</v>
          </cell>
          <cell r="DA7">
            <v>890.46</v>
          </cell>
          <cell r="DB7">
            <v>509.17</v>
          </cell>
          <cell r="DC7">
            <v>1650.48</v>
          </cell>
          <cell r="DD7">
            <v>701.67</v>
          </cell>
          <cell r="DE7">
            <v>857.55</v>
          </cell>
          <cell r="DF7">
            <v>194.45</v>
          </cell>
          <cell r="DG7">
            <v>72.69</v>
          </cell>
          <cell r="DH7">
            <v>5.66</v>
          </cell>
          <cell r="DI7">
            <v>11.44</v>
          </cell>
          <cell r="DJ7">
            <v>0</v>
          </cell>
          <cell r="DK7">
            <v>1120.0999999999999</v>
          </cell>
          <cell r="DL7">
            <v>117.16</v>
          </cell>
          <cell r="DM7">
            <v>30.69</v>
          </cell>
          <cell r="DN7">
            <v>-0.16</v>
          </cell>
          <cell r="DO7">
            <v>240.04</v>
          </cell>
          <cell r="DP7">
            <v>303.39</v>
          </cell>
          <cell r="DQ7">
            <v>497.49</v>
          </cell>
          <cell r="DR7">
            <v>648.77</v>
          </cell>
          <cell r="DS7">
            <v>473.95</v>
          </cell>
          <cell r="DT7">
            <v>1372.86</v>
          </cell>
          <cell r="DU7">
            <v>227.41</v>
          </cell>
          <cell r="DV7">
            <v>411.06</v>
          </cell>
          <cell r="DW7">
            <v>364.67</v>
          </cell>
          <cell r="DX7">
            <v>161.93</v>
          </cell>
          <cell r="DY7">
            <v>112.72</v>
          </cell>
          <cell r="DZ7">
            <v>1127.26</v>
          </cell>
          <cell r="EA7">
            <v>288.17</v>
          </cell>
          <cell r="EB7">
            <v>149.72999999999999</v>
          </cell>
          <cell r="EC7">
            <v>183.07</v>
          </cell>
          <cell r="ED7">
            <v>765.21</v>
          </cell>
          <cell r="EE7">
            <v>619.46</v>
          </cell>
          <cell r="EF7">
            <v>232.71</v>
          </cell>
          <cell r="EG7">
            <v>640.38</v>
          </cell>
          <cell r="EH7">
            <v>163.75</v>
          </cell>
          <cell r="EI7">
            <v>239.18</v>
          </cell>
          <cell r="EJ7">
            <v>1082.76</v>
          </cell>
          <cell r="EK7">
            <v>484.24</v>
          </cell>
          <cell r="EL7">
            <v>478.85</v>
          </cell>
          <cell r="EM7">
            <v>457.8</v>
          </cell>
          <cell r="EN7">
            <v>430.83</v>
          </cell>
          <cell r="EO7">
            <v>831.83</v>
          </cell>
          <cell r="EP7">
            <v>352.86</v>
          </cell>
          <cell r="EQ7">
            <v>42.56</v>
          </cell>
          <cell r="ER7">
            <v>586.41999999999996</v>
          </cell>
          <cell r="ES7">
            <v>91.87</v>
          </cell>
          <cell r="ET7">
            <v>322.27999999999997</v>
          </cell>
          <cell r="EU7">
            <v>180.24</v>
          </cell>
          <cell r="EV7">
            <v>88.83</v>
          </cell>
          <cell r="EW7">
            <v>217.02</v>
          </cell>
          <cell r="EX7">
            <v>703.65</v>
          </cell>
          <cell r="EY7">
            <v>2043.18</v>
          </cell>
          <cell r="EZ7">
            <v>141.76</v>
          </cell>
          <cell r="FA7">
            <v>75.97</v>
          </cell>
          <cell r="FB7">
            <v>119.2</v>
          </cell>
          <cell r="FC7">
            <v>112.07</v>
          </cell>
          <cell r="FD7">
            <v>59.75</v>
          </cell>
          <cell r="FE7">
            <v>68.38</v>
          </cell>
          <cell r="FF7">
            <v>439.34</v>
          </cell>
          <cell r="FG7">
            <v>11.41</v>
          </cell>
          <cell r="FH7">
            <v>3.49</v>
          </cell>
          <cell r="FI7">
            <v>270.14</v>
          </cell>
          <cell r="FJ7">
            <v>199.24</v>
          </cell>
          <cell r="FK7">
            <v>166.43</v>
          </cell>
          <cell r="FL7">
            <v>250.88</v>
          </cell>
          <cell r="FM7">
            <v>1281.52</v>
          </cell>
          <cell r="FN7">
            <v>198.14</v>
          </cell>
          <cell r="FO7">
            <v>462.7</v>
          </cell>
          <cell r="FP7">
            <v>339.02</v>
          </cell>
          <cell r="FQ7">
            <v>145.61000000000001</v>
          </cell>
          <cell r="FR7">
            <v>458.86</v>
          </cell>
          <cell r="FS7">
            <v>7.42</v>
          </cell>
          <cell r="FT7">
            <v>143.41</v>
          </cell>
          <cell r="FU7">
            <v>475.83</v>
          </cell>
          <cell r="FV7">
            <v>271.16000000000003</v>
          </cell>
          <cell r="FW7">
            <v>607.38</v>
          </cell>
          <cell r="FX7">
            <v>261.64</v>
          </cell>
          <cell r="FY7">
            <v>65.19</v>
          </cell>
          <cell r="FZ7">
            <v>387.86</v>
          </cell>
          <cell r="GA7">
            <v>375.46</v>
          </cell>
          <cell r="GB7">
            <v>39.46</v>
          </cell>
          <cell r="GC7">
            <v>132.81</v>
          </cell>
          <cell r="GD7">
            <v>267.89</v>
          </cell>
          <cell r="GE7">
            <v>271.74</v>
          </cell>
          <cell r="GF7">
            <v>103.94</v>
          </cell>
          <cell r="GG7">
            <v>17.649999999999999</v>
          </cell>
          <cell r="GH7">
            <v>49.97</v>
          </cell>
          <cell r="GI7">
            <v>335.39</v>
          </cell>
          <cell r="GJ7">
            <v>3.17</v>
          </cell>
          <cell r="GK7">
            <v>87.58</v>
          </cell>
          <cell r="GL7">
            <v>98.77</v>
          </cell>
          <cell r="GM7">
            <v>31.27</v>
          </cell>
          <cell r="GN7">
            <v>127.74</v>
          </cell>
          <cell r="GO7">
            <v>18.84</v>
          </cell>
          <cell r="GP7">
            <v>6.6</v>
          </cell>
          <cell r="GQ7">
            <v>0.4</v>
          </cell>
          <cell r="GR7">
            <v>12.39</v>
          </cell>
          <cell r="GS7">
            <v>0.12</v>
          </cell>
        </row>
        <row r="8">
          <cell r="C8">
            <v>197.95</v>
          </cell>
          <cell r="D8">
            <v>270.27</v>
          </cell>
          <cell r="E8">
            <v>21.14</v>
          </cell>
          <cell r="F8">
            <v>44.42</v>
          </cell>
          <cell r="G8">
            <v>-79.709999999999994</v>
          </cell>
          <cell r="H8">
            <v>173.29</v>
          </cell>
          <cell r="I8">
            <v>295.95</v>
          </cell>
          <cell r="J8">
            <v>66.58</v>
          </cell>
          <cell r="K8">
            <v>37.81</v>
          </cell>
          <cell r="L8">
            <v>21.99</v>
          </cell>
          <cell r="M8">
            <v>111.37</v>
          </cell>
          <cell r="N8">
            <v>-2.63</v>
          </cell>
          <cell r="O8">
            <v>30.9</v>
          </cell>
          <cell r="P8">
            <v>51.12</v>
          </cell>
          <cell r="Q8">
            <v>-32.369999999999997</v>
          </cell>
          <cell r="R8">
            <v>-8.64</v>
          </cell>
          <cell r="S8">
            <v>-16.48</v>
          </cell>
          <cell r="T8">
            <v>45.15</v>
          </cell>
          <cell r="U8">
            <v>9.16</v>
          </cell>
          <cell r="V8">
            <v>110.96</v>
          </cell>
          <cell r="W8">
            <v>195.31</v>
          </cell>
          <cell r="X8">
            <v>22.55</v>
          </cell>
          <cell r="Y8">
            <v>-43.27</v>
          </cell>
          <cell r="Z8">
            <v>38.299999999999997</v>
          </cell>
          <cell r="AA8">
            <v>19.739999999999998</v>
          </cell>
          <cell r="AB8">
            <v>64.12</v>
          </cell>
          <cell r="AC8">
            <v>98.94</v>
          </cell>
          <cell r="AD8">
            <v>-77.349999999999994</v>
          </cell>
          <cell r="AE8">
            <v>569.71</v>
          </cell>
          <cell r="AF8">
            <v>44.93</v>
          </cell>
          <cell r="AG8">
            <v>-4.04</v>
          </cell>
          <cell r="AH8">
            <v>35.729999999999997</v>
          </cell>
          <cell r="AI8">
            <v>37.79</v>
          </cell>
          <cell r="AJ8">
            <v>29.57</v>
          </cell>
          <cell r="AK8">
            <v>69.959999999999994</v>
          </cell>
          <cell r="AL8">
            <v>102.77</v>
          </cell>
          <cell r="AM8">
            <v>-80.86</v>
          </cell>
          <cell r="AN8">
            <v>29.61</v>
          </cell>
          <cell r="AO8">
            <v>74.2</v>
          </cell>
          <cell r="AP8">
            <v>62</v>
          </cell>
          <cell r="AQ8">
            <v>86.22</v>
          </cell>
          <cell r="AR8">
            <v>19.57</v>
          </cell>
          <cell r="AS8">
            <v>-8.58</v>
          </cell>
          <cell r="AT8">
            <v>55.22</v>
          </cell>
          <cell r="AU8">
            <v>4.25</v>
          </cell>
          <cell r="AV8">
            <v>-39.229999999999997</v>
          </cell>
          <cell r="AW8">
            <v>48.09</v>
          </cell>
          <cell r="AX8">
            <v>69.53</v>
          </cell>
          <cell r="AY8">
            <v>21.92</v>
          </cell>
          <cell r="AZ8">
            <v>39.18</v>
          </cell>
          <cell r="BA8">
            <v>44.03</v>
          </cell>
          <cell r="BB8">
            <v>77.83</v>
          </cell>
          <cell r="BC8">
            <v>0</v>
          </cell>
          <cell r="BD8">
            <v>103.18</v>
          </cell>
          <cell r="BE8">
            <v>-144.56</v>
          </cell>
          <cell r="BF8">
            <v>5.53</v>
          </cell>
          <cell r="BG8">
            <v>179.36</v>
          </cell>
          <cell r="BH8">
            <v>-19.73</v>
          </cell>
          <cell r="BI8">
            <v>36.43</v>
          </cell>
          <cell r="BJ8">
            <v>31.82</v>
          </cell>
          <cell r="BK8">
            <v>37.24</v>
          </cell>
          <cell r="BL8">
            <v>-1.38</v>
          </cell>
          <cell r="BM8">
            <v>12.15</v>
          </cell>
          <cell r="BN8">
            <v>0</v>
          </cell>
          <cell r="BO8">
            <v>-48.02</v>
          </cell>
          <cell r="BP8">
            <v>73.81</v>
          </cell>
          <cell r="BQ8">
            <v>18.16</v>
          </cell>
          <cell r="BR8">
            <v>-10.96</v>
          </cell>
          <cell r="BS8">
            <v>52.6</v>
          </cell>
          <cell r="BT8">
            <v>0</v>
          </cell>
          <cell r="BU8">
            <v>2.82</v>
          </cell>
          <cell r="BV8">
            <v>8.69</v>
          </cell>
          <cell r="BW8">
            <v>-37.99</v>
          </cell>
          <cell r="BX8">
            <v>-46.95</v>
          </cell>
          <cell r="BY8">
            <v>3.01</v>
          </cell>
          <cell r="BZ8">
            <v>32.29</v>
          </cell>
          <cell r="CA8">
            <v>68.36</v>
          </cell>
          <cell r="CB8">
            <v>0</v>
          </cell>
          <cell r="CC8">
            <v>0</v>
          </cell>
          <cell r="CD8">
            <v>0</v>
          </cell>
          <cell r="CE8">
            <v>0</v>
          </cell>
          <cell r="CF8">
            <v>0</v>
          </cell>
          <cell r="CG8">
            <v>0</v>
          </cell>
          <cell r="CH8">
            <v>0</v>
          </cell>
          <cell r="CI8">
            <v>28.99</v>
          </cell>
          <cell r="CJ8">
            <v>0</v>
          </cell>
          <cell r="CK8">
            <v>0</v>
          </cell>
          <cell r="CL8">
            <v>0</v>
          </cell>
          <cell r="CM8">
            <v>7.39</v>
          </cell>
          <cell r="CN8">
            <v>0</v>
          </cell>
          <cell r="CO8">
            <v>0</v>
          </cell>
          <cell r="CP8">
            <v>0</v>
          </cell>
          <cell r="CQ8">
            <v>0</v>
          </cell>
          <cell r="CR8">
            <v>3.19</v>
          </cell>
          <cell r="CS8">
            <v>-7.13</v>
          </cell>
          <cell r="CT8">
            <v>8.9</v>
          </cell>
          <cell r="CU8">
            <v>37.409999999999997</v>
          </cell>
          <cell r="CV8">
            <v>10.32</v>
          </cell>
          <cell r="CW8">
            <v>27.17</v>
          </cell>
          <cell r="CX8">
            <v>278.8</v>
          </cell>
          <cell r="CY8">
            <v>3.6</v>
          </cell>
          <cell r="CZ8">
            <v>-6.47</v>
          </cell>
          <cell r="DA8">
            <v>-67.459999999999994</v>
          </cell>
          <cell r="DB8">
            <v>-9.8800000000000008</v>
          </cell>
          <cell r="DC8">
            <v>-532.95000000000005</v>
          </cell>
          <cell r="DD8">
            <v>4.38</v>
          </cell>
          <cell r="DE8">
            <v>-103.84</v>
          </cell>
          <cell r="DF8">
            <v>57.61</v>
          </cell>
          <cell r="DG8">
            <v>0</v>
          </cell>
          <cell r="DH8">
            <v>0</v>
          </cell>
          <cell r="DI8">
            <v>0</v>
          </cell>
          <cell r="DJ8">
            <v>0.84</v>
          </cell>
          <cell r="DK8">
            <v>50.99</v>
          </cell>
          <cell r="DL8">
            <v>33.07</v>
          </cell>
          <cell r="DM8">
            <v>28.7</v>
          </cell>
          <cell r="DN8">
            <v>4.29</v>
          </cell>
          <cell r="DO8">
            <v>24.65</v>
          </cell>
          <cell r="DP8">
            <v>89.13</v>
          </cell>
          <cell r="DQ8">
            <v>154.77000000000001</v>
          </cell>
          <cell r="DR8">
            <v>264.33</v>
          </cell>
          <cell r="DS8">
            <v>127.41</v>
          </cell>
          <cell r="DT8">
            <v>136.16</v>
          </cell>
          <cell r="DU8">
            <v>33.92</v>
          </cell>
          <cell r="DV8">
            <v>246.82</v>
          </cell>
          <cell r="DW8">
            <v>51.61</v>
          </cell>
          <cell r="DX8">
            <v>28.51</v>
          </cell>
          <cell r="DY8">
            <v>26.83</v>
          </cell>
          <cell r="DZ8">
            <v>142.74</v>
          </cell>
          <cell r="EA8">
            <v>68.239999999999995</v>
          </cell>
          <cell r="EB8">
            <v>83.46</v>
          </cell>
          <cell r="EC8">
            <v>51.91</v>
          </cell>
          <cell r="ED8">
            <v>165.49</v>
          </cell>
          <cell r="EE8">
            <v>0.69</v>
          </cell>
          <cell r="EF8">
            <v>94.27</v>
          </cell>
          <cell r="EG8">
            <v>87.37</v>
          </cell>
          <cell r="EH8">
            <v>74.7</v>
          </cell>
          <cell r="EI8">
            <v>-37.840000000000003</v>
          </cell>
          <cell r="EJ8">
            <v>294.43</v>
          </cell>
          <cell r="EK8">
            <v>74.58</v>
          </cell>
          <cell r="EL8">
            <v>-22</v>
          </cell>
          <cell r="EM8">
            <v>132.86000000000001</v>
          </cell>
          <cell r="EN8">
            <v>69.47</v>
          </cell>
          <cell r="EO8">
            <v>75.010000000000005</v>
          </cell>
          <cell r="EP8">
            <v>43.68</v>
          </cell>
          <cell r="EQ8">
            <v>12.24</v>
          </cell>
          <cell r="ER8">
            <v>372.94</v>
          </cell>
          <cell r="ES8">
            <v>8.2799999999999994</v>
          </cell>
          <cell r="ET8">
            <v>89.18</v>
          </cell>
          <cell r="EU8">
            <v>-24.98</v>
          </cell>
          <cell r="EV8">
            <v>31.84</v>
          </cell>
          <cell r="EW8">
            <v>-34.57</v>
          </cell>
          <cell r="EX8">
            <v>217.48</v>
          </cell>
          <cell r="EY8">
            <v>-77.930000000000007</v>
          </cell>
          <cell r="EZ8">
            <v>41.22</v>
          </cell>
          <cell r="FA8">
            <v>0</v>
          </cell>
          <cell r="FB8">
            <v>0</v>
          </cell>
          <cell r="FC8">
            <v>0</v>
          </cell>
          <cell r="FD8">
            <v>7.58</v>
          </cell>
          <cell r="FE8">
            <v>46.74</v>
          </cell>
          <cell r="FF8">
            <v>0</v>
          </cell>
          <cell r="FG8">
            <v>3.31</v>
          </cell>
          <cell r="FH8">
            <v>4.51</v>
          </cell>
          <cell r="FI8">
            <v>0</v>
          </cell>
          <cell r="FJ8">
            <v>0</v>
          </cell>
          <cell r="FK8">
            <v>38.5</v>
          </cell>
          <cell r="FL8">
            <v>104.62</v>
          </cell>
          <cell r="FM8">
            <v>203.47</v>
          </cell>
          <cell r="FN8">
            <v>67.819999999999993</v>
          </cell>
          <cell r="FO8">
            <v>213.67</v>
          </cell>
          <cell r="FP8">
            <v>113.94</v>
          </cell>
          <cell r="FQ8">
            <v>53.26</v>
          </cell>
          <cell r="FR8">
            <v>176.68</v>
          </cell>
          <cell r="FS8">
            <v>-1.89</v>
          </cell>
          <cell r="FT8">
            <v>19.95</v>
          </cell>
          <cell r="FU8">
            <v>157.16</v>
          </cell>
          <cell r="FV8">
            <v>24.66</v>
          </cell>
          <cell r="FW8">
            <v>130.63999999999999</v>
          </cell>
          <cell r="FX8">
            <v>47.18</v>
          </cell>
          <cell r="FY8">
            <v>26.33</v>
          </cell>
          <cell r="FZ8">
            <v>80.569999999999993</v>
          </cell>
          <cell r="GA8">
            <v>134.94</v>
          </cell>
          <cell r="GB8">
            <v>3.63</v>
          </cell>
          <cell r="GC8">
            <v>-42.43</v>
          </cell>
          <cell r="GD8">
            <v>-15.35</v>
          </cell>
          <cell r="GE8">
            <v>137.47999999999999</v>
          </cell>
          <cell r="GF8">
            <v>-26.45</v>
          </cell>
          <cell r="GG8">
            <v>12.5</v>
          </cell>
          <cell r="GH8">
            <v>-17.64</v>
          </cell>
          <cell r="GI8">
            <v>105.59</v>
          </cell>
          <cell r="GJ8">
            <v>0</v>
          </cell>
          <cell r="GK8">
            <v>0</v>
          </cell>
          <cell r="GL8">
            <v>0</v>
          </cell>
          <cell r="GM8">
            <v>0</v>
          </cell>
          <cell r="GN8">
            <v>0</v>
          </cell>
          <cell r="GO8">
            <v>0</v>
          </cell>
          <cell r="GP8">
            <v>0</v>
          </cell>
          <cell r="GQ8">
            <v>0</v>
          </cell>
          <cell r="GR8">
            <v>0</v>
          </cell>
          <cell r="GS8">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IT"/>
      <sheetName val="12-31-97 YTD"/>
      <sheetName val="12-31-97"/>
      <sheetName val="9-30-97"/>
      <sheetName val="6-30-97"/>
      <sheetName val="3-31-97"/>
      <sheetName val="12-31-98 YTD"/>
      <sheetName val="12-31-98"/>
      <sheetName val="9-30-98"/>
      <sheetName val="6-30-98"/>
      <sheetName val="3-31-98"/>
      <sheetName val="Consol 97"/>
      <sheetName val="Consol 98"/>
      <sheetName val="Seg IB 3Q"/>
      <sheetName val="WLine 3Q"/>
      <sheetName val="IB-WLine"/>
      <sheetName val="IB-WLine 97"/>
      <sheetName val="IB-WLine 98"/>
      <sheetName val="GWP-WLine"/>
      <sheetName val="WLess 3Q"/>
      <sheetName val="IB-WLess"/>
      <sheetName val="IB-WLess 97"/>
      <sheetName val="IB-WLess 98"/>
      <sheetName val="GWP-WLess"/>
      <sheetName val="Dir 3Q"/>
      <sheetName val="IB-Dir"/>
      <sheetName val="IB-Dir 97"/>
      <sheetName val="IB-Dir 98"/>
      <sheetName val="GWP-Dir"/>
      <sheetName val="Other 3Q"/>
      <sheetName val="IB-Other"/>
      <sheetName val="IB-Other 97"/>
      <sheetName val="IB-Other 98"/>
      <sheetName val="GWP-Other"/>
      <sheetName val="IB-Corporate 97"/>
      <sheetName val="IB-Corporate 98"/>
      <sheetName val="GWP-Corporate"/>
      <sheetName val="GWP-Addl"/>
      <sheetName val="DATABO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BankXRef"/>
      <sheetName val="Buffer"/>
      <sheetName val="MenuData"/>
      <sheetName val="TPBANK"/>
      <sheetName val="Financials"/>
      <sheetName val="consumption"/>
      <sheetName val="excise"/>
      <sheetName val="demo"/>
      <sheetName val="global"/>
      <sheetName val="rural"/>
      <sheetName val="data"/>
      <sheetName val="Database"/>
      <sheetName val="#REF"/>
      <sheetName val="Mar97"/>
      <sheetName val="RBS"/>
      <sheetName val="TPBANK.X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mod"/>
      <sheetName val="per share"/>
      <sheetName val="owners"/>
      <sheetName val="cap hist"/>
      <sheetName val="prices"/>
      <sheetName val="quant"/>
      <sheetName val="front page"/>
      <sheetName val="last page"/>
      <sheetName val="BS_1"/>
      <sheetName val="BS_2"/>
      <sheetName val="CF_1"/>
      <sheetName val="PL_1"/>
      <sheetName val="PL_2"/>
      <sheetName val="Ratio_1"/>
      <sheetName val="Ratio_2"/>
      <sheetName val="bp"/>
      <sheetName val="fp"/>
      <sheetName val="board"/>
      <sheetName val="sales"/>
      <sheetName val="main"/>
      <sheetName val="shareholding"/>
      <sheetName val="pl_related"/>
      <sheetName val="per_share"/>
      <sheetName val="cap_hist"/>
      <sheetName val="front_page"/>
      <sheetName val="last_page"/>
      <sheetName val="charts &amp; tables"/>
      <sheetName val="bonny"/>
      <sheetName val="AMOY"/>
      <sheetName val="Qtrly Flash"/>
      <sheetName val="per_share1"/>
      <sheetName val="cap_hist1"/>
      <sheetName val="front_page1"/>
      <sheetName val="last_page1"/>
      <sheetName val="charts_&amp;_tables"/>
      <sheetName val="financials"/>
      <sheetName val="Profile"/>
      <sheetName val="Input"/>
      <sheetName val="Formats"/>
      <sheetName val="Debt"/>
      <sheetName val="CapEx"/>
      <sheetName val="Capital"/>
      <sheetName val="Tax"/>
      <sheetName val="QuanOP"/>
      <sheetName val="VarName"/>
      <sheetName val="per_share2"/>
      <sheetName val="cap_hist2"/>
      <sheetName val="front_page2"/>
      <sheetName val="last_page2"/>
      <sheetName val="charts_&amp;_tables1"/>
      <sheetName val="Qtrly_Flash"/>
      <sheetName val="per_share3"/>
      <sheetName val="cap_hist3"/>
      <sheetName val="front_page3"/>
      <sheetName val="last_page3"/>
      <sheetName val="charts_&amp;_tables2"/>
      <sheetName val="Qtrly_Flash1"/>
      <sheetName val="Template"/>
      <sheetName val="header"/>
      <sheetName val="TB"/>
      <sheetName val="CW"/>
      <sheetName val="DT"/>
      <sheetName val="FT"/>
      <sheetName val="KPN"/>
      <sheetName val="PT"/>
      <sheetName val="SON"/>
      <sheetName val="SWCM"/>
      <sheetName val="TI"/>
      <sheetName val="TLD"/>
      <sheetName val="TEF"/>
      <sheetName val="systems"/>
      <sheetName val="fy_model"/>
    </sheetNames>
    <sheetDataSet>
      <sheetData sheetId="0" refreshError="1"/>
      <sheetData sheetId="1" refreshError="1"/>
      <sheetData sheetId="2" refreshError="1"/>
      <sheetData sheetId="3" refreshError="1"/>
      <sheetData sheetId="4" refreshError="1">
        <row r="1">
          <cell r="A1" t="str">
            <v>Date</v>
          </cell>
        </row>
        <row r="2">
          <cell r="A2">
            <v>35065</v>
          </cell>
        </row>
        <row r="3">
          <cell r="A3">
            <v>35066</v>
          </cell>
        </row>
        <row r="4">
          <cell r="A4">
            <v>35067</v>
          </cell>
        </row>
        <row r="5">
          <cell r="A5">
            <v>35068</v>
          </cell>
        </row>
        <row r="6">
          <cell r="A6">
            <v>35069</v>
          </cell>
        </row>
        <row r="7">
          <cell r="A7">
            <v>35072</v>
          </cell>
        </row>
        <row r="8">
          <cell r="A8">
            <v>35073</v>
          </cell>
        </row>
        <row r="9">
          <cell r="A9">
            <v>35074</v>
          </cell>
        </row>
        <row r="10">
          <cell r="A10">
            <v>35075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tro"/>
      <sheetName val="Sheet2"/>
      <sheetName val="Input"/>
      <sheetName val="Traffic-Toll-Revenue PCUs wkgs"/>
      <sheetName val="Traffic-Toll-Revenue"/>
      <sheetName val="App CapCost"/>
      <sheetName val="App MoF"/>
      <sheetName val="Com CapCost"/>
      <sheetName val="Com MoF"/>
      <sheetName val="O&amp;M &amp; MM"/>
      <sheetName val="Dep"/>
      <sheetName val="Loans"/>
      <sheetName val="P&amp;L"/>
      <sheetName val="Tax"/>
      <sheetName val="FF"/>
      <sheetName val="BS"/>
      <sheetName val="Dividends"/>
      <sheetName val="IRR"/>
      <sheetName val="Ratios"/>
      <sheetName val="Sensitivities"/>
      <sheetName val="EQ IRR"/>
      <sheetName val="PROJECT IRR"/>
      <sheetName val="Sheet1"/>
      <sheetName val="Val"/>
      <sheetName val="Module1"/>
      <sheetName val="Module2"/>
      <sheetName val="Module3"/>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ow r="33">
          <cell r="G33">
            <v>3.9848985631978411</v>
          </cell>
          <cell r="H33">
            <v>4.9033095381343434</v>
          </cell>
          <cell r="I33">
            <v>6.0302506806331939</v>
          </cell>
          <cell r="J33">
            <v>1.7542653313969674</v>
          </cell>
          <cell r="K33">
            <v>8.4791286791604357</v>
          </cell>
          <cell r="L33">
            <v>9.8712434302502619</v>
          </cell>
          <cell r="M33">
            <v>11.48713730042323</v>
          </cell>
          <cell r="N33">
            <v>13.171914371174289</v>
          </cell>
          <cell r="O33">
            <v>7.7399775572303602</v>
          </cell>
          <cell r="P33">
            <v>16.984319894824452</v>
          </cell>
          <cell r="Q33">
            <v>19.032551965328043</v>
          </cell>
          <cell r="R33">
            <v>21.430119010170117</v>
          </cell>
          <cell r="S33">
            <v>23.798106024594254</v>
          </cell>
          <cell r="T33">
            <v>16.421063773481748</v>
          </cell>
          <cell r="U33">
            <v>28.409960515724496</v>
          </cell>
          <cell r="V33">
            <v>31.180547282206454</v>
          </cell>
          <cell r="W33">
            <v>28.467619466212877</v>
          </cell>
        </row>
      </sheetData>
      <sheetData sheetId="14"/>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sheetName val="Calculation (2)"/>
      <sheetName val="Macro1"/>
      <sheetName val="EVA1"/>
      <sheetName val="#REF"/>
      <sheetName val="bajaj_copeland"/>
      <sheetName val="InQuart"/>
      <sheetName val="Financials"/>
      <sheetName val="Mico"/>
      <sheetName val="Charts"/>
      <sheetName val="Sheet1"/>
      <sheetName val="Sheet2"/>
      <sheetName val="Sheet3"/>
      <sheetName val="P&amp;L"/>
      <sheetName val="DCF1"/>
      <sheetName val="Profile"/>
      <sheetName val="Input"/>
      <sheetName val="Debt"/>
      <sheetName val="QuanOP"/>
      <sheetName val="Tax"/>
      <sheetName val="CapEx"/>
      <sheetName val="Capital"/>
      <sheetName val="Formats"/>
      <sheetName val="VarName"/>
      <sheetName val="BS"/>
      <sheetName val="H2"/>
      <sheetName val="K-format"/>
      <sheetName val="Key Nos"/>
      <sheetName val="Ranbaxy"/>
      <sheetName val="NPL datasheet"/>
      <sheetName val="Consolidated P&amp;L 03-04"/>
      <sheetName val="Sheet10"/>
      <sheetName val="Sheet9"/>
      <sheetName val="Template"/>
      <sheetName val="DCFModel"/>
      <sheetName val="Chartdata"/>
      <sheetName val="Earnings model"/>
      <sheetName val="DCF"/>
      <sheetName val="Halfyear"/>
      <sheetName val="VALUE2_5"/>
      <sheetName val="MTNL"/>
      <sheetName val="Ignore"/>
      <sheetName val="q"/>
      <sheetName val="SML"/>
      <sheetName val="QtrFY 01"/>
      <sheetName val="P&amp;L, BS, CF, DCF"/>
      <sheetName val="amforge"/>
      <sheetName val="MSSL"/>
      <sheetName val="co-details"/>
      <sheetName val="plc"/>
      <sheetName val="Aladdin Macro1"/>
      <sheetName val="statistic"/>
      <sheetName val="Settings"/>
      <sheetName val="Lists"/>
      <sheetName val="ListMaster"/>
      <sheetName val="ABG"/>
      <sheetName val="Variables"/>
      <sheetName val="Corrupt SSCI"/>
      <sheetName val="Monthly Ship+Prod"/>
      <sheetName val="Perform"/>
      <sheetName val="P"/>
      <sheetName val="Key"/>
      <sheetName val="coal"/>
      <sheetName val="Standalone"/>
      <sheetName val="detailed earnings model"/>
      <sheetName val="Indian camel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l - Consolidated"/>
      <sheetName val="Income statement"/>
      <sheetName val="Balance_sheet"/>
      <sheetName val="Cash_flow"/>
      <sheetName val="DCF_consolidated"/>
      <sheetName val="ESOP_issuance"/>
      <sheetName val="Black-scholes calculator"/>
      <sheetName val="uploader"/>
      <sheetName val="Quarterly"/>
      <sheetName val="Standalone Sales break-up"/>
      <sheetName val="Financials_exhibit"/>
      <sheetName val="Short play model"/>
      <sheetName val="Product portfolio"/>
      <sheetName val="Sheet1"/>
      <sheetName val="template-q"/>
      <sheetName val="Input"/>
      <sheetName val="Debt"/>
      <sheetName val="QuanOP"/>
    </sheetNames>
    <sheetDataSet>
      <sheetData sheetId="0" refreshError="1">
        <row r="6">
          <cell r="B6">
            <v>626.75</v>
          </cell>
        </row>
        <row r="7">
          <cell r="B7">
            <v>2</v>
          </cell>
        </row>
      </sheetData>
      <sheetData sheetId="1" refreshError="1"/>
      <sheetData sheetId="2" refreshError="1"/>
      <sheetData sheetId="3" refreshError="1"/>
      <sheetData sheetId="4" refreshError="1"/>
      <sheetData sheetId="5" refreshError="1">
        <row r="4">
          <cell r="B4">
            <v>6.25E-2</v>
          </cell>
        </row>
        <row r="5">
          <cell r="B5">
            <v>0</v>
          </cell>
        </row>
        <row r="6">
          <cell r="B6">
            <v>0.5</v>
          </cell>
        </row>
      </sheetData>
      <sheetData sheetId="6" refreshError="1">
        <row r="3">
          <cell r="C3">
            <v>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West Model "/>
      <sheetName val="DCF"/>
      <sheetName val="USW"/>
      <sheetName val="cash flow"/>
      <sheetName val="balance sheet"/>
      <sheetName val="Consolidated"/>
    </sheetNames>
    <sheetDataSet>
      <sheetData sheetId="0">
        <row r="12">
          <cell r="X12">
            <v>11479</v>
          </cell>
          <cell r="AC12">
            <v>12378</v>
          </cell>
          <cell r="AH12">
            <v>13182</v>
          </cell>
          <cell r="AM12">
            <v>14101.298000000001</v>
          </cell>
        </row>
        <row r="24">
          <cell r="X24">
            <v>4971</v>
          </cell>
          <cell r="AC24">
            <v>5409</v>
          </cell>
          <cell r="AH24">
            <v>5704</v>
          </cell>
          <cell r="AM24">
            <v>6183.3994520000015</v>
          </cell>
        </row>
        <row r="42">
          <cell r="X42">
            <v>2.85</v>
          </cell>
          <cell r="AC42">
            <v>3.0124944441700823</v>
          </cell>
          <cell r="AH42">
            <v>3.2259353805947342</v>
          </cell>
          <cell r="AM42">
            <v>3.4812243000194472</v>
          </cell>
        </row>
      </sheetData>
      <sheetData sheetId="1"/>
      <sheetData sheetId="2"/>
      <sheetData sheetId="3"/>
      <sheetData sheetId="4"/>
      <sheetData sheetId="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 val="Internet"/>
      <sheetName val="Template"/>
      <sheetName val="MenuData"/>
      <sheetName val="Financials"/>
      <sheetName val="GRM-Mumbai"/>
      <sheetName val="Introduction"/>
      <sheetName val="DCF_VDF"/>
      <sheetName val="WACC_VDF"/>
      <sheetName val="Summary Page_VDF"/>
      <sheetName val="NOPAT_VDF"/>
      <sheetName val="Invested capital_VDF"/>
      <sheetName val="PV of Op Leases_VDF"/>
      <sheetName val="eval"/>
      <sheetName val="debt"/>
      <sheetName val="Projections"/>
      <sheetName val="Other"/>
      <sheetName val="R&amp;M"/>
      <sheetName val="chems"/>
      <sheetName val="SNAM"/>
      <sheetName val="groupE&amp;P"/>
      <sheetName val="RoW"/>
      <sheetName val="North Sea"/>
      <sheetName val="West Africa"/>
      <sheetName val="Italy"/>
      <sheetName val="North Africa"/>
      <sheetName val="Oilservice"/>
      <sheetName val="assms"/>
      <sheetName val="Accounting"/>
      <sheetName val="DDIC.XLS"/>
      <sheetName val="환율"/>
      <sheetName val="3. Elemental Summary"/>
      <sheetName val="12a. CFTable"/>
      <sheetName val="csd1"/>
      <sheetName val="csd2"/>
      <sheetName val="front_1"/>
      <sheetName val="Retail Breakdown"/>
      <sheetName val="Qrtly temp"/>
      <sheetName val="YTD"/>
      <sheetName val="TRIAL BALANCE"/>
      <sheetName val="test"/>
      <sheetName val="Operating Statistics"/>
      <sheetName val="Inc-Yr Summary"/>
      <sheetName val="#REF"/>
      <sheetName val="Physical"/>
      <sheetName val="sh pri"/>
      <sheetName val="consumption"/>
      <sheetName val="excise"/>
      <sheetName val="demo"/>
      <sheetName val="global"/>
      <sheetName val="rural"/>
      <sheetName val="dyes"/>
      <sheetName val="Financials(O)"/>
      <sheetName val="Key assumptions &amp; Forecasts"/>
      <sheetName val="Annual"/>
      <sheetName val="Capex &amp; Depreciation"/>
      <sheetName val="Debt (2)"/>
      <sheetName val="Capital History"/>
      <sheetName val="Unit cost analysis"/>
      <sheetName val="REDDYS"/>
      <sheetName val="Bajaj Allianz"/>
      <sheetName val="Black-Scholes"/>
      <sheetName val="Valuation assumptions"/>
      <sheetName val="stock"/>
      <sheetName val="NEW Earnings Guide"/>
      <sheetName val="Overhead &amp; Profit B-1"/>
      <sheetName val="Control Sheet"/>
      <sheetName val="Cover Sheet"/>
      <sheetName val="acctmod"/>
      <sheetName val="prices"/>
      <sheetName val="Model"/>
      <sheetName val="DDIC_XLS"/>
      <sheetName val="3__Elemental_Summary"/>
      <sheetName val="12a__CFTable"/>
      <sheetName val="TRIAL_BALANCE"/>
      <sheetName val="Summary_Page_VDF"/>
      <sheetName val="Invested_capital_VDF"/>
      <sheetName val="PV_of_Op_Leases_VDF"/>
      <sheetName val="North_Sea"/>
      <sheetName val="West_Africa"/>
      <sheetName val="North_Africa"/>
      <sheetName val="Operating_Statistics"/>
      <sheetName val="Inc-Yr_Summary"/>
      <sheetName val="sh_pri"/>
      <sheetName val="Retail_Breakdown"/>
      <sheetName val="Qrtly_temp"/>
      <sheetName val="Key_assumptions_&amp;_Forecasts"/>
      <sheetName val="Capex_&amp;_Depreciation"/>
      <sheetName val="Debt_(2)"/>
      <sheetName val="Capital_History"/>
      <sheetName val="Unit_cost_analysis"/>
      <sheetName val="Bajaj_Allianz"/>
      <sheetName val="Valuation_assumptions"/>
      <sheetName val="NEW_Earnings_Guide"/>
      <sheetName val="Overhead_&amp;_Profit_B-1"/>
      <sheetName val="Control_Sheet"/>
      <sheetName val="Cover_Sheet"/>
      <sheetName val="Inter unit set off"/>
      <sheetName val="YOEMAGUM"/>
      <sheetName val="coa_ramco_168"/>
      <sheetName val="\Applications\Microsoft Office "/>
      <sheetName val="TB"/>
      <sheetName val="Sheet2"/>
      <sheetName val="Main Sheet"/>
      <sheetName val="\Applications\Microsoft_Office_"/>
      <sheetName val="07-08"/>
      <sheetName val="[DDIC.XLS][DDIC.XLS]\Applicatio"/>
      <sheetName val="Data Tables"/>
      <sheetName val="[DDIC.XLS]\Applications\Microso"/>
      <sheetName val="[DDIC.XLS][DDIC.XLS][DDIC.XLS]\"/>
      <sheetName val="[DDIC.XLS][DDIC.XLS][DDIC.XLS]["/>
      <sheetName val="BOQ"/>
      <sheetName val="[DDIC.XLS]_Applications_Micro_2"/>
      <sheetName val="[DDIC.XLS]_Applications_Micro_3"/>
      <sheetName val="[DDIC.XLS][DDIC.XLS]_DDIC_XLS_2"/>
      <sheetName val="[DDIC.XLS][DDIC.XLS]_Applicat_2"/>
      <sheetName val="[DDIC.XLS][DDIC.XLS]_DDIC_XLS_3"/>
      <sheetName val="Valuation"/>
      <sheetName val="\C\Applications\Microsoft Offic"/>
      <sheetName val="\C\C\Applications\Microsoft Off"/>
      <sheetName val="\C\C\C\Applications\Microsoft O"/>
      <sheetName val="\V\C\C\C\Applications\Microsoft"/>
      <sheetName val="EV to Ebitda"/>
      <sheetName val="P to OCF(form)"/>
      <sheetName val="Charts A"/>
      <sheetName val="P"/>
      <sheetName val="Expenses"/>
      <sheetName val="CD-R"/>
      <sheetName val="EU unsubsidies exports"/>
      <sheetName val="Data sheet"/>
      <sheetName val="Ratios"/>
      <sheetName val="수입"/>
      <sheetName val="Assumption"/>
      <sheetName val="Share Price"/>
      <sheetName val="Inflation_by country"/>
      <sheetName val="Materia Summary"/>
      <sheetName val="Sales Beakdown"/>
      <sheetName val="Operating and CF"/>
      <sheetName val="Income Statement - Consolidated"/>
      <sheetName val="P7 CapFlows"/>
      <sheetName val="P15 DivYld"/>
      <sheetName val="BS"/>
      <sheetName val="cc_Link"/>
      <sheetName val="Earnings Model"/>
      <sheetName val="DATABASE"/>
      <sheetName val="Takeup"/>
      <sheetName val="EE"/>
      <sheetName val="HSB"/>
      <sheetName val="Controls"/>
      <sheetName val="NAV"/>
      <sheetName val="Summary"/>
      <sheetName val="Interface"/>
      <sheetName val="NIRAJ"/>
      <sheetName val="Ex3"/>
      <sheetName val="EV_to_Ebitda"/>
      <sheetName val="matrix"/>
      <sheetName val="PROFSVC"/>
      <sheetName val="Q_MODEL"/>
      <sheetName val="Input"/>
      <sheetName val="손익현황보고(월)"/>
      <sheetName val="Hi_low"/>
      <sheetName val="Summary_Page_VDF1"/>
      <sheetName val="Invested_capital_VDF1"/>
      <sheetName val="PV_of_Op_Leases_VDF1"/>
      <sheetName val="North_Sea1"/>
      <sheetName val="West_Africa1"/>
      <sheetName val="North_Africa1"/>
      <sheetName val="DDIC_XLS1"/>
      <sheetName val="3__Elemental_Summary1"/>
      <sheetName val="12a__CFTable1"/>
      <sheetName val="Retail_Breakdown1"/>
      <sheetName val="Qrtly_temp1"/>
      <sheetName val="TRIAL_BALANCE1"/>
      <sheetName val="Operating_Statistics1"/>
      <sheetName val="Inc-Yr_Summary1"/>
      <sheetName val="sh_pri1"/>
      <sheetName val="Key_assumptions_&amp;_Forecasts1"/>
      <sheetName val="Capex_&amp;_Depreciation1"/>
      <sheetName val="Debt_(2)1"/>
      <sheetName val="Capital_History1"/>
      <sheetName val="Unit_cost_analysis1"/>
      <sheetName val="Bajaj_Allianz1"/>
      <sheetName val="Valuation_assumptions1"/>
      <sheetName val="Overhead_&amp;_Profit_B-11"/>
      <sheetName val="Control_Sheet1"/>
      <sheetName val="Cover_Sheet1"/>
      <sheetName val="NEW_Earnings_Guide1"/>
      <sheetName val="Inter_unit_set_off"/>
      <sheetName val="\Applications\Microsoft_Office1"/>
      <sheetName val="Main_Sheet"/>
      <sheetName val="[DDIC_XLS][DDIC_XLS]\Applicatio"/>
      <sheetName val="Data_Tables"/>
      <sheetName val="[DDIC_XLS]\Applications\Microso"/>
      <sheetName val="[DDIC_XLS][DDIC_XLS][DDIC_XLS]\"/>
      <sheetName val="[DDIC_XLS][DDIC_XLS][DDIC_XLS]["/>
      <sheetName val="[DDIC_XLS]_Applications_Micro_2"/>
      <sheetName val="[DDIC_XLS]_Applications_Micro_3"/>
      <sheetName val="[DDIC_XLS][DDIC_XLS]_DDIC_XLS_2"/>
      <sheetName val="[DDIC_XLS][DDIC_XLS]_Applicat_2"/>
      <sheetName val="[DDIC_XLS][DDIC_XLS]_DDIC_XLS_3"/>
      <sheetName val="\C\Applications\Microsoft_Offic"/>
      <sheetName val="\C\C\Applications\Microsoft_Off"/>
      <sheetName val="\C\C\C\Applications\Microsoft_O"/>
      <sheetName val="Charts_A"/>
      <sheetName val="Define Employee"/>
      <sheetName val="Define_Employee"/>
      <sheetName val="Loan from Som"/>
      <sheetName val="BSLA"/>
      <sheetName val="HDFC Std Life"/>
      <sheetName val="SBILife"/>
      <sheetName val="Master Sheet "/>
      <sheetName val="Birla Sun Life"/>
      <sheetName val="Max New York Life"/>
      <sheetName val="ICICI Pru"/>
      <sheetName val="Detail P&amp;L"/>
      <sheetName val="Assumption Sheet"/>
      <sheetName val="Input Param"/>
      <sheetName val="MergerAssumptions"/>
      <sheetName val="Amortization Table"/>
      <sheetName val="MUSTER"/>
      <sheetName val="Headings"/>
      <sheetName val="Capital Input"/>
      <sheetName val="trialbal"/>
      <sheetName val="System"/>
      <sheetName val="assumptions"/>
      <sheetName val="Measurements"/>
      <sheetName val="Tables"/>
      <sheetName val="Flooring"/>
      <sheetName val="Ceilings"/>
      <sheetName val="ACAD Finishes"/>
      <sheetName val="Site Details"/>
      <sheetName val="Chair"/>
      <sheetName val="Site Area Statement"/>
      <sheetName val="Doors"/>
      <sheetName val="Estimate"/>
      <sheetName val="crews"/>
      <sheetName val="SCHEDULE"/>
      <sheetName val="Prod Anal"/>
      <sheetName val="Intaccrual"/>
      <sheetName val="SBU"/>
      <sheetName val="tdint"/>
      <sheetName val="PCS DATA"/>
      <sheetName val="INDEX"/>
      <sheetName val="AREAS"/>
      <sheetName val="Data"/>
      <sheetName val="LISTS"/>
      <sheetName val="Crop Master"/>
      <sheetName val="Format"/>
      <sheetName val="Site Master"/>
      <sheetName val="Fruiting"/>
      <sheetName val="DAILY"/>
      <sheetName val="PRECAST lightconc-II"/>
      <sheetName val="IT Asset"/>
      <sheetName val="Codes"/>
      <sheetName val="list"/>
      <sheetName val="Rate Analysis"/>
      <sheetName val="CASHFLOWS"/>
      <sheetName val="India F&amp;S Template"/>
      <sheetName val="final abstract"/>
      <sheetName val="MN T.B."/>
      <sheetName val="Sales &amp; Prod"/>
      <sheetName val="B-2  (DPP)"/>
      <sheetName val="한계원가"/>
      <sheetName val="Project Budget"/>
      <sheetName val="Financial Closure"/>
      <sheetName val="1. Sale Schedule"/>
      <sheetName val="1. Cost Schedule"/>
      <sheetName val="1. Lease Schedule"/>
      <sheetName val="1. Pro Forma"/>
      <sheetName val="dlvoid"/>
      <sheetName val="ELEC2071"/>
      <sheetName val="Cost Incurred Working"/>
      <sheetName val="Payment Schedule"/>
      <sheetName val="Expected Collections"/>
      <sheetName val="Expected Cashflow"/>
      <sheetName val="Presentation Output"/>
      <sheetName val="Presentation Output_1"/>
      <sheetName val="engg"/>
      <sheetName val="Asset"/>
      <sheetName val="beam-reinft-machine rm"/>
      <sheetName val="Quantity"/>
      <sheetName val="FRINGE_BENEFIT_INFO"/>
      <sheetName val="sum"/>
      <sheetName val="DPT-PW"/>
      <sheetName val="RG-A"/>
      <sheetName val="Sch 1-9"/>
      <sheetName val="PDN"/>
      <sheetName val="EmpCodes"/>
      <sheetName val="p&amp;l"/>
      <sheetName val="P_L"/>
    </sheetNames>
    <definedNames>
      <definedName name="Econ_Del_Item"/>
      <definedName name="Econ_Ins_Item"/>
      <definedName name="Equity_Del_Item"/>
      <definedName name="Equity_Ins_Item"/>
      <definedName name="validate_Econ_Data"/>
      <definedName name="validate_Equity_Data"/>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refreshError="1"/>
      <sheetData sheetId="293" refreshError="1"/>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s"/>
      <sheetName val="MenuData"/>
    </sheetNames>
    <sheetDataSet>
      <sheetData sheetId="0" refreshError="1"/>
      <sheetData sheetId="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JT)"/>
      <sheetName val="Consolidated Income Statement"/>
      <sheetName val="systems"/>
      <sheetName val="#REF"/>
      <sheetName val="Income Statement"/>
    </sheetNames>
    <sheetDataSet>
      <sheetData sheetId="0" refreshError="1"/>
      <sheetData sheetId="1" refreshError="1"/>
      <sheetData sheetId="2" refreshError="1"/>
      <sheetData sheetId="3" refreshError="1"/>
      <sheetData sheetId="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Uploader"/>
      <sheetName val="Guide"/>
      <sheetName val="Header"/>
      <sheetName val="Update"/>
      <sheetName val="Update (Old)"/>
      <sheetName val="Valuations"/>
      <sheetName val="Update (C)"/>
      <sheetName val="Header (C)"/>
      <sheetName val="Ratios (C)"/>
      <sheetName val="Ratios"/>
      <sheetName val="SOTP"/>
      <sheetName val="Comparative"/>
      <sheetName val="Simplified"/>
      <sheetName val="Assumptions"/>
      <sheetName val="P&amp;L"/>
      <sheetName val="CF"/>
      <sheetName val="Old BS"/>
      <sheetName val="New BS"/>
      <sheetName val="Interest"/>
      <sheetName val="Depn"/>
      <sheetName val="Co Background"/>
      <sheetName val="Equity"/>
      <sheetName val="Jharkhand project Sensitivity"/>
      <sheetName val="1000MW Jharkhand"/>
      <sheetName val="Eq. Comm"/>
      <sheetName val="Assumptions  for IPP"/>
      <sheetName val="Chandrapur"/>
      <sheetName val="Haldia"/>
      <sheetName val="Consol Bsheet (Old)"/>
      <sheetName val="Consol P&amp;L"/>
      <sheetName val="Consol format"/>
      <sheetName val="CESC Properties"/>
      <sheetName val="CESC Infra"/>
      <sheetName val="Spencer"/>
      <sheetName val="Consol Bsheet (new)"/>
      <sheetName val="Qtrly"/>
      <sheetName val="Q-format"/>
      <sheetName val="Charts"/>
      <sheetName val="Data"/>
      <sheetName val="Location"/>
      <sheetName val="Dumka"/>
      <sheetName val="coverpage"/>
      <sheetName val="Sheet1"/>
      <sheetName val="Sheet2"/>
      <sheetName val="RMF Annual"/>
      <sheetName val="RMF Quarter"/>
      <sheetName val="BS"/>
      <sheetName val="Haldia Energy"/>
      <sheetName val="Consol"/>
      <sheetName val="Consol Bsheet"/>
      <sheetName val="CW"/>
      <sheetName val="DT"/>
      <sheetName val="FT"/>
      <sheetName val="KPN"/>
      <sheetName val="PT"/>
      <sheetName val="SON"/>
      <sheetName val="SWCM"/>
      <sheetName val="TI"/>
      <sheetName val="TLD"/>
      <sheetName val="TEF"/>
      <sheetName val="systems"/>
      <sheetName val="old"/>
      <sheetName val="UploaderV4"/>
      <sheetName val="financialsnew"/>
    </sheetNames>
    <sheetDataSet>
      <sheetData sheetId="0"/>
      <sheetData sheetId="1">
        <row r="12">
          <cell r="E12" t="str">
            <v>233</v>
          </cell>
        </row>
      </sheetData>
      <sheetData sheetId="2">
        <row r="8">
          <cell r="C8">
            <v>1225</v>
          </cell>
        </row>
      </sheetData>
      <sheetData sheetId="3">
        <row r="14">
          <cell r="B14">
            <v>125.6</v>
          </cell>
        </row>
      </sheetData>
      <sheetData sheetId="4">
        <row r="4">
          <cell r="E4">
            <v>23211.538</v>
          </cell>
        </row>
      </sheetData>
      <sheetData sheetId="5"/>
      <sheetData sheetId="6"/>
      <sheetData sheetId="7"/>
      <sheetData sheetId="8"/>
      <sheetData sheetId="9">
        <row r="12">
          <cell r="F12">
            <v>15.690921910335497</v>
          </cell>
        </row>
      </sheetData>
      <sheetData sheetId="10">
        <row r="10">
          <cell r="F10">
            <v>392.50477364323888</v>
          </cell>
        </row>
      </sheetData>
      <sheetData sheetId="11">
        <row r="3">
          <cell r="E3">
            <v>36388.389312676154</v>
          </cell>
        </row>
      </sheetData>
      <sheetData sheetId="12"/>
      <sheetData sheetId="13"/>
      <sheetData sheetId="14">
        <row r="9">
          <cell r="J9">
            <v>1225</v>
          </cell>
        </row>
      </sheetData>
      <sheetData sheetId="15">
        <row r="40">
          <cell r="H40">
            <v>499.7</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G2">
            <v>6360</v>
          </cell>
        </row>
      </sheetData>
      <sheetData sheetId="37"/>
      <sheetData sheetId="38"/>
      <sheetData sheetId="39"/>
      <sheetData sheetId="40"/>
      <sheetData sheetId="41"/>
      <sheetData sheetId="42"/>
      <sheetData sheetId="43"/>
      <sheetData sheetId="44">
        <row r="68">
          <cell r="E68">
            <v>0</v>
          </cell>
        </row>
      </sheetData>
      <sheetData sheetId="45"/>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 val="eva"/>
      <sheetName val="NOPAT_VDF"/>
      <sheetName val="Invested capital_VDF"/>
      <sheetName val="#REF"/>
      <sheetName val="Input"/>
      <sheetName val="wsts129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Term Contract Premiums"/>
      <sheetName val="Int Daily"/>
      <sheetName val="International"/>
      <sheetName val="Domestic"/>
      <sheetName val="Dom Weekly"/>
      <sheetName val="Price Product"/>
      <sheetName val="cost-to-user info"/>
      <sheetName val="Sheet1"/>
      <sheetName val="naphtha-prices-pt"/>
      <sheetName val="Naphtha-SOTM"/>
      <sheetName val="UPDATE"/>
      <sheetName val="Naphtha-PT"/>
      <sheetName val="Int-Bloomberg-Daily"/>
      <sheetName val="Int-Bloomberg-mthly"/>
      <sheetName val="Price Product-new graph"/>
      <sheetName val="Naphtha-SOTM-old"/>
      <sheetName val="Sheet2"/>
      <sheetName val="report"/>
      <sheetName val="International-Bloomberg-mthly"/>
      <sheetName val="KG-DWN"/>
      <sheetName val="Internet"/>
      <sheetName val="eva"/>
      <sheetName val="NOPAT_VDF"/>
      <sheetName val="Invested capital_VDF"/>
      <sheetName val="#REF"/>
      <sheetName val="CV Financials"/>
    </sheetNames>
    <sheetDataSet>
      <sheetData sheetId="0" refreshError="1"/>
      <sheetData sheetId="1" refreshError="1"/>
      <sheetData sheetId="2" refreshError="1"/>
      <sheetData sheetId="3" refreshError="1">
        <row r="29">
          <cell r="B29">
            <v>33512</v>
          </cell>
          <cell r="C29">
            <v>60.19</v>
          </cell>
        </row>
        <row r="30">
          <cell r="B30">
            <v>33543</v>
          </cell>
          <cell r="C30">
            <v>59.9</v>
          </cell>
        </row>
        <row r="31">
          <cell r="B31">
            <v>33573</v>
          </cell>
          <cell r="C31">
            <v>50.58</v>
          </cell>
        </row>
        <row r="32">
          <cell r="B32">
            <v>33604</v>
          </cell>
          <cell r="C32">
            <v>50.58</v>
          </cell>
        </row>
        <row r="33">
          <cell r="B33">
            <v>33635</v>
          </cell>
          <cell r="C33">
            <v>51.9</v>
          </cell>
        </row>
        <row r="34">
          <cell r="B34">
            <v>33664</v>
          </cell>
          <cell r="C34">
            <v>49.74</v>
          </cell>
        </row>
        <row r="35">
          <cell r="B35">
            <v>33695</v>
          </cell>
          <cell r="C35">
            <v>53.06</v>
          </cell>
        </row>
        <row r="36">
          <cell r="B36">
            <v>33725</v>
          </cell>
          <cell r="C36">
            <v>56.16</v>
          </cell>
        </row>
        <row r="37">
          <cell r="B37">
            <v>33756</v>
          </cell>
          <cell r="C37">
            <v>58.65</v>
          </cell>
        </row>
        <row r="38">
          <cell r="B38">
            <v>33786</v>
          </cell>
          <cell r="C38">
            <v>53.58</v>
          </cell>
        </row>
        <row r="39">
          <cell r="B39">
            <v>33817</v>
          </cell>
          <cell r="C39">
            <v>57</v>
          </cell>
        </row>
        <row r="40">
          <cell r="B40">
            <v>33848</v>
          </cell>
          <cell r="C40">
            <v>54.4</v>
          </cell>
        </row>
        <row r="41">
          <cell r="B41">
            <v>33878</v>
          </cell>
          <cell r="C41">
            <v>55.69</v>
          </cell>
        </row>
        <row r="42">
          <cell r="B42">
            <v>33909</v>
          </cell>
          <cell r="C42">
            <v>52.44</v>
          </cell>
        </row>
        <row r="43">
          <cell r="B43">
            <v>33939</v>
          </cell>
          <cell r="C43">
            <v>48.8</v>
          </cell>
        </row>
        <row r="44">
          <cell r="B44">
            <v>33970</v>
          </cell>
          <cell r="C44">
            <v>50.38</v>
          </cell>
        </row>
        <row r="45">
          <cell r="B45">
            <v>34001</v>
          </cell>
          <cell r="C45">
            <v>49.9</v>
          </cell>
        </row>
        <row r="46">
          <cell r="B46">
            <v>34029</v>
          </cell>
          <cell r="C46">
            <v>51.43</v>
          </cell>
        </row>
        <row r="47">
          <cell r="B47">
            <v>34060</v>
          </cell>
          <cell r="C47">
            <v>53.81</v>
          </cell>
        </row>
        <row r="48">
          <cell r="B48">
            <v>34090</v>
          </cell>
          <cell r="C48">
            <v>52.7</v>
          </cell>
        </row>
        <row r="49">
          <cell r="B49">
            <v>34121</v>
          </cell>
          <cell r="C49">
            <v>49.35</v>
          </cell>
        </row>
        <row r="50">
          <cell r="B50">
            <v>34151</v>
          </cell>
          <cell r="C50">
            <v>45.87</v>
          </cell>
        </row>
        <row r="51">
          <cell r="B51" t="str">
            <v>Aug</v>
          </cell>
        </row>
        <row r="52">
          <cell r="B52">
            <v>34213</v>
          </cell>
          <cell r="C52">
            <v>45.6</v>
          </cell>
        </row>
        <row r="53">
          <cell r="B53">
            <v>34243</v>
          </cell>
          <cell r="C53">
            <v>46.21</v>
          </cell>
        </row>
        <row r="54">
          <cell r="B54">
            <v>34274</v>
          </cell>
          <cell r="C54">
            <v>41.45</v>
          </cell>
        </row>
        <row r="55">
          <cell r="B55">
            <v>34304</v>
          </cell>
          <cell r="C55">
            <v>36.47</v>
          </cell>
        </row>
        <row r="56">
          <cell r="B56">
            <v>34335</v>
          </cell>
          <cell r="C56">
            <v>39.799999999999997</v>
          </cell>
        </row>
        <row r="57">
          <cell r="B57">
            <v>34366</v>
          </cell>
          <cell r="C57">
            <v>40.659999999999997</v>
          </cell>
        </row>
        <row r="58">
          <cell r="B58">
            <v>34394</v>
          </cell>
          <cell r="C58">
            <v>40.19</v>
          </cell>
        </row>
        <row r="59">
          <cell r="B59">
            <v>34425</v>
          </cell>
          <cell r="C59">
            <v>41.85</v>
          </cell>
        </row>
        <row r="60">
          <cell r="B60">
            <v>34455</v>
          </cell>
          <cell r="C60">
            <v>45.6</v>
          </cell>
        </row>
        <row r="61">
          <cell r="B61">
            <v>34486</v>
          </cell>
          <cell r="C61">
            <v>50.4</v>
          </cell>
        </row>
        <row r="62">
          <cell r="B62">
            <v>34516</v>
          </cell>
          <cell r="C62">
            <v>50.47</v>
          </cell>
        </row>
        <row r="63">
          <cell r="B63">
            <v>34547</v>
          </cell>
          <cell r="C63">
            <v>47</v>
          </cell>
        </row>
        <row r="64">
          <cell r="B64">
            <v>34578</v>
          </cell>
          <cell r="C64">
            <v>42.1</v>
          </cell>
        </row>
        <row r="65">
          <cell r="B65">
            <v>34608</v>
          </cell>
          <cell r="C65">
            <v>48.3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2)"/>
      <sheetName val="JCF"/>
      <sheetName val="Multiple output"/>
      <sheetName val="sheet6"/>
      <sheetName val="Sheet3 _2_"/>
      <sheetName val="q-details"/>
      <sheetName val="Calculation (2)"/>
      <sheetName val="Inputs"/>
      <sheetName val="International"/>
      <sheetName val="Internet"/>
      <sheetName val="SOPMA DD"/>
      <sheetName val="Standalone"/>
      <sheetName val="Set"/>
      <sheetName val="Portfolio Summary"/>
      <sheetName val="Income Statements"/>
      <sheetName val="Current Bill MB ref"/>
      <sheetName val="Meas.-Hotel Part"/>
      <sheetName val="Project Budget Worksheet"/>
      <sheetName val="Approved MTD Proj #'s"/>
      <sheetName val="compu"/>
      <sheetName val="BBEuros"/>
      <sheetName val="PLAN_FEB97"/>
      <sheetName val="Builtup Area"/>
      <sheetName val="Fin Sum"/>
      <sheetName val="BOQ T4B"/>
      <sheetName val="OpRes"/>
      <sheetName val="master"/>
      <sheetName val="ABP inputs"/>
      <sheetName val="Synergy Sales Budget"/>
      <sheetName val="DEPRE"/>
      <sheetName val="QoQ Forecast"/>
      <sheetName val="InvoiceList"/>
      <sheetName val="Income &amp; Occupancy Customer"/>
      <sheetName val="analysis"/>
      <sheetName val="유통망계획"/>
      <sheetName val="Headings"/>
      <sheetName val="RCC,Ret. Wall"/>
      <sheetName val="Summary"/>
      <sheetName val="노무비"/>
      <sheetName val="F1a-Pile"/>
      <sheetName val="CV"/>
      <sheetName val="ES(Kor)"/>
      <sheetName val="INDIGINEOUS ITEMS "/>
      <sheetName val="fco"/>
      <sheetName val="Formulas"/>
      <sheetName val="GBW"/>
      <sheetName val="Material "/>
      <sheetName val="Labour &amp; Plant"/>
      <sheetName val="Design"/>
      <sheetName val="BOQ"/>
      <sheetName val=" B3"/>
      <sheetName val=" B1"/>
      <sheetName val="Lead"/>
      <sheetName val="Main-Material"/>
      <sheetName val="Sheet1"/>
      <sheetName val="beam-reinft-IIInd floor"/>
      <sheetName val="Depreciation"/>
      <sheetName val="03 (2)"/>
      <sheetName val="#REF"/>
      <sheetName val="IO LIST"/>
      <sheetName val="rate analysis"/>
      <sheetName val="RATE LIST (2)"/>
      <sheetName val="Assumptions"/>
      <sheetName val="Occ"/>
      <sheetName val="Demand"/>
      <sheetName val="Ref"/>
      <sheetName val="Global Assm."/>
      <sheetName val="Sheet3_(2)"/>
      <sheetName val="Sheet3__2_"/>
      <sheetName val="TIll_Q_sal"/>
      <sheetName val="tiller"/>
      <sheetName val="download"/>
      <sheetName val="170810-lease tax"/>
      <sheetName val="CFForecast detail"/>
      <sheetName val="Site Dev BOQ"/>
      <sheetName val="Break up Sheet"/>
      <sheetName val="Aladdin Macro1"/>
      <sheetName val="BalSht"/>
      <sheetName val="Acc_10.5"/>
      <sheetName val="MN T.B."/>
      <sheetName val="Vind-BtB"/>
      <sheetName val="Load Details-220kV"/>
      <sheetName val="Input"/>
      <sheetName val="Main Sheet (MTD)"/>
      <sheetName val="Consl Daily Report"/>
      <sheetName val="Acc_10_5"/>
      <sheetName val="Preside"/>
      <sheetName val="balance sheet"/>
      <sheetName val="Sheet2"/>
      <sheetName val="van khuon"/>
      <sheetName val="Names"/>
      <sheetName val="Introduction"/>
      <sheetName val="IDC macro"/>
      <sheetName val="SALE"/>
      <sheetName val="Block A - BOQ"/>
      <sheetName val="Factor_Sheet"/>
      <sheetName val="Main workings"/>
      <sheetName val="LISTS"/>
      <sheetName val="M-2 Adjusted"/>
      <sheetName val="Master Price List"/>
      <sheetName val="reference"/>
      <sheetName val="P &amp; L"/>
      <sheetName val="Rollup Summary"/>
      <sheetName val="new_data"/>
      <sheetName val="earnmodl"/>
      <sheetName val="Dom Cell (IS)"/>
      <sheetName val="?????"/>
      <sheetName val="Budget Summary"/>
      <sheetName val="02022005"/>
      <sheetName val="16022005"/>
      <sheetName val="05012005"/>
      <sheetName val="19012005"/>
      <sheetName val="02032005"/>
      <sheetName val="16032005"/>
      <sheetName val="30032005"/>
      <sheetName val="F"/>
      <sheetName val="EXHIBIT&quot; T&quot;"/>
      <sheetName val="Turnover"/>
      <sheetName val="SCH-E-1"/>
      <sheetName val="BIPR"/>
      <sheetName val="BPCA"/>
      <sheetName val="BBRS"/>
      <sheetName val="KPM DT"/>
      <sheetName val="PERHW"/>
      <sheetName val="EBITDA"/>
      <sheetName val="Income_Statements"/>
      <sheetName val="QoQ_Forecast"/>
      <sheetName val="Summary Excise"/>
      <sheetName val="BS"/>
      <sheetName val="Other BS Sch 5-9"/>
      <sheetName val="Excess Calc"/>
      <sheetName val="Grouping Master"/>
      <sheetName val="CapitalOutlay"/>
      <sheetName val="Assum"/>
      <sheetName val="March Analysts"/>
      <sheetName val="Company"/>
      <sheetName val="QoQ In Lakhs"/>
      <sheetName val="GENERAL2"/>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Aladdin_Macro1"/>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CABLE DATA"/>
      <sheetName val="1st flr"/>
      <sheetName val="final abstract"/>
      <sheetName val="02"/>
      <sheetName val="03"/>
      <sheetName val="04"/>
      <sheetName val="01"/>
      <sheetName val="Civil Boq"/>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MIS - kINR"/>
      <sheetName val="170810-lease_tax"/>
      <sheetName val="Main_Sheet_(MTD)"/>
      <sheetName val="Consl_Daily_Report"/>
      <sheetName val="balance_sheet"/>
      <sheetName val="van_khuon"/>
      <sheetName val="IDC_macro"/>
      <sheetName val="sept-plan"/>
      <sheetName val="classes"/>
      <sheetName val="IT Block"/>
      <sheetName val="Location CODE"/>
      <sheetName val="Location TYPE"/>
      <sheetName val="sub class"/>
      <sheetName val=" sub Loc "/>
      <sheetName val=" Acc. Sched."/>
      <sheetName val="LBO"/>
      <sheetName val="Sheet3_(2)5"/>
      <sheetName val="Sheet3__2_5"/>
      <sheetName val="Calculation_(2)5"/>
      <sheetName val="Multiple_output5"/>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Aladdin_Macro15"/>
      <sheetName val="Acc_10_55"/>
      <sheetName val="Portfolio_Summary"/>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IMPORT T12"/>
      <sheetName val="EDS  Bestshore Migration"/>
      <sheetName val="NewCo"/>
      <sheetName val="TB_FOR_MIS"/>
      <sheetName val="Area"/>
      <sheetName val="TB FOR MIS"/>
      <sheetName val="INPUT SHEET"/>
      <sheetName val="Summ"/>
      <sheetName val="Fossil_DCF"/>
      <sheetName val="WIng F(Typical)"/>
      <sheetName val="Rates"/>
      <sheetName val="Index"/>
      <sheetName val="Balance Sheet "/>
      <sheetName val="AOP13"/>
      <sheetName val="CAP"/>
      <sheetName val="ANN.K"/>
      <sheetName val="Recon"/>
      <sheetName val="Loss 3004"/>
      <sheetName val="Reconciliation of GL &amp; FAR"/>
      <sheetName val="Licences"/>
      <sheetName val="Macro1"/>
      <sheetName val="Settings"/>
      <sheetName val="FlashMgtMo"/>
      <sheetName val="FlashMgtYTD"/>
      <sheetName val="EXPENSES"/>
      <sheetName val="Sheet4"/>
      <sheetName val="HOUSE RENT DEPO."/>
      <sheetName val="Debtors analysis"/>
      <sheetName val="HELP"/>
      <sheetName val="BS-2005"/>
      <sheetName val="MAIN_MENU"/>
      <sheetName val="exec summ"/>
      <sheetName val="Ins Erection"/>
      <sheetName val="RNT"/>
      <sheetName val="Combi"/>
      <sheetName val="TH"/>
      <sheetName val="Redelvery provision changed"/>
      <sheetName val="Capital Structure"/>
      <sheetName val="IO"/>
      <sheetName val="GROUPING"/>
      <sheetName val="Hot"/>
      <sheetName val="Mico"/>
      <sheetName val="EVA1"/>
      <sheetName val="TDS Certificate-Format"/>
      <sheetName val="FA"/>
      <sheetName val="ITEM  STUDY (2)"/>
      <sheetName val="Felix Street Summary"/>
      <sheetName val="Newspapers"/>
      <sheetName val="AccDil"/>
      <sheetName val="97-98"/>
      <sheetName val="TB"/>
      <sheetName val="LBO Financials"/>
      <sheetName val="ras"/>
      <sheetName val="IMPORT_T12"/>
      <sheetName val="KPM_DT"/>
      <sheetName val="Current_Bill_MB_ref"/>
      <sheetName val="Meas_-Hotel_Part"/>
      <sheetName val="Fin_Sum"/>
      <sheetName val="Task"/>
      <sheetName val="SODA02"/>
      <sheetName val="Pay_Sep06"/>
      <sheetName val="PLGroupings"/>
      <sheetName val="Results"/>
      <sheetName val="FY2001-02"/>
      <sheetName val="CARO"/>
      <sheetName val="Params"/>
      <sheetName val="CashFlow"/>
      <sheetName val="Training Deposits coding"/>
      <sheetName val="Control"/>
      <sheetName val=""/>
      <sheetName val="AOR"/>
      <sheetName val="MASTER_RATE ANALYSIS"/>
      <sheetName val="Valuation - block 2"/>
      <sheetName val="Rev Opt - Rollup"/>
      <sheetName val="Hardware"/>
      <sheetName val="Power &amp; Fuel (S)"/>
      <sheetName val="concrete"/>
      <sheetName val="CSCCincSKR"/>
      <sheetName val="RES-PLANNING"/>
      <sheetName val="Cost_any"/>
      <sheetName val="10. &amp; 11. Rate Code &amp; BQ"/>
      <sheetName val="Code"/>
      <sheetName val="YTD"/>
      <sheetName val="vb 9&amp;10"/>
      <sheetName val="Base Assumptions"/>
      <sheetName val="FITZ MORT 94"/>
      <sheetName val="CASHFLOWS"/>
      <sheetName val="269T(final)"/>
      <sheetName val="9. Package split - Cost "/>
      <sheetName val="OpTrack"/>
      <sheetName val="drop-dwn list"/>
      <sheetName val="tngst1"/>
      <sheetName val="Boiler&amp;TG"/>
      <sheetName val="horizontal"/>
      <sheetName val="Assumption"/>
      <sheetName val="Currency"/>
      <sheetName val="pile Fabrication"/>
      <sheetName val="Improvements"/>
      <sheetName val="Architectural Summary"/>
      <sheetName val="UNP-NCW "/>
      <sheetName val="SEW4"/>
      <sheetName val="RA"/>
      <sheetName val="Tender Summary"/>
      <sheetName val="Bill 1-BOQ-Civil Works"/>
      <sheetName val="Database"/>
      <sheetName val="schedule nos"/>
      <sheetName val="Legal Risk Analysis"/>
      <sheetName val="Data"/>
      <sheetName val="Master list"/>
      <sheetName val="Labour List"/>
      <sheetName val="Material List"/>
      <sheetName val="Labor abs-NMR"/>
      <sheetName val="Beam at Ground flr lvl(Steel)"/>
      <sheetName val="AREAS"/>
      <sheetName val="sumary"/>
      <sheetName val="1st -vpd"/>
      <sheetName val="conc-foot-gradeslab"/>
      <sheetName val="Material List "/>
      <sheetName val="Variables_x"/>
      <sheetName val="Variables"/>
      <sheetName val="Publicbuilding"/>
      <sheetName val="Non-Factory"/>
      <sheetName val="Fill this out first..."/>
      <sheetName val="extra work elec bill "/>
      <sheetName val="Sensitivity"/>
      <sheetName val="CrRajWMM"/>
      <sheetName val="소상 &quot;1&quot;"/>
      <sheetName val="Graph (LGEN)"/>
      <sheetName val="out_prog"/>
      <sheetName val="선적schedule (2)"/>
      <sheetName val="steam outlet"/>
      <sheetName val="BOQ Distribution"/>
      <sheetName val="wordsdata"/>
      <sheetName val="GM &amp; TA"/>
      <sheetName val="Cash Flow Working"/>
      <sheetName val="Sheet3"/>
      <sheetName val="Retail Mall"/>
      <sheetName val="Control Sheet"/>
      <sheetName val="crs"/>
      <sheetName val="BKCSTOCKVAL"/>
      <sheetName val="MAHSTOCKVAL"/>
      <sheetName val="PIMS"/>
      <sheetName val="SCH 10"/>
      <sheetName val="SAP EMP"/>
      <sheetName val="A1-Continuous"/>
      <sheetName val="SCHEDULE"/>
      <sheetName val="schedules"/>
      <sheetName val="Summary_Local"/>
      <sheetName val="Checks"/>
      <sheetName val="DET0900"/>
      <sheetName val="Theatre mgmt cont"/>
      <sheetName val="A-Mum"/>
      <sheetName val="GenAssump"/>
      <sheetName val="Goldberg Portfolio Combined"/>
      <sheetName val="Commercial Research"/>
      <sheetName val="Intaccrual"/>
      <sheetName val="SBU"/>
      <sheetName val="Portfolio_Summary1"/>
      <sheetName val="Current_Bill_MB_ref1"/>
      <sheetName val="Meas_-Hotel_Part1"/>
      <sheetName val="Open Items-311208"/>
      <sheetName val="WT-LIST"/>
      <sheetName val="Material"/>
      <sheetName val="NEW-IDs Fun &amp; Group"/>
      <sheetName val="XZLC003_PART1"/>
      <sheetName val="exp"/>
      <sheetName val="Contribution"/>
      <sheetName val="Rx"/>
      <sheetName val="details"/>
      <sheetName val="Night Shift"/>
      <sheetName val="Cost summary"/>
      <sheetName val="RCC Rates"/>
      <sheetName val="FORM7"/>
      <sheetName val="目录"/>
      <sheetName val="PRECAST lightconc-II"/>
      <sheetName val="4.4 External Plaster"/>
      <sheetName val="MFG"/>
      <sheetName val="Leasing Commision"/>
      <sheetName val="USB 1"/>
      <sheetName val="Scope"/>
      <sheetName val="apr-aug"/>
      <sheetName val="Menu"/>
      <sheetName val="Operating Statistics"/>
      <sheetName val="FA Schedule Dec 07"/>
      <sheetName val="P.R. TAXES"/>
      <sheetName val="BILLING SUM"/>
      <sheetName val="Trial Balance"/>
      <sheetName val="Service Invoice"/>
      <sheetName val="15-21"/>
      <sheetName val="Cover"/>
      <sheetName val="ES"/>
      <sheetName val="RA-markate"/>
      <sheetName val="BQ"/>
      <sheetName val="Phasing"/>
      <sheetName val="Notes-pivot1 "/>
      <sheetName val="Estimate"/>
      <sheetName val="12-ACTPL"/>
      <sheetName val="Prov for exp-April'08 - June'08"/>
      <sheetName val="Provision for exp-Upto Mar'08"/>
      <sheetName val="creditors to others"/>
      <sheetName val="other amt&amp;recoveries payable"/>
      <sheetName val="other exp.charges recoverable"/>
      <sheetName val="rental deposits"/>
      <sheetName val="other deposits "/>
      <sheetName val="prepaid expenses"/>
      <sheetName val="sal.adv"/>
      <sheetName val="800CC_FR_HOSE"/>
      <sheetName val="Dep"/>
      <sheetName val="인원계획"/>
      <sheetName val="Molasses-FG"/>
      <sheetName val="Tyre1"/>
      <sheetName val="Auto"/>
      <sheetName val="Sch5TO10"/>
      <sheetName val="macroDat"/>
      <sheetName val="cash_flow"/>
      <sheetName val="sales_value"/>
      <sheetName val="colaw_dep"/>
      <sheetName val="freight"/>
      <sheetName val="gm"/>
      <sheetName val="interest"/>
      <sheetName val="jb_cost"/>
      <sheetName val="c_flow_%"/>
      <sheetName val="consum_cost"/>
      <sheetName val="form26"/>
      <sheetName val="F29B"/>
      <sheetName val="Related party - P&amp;L"/>
      <sheetName val="Base data Security Procedures"/>
      <sheetName val="Expansion"/>
      <sheetName val="Customize Your Invoice"/>
      <sheetName val="Sale Charts"/>
      <sheetName val="EXIS-COMBINED"/>
      <sheetName val="Schedule v1"/>
      <sheetName val="labour rates"/>
      <sheetName val="Timesheet"/>
      <sheetName val="Loads"/>
      <sheetName val="old_serial no."/>
      <sheetName val="tot_ass_9697"/>
      <sheetName val="Budget_CF - Overall"/>
      <sheetName val="공사비 내역 (가)"/>
      <sheetName val="4K - (6a) Non Manual Breakdown"/>
      <sheetName val="3. Elemental Summary"/>
      <sheetName val="Financials"/>
      <sheetName val="L"/>
      <sheetName val="p1-costg"/>
      <sheetName val="costing"/>
      <sheetName val="August TB"/>
      <sheetName val="Misc. Master"/>
      <sheetName val="FCIIHyperion"/>
      <sheetName val="MIS AC wise"/>
      <sheetName val="Timeline"/>
      <sheetName val="Assump"/>
      <sheetName val="Overall Summary"/>
      <sheetName val="HBI NCD"/>
      <sheetName val="CUSTOM Jun99"/>
      <sheetName val="A.O.R."/>
      <sheetName val="Base"/>
      <sheetName val="final 061106"/>
      <sheetName val="SAB P&amp;L"/>
      <sheetName val="cash flow"/>
      <sheetName val="Kontensalden"/>
      <sheetName val="Gen_Ass"/>
      <sheetName val="Op_Ass"/>
      <sheetName val="Staff Costs"/>
      <sheetName val="General_Assumptions"/>
      <sheetName val="차수"/>
      <sheetName val="P&amp;L"/>
      <sheetName val="DIVBUD99"/>
      <sheetName val="Annexure-I"/>
      <sheetName val="WGSRL"/>
      <sheetName val="HSA"/>
      <sheetName val="B_S"/>
      <sheetName val="PVAs"/>
      <sheetName val="grp "/>
      <sheetName val="Overheads"/>
      <sheetName val="Severity"/>
      <sheetName val="Pur"/>
      <sheetName val="0. Data Validation List"/>
      <sheetName val="Crest"/>
      <sheetName val="Pinnacle"/>
      <sheetName val="Zenith"/>
      <sheetName val="stacking sheet"/>
      <sheetName val="Rs in lacs"/>
      <sheetName val="A-1"/>
      <sheetName val="BOM"/>
      <sheetName val="notes"/>
      <sheetName val="FA(Apr 07)"/>
      <sheetName val="Reco O.S"/>
      <sheetName val="Accounts"/>
      <sheetName val="Multipliers &amp; KRA"/>
      <sheetName val="ASSETS P&amp;M"/>
      <sheetName val="Assets Land &amp; Mise FA"/>
      <sheetName val="MultipleSecurities"/>
      <sheetName val="Determination of Threshold"/>
      <sheetName val="cl 14 Annex 7 "/>
      <sheetName val="Encl 7A"/>
      <sheetName val="Debt"/>
      <sheetName val="SALES"/>
      <sheetName val="Basework"/>
      <sheetName val="Monthly Inputs"/>
      <sheetName val="2000-1 Monthly Cashflows"/>
      <sheetName val="2002-2 Monthly Cashflows"/>
      <sheetName val="TMasterCurrency"/>
      <sheetName val="TMasterSeg"/>
      <sheetName val="Cash Flow "/>
      <sheetName val="XLR_NoRangeSheet"/>
      <sheetName val="wdr bldg"/>
      <sheetName val="Formated Trial Balance"/>
      <sheetName val="WC analytics (+data pages)"/>
      <sheetName val="van_khuon1"/>
      <sheetName val="IDC_macro1"/>
      <sheetName val="P_&amp;_L"/>
      <sheetName val="Summary_Excise"/>
      <sheetName val="Other_BS_Sch_5-9"/>
      <sheetName val="Excess_Calc"/>
      <sheetName val="Grouping_Master"/>
      <sheetName val="March_Analysts"/>
      <sheetName val="Fin_Sum1"/>
      <sheetName val="Main_workings"/>
      <sheetName val="Balance_Sheet_"/>
      <sheetName val="IMPORT_T121"/>
      <sheetName val="KPM_DT1"/>
      <sheetName val="Dom_Cell_(IS)"/>
      <sheetName val="M-2_Adjusted"/>
      <sheetName val="Master_Price_List"/>
      <sheetName val="EXHIBIT&quot;_T&quot;"/>
      <sheetName val="TB_FOR_MIS1"/>
      <sheetName val="INPUT_SHEET"/>
      <sheetName val="_Acc__Sched_"/>
      <sheetName val="EDS__Bestshore_Migration"/>
      <sheetName val="IT_Block"/>
      <sheetName val="Location_CODE"/>
      <sheetName val="Location_TYPE"/>
      <sheetName val="sub_class"/>
      <sheetName val="_sub_Loc_"/>
      <sheetName val="Training_Deposits_coding"/>
      <sheetName val="Rev_Opt_-_Rollup"/>
      <sheetName val="MASTER_RATE_ANALYSIS"/>
      <sheetName val="Valuation_-_block_2"/>
      <sheetName val="SAP downloaded schedule"/>
      <sheetName val="Basement Budget"/>
      <sheetName val="labour"/>
      <sheetName val="ADV-TK-HORT"/>
      <sheetName val="DYN PP"/>
      <sheetName val="TXN97"/>
      <sheetName val="June Reserve - Far East"/>
      <sheetName val="Sheet3_(2)6"/>
      <sheetName val="Sheet3__2_6"/>
      <sheetName val="Income_Statements6"/>
      <sheetName val="Main_Sheet_(MTD)1"/>
      <sheetName val="Consl_Daily_Report1"/>
      <sheetName val="Calculation_(2)6"/>
      <sheetName val="QoQ_Forecast6"/>
      <sheetName val="Portfolio_Summary2"/>
      <sheetName val="Income_&amp;_Occupancy_Customer6"/>
      <sheetName val="Rollup_Summary1"/>
      <sheetName val="Acc_10_56"/>
      <sheetName val="balance_sheet1"/>
      <sheetName val="170810-lease_tax1"/>
      <sheetName val="Multiple_output6"/>
      <sheetName val="Aladdin_Macro16"/>
      <sheetName val="Global_Assm_6"/>
      <sheetName val="ABP_inputs6"/>
      <sheetName val="Synergy_Sales_Budget6"/>
      <sheetName val="Project_Budget_Worksheet6"/>
      <sheetName val="Builtup_Area6"/>
      <sheetName val="RCC,Ret__Wall6"/>
      <sheetName val="BOQ_T4B6"/>
      <sheetName val="INDIGINEOUS_ITEMS_6"/>
      <sheetName val="Material_6"/>
      <sheetName val="Labour_&amp;_Plant6"/>
      <sheetName val="Current_Bill_MB_ref2"/>
      <sheetName val="Meas_-Hotel_Part2"/>
      <sheetName val="_B36"/>
      <sheetName val="_B16"/>
      <sheetName val="beam-reinft-IIInd_floor6"/>
      <sheetName val="Approved_MTD_Proj_#'s6"/>
      <sheetName val="MN_T_B_6"/>
      <sheetName val="CFForecast_detail6"/>
      <sheetName val="Site_Dev_BOQ6"/>
      <sheetName val="Break_up_Sheet6"/>
      <sheetName val="Load_Details-220kV6"/>
      <sheetName val="Block_A_-_BOQ6"/>
      <sheetName val="LBO_Financials"/>
      <sheetName val="CABLE_DATA1"/>
      <sheetName val="1st_flr1"/>
      <sheetName val="Civil_Boq1"/>
      <sheetName val="final_abstract1"/>
      <sheetName val="Rate_analysis1"/>
      <sheetName val="MIS_-_kINR1"/>
      <sheetName val="QoQ_In_Lakhs"/>
      <sheetName val="Theatre_mgmt_cont"/>
      <sheetName val="Open_Items-311208"/>
      <sheetName val="03_(2)"/>
      <sheetName val="WIng_F(Typical)"/>
      <sheetName val="Temp"/>
      <sheetName val="PROV_CONSOLIDATED"/>
      <sheetName val="COST-MTRS"/>
      <sheetName val="FLASH"/>
      <sheetName val="Annexure"/>
      <sheetName val="Schedules 3-8"/>
      <sheetName val="RELACION REFERENCIAS"/>
      <sheetName val="Transaction"/>
      <sheetName val="Rollup"/>
      <sheetName val="entitlements"/>
      <sheetName val="Esteem Rear"/>
      <sheetName val="EAST"/>
      <sheetName val="YOEMAGUM"/>
      <sheetName val="Conversion Table"/>
      <sheetName val="NEES"/>
      <sheetName val="Main"/>
      <sheetName val="Sources"/>
      <sheetName val="nela"/>
      <sheetName val="Lease Expiry"/>
      <sheetName val="Lease-rents"/>
      <sheetName val="Key Assumption"/>
      <sheetName val="Master Information"/>
      <sheetName val="Collection"/>
      <sheetName val="GL Master Data"/>
      <sheetName val="Inv_Data"/>
      <sheetName val="Quotation"/>
      <sheetName val="RCC_Ret_ Wall"/>
      <sheetName val="HRD1"/>
      <sheetName val="Taluka wise dealer (2)"/>
      <sheetName val="Coalmine"/>
      <sheetName val="p&amp;m"/>
      <sheetName val="S &amp; A"/>
      <sheetName val=" "/>
      <sheetName val="Legal_Risk_Analysis"/>
      <sheetName val="SOPMA_DD"/>
      <sheetName val="Architectural_Summary"/>
      <sheetName val="IO_LIST"/>
      <sheetName val="Master_list"/>
      <sheetName val="Labour_List"/>
      <sheetName val="Material_List"/>
      <sheetName val="Labor_abs-NMR"/>
      <sheetName val="Beam_at_Ground_flr_lvl(Steel)"/>
      <sheetName val="1st_-vpd"/>
      <sheetName val="Material_List_"/>
      <sheetName val="schedule_nos"/>
      <sheetName val="Debtors_analysis"/>
      <sheetName val="Parameter"/>
      <sheetName val="Fill_this_out_first___"/>
      <sheetName val="extra_work_elec_bill_"/>
      <sheetName val="10__&amp;_11__Rate_Code_&amp;_BQ"/>
      <sheetName val="NEW-IDs_Fun_&amp;_Group"/>
      <sheetName val="Approval"/>
      <sheetName val="register"/>
      <sheetName val="Cash_Flow_Working"/>
      <sheetName val="ANN_K"/>
      <sheetName val="I"/>
      <sheetName val="CPR"/>
      <sheetName val="MARCH"/>
      <sheetName val="SEP "/>
      <sheetName val="dlvoid"/>
      <sheetName val="Budget_Summary"/>
      <sheetName val="Loss_3004"/>
      <sheetName val="Reconciliation_of_GL_&amp;_FAR"/>
      <sheetName val="exec_summ"/>
      <sheetName val="SCH4"/>
      <sheetName val="FixedAssets"/>
      <sheetName val="Costs"/>
      <sheetName val="Power_&amp;_Fuel_(S)"/>
      <sheetName val="Proforma"/>
      <sheetName val="Sch_BS"/>
      <sheetName val="Grp_PL"/>
      <sheetName val="Jan"/>
      <sheetName val="Unmatched"/>
      <sheetName val="Matched"/>
      <sheetName val="전체현황"/>
      <sheetName val="NOA Data"/>
      <sheetName val="Earnings"/>
      <sheetName val="NGS Data Sheet"/>
      <sheetName val="SGS Data Sheet"/>
      <sheetName val="Cases"/>
      <sheetName val="Audit"/>
      <sheetName val="Account title"/>
      <sheetName val="G02"/>
      <sheetName val="TBAL9697 -group wise  sdpl"/>
      <sheetName val="Elec Summ"/>
      <sheetName val="ELEC BOQ"/>
      <sheetName val="TRACK BUSWAY"/>
      <sheetName val="BBT"/>
      <sheetName val="LIGHTING"/>
      <sheetName val="LMS"/>
      <sheetName val="Micro"/>
      <sheetName val="Macro"/>
      <sheetName val="Scaff-Rose"/>
      <sheetName val="Trial_Balance"/>
      <sheetName val="MIS_AC_wise"/>
      <sheetName val="Base_Assumptions"/>
      <sheetName val="FITZ_MORT_94"/>
      <sheetName val="vb_9&amp;10"/>
      <sheetName val="Goldberg_Portfolio_Combined"/>
      <sheetName val="Commercial_Research"/>
      <sheetName val="9__Package_split_-_Cost_"/>
      <sheetName val="Operating_Statistics"/>
      <sheetName val="FA_Schedule_Dec_07"/>
      <sheetName val="P_R__TAXES"/>
      <sheetName val="BILLING_SUM"/>
      <sheetName val="Leasing_Commision"/>
      <sheetName val="Service_Invoice"/>
      <sheetName val="Retail_Mall"/>
      <sheetName val="Related_party_-_P&amp;L"/>
      <sheetName val="pile_Fabrication"/>
      <sheetName val="Notes-pivot1_"/>
      <sheetName val="ASSETS_P&amp;M"/>
      <sheetName val="Assets_Land_&amp;_Mise_FA"/>
      <sheetName val="drop-dwn_list"/>
      <sheetName val="소상_&quot;1&quot;"/>
      <sheetName val="Felix_Street_Summary"/>
      <sheetName val="Overall_Summary"/>
      <sheetName val="RCC_Rates"/>
      <sheetName val="Cost_summary"/>
      <sheetName val="PRECAST_lightconc-II"/>
      <sheetName val="Tender_Summary"/>
      <sheetName val="Bill_1-BOQ-Civil_Works"/>
      <sheetName val="UNP-NCW_"/>
      <sheetName val="4_4_External_Plaster"/>
      <sheetName val="HBI_NCD"/>
      <sheetName val="CUSTOM_Jun99"/>
      <sheetName val="A_O_R_"/>
      <sheetName val="Ins_Erection"/>
      <sheetName val="Staff_Costs"/>
      <sheetName val="0__Data_Validation_List"/>
      <sheetName val="stacking_sheet"/>
      <sheetName val="Basement_Budget"/>
      <sheetName val="Night_Shift"/>
      <sheetName val="ITEM__STUDY_(2)"/>
      <sheetName val="TDS_Certificate-Format"/>
      <sheetName val="STAFFSCHED "/>
      <sheetName val="Basic Rate"/>
      <sheetName val="SP Break Up"/>
      <sheetName val="oresreqsum"/>
      <sheetName val="4 Annex 1 Basic rate"/>
      <sheetName val="Fin. Assumpt. - Sensitivities"/>
      <sheetName val="Fin"/>
      <sheetName val="Intro"/>
      <sheetName val="Tickmarks"/>
      <sheetName val="Check Register"/>
      <sheetName val="EBITDA Bridge"/>
      <sheetName val="Detailed"/>
      <sheetName val="2003 Budget-PL-case1"/>
      <sheetName val="STATSUM"/>
      <sheetName val="TB9899"/>
      <sheetName val="HIDDEN"/>
      <sheetName val="DEP99"/>
      <sheetName val="IGAAP"/>
      <sheetName val="INI"/>
      <sheetName val="Output"/>
      <sheetName val="meeting rectification control"/>
      <sheetName val="Loan Data"/>
      <sheetName val="Challan"/>
      <sheetName val="Standalone seg"/>
      <sheetName val="现金流量分析表"/>
      <sheetName val="边际贡献分析表"/>
      <sheetName val=" COP"/>
      <sheetName val="Classification"/>
      <sheetName val="XREF"/>
      <sheetName val="Income"/>
      <sheetName val="EPS"/>
      <sheetName val="currency (2)"/>
      <sheetName val="Companies"/>
      <sheetName val="People"/>
      <sheetName val="NW RTU"/>
      <sheetName val="Jul 96 Worksheet"/>
      <sheetName val="C120102"/>
      <sheetName val="GSTR-3B"/>
      <sheetName val="Configurator"/>
      <sheetName val="PriceDB"/>
      <sheetName val="Trial Balance_Format"/>
      <sheetName val="GF Columns"/>
      <sheetName val="Feb_Prfl_28"/>
      <sheetName val="HOUSE_RENT_DEPO_"/>
      <sheetName val="Customize_Your_Invoice"/>
      <sheetName val="Sale_Charts"/>
      <sheetName val="TR-PBT-Final-Detail"/>
      <sheetName val="1612.01AN(7) - Niep Tds Summary"/>
      <sheetName val="Jun 2000"/>
      <sheetName val="Titel"/>
      <sheetName val="Other notes"/>
      <sheetName val="OHT_Abs"/>
      <sheetName val="1"/>
      <sheetName val="Linked Lead"/>
      <sheetName val="hist&amp;proj"/>
      <sheetName val="MIS"/>
      <sheetName val="Clause 9"/>
      <sheetName val="INQVAR PY"/>
      <sheetName val="XWR"/>
      <sheetName val="3-dep"/>
      <sheetName val="sch"/>
      <sheetName val="grid"/>
      <sheetName val="PetroChina"/>
      <sheetName val="Bgt_Lst"/>
      <sheetName val="Cnt_Lst"/>
      <sheetName val="PARAMETERS"/>
      <sheetName val="COSTMAR"/>
      <sheetName val="Sheet2 (2)"/>
      <sheetName val="Sheet3_(2)7"/>
      <sheetName val="KPM_DT2"/>
      <sheetName val="EXHIBIT&quot;_T&quot;1"/>
      <sheetName val="Sheet3__2_7"/>
      <sheetName val="Income_&amp;_Occupancy_Customer7"/>
      <sheetName val="Income_Statements7"/>
      <sheetName val="QoQ_Forecast7"/>
      <sheetName val="Aladdin_Macro17"/>
      <sheetName val="Acc_10_57"/>
      <sheetName val="Global_Assm_7"/>
      <sheetName val="van_khuon2"/>
      <sheetName val="Portfolio_Summary3"/>
      <sheetName val="Current_Bill_MB_ref3"/>
      <sheetName val="Meas_-Hotel_Part3"/>
      <sheetName val="Builtup_Area7"/>
      <sheetName val="Project_Budget_Worksheet7"/>
      <sheetName val="IDC_macro2"/>
      <sheetName val="ABP_inputs7"/>
      <sheetName val="Synergy_Sales_Budget7"/>
      <sheetName val="Calculation_(2)7"/>
      <sheetName val="Multiple_output7"/>
      <sheetName val="RCC,Ret__Wall7"/>
      <sheetName val="BOQ_T4B7"/>
      <sheetName val="INDIGINEOUS_ITEMS_7"/>
      <sheetName val="Material_7"/>
      <sheetName val="Labour_&amp;_Plant7"/>
      <sheetName val="_B37"/>
      <sheetName val="_B17"/>
      <sheetName val="beam-reinft-IIInd_floor7"/>
      <sheetName val="Approved_MTD_Proj_#'s7"/>
      <sheetName val="TB_FOR_MIS2"/>
      <sheetName val="INPUT_SHEET1"/>
      <sheetName val="Main_Sheet_(MTD)2"/>
      <sheetName val="Consl_Daily_Report2"/>
      <sheetName val="IMPORT_T122"/>
      <sheetName val="Rollup_Summary2"/>
      <sheetName val="MN_T_B_7"/>
      <sheetName val="CFForecast_detail7"/>
      <sheetName val="Site_Dev_BOQ7"/>
      <sheetName val="Break_up_Sheet7"/>
      <sheetName val="Load_Details-220kV7"/>
      <sheetName val="Block_A_-_BOQ7"/>
      <sheetName val="170810-lease_tax2"/>
      <sheetName val="Master_Price_List1"/>
      <sheetName val="ASSETS_P&amp;M1"/>
      <sheetName val="Assets_Land_&amp;_Mise_FA1"/>
      <sheetName val="03_(2)1"/>
      <sheetName val="IO_LIST1"/>
      <sheetName val="Fill_this_out_first___1"/>
      <sheetName val="Fin_Sum2"/>
      <sheetName val="Material_List_1"/>
      <sheetName val="NEW-IDs_Fun_&amp;_Group1"/>
      <sheetName val="SOPMA_DD1"/>
      <sheetName val="WIng_F(Typical)1"/>
      <sheetName val="Master_list1"/>
      <sheetName val="Labour_List1"/>
      <sheetName val="Material_List1"/>
      <sheetName val="Architectural_Summary1"/>
      <sheetName val="March_Analysts1"/>
      <sheetName val="CABLE_DATA2"/>
      <sheetName val="1st_flr2"/>
      <sheetName val="Civil_Boq2"/>
      <sheetName val="Legal_Risk_Analysis1"/>
      <sheetName val="Labor_abs-NMR1"/>
      <sheetName val="Beam_at_Ground_flr_lvl(Steel)1"/>
      <sheetName val="1st_-vpd1"/>
      <sheetName val="Summary_Excise1"/>
      <sheetName val="Other_BS_Sch_5-91"/>
      <sheetName val="Excess_Calc1"/>
      <sheetName val="Grouping_Master1"/>
      <sheetName val="balance_sheet2"/>
      <sheetName val="P_&amp;_L1"/>
      <sheetName val="M-2_Adjusted1"/>
      <sheetName val="final_abstract2"/>
      <sheetName val="Rate_analysis2"/>
      <sheetName val="_Acc__Sched_1"/>
      <sheetName val="Balance_Sheet_1"/>
      <sheetName val="Dom_Cell_(IS)1"/>
      <sheetName val="Main_workings1"/>
      <sheetName val="Training_Deposits_coding1"/>
      <sheetName val="EDS__Bestshore_Migration1"/>
      <sheetName val="IT_Block1"/>
      <sheetName val="Location_CODE1"/>
      <sheetName val="Location_TYPE1"/>
      <sheetName val="sub_class1"/>
      <sheetName val="_sub_Loc_1"/>
      <sheetName val="Rev_Opt_-_Rollup1"/>
      <sheetName val="Open_Items-3112081"/>
      <sheetName val="MASTER_RATE_ANALYSIS1"/>
      <sheetName val="Valuation_-_block_21"/>
      <sheetName val="Trial_Balance1"/>
      <sheetName val="MIS_AC_wise1"/>
      <sheetName val="Base_Assumptions1"/>
      <sheetName val="10__&amp;_11__Rate_Code_&amp;_BQ1"/>
      <sheetName val="FITZ_MORT_941"/>
      <sheetName val="QoQ_In_Lakhs1"/>
      <sheetName val="vb_9&amp;101"/>
      <sheetName val="Goldberg_Portfolio_Combined1"/>
      <sheetName val="Commercial_Research1"/>
      <sheetName val="MIS_-_kINR2"/>
      <sheetName val="9__Package_split_-_Cost_1"/>
      <sheetName val="Operating_Statistics1"/>
      <sheetName val="FA_Schedule_Dec_071"/>
      <sheetName val="Theatre_mgmt_cont1"/>
      <sheetName val="P_R__TAXES1"/>
      <sheetName val="BILLING_SUM1"/>
      <sheetName val="schedule_nos1"/>
      <sheetName val="Leasing_Commision1"/>
      <sheetName val="Service_Invoice1"/>
      <sheetName val="Cash_Flow_Working1"/>
      <sheetName val="Retail_Mall1"/>
      <sheetName val="Related_party_-_P&amp;L1"/>
      <sheetName val="Debtors_analysis1"/>
      <sheetName val="pile_Fabrication1"/>
      <sheetName val="LBO_Financials1"/>
      <sheetName val="ANN_K1"/>
      <sheetName val="Notes-pivot1_1"/>
      <sheetName val="drop-dwn_list1"/>
      <sheetName val="extra_work_elec_bill_1"/>
      <sheetName val="소상_&quot;1&quot;1"/>
      <sheetName val="Felix_Street_Summary1"/>
      <sheetName val="Overall_Summary1"/>
      <sheetName val="RCC_Rates1"/>
      <sheetName val="Cost_summary1"/>
      <sheetName val="PRECAST_lightconc-II1"/>
      <sheetName val="Tender_Summary1"/>
      <sheetName val="Bill_1-BOQ-Civil_Works1"/>
      <sheetName val="UNP-NCW_1"/>
      <sheetName val="4_4_External_Plaster1"/>
      <sheetName val="HBI_NCD1"/>
      <sheetName val="CUSTOM_Jun991"/>
      <sheetName val="A_O_R_1"/>
      <sheetName val="Ins_Erection1"/>
      <sheetName val="0__Data_Validation_List1"/>
      <sheetName val="stacking_sheet1"/>
      <sheetName val="Basement_Budget1"/>
      <sheetName val="Night_Shift1"/>
      <sheetName val="ITEM__STUDY_(2)1"/>
      <sheetName val="TDS_Certificate-Format1"/>
      <sheetName val="Staff_Costs1"/>
      <sheetName val="Taluka_wise_dealer_(2)"/>
      <sheetName val="FA(Apr_07)"/>
      <sheetName val="Reco_O_S"/>
      <sheetName val="Determination_of_Threshold"/>
      <sheetName val="cl_14_Annex_7_"/>
      <sheetName val="Encl_7A"/>
      <sheetName val="Graph_(LGEN)"/>
      <sheetName val="선적schedule_(2)"/>
      <sheetName val="USB_1"/>
      <sheetName val="BOQ_Distribution"/>
      <sheetName val="GM_&amp;_TA"/>
      <sheetName val="steam_outlet"/>
      <sheetName val="SCH_10"/>
      <sheetName val="SAP_EMP"/>
      <sheetName val="RATE_LIST_(2)"/>
      <sheetName val="Control_Sheet"/>
      <sheetName val="RCC_Ret__Wall"/>
      <sheetName val="wdr_bldg"/>
      <sheetName val="Formated_Trial_Balance"/>
      <sheetName val="Monthly_Inputs"/>
      <sheetName val="2000-1_Monthly_Cashflows"/>
      <sheetName val="2002-2_Monthly_Cashflows"/>
      <sheetName val="SAP_downloaded_schedule"/>
      <sheetName val="S_&amp;_A"/>
      <sheetName val="_"/>
      <sheetName val="Lease_Expiry"/>
      <sheetName val="Base_data_Security_Procedures"/>
      <sheetName val="Key_Assumption"/>
      <sheetName val="Master_Information"/>
      <sheetName val="DYN_PP"/>
      <sheetName val="June_Reserve_-_Far_East"/>
      <sheetName val="Schedule_v1"/>
      <sheetName val="Multipliers_&amp;_KRA"/>
      <sheetName val="WC_analytics_(+data_pages)"/>
      <sheetName val="final_061106"/>
      <sheetName val="SAB_P&amp;L"/>
      <sheetName val="cash_flow1"/>
      <sheetName val="BASIS -DEC 08"/>
      <sheetName val="DUMP "/>
      <sheetName val="Bspl Main"/>
      <sheetName val="PL"/>
      <sheetName val="EMPMAST"/>
      <sheetName val="agrolist"/>
      <sheetName val="인사현황(부서)"/>
      <sheetName val="ICD"/>
      <sheetName val="Exim FCL"/>
      <sheetName val="IFS_Cr"/>
      <sheetName val="FIFO"/>
      <sheetName val="Links"/>
      <sheetName val="Control Self Assessment"/>
      <sheetName val="TASKRSRC (2)"/>
      <sheetName val="TARGET"/>
      <sheetName val="BASELINE"/>
      <sheetName val="s8"/>
      <sheetName val="s7"/>
      <sheetName val="s9"/>
      <sheetName val="mltc"/>
      <sheetName val="Dollar_Value"/>
      <sheetName val="ADDN0304"/>
      <sheetName val="DB"/>
      <sheetName val="Base Data"/>
      <sheetName val="080 (2)"/>
      <sheetName val="F.01 - June 2005"/>
      <sheetName val="HW SW"/>
      <sheetName val="CRITERIA1"/>
      <sheetName val="Names&amp;Cases"/>
      <sheetName val="Balance Sheet_US$"/>
      <sheetName val="HONOTES"/>
      <sheetName val="PL- Notes"/>
      <sheetName val="BM"/>
      <sheetName val="Total MTH"/>
      <sheetName val="Charts"/>
      <sheetName val="Infinite Studios"/>
      <sheetName val="Neuros &amp; Immunos"/>
      <sheetName val="Nucleos"/>
      <sheetName val="Misc__Master"/>
      <sheetName val="Capital_Structure"/>
      <sheetName val="TBAL9697_-group_wise__sdpl"/>
      <sheetName val="SEP_"/>
      <sheetName val="Account_title"/>
      <sheetName val="Redelvery_provision_changed"/>
      <sheetName val="earnings model"/>
      <sheetName val="beam-reinft-machine rm"/>
      <sheetName val="exgratia-feb06"/>
      <sheetName val="1072"/>
      <sheetName val="Budget_Summary1"/>
      <sheetName val="Loss_30041"/>
      <sheetName val="Reconciliation_of_GL_&amp;_FAR1"/>
      <sheetName val="exec_summ1"/>
      <sheetName val="Power_&amp;_Fuel_(S)1"/>
      <sheetName val="NOA_Data"/>
      <sheetName val="COA"/>
      <sheetName val="HOUSE_RENT_DEPO_1"/>
      <sheetName val="Customize_Your_Invoice1"/>
      <sheetName val="Sale_Charts1"/>
      <sheetName val="Trial_Balance_Format"/>
      <sheetName val="EAW Final Accounts - 99"/>
      <sheetName val="Manufacturing Statistics"/>
      <sheetName val="curlocal"/>
      <sheetName val="Manualformat"/>
      <sheetName val="ANNX-C"/>
      <sheetName val="MenuData"/>
      <sheetName val="GF_Columns"/>
      <sheetName val="labour_rates"/>
      <sheetName val="old_serial_no_"/>
      <sheetName val="Budget_CF_-_Overall"/>
      <sheetName val="공사비_내역_(가)"/>
      <sheetName val="4K_-_(6a)_Non_Manual_Breakdown"/>
      <sheetName val="3__Elemental_Summary"/>
      <sheetName val="August_TB"/>
      <sheetName val="_COP"/>
      <sheetName val="DCF"/>
      <sheetName val="Périodes"/>
      <sheetName val="Maping_Other"/>
      <sheetName val="PX1DATA"/>
      <sheetName val="PX2DATA"/>
      <sheetName val="Indices"/>
      <sheetName val="pri-com"/>
      <sheetName val="BOQ CIVIL"/>
      <sheetName val="Price Comparison"/>
      <sheetName val="Measurment"/>
      <sheetName val="Final Summary"/>
      <sheetName val="Figures in"/>
      <sheetName val="COM"/>
      <sheetName val="FSA"/>
      <sheetName val="B"/>
      <sheetName val="FF-2 (1)"/>
      <sheetName val="addl cost"/>
      <sheetName val="FF-1"/>
      <sheetName val="accumdeprn"/>
      <sheetName val="Sheet3_(2)8"/>
      <sheetName val="Global_Assm_8"/>
      <sheetName val="Calculation_(2)8"/>
      <sheetName val="Multiple_output8"/>
      <sheetName val="Sheet3__2_8"/>
      <sheetName val="QoQ_Forecast8"/>
      <sheetName val="Income_Statements8"/>
      <sheetName val="Income_&amp;_Occupancy_Customer8"/>
      <sheetName val="ABP_inputs8"/>
      <sheetName val="Synergy_Sales_Budget8"/>
      <sheetName val="Project_Budget_Worksheet8"/>
      <sheetName val="Builtup_Area8"/>
      <sheetName val="INDIGINEOUS_ITEMS_8"/>
      <sheetName val="RCC,Ret__Wall8"/>
      <sheetName val="BOQ_T4B8"/>
      <sheetName val="170810-lease_tax3"/>
      <sheetName val="Main_Sheet_(MTD)3"/>
      <sheetName val="Consl_Daily_Report3"/>
      <sheetName val="balance_sheet3"/>
      <sheetName val="van_khuon3"/>
      <sheetName val="IDC_macro3"/>
      <sheetName val="Aladdin_Macro18"/>
      <sheetName val="Acc_10_58"/>
      <sheetName val="Portfolio_Summary4"/>
      <sheetName val="Summary_Excise2"/>
      <sheetName val="Other_BS_Sch_5-92"/>
      <sheetName val="Excess_Calc2"/>
      <sheetName val="Grouping_Master2"/>
      <sheetName val="Current_Bill_MB_ref4"/>
      <sheetName val="Meas_-Hotel_Part4"/>
      <sheetName val="Material_8"/>
      <sheetName val="Labour_&amp;_Plant8"/>
      <sheetName val="_B38"/>
      <sheetName val="_B18"/>
      <sheetName val="beam-reinft-IIInd_floor8"/>
      <sheetName val="Approved_MTD_Proj_#'s8"/>
      <sheetName val="MN_T_B_8"/>
      <sheetName val="CFForecast_detail8"/>
      <sheetName val="Site_Dev_BOQ8"/>
      <sheetName val="Break_up_Sheet8"/>
      <sheetName val="Load_Details-220kV8"/>
      <sheetName val="Block_A_-_BOQ8"/>
      <sheetName val="March_Analysts2"/>
      <sheetName val="P_&amp;_L2"/>
      <sheetName val="Fin_Sum3"/>
      <sheetName val="Rollup_Summary3"/>
      <sheetName val="CABLE_DATA3"/>
      <sheetName val="1st_flr3"/>
      <sheetName val="final_abstract3"/>
      <sheetName val="Rate_analysis3"/>
      <sheetName val="Civil_Boq3"/>
      <sheetName val="IT_Block2"/>
      <sheetName val="Location_CODE2"/>
      <sheetName val="Location_TYPE2"/>
      <sheetName val="sub_class2"/>
      <sheetName val="_sub_Loc_2"/>
      <sheetName val="_Acc__Sched_2"/>
      <sheetName val="IMPORT_T123"/>
      <sheetName val="EDS__Bestshore_Migration2"/>
      <sheetName val="TB_FOR_MIS3"/>
      <sheetName val="INPUT_SHEET2"/>
      <sheetName val="SOPMA_DD2"/>
      <sheetName val="03_(2)2"/>
      <sheetName val="WIng_F(Typical)2"/>
      <sheetName val="MIS_-_kINR3"/>
      <sheetName val="QoQ_In_Lakhs2"/>
      <sheetName val="EXHIBIT&quot;_T&quot;2"/>
      <sheetName val="KPM_DT3"/>
      <sheetName val="Main_workings2"/>
      <sheetName val="M-2_Adjusted2"/>
      <sheetName val="ANN_K2"/>
      <sheetName val="Balance_Sheet_2"/>
      <sheetName val="Dom_Cell_(IS)2"/>
      <sheetName val="TDS_Certificate-Format2"/>
      <sheetName val="Master_Price_List2"/>
      <sheetName val="ITEM__STUDY_(2)2"/>
      <sheetName val="Felix_Street_Summary2"/>
      <sheetName val="Budget_Summary2"/>
      <sheetName val="Loss_30042"/>
      <sheetName val="Reconciliation_of_GL_&amp;_FAR2"/>
      <sheetName val="LBO_Financials2"/>
      <sheetName val="Training_Deposits_coding2"/>
      <sheetName val="10__&amp;_11__Rate_Code_&amp;_BQ2"/>
      <sheetName val="vb_9&amp;102"/>
      <sheetName val="MASTER_RATE_ANALYSIS2"/>
      <sheetName val="Valuation_-_block_22"/>
      <sheetName val="Base_Assumptions2"/>
      <sheetName val="FITZ_MORT_942"/>
      <sheetName val="9__Package_split_-_Cost_2"/>
      <sheetName val="drop-dwn_list2"/>
      <sheetName val="exec_summ2"/>
      <sheetName val="Ins_Erection2"/>
      <sheetName val="Rev_Opt_-_Rollup2"/>
      <sheetName val="Customize_Your_Invoice2"/>
      <sheetName val="Sale_Charts2"/>
      <sheetName val="Fill_this_out_first___2"/>
      <sheetName val="Tender_Summary2"/>
      <sheetName val="Bill_1-BOQ-Civil_Works2"/>
      <sheetName val="Legal_Risk_Analysis2"/>
      <sheetName val="Related_party_-_P&amp;L2"/>
      <sheetName val="Base_data_Security_Procedures1"/>
      <sheetName val="PRECAST_lightconc-II2"/>
      <sheetName val="IO_LIST2"/>
      <sheetName val="RATE_LIST_(2)1"/>
      <sheetName val="Night_Shift2"/>
      <sheetName val="Theatre_mgmt_cont2"/>
      <sheetName val="Trial_Balance2"/>
      <sheetName val="Goldberg_Portfolio_Combined2"/>
      <sheetName val="Commercial_Research2"/>
      <sheetName val="Leasing_Commision2"/>
      <sheetName val="Master_list2"/>
      <sheetName val="Labour_List2"/>
      <sheetName val="Material_List2"/>
      <sheetName val="Architectural_Summary2"/>
      <sheetName val="Labor_abs-NMR2"/>
      <sheetName val="Beam_at_Ground_flr_lvl(Steel)2"/>
      <sheetName val="1st_-vpd2"/>
      <sheetName val="Material_List_2"/>
      <sheetName val="schedule_nos2"/>
      <sheetName val="Operating_Statistics2"/>
      <sheetName val="FA_Schedule_Dec_072"/>
      <sheetName val="P_R__TAXES2"/>
      <sheetName val="BILLING_SUM2"/>
      <sheetName val="Capital_Structure1"/>
      <sheetName val="Redelvery_provision_changed1"/>
      <sheetName val="Debtors_analysis2"/>
      <sheetName val="pile_Fabrication2"/>
      <sheetName val="UNP-NCW_2"/>
      <sheetName val="extra_work_elec_bill_2"/>
      <sheetName val="소상_&quot;1&quot;2"/>
      <sheetName val="Graph_(LGEN)1"/>
      <sheetName val="선적schedule_(2)1"/>
      <sheetName val="steam_outlet1"/>
      <sheetName val="BOQ_Distribution1"/>
      <sheetName val="GM_&amp;_TA1"/>
      <sheetName val="Cash_Flow_Working2"/>
      <sheetName val="Retail_Mall2"/>
      <sheetName val="Control_Sheet1"/>
      <sheetName val="SCH_101"/>
      <sheetName val="SAP_EMP1"/>
      <sheetName val="Open_Items-3112082"/>
      <sheetName val="NEW-IDs_Fun_&amp;_Group2"/>
      <sheetName val="Cost_summary2"/>
      <sheetName val="RCC_Rates2"/>
      <sheetName val="4_4_External_Plaster2"/>
      <sheetName val="USB_11"/>
      <sheetName val="Service_Invoice2"/>
      <sheetName val="Notes-pivot1_2"/>
      <sheetName val="Misc__Master1"/>
      <sheetName val="Schedule_v11"/>
      <sheetName val="MIS_AC_wise2"/>
      <sheetName val="Overall_Summary2"/>
      <sheetName val="HBI_NCD2"/>
      <sheetName val="CUSTOM_Jun992"/>
      <sheetName val="A_O_R_2"/>
      <sheetName val="final_0611061"/>
      <sheetName val="SAB_P&amp;L1"/>
      <sheetName val="cash_flow2"/>
      <sheetName val="Staff_Costs2"/>
      <sheetName val="Formated_Trial_Balance1"/>
      <sheetName val="Trial_Balance_Format1"/>
      <sheetName val="Key_Assumption1"/>
      <sheetName val="Master_Information1"/>
      <sheetName val="Taluka_wise_dealer_(2)1"/>
      <sheetName val="Basement_Budget2"/>
      <sheetName val="FA(Apr_07)1"/>
      <sheetName val="Reco_O_S1"/>
      <sheetName val="NOA_Data1"/>
      <sheetName val="_1"/>
      <sheetName val="S_&amp;_A1"/>
      <sheetName val="BASIS_-DEC_08"/>
      <sheetName val="DUMP_"/>
      <sheetName val="Bspl_Main"/>
      <sheetName val="Linked_Lead"/>
      <sheetName val="Fin__Assumpt__-_Sensitivities"/>
      <sheetName val="SAP_downloaded_schedule1"/>
      <sheetName val="Lease_Expiry1"/>
      <sheetName val="ASSETS_P&amp;M2"/>
      <sheetName val="Assets_Land_&amp;_Mise_FA2"/>
      <sheetName val="HOUSE_RENT_DEPO_2"/>
      <sheetName val="0__Data_Validation_List2"/>
      <sheetName val="stacking_sheet2"/>
      <sheetName val="TASKRSRC_(2)"/>
      <sheetName val="Elec_Summ"/>
      <sheetName val="ELEC_BOQ"/>
      <sheetName val="TRACK_BUSWAY"/>
      <sheetName val="Multipliers_&amp;_KRA1"/>
      <sheetName val="grp_"/>
      <sheetName val="Monthly_Inputs1"/>
      <sheetName val="2000-1_Monthly_Cashflows1"/>
      <sheetName val="2002-2_Monthly_Cashflows1"/>
      <sheetName val="cl_14_Annex_7_1"/>
      <sheetName val="Encl_7A1"/>
      <sheetName val="wdr_bldg1"/>
      <sheetName val="Base_Data"/>
      <sheetName val="080_(2)"/>
      <sheetName val="F_01_-_June_2005"/>
      <sheetName val="HW_SW"/>
      <sheetName val="WC_analytics_(+data_pages)1"/>
      <sheetName val="TBAL9697_-group_wise__sdpl1"/>
      <sheetName val="Determination_of_Threshold1"/>
      <sheetName val="RCC_Ret__Wall1"/>
      <sheetName val="DYN_PP1"/>
      <sheetName val="June_Reserve_-_Far_East1"/>
      <sheetName val="SEP_1"/>
      <sheetName val="Account_title1"/>
      <sheetName val="NGS_Data_Sheet"/>
      <sheetName val="SGS_Data_Sheet"/>
      <sheetName val="Check_Register"/>
      <sheetName val="EBITDA_Bridge"/>
      <sheetName val="2003_Budget-PL-case1"/>
      <sheetName val="meeting_rectification_control"/>
      <sheetName val="Loan_Data"/>
      <sheetName val="Standalone_seg"/>
      <sheetName val="4_Annex_1_Basic_rate"/>
      <sheetName val="Other_notes"/>
      <sheetName val="STAFFSCHED_"/>
      <sheetName val="Basic_Rate"/>
      <sheetName val="Esteem_Rear"/>
      <sheetName val="Rs_in_lacs"/>
      <sheetName val="currency_(2)"/>
      <sheetName val="NW_RTU"/>
      <sheetName val="Clause_9"/>
      <sheetName val="SP_Break_Up"/>
      <sheetName val="Cash_Flow_"/>
      <sheetName val="INQVAR_PY"/>
      <sheetName val="Total_MTH"/>
      <sheetName val="Infinite_Studios"/>
      <sheetName val="Neuros_&amp;_Immunos"/>
      <sheetName val="earnings_model"/>
      <sheetName val="Balance_Sheet_US$"/>
      <sheetName val="FF-2_(1)"/>
      <sheetName val="addl_cost"/>
      <sheetName val="Lookups"/>
      <sheetName val="Factors"/>
      <sheetName val="NOT FULL RESTRAINT"/>
      <sheetName val="UC"/>
      <sheetName val="BEARING &amp; BUCKLING"/>
      <sheetName val="PFC"/>
      <sheetName val="RSJ"/>
      <sheetName val="cover page"/>
      <sheetName val="Structure Bills Qty"/>
      <sheetName val="beam-reinft"/>
      <sheetName val="Appendix B- 3.Structural Steel"/>
      <sheetName val="Appendix A- 1.Variation"/>
      <sheetName val="Contracts Status"/>
      <sheetName val="Cost Status-1"/>
      <sheetName val="Centaurus Contract Sum "/>
      <sheetName val="Payment Status"/>
      <sheetName val="1. Report"/>
      <sheetName val="Supplier"/>
      <sheetName val="CANDY BOQ"/>
      <sheetName val="FitOutConfCentre"/>
      <sheetName val="BHANDUP"/>
      <sheetName val="Schedules_3-8"/>
      <sheetName val="Jun_2000"/>
      <sheetName val="Sheet2_(2)"/>
      <sheetName val="A"/>
      <sheetName val="Leg 1-1"/>
      <sheetName val="Door &amp; Window"/>
      <sheetName val="Sheet5"/>
      <sheetName val="Labour productivity"/>
      <sheetName val="Field Values"/>
      <sheetName val="Old"/>
      <sheetName val="Measurements"/>
      <sheetName val="Tables"/>
      <sheetName val="Flooring"/>
      <sheetName val="Ceilings"/>
      <sheetName val="ACAD Finishes"/>
      <sheetName val="Site Details"/>
      <sheetName val="Chair"/>
      <sheetName val="Site Area Statement"/>
      <sheetName val="Doors"/>
      <sheetName val="Form 6"/>
      <sheetName val="COLUMN"/>
      <sheetName val="except wiring"/>
      <sheetName val="loadcal"/>
      <sheetName val="WXY"/>
      <sheetName val="경비공통"/>
      <sheetName val="SUPPLY -Sanitary Fixtures"/>
      <sheetName val="External"/>
      <sheetName val="ITEMS FOR CIVIL TENDER"/>
      <sheetName val="IncidentsEAP"/>
      <sheetName val="Power &amp; Fuel(SMS)"/>
      <sheetName val="Adjusted data"/>
      <sheetName val="JetFuel"/>
      <sheetName val="Block A"/>
      <sheetName val="cs1997"/>
      <sheetName val="Book1"/>
      <sheetName val="Corridor"/>
      <sheetName val="Valuation (F)"/>
      <sheetName val="LIST OF MAKES"/>
      <sheetName val="complexall"/>
      <sheetName val="Bal_Gr"/>
      <sheetName val="OGExp"/>
      <sheetName val="VC_WKG"/>
      <sheetName val="CAUSTIC"/>
      <sheetName val="1996-97"/>
      <sheetName val="NEWACNO"/>
      <sheetName val="Rates Basic"/>
      <sheetName val="Mthly CFS (Kha)"/>
      <sheetName val="Detail"/>
      <sheetName val="MPR_PA_1"/>
      <sheetName val="BS-203"/>
      <sheetName val="7 Jan 02"/>
      <sheetName val="Internal Data"/>
      <sheetName val="O2.1"/>
      <sheetName val="QTY. PROV.LAB"/>
      <sheetName val="List"/>
      <sheetName val="Deno"/>
      <sheetName val="Consolidated CF"/>
      <sheetName val="Key Assumptions"/>
      <sheetName val="exp-m"/>
      <sheetName val="Roll-up"/>
      <sheetName val="VAR STORE_CONS"/>
      <sheetName val="Flexi"/>
      <sheetName val="Profit and Loss"/>
      <sheetName val="Trading Comps"/>
      <sheetName val="Original"/>
      <sheetName val="P&amp;L and CFlow"/>
      <sheetName val="15"/>
      <sheetName val="MAIN BS &amp; P&amp;L"/>
      <sheetName val="AR Graphs"/>
      <sheetName val="RESOIL-DELETE!!!!!"/>
      <sheetName val="Assm"/>
      <sheetName val="Sheet 1"/>
      <sheetName val="VCH-SLC"/>
      <sheetName val="Anlysis"/>
      <sheetName val="gl"/>
      <sheetName val="1 LeadSchedule"/>
      <sheetName val="TENSCH"/>
      <sheetName val="Sheet1 (2)"/>
      <sheetName val="Resue Hoist"/>
      <sheetName val="_____"/>
      <sheetName val="CapStru"/>
      <sheetName val="MktCap"/>
      <sheetName val="TradingVol"/>
      <sheetName val="Local Data"/>
      <sheetName val="#REF!"/>
      <sheetName val="PROCTOR"/>
      <sheetName val="Total Debtors Ageing Sheet"/>
      <sheetName val="OH_SUMMARY"/>
      <sheetName val="OH_MAR"/>
      <sheetName val="OH_AUG"/>
      <sheetName val="OH_SEPT"/>
      <sheetName val="OH_OCT"/>
      <sheetName val="OH_NOV"/>
      <sheetName val="OH_DEC"/>
      <sheetName val="OH_JAN"/>
      <sheetName val="OH_FEB"/>
      <sheetName val="Senario Manager"/>
      <sheetName val="Controls"/>
      <sheetName val="Basic Rates"/>
      <sheetName val="RateAnalysis"/>
      <sheetName val="dealer list"/>
      <sheetName val="annexure13_Corporate"/>
      <sheetName val="NOPAT_VDF"/>
      <sheetName val="Invested capital_VDF"/>
      <sheetName val="Abstract"/>
      <sheetName val="DDETABLE "/>
      <sheetName val="Ignore"/>
      <sheetName val="Corrupt SSCI"/>
      <sheetName val="Monthly Ship+Prod"/>
      <sheetName val="Perform"/>
      <sheetName val="chem"/>
      <sheetName val="projections"/>
      <sheetName val="r&amp;m"/>
      <sheetName val="africa"/>
      <sheetName val="row"/>
      <sheetName val="euro"/>
      <sheetName val="group e&amp;p"/>
      <sheetName val="health"/>
      <sheetName val="BS-Cem"/>
      <sheetName val="Ledger Dump"/>
      <sheetName val="Physical"/>
      <sheetName val="Interface"/>
      <sheetName val="Basic assumptions"/>
      <sheetName val="VALUE2_5"/>
      <sheetName val="NOV95"/>
      <sheetName val="Acquisition Assumptions"/>
      <sheetName val="REPV2002"/>
      <sheetName val="lookup"/>
      <sheetName val="Elec_Summ1"/>
      <sheetName val="ELEC_BOQ1"/>
      <sheetName val="TRACK_BUSWAY1"/>
      <sheetName val="STAFFSCHED_1"/>
      <sheetName val="Basic_Rate1"/>
      <sheetName val="SP_Break_Up1"/>
      <sheetName val="4_Annex_1_Basic_rate1"/>
      <sheetName val="Fin__Assumpt__-_Sensitivities1"/>
      <sheetName val="Other_notes1"/>
      <sheetName val="Linked_Lead1"/>
      <sheetName val="_COP1"/>
      <sheetName val="TASKRSRC_(2)1"/>
      <sheetName val="ECR.ECNOI Slide"/>
      <sheetName val="RELACION_REFERENCIAS"/>
      <sheetName val="GL_Master_Data"/>
      <sheetName val="Reporting VA"/>
      <sheetName val="Standing Data"/>
      <sheetName val="cost sheet-1999-00"/>
      <sheetName val="MERGER"/>
      <sheetName val="nishanth"/>
      <sheetName val="Column L1 to L2"/>
      <sheetName val="Column L2 to L3"/>
      <sheetName val="BEAM"/>
      <sheetName val="RAMP 3"/>
      <sheetName val="RAMP 1"/>
      <sheetName val="staircase"/>
      <sheetName val="R_Wall"/>
      <sheetName val="Column B1 to L1"/>
      <sheetName val="Slab L1"/>
      <sheetName val="Slab L2"/>
      <sheetName val="model by field"/>
      <sheetName val="IEA_02-99"/>
      <sheetName val="Crude oil"/>
      <sheetName val="Summary model"/>
      <sheetName val="Template"/>
      <sheetName val="Global Assumptions"/>
      <sheetName val="W Natuna"/>
      <sheetName val="WRLD EXPN"/>
      <sheetName val="GL Links"/>
      <sheetName val="Power_&amp;_Fuel_(S)2"/>
      <sheetName val="Prov_for_exp-April'08_-_June'08"/>
      <sheetName val="Provision_for_exp-Upto_Mar'08"/>
      <sheetName val="creditors_to_others"/>
      <sheetName val="other_amt&amp;recoveries_payable"/>
      <sheetName val="other_exp_charges_recoverable"/>
      <sheetName val="rental_deposits"/>
      <sheetName val="other_deposits_"/>
      <sheetName val="prepaid_expenses"/>
      <sheetName val="sal_adv"/>
      <sheetName val="labour_rates1"/>
      <sheetName val="old_serial_no_1"/>
      <sheetName val="Budget_CF_-_Overall1"/>
      <sheetName val="공사비_내역_(가)1"/>
      <sheetName val="4K_-_(6a)_Non_Manual_Breakdown1"/>
      <sheetName val="3__Elemental_Summary1"/>
      <sheetName val="August_TB1"/>
      <sheetName val="GF_Columns1"/>
      <sheetName val="NOT_FULL_RESTRAINT"/>
      <sheetName val="BEARING_&amp;_BUCKLING"/>
      <sheetName val="PL-_Notes"/>
      <sheetName val="1612_01AN(7)_-_Niep_Tds_Summary"/>
      <sheetName val="Senario_Manager"/>
      <sheetName val="Model"/>
      <sheetName val="banilad"/>
      <sheetName val="Mactan"/>
      <sheetName val="Mandaue"/>
      <sheetName val="lineby line consolidation"/>
      <sheetName val="GUT (2)"/>
      <sheetName val="ACE-OUT"/>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Stacking Plan &amp; LEP"/>
      <sheetName val="Stack Expiry"/>
      <sheetName val="인원계획-미화"/>
      <sheetName val="ACTL_CRNT"/>
      <sheetName val="BDGT_CRNT"/>
      <sheetName val="SSL PB P&amp;L"/>
      <sheetName val="Co 59"/>
      <sheetName val="BOQ "/>
      <sheetName val="Slab Data"/>
      <sheetName val="Trial"/>
      <sheetName val="LE-FTE-Nos"/>
      <sheetName val="Consl LS"/>
      <sheetName val="Seide Customer wise "/>
      <sheetName val="Filati Customer wise"/>
      <sheetName val="Reco"/>
      <sheetName val="Seide LS"/>
      <sheetName val="Filati LS"/>
      <sheetName val="zpctb-dta"/>
      <sheetName val="mkg"/>
      <sheetName val="2.1. Claimed Not Ack as debts"/>
      <sheetName val="2.4. Service Tax Contingent"/>
      <sheetName val="6. Auditor Payment"/>
      <sheetName val="7. Pauling Joint Venture"/>
      <sheetName val="8. Non Provision"/>
      <sheetName val="5. MR"/>
      <sheetName val="Last Month Report"/>
      <sheetName val="Cost Centre Master"/>
      <sheetName val="TB Jan-Dec96"/>
      <sheetName val="Managerial Remuneration-Dec96"/>
      <sheetName val="BS&amp;PL_DEC96"/>
      <sheetName val="Pivot"/>
      <sheetName val="Feiertage"/>
      <sheetName val="Pivot_Weighted_SC_edit"/>
      <sheetName val="設計時間"/>
      <sheetName val="CABLERET"/>
      <sheetName val="Issue Log"/>
      <sheetName val="Quantity"/>
      <sheetName val="Expenditure Analysis"/>
      <sheetName val="RAZ$"/>
      <sheetName val="Budget heads"/>
      <sheetName val="Unit&amp;CK"/>
      <sheetName val="HYDERABAD J907"/>
      <sheetName val="FileCat"/>
      <sheetName val="FileDesc"/>
      <sheetName val="FileType"/>
      <sheetName val="DCF Senstivities"/>
      <sheetName val="tops"/>
      <sheetName val="PARASITIC"/>
      <sheetName val="Vind - BtB"/>
      <sheetName val="Break_Up"/>
      <sheetName val="RESULT"/>
      <sheetName val="General Note"/>
      <sheetName val="coa_ramco_168"/>
      <sheetName val="MS of Instal"/>
      <sheetName val="MIR - SUPPLY"/>
      <sheetName val="WIR - INSTALL"/>
      <sheetName val="Angles"/>
      <sheetName val="s"/>
      <sheetName val="dBase"/>
      <sheetName val="12a. CFTable"/>
      <sheetName val="Allocation"/>
      <sheetName val="Plant &amp;  Machinery"/>
      <sheetName val="Vehicles"/>
      <sheetName val="입찰내역 발주처 양식"/>
      <sheetName val="detail'02"/>
      <sheetName val="S1BOQ"/>
      <sheetName val="Consignment"/>
      <sheetName val="SILICATE"/>
      <sheetName val="vendor listing (2)"/>
      <sheetName val="Ann B1"/>
      <sheetName val="Pr.-hist."/>
      <sheetName val="C_flow 95"/>
      <sheetName val="Zero"/>
      <sheetName val="Entity Names"/>
      <sheetName val="Fin Chrgs"/>
      <sheetName val="Sheet3_(2)9"/>
      <sheetName val="Sheet3__2_9"/>
      <sheetName val="Income_&amp;_Occupancy_Customer9"/>
      <sheetName val="QoQ_Forecast9"/>
      <sheetName val="Income_Statements9"/>
      <sheetName val="IMPORT_T124"/>
      <sheetName val="Global_Assm_9"/>
      <sheetName val="Acc_10_59"/>
      <sheetName val="Aladdin_Macro19"/>
      <sheetName val="Portfolio_Summary5"/>
      <sheetName val="Rollup_Summary4"/>
      <sheetName val="ABP_inputs9"/>
      <sheetName val="Synergy_Sales_Budget9"/>
      <sheetName val="Project_Budget_Worksheet9"/>
      <sheetName val="Calculation_(2)9"/>
      <sheetName val="Multiple_output9"/>
      <sheetName val="Builtup_Area9"/>
      <sheetName val="RCC,Ret__Wall9"/>
      <sheetName val="BOQ_T4B9"/>
      <sheetName val="INDIGINEOUS_ITEMS_9"/>
      <sheetName val="Material_9"/>
      <sheetName val="Labour_&amp;_Plant9"/>
      <sheetName val="_B39"/>
      <sheetName val="_B19"/>
      <sheetName val="beam-reinft-IIInd_floor9"/>
      <sheetName val="Approved_MTD_Proj_#'s9"/>
      <sheetName val="TB_FOR_MIS4"/>
      <sheetName val="INPUT_SHEET3"/>
      <sheetName val="Current_Bill_MB_ref5"/>
      <sheetName val="Meas_-Hotel_Part5"/>
      <sheetName val="MN_T_B_9"/>
      <sheetName val="CFForecast_detail9"/>
      <sheetName val="Site_Dev_BOQ9"/>
      <sheetName val="Break_up_Sheet9"/>
      <sheetName val="Load_Details-220kV9"/>
      <sheetName val="Block_A_-_BOQ9"/>
      <sheetName val="170810-lease_tax4"/>
      <sheetName val="van_khuon4"/>
      <sheetName val="IDC_macro4"/>
      <sheetName val="Main_Sheet_(MTD)4"/>
      <sheetName val="Consl_Daily_Report4"/>
      <sheetName val="balance_sheet4"/>
      <sheetName val="March_Analysts3"/>
      <sheetName val="CABLE_DATA4"/>
      <sheetName val="1st_flr4"/>
      <sheetName val="Civil_Boq4"/>
      <sheetName val="KPM_DT4"/>
      <sheetName val="EXHIBIT&quot;_T&quot;3"/>
      <sheetName val="Dom_Cell_(IS)3"/>
      <sheetName val="Summary_Excise3"/>
      <sheetName val="Other_BS_Sch_5-93"/>
      <sheetName val="Excess_Calc3"/>
      <sheetName val="Grouping_Master3"/>
      <sheetName val="P_&amp;_L3"/>
      <sheetName val="final_abstract4"/>
      <sheetName val="Rate_analysis4"/>
      <sheetName val="_Acc__Sched_3"/>
      <sheetName val="Fin_Sum4"/>
      <sheetName val="EDS__Bestshore_Migration3"/>
      <sheetName val="MASTER_RATE_ANALYSIS3"/>
      <sheetName val="Valuation_-_block_23"/>
      <sheetName val="IT_Block3"/>
      <sheetName val="Location_CODE3"/>
      <sheetName val="Location_TYPE3"/>
      <sheetName val="sub_class3"/>
      <sheetName val="_sub_Loc_3"/>
      <sheetName val="Master_Price_List3"/>
      <sheetName val="Trial_Balance3"/>
      <sheetName val="Main_workings3"/>
      <sheetName val="Balance_Sheet_3"/>
      <sheetName val="03_(2)3"/>
      <sheetName val="WIng_F(Typical)3"/>
      <sheetName val="Legal_Risk_Analysis3"/>
      <sheetName val="Related_party_-_P&amp;L3"/>
      <sheetName val="M-2_Adjusted3"/>
      <sheetName val="vb_9&amp;103"/>
      <sheetName val="Commercial_Research3"/>
      <sheetName val="Base_Assumptions3"/>
      <sheetName val="SOPMA_DD3"/>
      <sheetName val="10__&amp;_11__Rate_Code_&amp;_BQ3"/>
      <sheetName val="FITZ_MORT_943"/>
      <sheetName val="QoQ_In_Lakhs3"/>
      <sheetName val="IO_LIST3"/>
      <sheetName val="Goldberg_Portfolio_Combined3"/>
      <sheetName val="Cash_Flow_Working3"/>
      <sheetName val="MIS_-_kINR4"/>
      <sheetName val="9__Package_split_-_Cost_3"/>
      <sheetName val="Operating_Statistics3"/>
      <sheetName val="Training_Deposits_coding3"/>
      <sheetName val="Notes-pivot1_3"/>
      <sheetName val="Leasing_Commision3"/>
      <sheetName val="Master_list3"/>
      <sheetName val="Labour_List3"/>
      <sheetName val="Material_List3"/>
      <sheetName val="Architectural_Summary3"/>
      <sheetName val="Labor_abs-NMR3"/>
      <sheetName val="Beam_at_Ground_flr_lvl(Steel)3"/>
      <sheetName val="1st_-vpd3"/>
      <sheetName val="Material_List_3"/>
      <sheetName val="schedule_nos3"/>
      <sheetName val="Fill_this_out_first___3"/>
      <sheetName val="Theatre_mgmt_cont3"/>
      <sheetName val="FA_Schedule_Dec_073"/>
      <sheetName val="P_R__TAXES3"/>
      <sheetName val="BILLING_SUM3"/>
      <sheetName val="Debtors_analysis3"/>
      <sheetName val="pile_Fabrication3"/>
      <sheetName val="LBO_Financials3"/>
      <sheetName val="ANN_K3"/>
      <sheetName val="NEW-IDs_Fun_&amp;_Group3"/>
      <sheetName val="Service_Invoice3"/>
      <sheetName val="MIS_AC_wise3"/>
      <sheetName val="Retail_Mall3"/>
      <sheetName val="Staff_Costs3"/>
      <sheetName val="Rev_Opt_-_Rollup3"/>
      <sheetName val="drop-dwn_list3"/>
      <sheetName val="Tender_Summary3"/>
      <sheetName val="Bill_1-BOQ-Civil_Works3"/>
      <sheetName val="UNP-NCW_3"/>
      <sheetName val="extra_work_elec_bill_3"/>
      <sheetName val="소상_&quot;1&quot;3"/>
      <sheetName val="Graph_(LGEN)2"/>
      <sheetName val="선적schedule_(2)2"/>
      <sheetName val="Cost_summary3"/>
      <sheetName val="RCC_Rates3"/>
      <sheetName val="Open_Items-3112083"/>
      <sheetName val="PRECAST_lightconc-II3"/>
      <sheetName val="4_4_External_Plaster3"/>
      <sheetName val="A_O_R_3"/>
      <sheetName val="HBI_NCD3"/>
      <sheetName val="CUSTOM_Jun993"/>
      <sheetName val="Felix_Street_Summary3"/>
      <sheetName val="Overall_Summary3"/>
      <sheetName val="Night_Shift3"/>
      <sheetName val="ITEM__STUDY_(2)3"/>
      <sheetName val="TDS_Certificate-Format3"/>
      <sheetName val="ASSETS_P&amp;M3"/>
      <sheetName val="Assets_Land_&amp;_Mise_FA3"/>
      <sheetName val="Ins_Erection3"/>
      <sheetName val="Determination_of_Threshold2"/>
      <sheetName val="cl_14_Annex_7_2"/>
      <sheetName val="Encl_7A2"/>
      <sheetName val="0__Data_Validation_List3"/>
      <sheetName val="stacking_sheet3"/>
      <sheetName val="Basement_Budget3"/>
      <sheetName val="USB_12"/>
      <sheetName val="BOQ_Distribution2"/>
      <sheetName val="GM_&amp;_TA2"/>
      <sheetName val="steam_outlet2"/>
      <sheetName val="SCH_102"/>
      <sheetName val="SAP_EMP2"/>
      <sheetName val="SAP_downloaded_schedule2"/>
      <sheetName val="FA(Apr_07)2"/>
      <sheetName val="Reco_O_S2"/>
      <sheetName val="Taluka_wise_dealer_(2)2"/>
      <sheetName val="S_&amp;_A2"/>
      <sheetName val="Schedule_v12"/>
      <sheetName val="_2"/>
      <sheetName val="RATE_LIST_(2)2"/>
      <sheetName val="Control_Sheet2"/>
      <sheetName val="Lease_Expiry2"/>
      <sheetName val="wdr_bldg2"/>
      <sheetName val="Formated_Trial_Balance2"/>
      <sheetName val="Base_data_Security_Procedures2"/>
      <sheetName val="Monthly_Inputs2"/>
      <sheetName val="2000-1_Monthly_Cashflows2"/>
      <sheetName val="2002-2_Monthly_Cashflows2"/>
      <sheetName val="RCC_Ret__Wall2"/>
      <sheetName val="Key_Assumption2"/>
      <sheetName val="Master_Information2"/>
      <sheetName val="final_0611062"/>
      <sheetName val="SAB_P&amp;L2"/>
      <sheetName val="cash_flow3"/>
      <sheetName val="Multipliers_&amp;_KRA2"/>
      <sheetName val="WC_analytics_(+data_pages)2"/>
      <sheetName val="DYN_PP2"/>
      <sheetName val="June_Reserve_-_Far_East2"/>
      <sheetName val="Check_Register1"/>
      <sheetName val="EBITDA_Bridge1"/>
      <sheetName val="2003_Budget-PL-case11"/>
      <sheetName val="meeting_rectification_control1"/>
      <sheetName val="Loan_Data1"/>
      <sheetName val="NGS_Data_Sheet1"/>
      <sheetName val="SGS_Data_Sheet1"/>
      <sheetName val="Standalone_seg1"/>
      <sheetName val="Rs_in_lacs1"/>
      <sheetName val="Esteem_Rear1"/>
      <sheetName val="currency_(2)1"/>
      <sheetName val="NW_RTU1"/>
      <sheetName val="Clause_91"/>
      <sheetName val="Cash_Flow_1"/>
      <sheetName val="DUMP_1"/>
      <sheetName val="Bspl_Main1"/>
      <sheetName val="Mthly_CFS_(Kha)"/>
      <sheetName val="BOQ_CIVIL"/>
      <sheetName val="Price_Comparison"/>
      <sheetName val="Final_Summary"/>
      <sheetName val="Figures_in"/>
      <sheetName val="7_Jan_02"/>
      <sheetName val="EAW_Final_Accounts_-_99"/>
      <sheetName val="Consolidated_CF"/>
      <sheetName val="VAR_STORE_CONS"/>
      <sheetName val="Profit_and_Loss"/>
      <sheetName val="AR_Graphs"/>
      <sheetName val="Conversion_Table"/>
      <sheetName val="Key_Assumptions"/>
      <sheetName val="Jul_96_Worksheet"/>
      <sheetName val="Trading_Comps"/>
      <sheetName val="cover_page"/>
      <sheetName val="Structure_Bills_Qty"/>
      <sheetName val="Appendix_B-_3_Structural_Steel"/>
      <sheetName val="Appendix_A-_1_Variation"/>
      <sheetName val="Contracts_Status"/>
      <sheetName val="Cost_Status-1"/>
      <sheetName val="Centaurus_Contract_Sum_"/>
      <sheetName val="Payment_Status"/>
      <sheetName val="1__Report"/>
      <sheetName val="CANDY_BOQ"/>
      <sheetName val="Capital_Structure2"/>
      <sheetName val="Misc__Master2"/>
      <sheetName val="SEP_2"/>
      <sheetName val="TBAL9697_-group_wise__sdpl2"/>
      <sheetName val="Account_title2"/>
      <sheetName val="Redelvery_provision_changed2"/>
      <sheetName val="INQVAR_PY1"/>
      <sheetName val="Total_MTH1"/>
      <sheetName val="Schedules_3-81"/>
      <sheetName val="Jun_20001"/>
      <sheetName val="Sheet2_(2)1"/>
      <sheetName val="Infinite_Studios1"/>
      <sheetName val="Neuros_&amp;_Immunos1"/>
      <sheetName val="Reporting_VA"/>
      <sheetName val="Standing_Data"/>
      <sheetName val="cost_sheet-1999-00"/>
      <sheetName val="Rates_Basic"/>
      <sheetName val="Manufacturing_Statistics"/>
      <sheetName val="ECR_ECNOI_Slide"/>
      <sheetName val="P&amp;L_and_CFlow"/>
      <sheetName val="Resue_Hoist"/>
      <sheetName val="Pr_-hist_"/>
      <sheetName val="Leg_1-1"/>
      <sheetName val="Door_&amp;_Window"/>
      <sheetName val="Labour_productivity"/>
      <sheetName val="Field_Values"/>
      <sheetName val="ACAD_Finishes"/>
      <sheetName val="Site_Details"/>
      <sheetName val="Site_Area_Statement"/>
      <sheetName val="Form_6"/>
      <sheetName val="except_wiring"/>
      <sheetName val="SUPPLY_-Sanitary_Fixtures"/>
      <sheetName val="ITEMS_FOR_CIVIL_TENDER"/>
      <sheetName val="QTY__PROV_LAB"/>
      <sheetName val="A-D"/>
      <sheetName val="Kristal Court"/>
      <sheetName val="Sitewise Rev 06-09"/>
      <sheetName val="Background"/>
      <sheetName val="staff acco."/>
      <sheetName val="Collateral"/>
      <sheetName val="Category"/>
      <sheetName val="beam-reinft-machine_rm"/>
      <sheetName val="O2_1"/>
      <sheetName val="Internal_Data"/>
      <sheetName val="Local_Data"/>
      <sheetName val="2_1__Claimed_Not_Ack_as_debts"/>
      <sheetName val="2_4__Service_Tax_Contingent"/>
      <sheetName val="6__Auditor_Payment"/>
      <sheetName val="7__Pauling_Joint_Venture"/>
      <sheetName val="8__Non_Provision"/>
      <sheetName val="5__MR"/>
      <sheetName val="Last_Month_Report"/>
      <sheetName val="Sheet3_(2)10"/>
      <sheetName val="Sheet3__2_10"/>
      <sheetName val="Income_&amp;_Occupancy_Customer10"/>
      <sheetName val="Income_Statements10"/>
      <sheetName val="QoQ_Forecast10"/>
      <sheetName val="Aladdin_Macro110"/>
      <sheetName val="Acc_10_510"/>
      <sheetName val="Global_Assm_10"/>
      <sheetName val="ABP_inputs10"/>
      <sheetName val="Synergy_Sales_Budget10"/>
      <sheetName val="Project_Budget_Worksheet10"/>
      <sheetName val="Calculation_(2)10"/>
      <sheetName val="Multiple_output10"/>
      <sheetName val="Builtup_Area10"/>
      <sheetName val="RCC,Ret__Wall10"/>
      <sheetName val="BOQ_T4B10"/>
      <sheetName val="INDIGINEOUS_ITEMS_10"/>
      <sheetName val="van_khuon5"/>
      <sheetName val="IDC_macro5"/>
      <sheetName val="Portfolio_Summary6"/>
      <sheetName val="Material_10"/>
      <sheetName val="Labour_&amp;_Plant10"/>
      <sheetName val="_B310"/>
      <sheetName val="_B110"/>
      <sheetName val="beam-reinft-IIInd_floor10"/>
      <sheetName val="Summary_Excise4"/>
      <sheetName val="Other_BS_Sch_5-94"/>
      <sheetName val="Excess_Calc4"/>
      <sheetName val="Grouping_Master4"/>
      <sheetName val="Current_Bill_MB_ref6"/>
      <sheetName val="Meas_-Hotel_Part6"/>
      <sheetName val="Approved_MTD_Proj_#'s10"/>
      <sheetName val="M-2_Adjusted4"/>
      <sheetName val="Fin_Sum5"/>
      <sheetName val="IMPORT_T125"/>
      <sheetName val="KPM_DT5"/>
      <sheetName val="TB_FOR_MIS5"/>
      <sheetName val="INPUT_SHEET4"/>
      <sheetName val="MN_T_B_10"/>
      <sheetName val="CFForecast_detail10"/>
      <sheetName val="Site_Dev_BOQ10"/>
      <sheetName val="Break_up_Sheet10"/>
      <sheetName val="Load_Details-220kV10"/>
      <sheetName val="Block_A_-_BOQ10"/>
      <sheetName val="Rollup_Summary5"/>
      <sheetName val="170810-lease_tax5"/>
      <sheetName val="Dom_Cell_(IS)4"/>
      <sheetName val="March_Analysts4"/>
      <sheetName val="CABLE_DATA5"/>
      <sheetName val="1st_flr5"/>
      <sheetName val="Civil_Boq5"/>
      <sheetName val="final_abstract5"/>
      <sheetName val="Rate_analysis5"/>
      <sheetName val="_Acc__Sched_4"/>
      <sheetName val="Main_Sheet_(MTD)5"/>
      <sheetName val="Consl_Daily_Report5"/>
      <sheetName val="Master_Price_List4"/>
      <sheetName val="P_&amp;_L4"/>
      <sheetName val="Training_Deposits_coding4"/>
      <sheetName val="EXHIBIT&quot;_T&quot;4"/>
      <sheetName val="balance_sheet5"/>
      <sheetName val="Balance_Sheet_4"/>
      <sheetName val="EDS__Bestshore_Migration4"/>
      <sheetName val="Main_workings4"/>
      <sheetName val="IT_Block4"/>
      <sheetName val="Location_CODE4"/>
      <sheetName val="Location_TYPE4"/>
      <sheetName val="sub_class4"/>
      <sheetName val="_sub_Loc_4"/>
      <sheetName val="Cash_Flow_Working4"/>
      <sheetName val="MASTER_RATE_ANALYSIS4"/>
      <sheetName val="Valuation_-_block_24"/>
      <sheetName val="MIS_-_kINR5"/>
      <sheetName val="ANN_K4"/>
      <sheetName val="03_(2)4"/>
      <sheetName val="WIng_F(Typical)4"/>
      <sheetName val="Legal_Risk_Analysis4"/>
      <sheetName val="Rev_Opt_-_Rollup4"/>
      <sheetName val="Open_Items-3112084"/>
      <sheetName val="SOPMA_DD4"/>
      <sheetName val="Debtors_analysis4"/>
      <sheetName val="Architectural_Summary4"/>
      <sheetName val="pile_Fabrication4"/>
      <sheetName val="IO_LIST4"/>
      <sheetName val="Master_list4"/>
      <sheetName val="Labour_List4"/>
      <sheetName val="Material_List4"/>
      <sheetName val="Labor_abs-NMR4"/>
      <sheetName val="Beam_at_Ground_flr_lvl(Steel)4"/>
      <sheetName val="1st_-vpd4"/>
      <sheetName val="Material_List_4"/>
      <sheetName val="schedule_nos4"/>
      <sheetName val="LBO_Financials4"/>
      <sheetName val="Theatre_mgmt_cont4"/>
      <sheetName val="Base_Assumptions4"/>
      <sheetName val="10__&amp;_11__Rate_Code_&amp;_BQ4"/>
      <sheetName val="FITZ_MORT_944"/>
      <sheetName val="QoQ_In_Lakhs4"/>
      <sheetName val="vb_9&amp;104"/>
      <sheetName val="Goldberg_Portfolio_Combined4"/>
      <sheetName val="Commercial_Research4"/>
      <sheetName val="Fill_this_out_first___4"/>
      <sheetName val="FA_Schedule_Dec_074"/>
      <sheetName val="SAP_downloaded_schedule3"/>
      <sheetName val="Retail_Mall4"/>
      <sheetName val="NEW-IDs_Fun_&amp;_Group4"/>
      <sheetName val="Operating_Statistics4"/>
      <sheetName val="9__Package_split_-_Cost_4"/>
      <sheetName val="FA(Apr_07)3"/>
      <sheetName val="Reco_O_S3"/>
      <sheetName val="extra_work_elec_bill_4"/>
      <sheetName val="Leasing_Commision4"/>
      <sheetName val="Felix_Street_Summary4"/>
      <sheetName val="ITEM__STUDY_(2)4"/>
      <sheetName val="TDS_Certificate-Format4"/>
      <sheetName val="Trial_Balance4"/>
      <sheetName val="P_R__TAXES4"/>
      <sheetName val="BILLING_SUM4"/>
      <sheetName val="Service_Invoice4"/>
      <sheetName val="MIS_AC_wise4"/>
      <sheetName val="drop-dwn_list4"/>
      <sheetName val="A_O_R_4"/>
      <sheetName val="HBI_NCD4"/>
      <sheetName val="CUSTOM_Jun994"/>
      <sheetName val="Night_Shift4"/>
      <sheetName val="Overall_Summary4"/>
      <sheetName val="소상_&quot;1&quot;4"/>
      <sheetName val="Related_party_-_P&amp;L4"/>
      <sheetName val="Cost_summary4"/>
      <sheetName val="RCC_Rates4"/>
      <sheetName val="PRECAST_lightconc-II4"/>
      <sheetName val="Tender_Summary4"/>
      <sheetName val="Bill_1-BOQ-Civil_Works4"/>
      <sheetName val="UNP-NCW_4"/>
      <sheetName val="4_4_External_Plaster4"/>
      <sheetName val="Lease_Expiry3"/>
      <sheetName val="Customize_Your_Invoice3"/>
      <sheetName val="Budget_Summary3"/>
      <sheetName val="Loss_30043"/>
      <sheetName val="Reconciliation_of_GL_&amp;_FAR3"/>
      <sheetName val="exec_summ3"/>
      <sheetName val="Ins_Erection4"/>
      <sheetName val="Base_data_Security_Procedures3"/>
      <sheetName val="Notes-pivot1_4"/>
      <sheetName val="ASSETS_P&amp;M4"/>
      <sheetName val="Assets_Land_&amp;_Mise_FA4"/>
      <sheetName val="Basement_Budget4"/>
      <sheetName val="0__Data_Validation_List4"/>
      <sheetName val="stacking_sheet4"/>
      <sheetName val="Taluka_wise_dealer_(2)3"/>
      <sheetName val="Graph_(LGEN)3"/>
      <sheetName val="선적schedule_(2)3"/>
      <sheetName val="Monthly_Inputs3"/>
      <sheetName val="2000-1_Monthly_Cashflows3"/>
      <sheetName val="2002-2_Monthly_Cashflows3"/>
      <sheetName val="cl_14_Annex_7_3"/>
      <sheetName val="Encl_7A3"/>
      <sheetName val="wdr_bldg3"/>
      <sheetName val="Formated_Trial_Balance3"/>
      <sheetName val="SEP_3"/>
      <sheetName val="Redelvery_provision_changed3"/>
      <sheetName val="Power_&amp;_Fuel_(S)3"/>
      <sheetName val="S_&amp;_A3"/>
      <sheetName val="Schedule_v13"/>
      <sheetName val="USB_13"/>
      <sheetName val="_3"/>
      <sheetName val="BOQ_Distribution3"/>
      <sheetName val="GM_&amp;_TA3"/>
      <sheetName val="steam_outlet3"/>
      <sheetName val="SCH_103"/>
      <sheetName val="SAP_EMP3"/>
      <sheetName val="Staff_Costs4"/>
      <sheetName val="RATE_LIST_(2)3"/>
      <sheetName val="Control_Sheet3"/>
      <sheetName val="Sale_Charts3"/>
      <sheetName val="HOUSE_RENT_DEPO_3"/>
      <sheetName val="final_0611063"/>
      <sheetName val="SAB_P&amp;L3"/>
      <sheetName val="cash_flow4"/>
      <sheetName val="Determination_of_Threshold3"/>
      <sheetName val="Multipliers_&amp;_KRA3"/>
      <sheetName val="DYN_PP3"/>
      <sheetName val="June_Reserve_-_Far_East3"/>
      <sheetName val="WC_analytics_(+data_pages)3"/>
      <sheetName val="Rs_in_lacs2"/>
      <sheetName val="Esteem_Rear2"/>
      <sheetName val="Jul_96_Worksheet1"/>
      <sheetName val="NGS_Data_Sheet2"/>
      <sheetName val="SGS_Data_Sheet2"/>
      <sheetName val="RCC_Ret__Wall3"/>
      <sheetName val="Capital_Structure3"/>
      <sheetName val="TBAL9697_-group_wise__sdpl3"/>
      <sheetName val="Misc__Master3"/>
      <sheetName val="Account_title3"/>
      <sheetName val="Check_Register2"/>
      <sheetName val="EBITDA_Bridge2"/>
      <sheetName val="2003_Budget-PL-case12"/>
      <sheetName val="Key_Assumption3"/>
      <sheetName val="Master_Information3"/>
      <sheetName val="Fin__Assumpt__-_Sensitivities2"/>
      <sheetName val="NOA_Data2"/>
      <sheetName val="4_Annex_1_Basic_rate2"/>
      <sheetName val="Elec_Summ2"/>
      <sheetName val="ELEC_BOQ2"/>
      <sheetName val="TRACK_BUSWAY2"/>
      <sheetName val="Other_notes2"/>
      <sheetName val="Linked_Lead2"/>
      <sheetName val="STAFFSCHED_2"/>
      <sheetName val="Basic_Rate2"/>
      <sheetName val="_COP2"/>
      <sheetName val="meeting_rectification_control2"/>
      <sheetName val="Loan_Data2"/>
      <sheetName val="Standalone_seg2"/>
      <sheetName val="currency_(2)2"/>
      <sheetName val="NW_RTU2"/>
      <sheetName val="Clause_92"/>
      <sheetName val="labour_rates2"/>
      <sheetName val="old_serial_no_2"/>
      <sheetName val="Budget_CF_-_Overall2"/>
      <sheetName val="공사비_내역_(가)2"/>
      <sheetName val="4K_-_(6a)_Non_Manual_Breakdown2"/>
      <sheetName val="3__Elemental_Summary2"/>
      <sheetName val="August_TB2"/>
      <sheetName val="Trial_Balance_Format2"/>
      <sheetName val="GF_Columns2"/>
      <sheetName val="grp_1"/>
      <sheetName val="Prov_for_exp-April'08_-_June'01"/>
      <sheetName val="Provision_for_exp-Upto_Mar'081"/>
      <sheetName val="creditors_to_others1"/>
      <sheetName val="other_amt&amp;recoveries_payable1"/>
      <sheetName val="other_exp_charges_recoverable1"/>
      <sheetName val="rental_deposits1"/>
      <sheetName val="other_deposits_1"/>
      <sheetName val="prepaid_expenses1"/>
      <sheetName val="sal_adv1"/>
      <sheetName val="SP_Break_Up2"/>
      <sheetName val="Rates_Basic1"/>
      <sheetName val="Cash_Flow_2"/>
      <sheetName val="Mthly_CFS_(Kha)1"/>
      <sheetName val="DUMP_2"/>
      <sheetName val="Bspl_Main2"/>
      <sheetName val="Jun_20002"/>
      <sheetName val="Sheet2_(2)2"/>
      <sheetName val="Total_MTH2"/>
      <sheetName val="TASKRSRC_(2)2"/>
      <sheetName val="GL_Master_Data1"/>
      <sheetName val="INQVAR_PY2"/>
      <sheetName val="Schedules_3-82"/>
      <sheetName val="RELACION_REFERENCIAS1"/>
      <sheetName val="beam-reinft-machine_rm1"/>
      <sheetName val="BASIS_-DEC_081"/>
      <sheetName val="Base_Data1"/>
      <sheetName val="080_(2)1"/>
      <sheetName val="F_01_-_June_20051"/>
      <sheetName val="HW_SW1"/>
      <sheetName val="BOQ_CIVIL1"/>
      <sheetName val="Price_Comparison1"/>
      <sheetName val="Balance_Sheet_US$1"/>
      <sheetName val="earnings_model1"/>
      <sheetName val="Infinite_Studios2"/>
      <sheetName val="Neuros_&amp;_Immunos2"/>
      <sheetName val="NOT_FULL_RESTRAINT1"/>
      <sheetName val="BEARING_&amp;_BUCKLING1"/>
      <sheetName val="FF-2_(1)1"/>
      <sheetName val="addl_cost1"/>
      <sheetName val="7_Jan_021"/>
      <sheetName val="Final_Summary1"/>
      <sheetName val="Figures_in1"/>
      <sheetName val="EAW_Final_Accounts_-_991"/>
      <sheetName val="O2_11"/>
      <sheetName val="Conversion_Table1"/>
      <sheetName val="QTY__PROV_LAB1"/>
      <sheetName val="Consolidated_CF1"/>
      <sheetName val="Key_Assumptions1"/>
      <sheetName val="VAR_STORE_CONS1"/>
      <sheetName val="Profit_and_Loss1"/>
      <sheetName val="Trading_Comps1"/>
      <sheetName val="Internal_Data1"/>
      <sheetName val="P&amp;L_and_CFlow1"/>
      <sheetName val="Resue_Hoist1"/>
      <sheetName val="Reporting_VA1"/>
      <sheetName val="Standing_Data1"/>
      <sheetName val="cost_sheet-1999-001"/>
      <sheetName val="Local_Data1"/>
      <sheetName val="AR_Graphs1"/>
      <sheetName val="Manufacturing_Statistics1"/>
      <sheetName val="ECR_ECNOI_Slide1"/>
      <sheetName val="cover_page1"/>
      <sheetName val="Structure_Bills_Qty1"/>
      <sheetName val="Appendix_B-_3_Structural_Steel1"/>
      <sheetName val="Appendix_A-_1_Variation1"/>
      <sheetName val="Contracts_Status1"/>
      <sheetName val="Cost_Status-11"/>
      <sheetName val="Centaurus_Contract_Sum_1"/>
      <sheetName val="Payment_Status1"/>
      <sheetName val="1__Report1"/>
      <sheetName val="CANDY_BOQ1"/>
      <sheetName val="Leg_1-11"/>
      <sheetName val="Door_&amp;_Window1"/>
      <sheetName val="Labour_productivity1"/>
      <sheetName val="Field_Values1"/>
      <sheetName val="ACAD_Finishes1"/>
      <sheetName val="Site_Details1"/>
      <sheetName val="Site_Area_Statement1"/>
      <sheetName val="Form_61"/>
      <sheetName val="except_wiring1"/>
      <sheetName val="SUPPLY_-Sanitary_Fixtures1"/>
      <sheetName val="ITEMS_FOR_CIVIL_TENDER1"/>
      <sheetName val="2_1__Claimed_Not_Ack_as_debts1"/>
      <sheetName val="2_4__Service_Tax_Contingent1"/>
      <sheetName val="6__Auditor_Payment1"/>
      <sheetName val="7__Pauling_Joint_Venture1"/>
      <sheetName val="8__Non_Provision1"/>
      <sheetName val="5__MR1"/>
      <sheetName val="1612_01AN(7)_-_Niep_Tds_Summar1"/>
      <sheetName val="Last_Month_Report1"/>
      <sheetName val="GL_Links"/>
      <sheetName val="Acquisition_Assumptions"/>
      <sheetName val="Cost_Centre_Master"/>
      <sheetName val="Stacking Plan"/>
      <sheetName val="tariff"/>
      <sheetName val="cost"/>
      <sheetName val="WACC_VDF"/>
      <sheetName val="NAV"/>
      <sheetName val="Quarterly statement"/>
      <sheetName val="Com Act Depreciation1"/>
      <sheetName val="JE"/>
      <sheetName val="Reclass PL 2006"/>
      <sheetName val="Reclass PL 2007"/>
      <sheetName val="Reclass PL 2008"/>
      <sheetName val="cflow"/>
      <sheetName val="P&amp;L-BDMC"/>
      <sheetName val="sales &amp; prod"/>
      <sheetName val="inWords"/>
      <sheetName val="Deprec."/>
      <sheetName val="Attributes"/>
      <sheetName val="QFC"/>
      <sheetName val="Mechanical"/>
      <sheetName val="DREV"/>
      <sheetName val="CREV"/>
      <sheetName val="APPENDIX 4.1a"/>
      <sheetName val="Product List"/>
      <sheetName val="Columns &amp; Walls"/>
      <sheetName val="Calendar"/>
      <sheetName val="Selection "/>
      <sheetName val="재무가정"/>
      <sheetName val="Item Sales"/>
      <sheetName val="Data sheet"/>
      <sheetName val="ridgewood"/>
      <sheetName val="11-hsd"/>
      <sheetName val="13-septic"/>
      <sheetName val="7-ug"/>
      <sheetName val="2-utility"/>
      <sheetName val="18-misc"/>
      <sheetName val="5-pipe"/>
      <sheetName val="2 BHK"/>
      <sheetName val="General"/>
      <sheetName val="Sch 13 Notes 13-16"/>
      <sheetName val="cul-invSUBMITTED"/>
      <sheetName val="LookupLists"/>
      <sheetName val="A3"/>
      <sheetName val="Net400 Summary 03-04"/>
      <sheetName val="update"/>
      <sheetName val="C30"/>
      <sheetName val="CTbe tong"/>
      <sheetName val="CTDZ 0.4+cto"/>
      <sheetName val="0399"/>
      <sheetName val="Other exp."/>
      <sheetName val="35-36"/>
      <sheetName val="31-34"/>
      <sheetName val="Incentives"/>
      <sheetName val="OV-HEAD"/>
      <sheetName val="data 3A|6A"/>
      <sheetName val="var_"/>
      <sheetName val="rej_overs"/>
      <sheetName val="fuel pmt"/>
      <sheetName val="0012SSA"/>
      <sheetName val="FPS"/>
      <sheetName val="SLB_PROD"/>
      <sheetName val="Flat Info _ODD"/>
      <sheetName val="Door (2)"/>
      <sheetName val="Fin__Assumpt__-_Sensitivities3"/>
      <sheetName val="_COP3"/>
      <sheetName val="Portfolio_Summary7"/>
      <sheetName val="Meas_-Hotel_Part7"/>
      <sheetName val="Current_Bill_MB_ref7"/>
      <sheetName val="Fin_Sum6"/>
      <sheetName val="GM_&amp;_TA5"/>
      <sheetName val="Fin__Assumpt__-_Sensitivities5"/>
      <sheetName val="Balance_Sheet_5"/>
      <sheetName val="_COP5"/>
      <sheetName val="03_(2)5"/>
      <sheetName val="WIng_F(Typical)5"/>
      <sheetName val="SOPMA_DD5"/>
      <sheetName val="Architectural_Summary5"/>
      <sheetName val="TB_FOR_MIS6"/>
      <sheetName val="INPUT_SHEET5"/>
      <sheetName val="IMPORT_T126"/>
      <sheetName val="van_khuon6"/>
      <sheetName val="IDC_macro6"/>
      <sheetName val="March_Analysts5"/>
      <sheetName val="KPM_DT6"/>
      <sheetName val="EXHIBIT&quot;_T&quot;5"/>
      <sheetName val="Legal_Risk_Analysis5"/>
      <sheetName val="IO_LIST5"/>
      <sheetName val="Master_list5"/>
      <sheetName val="Labour_List5"/>
      <sheetName val="Material_List5"/>
      <sheetName val="Labor_abs-NMR5"/>
      <sheetName val="Beam_at_Ground_flr_lvl(Steel)5"/>
      <sheetName val="1st_-vpd5"/>
      <sheetName val="Material_List_5"/>
      <sheetName val="schedule_nos5"/>
      <sheetName val="Fill_this_out_first___5"/>
      <sheetName val="NEW-IDs_Fun_&amp;_Group5"/>
      <sheetName val="_Acc__Sched_5"/>
      <sheetName val="IT_Block5"/>
      <sheetName val="Location_CODE5"/>
      <sheetName val="Location_TYPE5"/>
      <sheetName val="sub_class5"/>
      <sheetName val="_sub_Loc_5"/>
      <sheetName val="EDS__Bestshore_Migration5"/>
      <sheetName val="Summary_Excise5"/>
      <sheetName val="Grouping_Master5"/>
      <sheetName val="Other_BS_Sch_5-95"/>
      <sheetName val="Excess_Calc5"/>
      <sheetName val="10__&amp;_11__Rate_Code_&amp;_BQ5"/>
      <sheetName val="Dom_Cell_(IS)5"/>
      <sheetName val="QoQ_In_Lakhs5"/>
      <sheetName val="Main_workings5"/>
      <sheetName val="P_&amp;_L5"/>
      <sheetName val="Master_Price_List5"/>
      <sheetName val="vb_9&amp;105"/>
      <sheetName val="MASTER_RATE_ANALYSIS5"/>
      <sheetName val="Valuation_-_block_25"/>
      <sheetName val="Base_Assumptions5"/>
      <sheetName val="FITZ_MORT_945"/>
      <sheetName val="Goldberg_Portfolio_Combined5"/>
      <sheetName val="Debtors_analysis5"/>
      <sheetName val="pile_Fabrication5"/>
      <sheetName val="Leasing_Commision5"/>
      <sheetName val="9__Package_split_-_Cost_5"/>
      <sheetName val="extra_work_elec_bill_5"/>
      <sheetName val="소상_&quot;1&quot;5"/>
      <sheetName val="Cost_summary5"/>
      <sheetName val="RCC_Rates5"/>
      <sheetName val="M-2_Adjusted5"/>
      <sheetName val="Theatre_mgmt_cont5"/>
      <sheetName val="Tender_Summary5"/>
      <sheetName val="Bill_1-BOQ-Civil_Works5"/>
      <sheetName val="UNP-NCW_5"/>
      <sheetName val="Open_Items-3112085"/>
      <sheetName val="PRECAST_lightconc-II5"/>
      <sheetName val="Training_Deposits_coding5"/>
      <sheetName val="4_4_External_Plaster5"/>
      <sheetName val="Cash_Flow_Working5"/>
      <sheetName val="Commercial_Research5"/>
      <sheetName val="Operating_Statistics5"/>
      <sheetName val="Trial_Balance5"/>
      <sheetName val="FA_Schedule_Dec_075"/>
      <sheetName val="P_R__TAXES5"/>
      <sheetName val="BILLING_SUM5"/>
      <sheetName val="Service_Invoice5"/>
      <sheetName val="Retail_Mall5"/>
      <sheetName val="MIS_AC_wise5"/>
      <sheetName val="Rev_Opt_-_Rollup5"/>
      <sheetName val="BOQ_Distribution5"/>
      <sheetName val="GM_&amp;_TA4"/>
      <sheetName val="Fin__Assumpt__-_Sensitivities4"/>
      <sheetName val="_COP4"/>
      <sheetName val="BOQ_Distribution4"/>
      <sheetName val="Sheet3_(2)11"/>
      <sheetName val="Fin_Sum7"/>
      <sheetName val="Portfolio_Summary8"/>
      <sheetName val="Meas_-Hotel_Part8"/>
      <sheetName val="Project_Budget_Worksheet11"/>
      <sheetName val="Current_Bill_MB_ref8"/>
      <sheetName val="Income_Statements11"/>
      <sheetName val="Sheet3__2_11"/>
      <sheetName val="GM_&amp;_TA6"/>
      <sheetName val="Fin__Assumpt__-_Sensitivities6"/>
      <sheetName val="Balance_Sheet_6"/>
      <sheetName val="Load_Details-220kV11"/>
      <sheetName val="_COP6"/>
      <sheetName val="ABP_inputs11"/>
      <sheetName val="Synergy_Sales_Budget11"/>
      <sheetName val="QoQ_Forecast11"/>
      <sheetName val="Income_&amp;_Occupancy_Customer11"/>
      <sheetName val="Calculation_(2)11"/>
      <sheetName val="Multiple_output11"/>
      <sheetName val="Builtup_Area11"/>
      <sheetName val="RCC,Ret__Wall11"/>
      <sheetName val="BOQ_T4B11"/>
      <sheetName val="INDIGINEOUS_ITEMS_11"/>
      <sheetName val="Material_11"/>
      <sheetName val="Labour_&amp;_Plant11"/>
      <sheetName val="_B311"/>
      <sheetName val="_B111"/>
      <sheetName val="beam-reinft-IIInd_floor11"/>
      <sheetName val="Approved_MTD_Proj_#'s11"/>
      <sheetName val="03_(2)6"/>
      <sheetName val="WIng_F(Typical)6"/>
      <sheetName val="CFForecast_detail11"/>
      <sheetName val="Site_Dev_BOQ11"/>
      <sheetName val="Global_Assm_11"/>
      <sheetName val="SOPMA_DD6"/>
      <sheetName val="Break_up_Sheet11"/>
      <sheetName val="MN_T_B_11"/>
      <sheetName val="Aladdin_Macro111"/>
      <sheetName val="Acc_10_511"/>
      <sheetName val="Architectural_Summary6"/>
      <sheetName val="TB_FOR_MIS7"/>
      <sheetName val="INPUT_SHEET6"/>
      <sheetName val="IMPORT_T127"/>
      <sheetName val="van_khuon7"/>
      <sheetName val="Block_A_-_BOQ11"/>
      <sheetName val="IDC_macro7"/>
      <sheetName val="March_Analysts6"/>
      <sheetName val="Rollup_Summary6"/>
      <sheetName val="170810-lease_tax6"/>
      <sheetName val="CABLE_DATA6"/>
      <sheetName val="1st_flr6"/>
      <sheetName val="Civil_Boq6"/>
      <sheetName val="KPM_DT7"/>
      <sheetName val="EXHIBIT&quot;_T&quot;6"/>
      <sheetName val="Legal_Risk_Analysis6"/>
      <sheetName val="IO_LIST6"/>
      <sheetName val="Master_list6"/>
      <sheetName val="Labour_List6"/>
      <sheetName val="Material_List6"/>
      <sheetName val="Labor_abs-NMR6"/>
      <sheetName val="Beam_at_Ground_flr_lvl(Steel)6"/>
      <sheetName val="1st_-vpd6"/>
      <sheetName val="Material_List_6"/>
      <sheetName val="schedule_nos6"/>
      <sheetName val="Fill_this_out_first___6"/>
      <sheetName val="NEW-IDs_Fun_&amp;_Group6"/>
      <sheetName val="final_abstract6"/>
      <sheetName val="Rate_analysis6"/>
      <sheetName val="Main_Sheet_(MTD)6"/>
      <sheetName val="Consl_Daily_Report6"/>
      <sheetName val="balance_sheet6"/>
      <sheetName val="_Acc__Sched_6"/>
      <sheetName val="IT_Block6"/>
      <sheetName val="Location_CODE6"/>
      <sheetName val="Location_TYPE6"/>
      <sheetName val="sub_class6"/>
      <sheetName val="_sub_Loc_6"/>
      <sheetName val="EDS__Bestshore_Migration6"/>
      <sheetName val="Summary_Excise6"/>
      <sheetName val="Grouping_Master6"/>
      <sheetName val="Other_BS_Sch_5-96"/>
      <sheetName val="Excess_Calc6"/>
      <sheetName val="10__&amp;_11__Rate_Code_&amp;_BQ6"/>
      <sheetName val="Dom_Cell_(IS)6"/>
      <sheetName val="QoQ_In_Lakhs6"/>
      <sheetName val="Main_workings6"/>
      <sheetName val="P_&amp;_L6"/>
      <sheetName val="Master_Price_List6"/>
      <sheetName val="vb_9&amp;106"/>
      <sheetName val="MASTER_RATE_ANALYSIS6"/>
      <sheetName val="Valuation_-_block_26"/>
      <sheetName val="Base_Assumptions6"/>
      <sheetName val="FITZ_MORT_946"/>
      <sheetName val="Goldberg_Portfolio_Combined6"/>
      <sheetName val="Debtors_analysis6"/>
      <sheetName val="MIS_-_kINR6"/>
      <sheetName val="pile_Fabrication6"/>
      <sheetName val="Leasing_Commision6"/>
      <sheetName val="9__Package_split_-_Cost_6"/>
      <sheetName val="extra_work_elec_bill_6"/>
      <sheetName val="소상_&quot;1&quot;6"/>
      <sheetName val="Cost_summary6"/>
      <sheetName val="RCC_Rates6"/>
      <sheetName val="M-2_Adjusted6"/>
      <sheetName val="Theatre_mgmt_cont6"/>
      <sheetName val="Tender_Summary6"/>
      <sheetName val="Bill_1-BOQ-Civil_Works6"/>
      <sheetName val="UNP-NCW_6"/>
      <sheetName val="Open_Items-3112086"/>
      <sheetName val="PRECAST_lightconc-II6"/>
      <sheetName val="Training_Deposits_coding6"/>
      <sheetName val="4_4_External_Plaster6"/>
      <sheetName val="Cash_Flow_Working6"/>
      <sheetName val="Commercial_Research6"/>
      <sheetName val="Operating_Statistics6"/>
      <sheetName val="Trial_Balance6"/>
      <sheetName val="FA_Schedule_Dec_076"/>
      <sheetName val="P_R__TAXES6"/>
      <sheetName val="BILLING_SUM6"/>
      <sheetName val="Service_Invoice6"/>
      <sheetName val="Retail_Mall6"/>
      <sheetName val="MIS_AC_wise6"/>
      <sheetName val="Rev_Opt_-_Rollup6"/>
      <sheetName val="BOQ_Distribution6"/>
      <sheetName val="Sheet3_(2)12"/>
      <sheetName val="Fin_Sum8"/>
      <sheetName val="Portfolio_Summary9"/>
      <sheetName val="Meas_-Hotel_Part9"/>
      <sheetName val="Project_Budget_Worksheet12"/>
      <sheetName val="Current_Bill_MB_ref9"/>
      <sheetName val="Income_Statements12"/>
      <sheetName val="Sheet3__2_12"/>
      <sheetName val="GM_&amp;_TA7"/>
      <sheetName val="Fin__Assumpt__-_Sensitivities7"/>
      <sheetName val="Balance_Sheet_7"/>
      <sheetName val="Load_Details-220kV12"/>
      <sheetName val="_COP7"/>
      <sheetName val="ABP_inputs12"/>
      <sheetName val="Synergy_Sales_Budget12"/>
      <sheetName val="QoQ_Forecast12"/>
      <sheetName val="Income_&amp;_Occupancy_Customer12"/>
      <sheetName val="Calculation_(2)12"/>
      <sheetName val="Multiple_output12"/>
      <sheetName val="Builtup_Area12"/>
      <sheetName val="RCC,Ret__Wall12"/>
      <sheetName val="BOQ_T4B12"/>
      <sheetName val="INDIGINEOUS_ITEMS_12"/>
      <sheetName val="Material_12"/>
      <sheetName val="Labour_&amp;_Plant12"/>
      <sheetName val="_B312"/>
      <sheetName val="_B112"/>
      <sheetName val="beam-reinft-IIInd_floor12"/>
      <sheetName val="Approved_MTD_Proj_#'s12"/>
      <sheetName val="03_(2)7"/>
      <sheetName val="WIng_F(Typical)7"/>
      <sheetName val="CFForecast_detail12"/>
      <sheetName val="Site_Dev_BOQ12"/>
      <sheetName val="Global_Assm_12"/>
      <sheetName val="SOPMA_DD7"/>
      <sheetName val="Break_up_Sheet12"/>
      <sheetName val="MN_T_B_12"/>
      <sheetName val="Aladdin_Macro112"/>
      <sheetName val="Acc_10_512"/>
      <sheetName val="Architectural_Summary7"/>
      <sheetName val="TB_FOR_MIS8"/>
      <sheetName val="INPUT_SHEET7"/>
      <sheetName val="IMPORT_T128"/>
      <sheetName val="van_khuon8"/>
      <sheetName val="Block_A_-_BOQ12"/>
      <sheetName val="IDC_macro8"/>
      <sheetName val="March_Analysts7"/>
      <sheetName val="Rollup_Summary7"/>
      <sheetName val="170810-lease_tax7"/>
      <sheetName val="CABLE_DATA7"/>
      <sheetName val="1st_flr7"/>
      <sheetName val="Civil_Boq7"/>
      <sheetName val="KPM_DT8"/>
      <sheetName val="EXHIBIT&quot;_T&quot;7"/>
      <sheetName val="Legal_Risk_Analysis7"/>
      <sheetName val="IO_LIST7"/>
      <sheetName val="Master_list7"/>
      <sheetName val="Labour_List7"/>
      <sheetName val="Material_List7"/>
      <sheetName val="Labor_abs-NMR7"/>
      <sheetName val="Beam_at_Ground_flr_lvl(Steel)7"/>
      <sheetName val="1st_-vpd7"/>
      <sheetName val="Material_List_7"/>
      <sheetName val="schedule_nos7"/>
      <sheetName val="Fill_this_out_first___7"/>
      <sheetName val="NEW-IDs_Fun_&amp;_Group7"/>
      <sheetName val="final_abstract7"/>
      <sheetName val="Rate_analysis7"/>
      <sheetName val="Main_Sheet_(MTD)7"/>
      <sheetName val="Consl_Daily_Report7"/>
      <sheetName val="balance_sheet7"/>
      <sheetName val="_Acc__Sched_7"/>
      <sheetName val="IT_Block7"/>
      <sheetName val="Location_CODE7"/>
      <sheetName val="Location_TYPE7"/>
      <sheetName val="sub_class7"/>
      <sheetName val="_sub_Loc_7"/>
      <sheetName val="EDS__Bestshore_Migration7"/>
      <sheetName val="Summary_Excise7"/>
      <sheetName val="Grouping_Master7"/>
      <sheetName val="Other_BS_Sch_5-97"/>
      <sheetName val="Excess_Calc7"/>
      <sheetName val="10__&amp;_11__Rate_Code_&amp;_BQ7"/>
      <sheetName val="Dom_Cell_(IS)7"/>
      <sheetName val="QoQ_In_Lakhs7"/>
      <sheetName val="Main_workings7"/>
      <sheetName val="P_&amp;_L7"/>
      <sheetName val="Master_Price_List7"/>
      <sheetName val="vb_9&amp;107"/>
      <sheetName val="MASTER_RATE_ANALYSIS7"/>
      <sheetName val="Valuation_-_block_27"/>
      <sheetName val="Base_Assumptions7"/>
      <sheetName val="FITZ_MORT_947"/>
      <sheetName val="Goldberg_Portfolio_Combined7"/>
      <sheetName val="Debtors_analysis7"/>
      <sheetName val="MIS_-_kINR7"/>
      <sheetName val="pile_Fabrication7"/>
      <sheetName val="Leasing_Commision7"/>
      <sheetName val="9__Package_split_-_Cost_7"/>
      <sheetName val="extra_work_elec_bill_7"/>
      <sheetName val="소상_&quot;1&quot;7"/>
      <sheetName val="Cost_summary7"/>
      <sheetName val="RCC_Rates7"/>
      <sheetName val="M-2_Adjusted7"/>
      <sheetName val="Theatre_mgmt_cont7"/>
      <sheetName val="Tender_Summary7"/>
      <sheetName val="Bill_1-BOQ-Civil_Works7"/>
      <sheetName val="UNP-NCW_7"/>
      <sheetName val="Open_Items-3112087"/>
      <sheetName val="PRECAST_lightconc-II7"/>
      <sheetName val="Training_Deposits_coding7"/>
      <sheetName val="4_4_External_Plaster7"/>
      <sheetName val="Cash_Flow_Working7"/>
      <sheetName val="Commercial_Research7"/>
      <sheetName val="Operating_Statistics7"/>
      <sheetName val="Trial_Balance7"/>
      <sheetName val="FA_Schedule_Dec_077"/>
      <sheetName val="P_R__TAXES7"/>
      <sheetName val="BILLING_SUM7"/>
      <sheetName val="Service_Invoice7"/>
      <sheetName val="Retail_Mall7"/>
      <sheetName val="MIS_AC_wise7"/>
      <sheetName val="Rev_Opt_-_Rollup7"/>
      <sheetName val="BOQ_Distribution7"/>
      <sheetName val="Sheet3_(2)13"/>
      <sheetName val="Fin_Sum9"/>
      <sheetName val="Portfolio_Summary10"/>
      <sheetName val="Meas_-Hotel_Part10"/>
      <sheetName val="Project_Budget_Worksheet13"/>
      <sheetName val="Current_Bill_MB_ref10"/>
      <sheetName val="Income_Statements13"/>
      <sheetName val="Sheet3__2_13"/>
      <sheetName val="GM_&amp;_TA8"/>
      <sheetName val="Fin__Assumpt__-_Sensitivities8"/>
      <sheetName val="Balance_Sheet_8"/>
      <sheetName val="Load_Details-220kV13"/>
      <sheetName val="_COP8"/>
      <sheetName val="ABP_inputs13"/>
      <sheetName val="Synergy_Sales_Budget13"/>
      <sheetName val="QoQ_Forecast13"/>
      <sheetName val="Income_&amp;_Occupancy_Customer13"/>
      <sheetName val="Calculation_(2)13"/>
      <sheetName val="Multiple_output13"/>
      <sheetName val="Builtup_Area13"/>
      <sheetName val="RCC,Ret__Wall13"/>
      <sheetName val="BOQ_T4B13"/>
      <sheetName val="INDIGINEOUS_ITEMS_13"/>
      <sheetName val="Material_13"/>
      <sheetName val="Labour_&amp;_Plant13"/>
      <sheetName val="_B313"/>
      <sheetName val="_B113"/>
      <sheetName val="beam-reinft-IIInd_floor13"/>
      <sheetName val="Approved_MTD_Proj_#'s13"/>
      <sheetName val="03_(2)8"/>
      <sheetName val="WIng_F(Typical)8"/>
      <sheetName val="CFForecast_detail13"/>
      <sheetName val="Site_Dev_BOQ13"/>
      <sheetName val="Global_Assm_13"/>
      <sheetName val="SOPMA_DD8"/>
      <sheetName val="Break_up_Sheet13"/>
      <sheetName val="MN_T_B_13"/>
      <sheetName val="Aladdin_Macro113"/>
      <sheetName val="Acc_10_513"/>
      <sheetName val="Architectural_Summary8"/>
      <sheetName val="TB_FOR_MIS9"/>
      <sheetName val="INPUT_SHEET8"/>
      <sheetName val="IMPORT_T129"/>
      <sheetName val="van_khuon9"/>
      <sheetName val="Block_A_-_BOQ13"/>
      <sheetName val="IDC_macro9"/>
      <sheetName val="March_Analysts8"/>
      <sheetName val="Rollup_Summary8"/>
      <sheetName val="170810-lease_tax8"/>
      <sheetName val="CABLE_DATA8"/>
      <sheetName val="1st_flr8"/>
      <sheetName val="Civil_Boq8"/>
      <sheetName val="KPM_DT9"/>
      <sheetName val="EXHIBIT&quot;_T&quot;8"/>
      <sheetName val="Legal_Risk_Analysis8"/>
      <sheetName val="IO_LIST8"/>
      <sheetName val="Master_list8"/>
      <sheetName val="Labour_List8"/>
      <sheetName val="Material_List8"/>
      <sheetName val="Labor_abs-NMR8"/>
      <sheetName val="Beam_at_Ground_flr_lvl(Steel)8"/>
      <sheetName val="1st_-vpd8"/>
      <sheetName val="Material_List_8"/>
      <sheetName val="schedule_nos8"/>
      <sheetName val="Fill_this_out_first___8"/>
      <sheetName val="NEW-IDs_Fun_&amp;_Group8"/>
      <sheetName val="final_abstract8"/>
      <sheetName val="Rate_analysis8"/>
      <sheetName val="Main_Sheet_(MTD)8"/>
      <sheetName val="Consl_Daily_Report8"/>
      <sheetName val="balance_sheet8"/>
      <sheetName val="_Acc__Sched_8"/>
      <sheetName val="IT_Block8"/>
      <sheetName val="Location_CODE8"/>
      <sheetName val="Location_TYPE8"/>
      <sheetName val="sub_class8"/>
      <sheetName val="_sub_Loc_8"/>
      <sheetName val="EDS__Bestshore_Migration8"/>
      <sheetName val="Summary_Excise8"/>
      <sheetName val="Grouping_Master8"/>
      <sheetName val="Other_BS_Sch_5-98"/>
      <sheetName val="Excess_Calc8"/>
      <sheetName val="10__&amp;_11__Rate_Code_&amp;_BQ8"/>
      <sheetName val="Dom_Cell_(IS)8"/>
      <sheetName val="QoQ_In_Lakhs8"/>
      <sheetName val="Main_workings8"/>
      <sheetName val="P_&amp;_L8"/>
      <sheetName val="Master_Price_List8"/>
      <sheetName val="vb_9&amp;108"/>
      <sheetName val="MASTER_RATE_ANALYSIS8"/>
      <sheetName val="Valuation_-_block_28"/>
      <sheetName val="Base_Assumptions8"/>
      <sheetName val="FITZ_MORT_948"/>
      <sheetName val="Goldberg_Portfolio_Combined8"/>
      <sheetName val="Debtors_analysis8"/>
      <sheetName val="MIS_-_kINR8"/>
      <sheetName val="pile_Fabrication8"/>
      <sheetName val="Leasing_Commision8"/>
      <sheetName val="9__Package_split_-_Cost_8"/>
      <sheetName val="extra_work_elec_bill_8"/>
      <sheetName val="소상_&quot;1&quot;8"/>
      <sheetName val="Cost_summary8"/>
      <sheetName val="RCC_Rates8"/>
      <sheetName val="M-2_Adjusted8"/>
      <sheetName val="Theatre_mgmt_cont8"/>
      <sheetName val="Tender_Summary8"/>
      <sheetName val="Bill_1-BOQ-Civil_Works8"/>
      <sheetName val="UNP-NCW_8"/>
      <sheetName val="Open_Items-3112088"/>
      <sheetName val="PRECAST_lightconc-II8"/>
      <sheetName val="Training_Deposits_coding8"/>
      <sheetName val="4_4_External_Plaster8"/>
      <sheetName val="Cash_Flow_Working8"/>
      <sheetName val="Commercial_Research8"/>
      <sheetName val="Operating_Statistics8"/>
      <sheetName val="Trial_Balance8"/>
      <sheetName val="FA_Schedule_Dec_078"/>
      <sheetName val="P_R__TAXES8"/>
      <sheetName val="BILLING_SUM8"/>
      <sheetName val="Service_Invoice8"/>
      <sheetName val="Retail_Mall8"/>
      <sheetName val="MIS_AC_wise8"/>
      <sheetName val="Rev_Opt_-_Rollup8"/>
      <sheetName val="BOQ_Distribution8"/>
      <sheetName val="Sheet3_(2)14"/>
      <sheetName val="Fin_Sum10"/>
      <sheetName val="Portfolio_Summary11"/>
      <sheetName val="Meas_-Hotel_Part11"/>
      <sheetName val="Project_Budget_Worksheet14"/>
      <sheetName val="Current_Bill_MB_ref11"/>
      <sheetName val="Income_Statements14"/>
      <sheetName val="Sheet3__2_14"/>
      <sheetName val="GM_&amp;_TA9"/>
      <sheetName val="Fin__Assumpt__-_Sensitivities9"/>
      <sheetName val="Balance_Sheet_9"/>
      <sheetName val="Load_Details-220kV14"/>
      <sheetName val="_COP9"/>
      <sheetName val="ABP_inputs14"/>
      <sheetName val="Synergy_Sales_Budget14"/>
      <sheetName val="QoQ_Forecast14"/>
      <sheetName val="Income_&amp;_Occupancy_Customer14"/>
      <sheetName val="Calculation_(2)14"/>
      <sheetName val="Multiple_output14"/>
      <sheetName val="Builtup_Area14"/>
      <sheetName val="RCC,Ret__Wall14"/>
      <sheetName val="BOQ_T4B14"/>
      <sheetName val="INDIGINEOUS_ITEMS_14"/>
      <sheetName val="Material_14"/>
      <sheetName val="Labour_&amp;_Plant14"/>
      <sheetName val="_B314"/>
      <sheetName val="_B114"/>
      <sheetName val="beam-reinft-IIInd_floor14"/>
      <sheetName val="Approved_MTD_Proj_#'s14"/>
      <sheetName val="03_(2)9"/>
      <sheetName val="WIng_F(Typical)9"/>
      <sheetName val="CFForecast_detail14"/>
      <sheetName val="Site_Dev_BOQ14"/>
      <sheetName val="Global_Assm_14"/>
      <sheetName val="SOPMA_DD9"/>
      <sheetName val="Break_up_Sheet14"/>
      <sheetName val="MN_T_B_14"/>
      <sheetName val="Aladdin_Macro114"/>
      <sheetName val="Acc_10_514"/>
      <sheetName val="Architectural_Summary9"/>
      <sheetName val="TB_FOR_MIS10"/>
      <sheetName val="INPUT_SHEET9"/>
      <sheetName val="IMPORT_T1210"/>
      <sheetName val="van_khuon10"/>
      <sheetName val="Block_A_-_BOQ14"/>
      <sheetName val="IDC_macro10"/>
      <sheetName val="March_Analysts9"/>
      <sheetName val="Rollup_Summary9"/>
      <sheetName val="170810-lease_tax9"/>
      <sheetName val="CABLE_DATA9"/>
      <sheetName val="1st_flr9"/>
      <sheetName val="Civil_Boq9"/>
      <sheetName val="KPM_DT10"/>
      <sheetName val="EXHIBIT&quot;_T&quot;9"/>
      <sheetName val="Legal_Risk_Analysis9"/>
      <sheetName val="IO_LIST9"/>
      <sheetName val="Master_list9"/>
      <sheetName val="Labour_List9"/>
      <sheetName val="Material_List9"/>
      <sheetName val="Labor_abs-NMR9"/>
      <sheetName val="Beam_at_Ground_flr_lvl(Steel)9"/>
      <sheetName val="1st_-vpd9"/>
      <sheetName val="Material_List_9"/>
      <sheetName val="schedule_nos9"/>
      <sheetName val="Fill_this_out_first___9"/>
      <sheetName val="NEW-IDs_Fun_&amp;_Group9"/>
      <sheetName val="final_abstract9"/>
      <sheetName val="Rate_analysis9"/>
      <sheetName val="Main_Sheet_(MTD)9"/>
      <sheetName val="Consl_Daily_Report9"/>
      <sheetName val="balance_sheet9"/>
      <sheetName val="_Acc__Sched_9"/>
      <sheetName val="IT_Block9"/>
      <sheetName val="Location_CODE9"/>
      <sheetName val="Location_TYPE9"/>
      <sheetName val="sub_class9"/>
      <sheetName val="_sub_Loc_9"/>
      <sheetName val="EDS__Bestshore_Migration9"/>
      <sheetName val="Summary_Excise9"/>
      <sheetName val="Grouping_Master9"/>
      <sheetName val="Other_BS_Sch_5-99"/>
      <sheetName val="Excess_Calc9"/>
      <sheetName val="10__&amp;_11__Rate_Code_&amp;_BQ9"/>
      <sheetName val="Dom_Cell_(IS)9"/>
      <sheetName val="QoQ_In_Lakhs9"/>
      <sheetName val="Main_workings9"/>
      <sheetName val="P_&amp;_L9"/>
      <sheetName val="Master_Price_List9"/>
      <sheetName val="vb_9&amp;109"/>
      <sheetName val="MASTER_RATE_ANALYSIS9"/>
      <sheetName val="Valuation_-_block_29"/>
      <sheetName val="Base_Assumptions9"/>
      <sheetName val="FITZ_MORT_949"/>
      <sheetName val="Goldberg_Portfolio_Combined9"/>
      <sheetName val="Debtors_analysis9"/>
      <sheetName val="MIS_-_kINR9"/>
      <sheetName val="pile_Fabrication9"/>
      <sheetName val="Leasing_Commision9"/>
      <sheetName val="9__Package_split_-_Cost_9"/>
      <sheetName val="extra_work_elec_bill_9"/>
      <sheetName val="소상_&quot;1&quot;9"/>
      <sheetName val="Cost_summary9"/>
      <sheetName val="RCC_Rates9"/>
      <sheetName val="M-2_Adjusted9"/>
      <sheetName val="Theatre_mgmt_cont9"/>
      <sheetName val="Tender_Summary9"/>
      <sheetName val="Bill_1-BOQ-Civil_Works9"/>
      <sheetName val="UNP-NCW_9"/>
      <sheetName val="Open_Items-3112089"/>
      <sheetName val="PRECAST_lightconc-II9"/>
      <sheetName val="Training_Deposits_coding9"/>
      <sheetName val="4_4_External_Plaster9"/>
      <sheetName val="Cash_Flow_Working9"/>
      <sheetName val="Commercial_Research9"/>
      <sheetName val="Operating_Statistics9"/>
      <sheetName val="Trial_Balance9"/>
      <sheetName val="FA_Schedule_Dec_079"/>
      <sheetName val="P_R__TAXES9"/>
      <sheetName val="BILLING_SUM9"/>
      <sheetName val="Service_Invoice9"/>
      <sheetName val="Retail_Mall9"/>
      <sheetName val="MIS_AC_wise9"/>
      <sheetName val="Rev_Opt_-_Rollup9"/>
      <sheetName val="BOQ_Distribution9"/>
      <sheetName val="Sheet3_(2)15"/>
      <sheetName val="Fin_Sum11"/>
      <sheetName val="Portfolio_Summary12"/>
      <sheetName val="Meas_-Hotel_Part12"/>
      <sheetName val="Project_Budget_Worksheet15"/>
      <sheetName val="Current_Bill_MB_ref12"/>
      <sheetName val="Income_Statements15"/>
      <sheetName val="Sheet3__2_15"/>
      <sheetName val="GM_&amp;_TA10"/>
      <sheetName val="Fin__Assumpt__-_Sensitivities10"/>
      <sheetName val="Balance_Sheet_10"/>
      <sheetName val="Load_Details-220kV15"/>
      <sheetName val="_COP10"/>
      <sheetName val="ABP_inputs15"/>
      <sheetName val="Synergy_Sales_Budget15"/>
      <sheetName val="QoQ_Forecast15"/>
      <sheetName val="Income_&amp;_Occupancy_Customer15"/>
      <sheetName val="Calculation_(2)15"/>
      <sheetName val="Multiple_output15"/>
      <sheetName val="Builtup_Area15"/>
      <sheetName val="RCC,Ret__Wall15"/>
      <sheetName val="BOQ_T4B15"/>
      <sheetName val="INDIGINEOUS_ITEMS_15"/>
      <sheetName val="Material_15"/>
      <sheetName val="Labour_&amp;_Plant15"/>
      <sheetName val="_B315"/>
      <sheetName val="_B115"/>
      <sheetName val="beam-reinft-IIInd_floor15"/>
      <sheetName val="Approved_MTD_Proj_#'s15"/>
      <sheetName val="03_(2)10"/>
      <sheetName val="WIng_F(Typical)10"/>
      <sheetName val="CFForecast_detail15"/>
      <sheetName val="Site_Dev_BOQ15"/>
      <sheetName val="Global_Assm_15"/>
      <sheetName val="SOPMA_DD10"/>
      <sheetName val="Break_up_Sheet15"/>
      <sheetName val="MN_T_B_15"/>
      <sheetName val="Aladdin_Macro115"/>
      <sheetName val="Acc_10_515"/>
      <sheetName val="Architectural_Summary10"/>
      <sheetName val="TB_FOR_MIS11"/>
      <sheetName val="INPUT_SHEET10"/>
      <sheetName val="IMPORT_T1211"/>
      <sheetName val="van_khuon11"/>
      <sheetName val="Block_A_-_BOQ15"/>
      <sheetName val="IDC_macro11"/>
      <sheetName val="March_Analysts10"/>
      <sheetName val="Rollup_Summary10"/>
      <sheetName val="170810-lease_tax10"/>
      <sheetName val="CABLE_DATA10"/>
      <sheetName val="1st_flr10"/>
      <sheetName val="Civil_Boq10"/>
      <sheetName val="KPM_DT11"/>
      <sheetName val="EXHIBIT&quot;_T&quot;10"/>
      <sheetName val="Legal_Risk_Analysis10"/>
      <sheetName val="IO_LIST10"/>
      <sheetName val="Master_list10"/>
      <sheetName val="Labour_List10"/>
      <sheetName val="Material_List10"/>
      <sheetName val="Labor_abs-NMR10"/>
      <sheetName val="Beam_at_Ground_flr_lvl(Steel)10"/>
      <sheetName val="1st_-vpd10"/>
      <sheetName val="Material_List_10"/>
      <sheetName val="schedule_nos10"/>
      <sheetName val="Fill_this_out_first___10"/>
      <sheetName val="NEW-IDs_Fun_&amp;_Group10"/>
      <sheetName val="final_abstract10"/>
      <sheetName val="Rate_analysis10"/>
      <sheetName val="Main_Sheet_(MTD)10"/>
      <sheetName val="Consl_Daily_Report10"/>
      <sheetName val="balance_sheet10"/>
      <sheetName val="_Acc__Sched_10"/>
      <sheetName val="IT_Block10"/>
      <sheetName val="Location_CODE10"/>
      <sheetName val="Location_TYPE10"/>
      <sheetName val="sub_class10"/>
      <sheetName val="_sub_Loc_10"/>
      <sheetName val="EDS__Bestshore_Migration10"/>
      <sheetName val="Summary_Excise10"/>
      <sheetName val="Grouping_Master10"/>
      <sheetName val="Other_BS_Sch_5-910"/>
      <sheetName val="Excess_Calc10"/>
      <sheetName val="10__&amp;_11__Rate_Code_&amp;_BQ10"/>
      <sheetName val="Dom_Cell_(IS)10"/>
      <sheetName val="QoQ_In_Lakhs10"/>
      <sheetName val="Main_workings10"/>
      <sheetName val="P_&amp;_L10"/>
      <sheetName val="Master_Price_List10"/>
      <sheetName val="vb_9&amp;1010"/>
      <sheetName val="MASTER_RATE_ANALYSIS10"/>
      <sheetName val="Valuation_-_block_210"/>
      <sheetName val="Base_Assumptions10"/>
      <sheetName val="FITZ_MORT_9410"/>
      <sheetName val="Goldberg_Portfolio_Combined10"/>
      <sheetName val="Debtors_analysis10"/>
      <sheetName val="MIS_-_kINR10"/>
      <sheetName val="pile_Fabrication10"/>
      <sheetName val="Leasing_Commision10"/>
      <sheetName val="9__Package_split_-_Cost_10"/>
      <sheetName val="extra_work_elec_bill_10"/>
      <sheetName val="소상_&quot;1&quot;10"/>
      <sheetName val="Cost_summary10"/>
      <sheetName val="RCC_Rates10"/>
      <sheetName val="M-2_Adjusted10"/>
      <sheetName val="Theatre_mgmt_cont10"/>
      <sheetName val="Tender_Summary10"/>
      <sheetName val="Bill_1-BOQ-Civil_Works10"/>
      <sheetName val="UNP-NCW_10"/>
      <sheetName val="Open_Items-31120810"/>
      <sheetName val="PRECAST_lightconc-II10"/>
      <sheetName val="Training_Deposits_coding10"/>
      <sheetName val="4_4_External_Plaster10"/>
      <sheetName val="Cash_Flow_Working10"/>
      <sheetName val="Commercial_Research10"/>
      <sheetName val="Operating_Statistics10"/>
      <sheetName val="Trial_Balance10"/>
      <sheetName val="FA_Schedule_Dec_0710"/>
      <sheetName val="P_R__TAXES10"/>
      <sheetName val="BILLING_SUM10"/>
      <sheetName val="Service_Invoice10"/>
      <sheetName val="Retail_Mall10"/>
      <sheetName val="MIS_AC_wise10"/>
      <sheetName val="Rev_Opt_-_Rollup10"/>
      <sheetName val="BOQ_Distribution10"/>
      <sheetName val="Sheet3_(2)16"/>
      <sheetName val="Fin_Sum12"/>
      <sheetName val="Portfolio_Summary13"/>
      <sheetName val="Meas_-Hotel_Part13"/>
      <sheetName val="Project_Budget_Worksheet16"/>
      <sheetName val="Current_Bill_MB_ref13"/>
      <sheetName val="Income_Statements16"/>
      <sheetName val="Sheet3__2_16"/>
      <sheetName val="GM_&amp;_TA11"/>
      <sheetName val="Fin__Assumpt__-_Sensitivities11"/>
      <sheetName val="Balance_Sheet_11"/>
      <sheetName val="Load_Details-220kV16"/>
      <sheetName val="_COP11"/>
      <sheetName val="ABP_inputs16"/>
      <sheetName val="Synergy_Sales_Budget16"/>
      <sheetName val="QoQ_Forecast16"/>
      <sheetName val="Income_&amp;_Occupancy_Customer16"/>
      <sheetName val="Calculation_(2)16"/>
      <sheetName val="Multiple_output16"/>
      <sheetName val="Builtup_Area16"/>
      <sheetName val="RCC,Ret__Wall16"/>
      <sheetName val="BOQ_T4B16"/>
      <sheetName val="INDIGINEOUS_ITEMS_16"/>
      <sheetName val="Material_16"/>
      <sheetName val="Labour_&amp;_Plant16"/>
      <sheetName val="_B316"/>
      <sheetName val="_B116"/>
      <sheetName val="beam-reinft-IIInd_floor16"/>
      <sheetName val="Approved_MTD_Proj_#'s16"/>
      <sheetName val="03_(2)11"/>
      <sheetName val="WIng_F(Typical)11"/>
      <sheetName val="CFForecast_detail16"/>
      <sheetName val="Site_Dev_BOQ16"/>
      <sheetName val="Global_Assm_16"/>
      <sheetName val="SOPMA_DD11"/>
      <sheetName val="Break_up_Sheet16"/>
      <sheetName val="MN_T_B_16"/>
      <sheetName val="Aladdin_Macro116"/>
      <sheetName val="Acc_10_516"/>
      <sheetName val="Architectural_Summary11"/>
      <sheetName val="TB_FOR_MIS12"/>
      <sheetName val="INPUT_SHEET11"/>
      <sheetName val="IMPORT_T1212"/>
      <sheetName val="van_khuon12"/>
      <sheetName val="Block_A_-_BOQ16"/>
      <sheetName val="IDC_macro12"/>
      <sheetName val="March_Analysts11"/>
      <sheetName val="Rollup_Summary11"/>
      <sheetName val="170810-lease_tax11"/>
      <sheetName val="CABLE_DATA11"/>
      <sheetName val="1st_flr11"/>
      <sheetName val="Civil_Boq11"/>
      <sheetName val="KPM_DT12"/>
      <sheetName val="EXHIBIT&quot;_T&quot;11"/>
      <sheetName val="Legal_Risk_Analysis11"/>
      <sheetName val="IO_LIST11"/>
      <sheetName val="Master_list11"/>
      <sheetName val="Labour_List11"/>
      <sheetName val="Material_List11"/>
      <sheetName val="Labor_abs-NMR11"/>
      <sheetName val="Beam_at_Ground_flr_lvl(Steel)11"/>
      <sheetName val="1st_-vpd11"/>
      <sheetName val="Material_List_11"/>
      <sheetName val="schedule_nos11"/>
      <sheetName val="Fill_this_out_first___11"/>
      <sheetName val="NEW-IDs_Fun_&amp;_Group11"/>
      <sheetName val="final_abstract11"/>
      <sheetName val="Rate_analysis11"/>
      <sheetName val="Main_Sheet_(MTD)11"/>
      <sheetName val="Consl_Daily_Report11"/>
      <sheetName val="balance_sheet11"/>
      <sheetName val="_Acc__Sched_11"/>
      <sheetName val="IT_Block11"/>
      <sheetName val="Location_CODE11"/>
      <sheetName val="Location_TYPE11"/>
      <sheetName val="sub_class11"/>
      <sheetName val="_sub_Loc_11"/>
      <sheetName val="EDS__Bestshore_Migration11"/>
      <sheetName val="Summary_Excise11"/>
      <sheetName val="Grouping_Master11"/>
      <sheetName val="Other_BS_Sch_5-911"/>
      <sheetName val="Excess_Calc11"/>
      <sheetName val="10__&amp;_11__Rate_Code_&amp;_BQ11"/>
      <sheetName val="Dom_Cell_(IS)11"/>
      <sheetName val="QoQ_In_Lakhs11"/>
      <sheetName val="Main_workings11"/>
      <sheetName val="P_&amp;_L11"/>
      <sheetName val="Master_Price_List11"/>
      <sheetName val="vb_9&amp;1011"/>
      <sheetName val="MASTER_RATE_ANALYSIS11"/>
      <sheetName val="Valuation_-_block_211"/>
      <sheetName val="Base_Assumptions11"/>
      <sheetName val="FITZ_MORT_9411"/>
      <sheetName val="Goldberg_Portfolio_Combined11"/>
      <sheetName val="Debtors_analysis11"/>
      <sheetName val="MIS_-_kINR11"/>
      <sheetName val="pile_Fabrication11"/>
      <sheetName val="Leasing_Commision11"/>
      <sheetName val="9__Package_split_-_Cost_11"/>
      <sheetName val="extra_work_elec_bill_11"/>
      <sheetName val="소상_&quot;1&quot;11"/>
      <sheetName val="Cost_summary11"/>
      <sheetName val="RCC_Rates11"/>
      <sheetName val="M-2_Adjusted11"/>
      <sheetName val="Theatre_mgmt_cont11"/>
      <sheetName val="Tender_Summary11"/>
      <sheetName val="Bill_1-BOQ-Civil_Works11"/>
      <sheetName val="UNP-NCW_11"/>
      <sheetName val="Open_Items-31120811"/>
      <sheetName val="PRECAST_lightconc-II11"/>
      <sheetName val="Training_Deposits_coding11"/>
      <sheetName val="4_4_External_Plaster11"/>
      <sheetName val="Cash_Flow_Working11"/>
      <sheetName val="Commercial_Research11"/>
      <sheetName val="Operating_Statistics11"/>
      <sheetName val="Trial_Balance11"/>
      <sheetName val="FA_Schedule_Dec_0711"/>
      <sheetName val="P_R__TAXES11"/>
      <sheetName val="BILLING_SUM11"/>
      <sheetName val="Service_Invoice11"/>
      <sheetName val="Retail_Mall11"/>
      <sheetName val="MIS_AC_wise11"/>
      <sheetName val="Rev_Opt_-_Rollup11"/>
      <sheetName val="BOQ_Distribution11"/>
      <sheetName val="REPAIR&amp; MAINT"/>
      <sheetName val="loaddata"/>
      <sheetName val="directors"/>
      <sheetName val="TaxComputn"/>
      <sheetName val="BS-P&amp;L"/>
      <sheetName val="comp"/>
      <sheetName val="Expense"/>
      <sheetName val="License"/>
      <sheetName val="Total Revenue"/>
      <sheetName val="Interim --&gt; Top"/>
      <sheetName val="IS Mo"/>
      <sheetName val="Fiscal View"/>
      <sheetName val="Input Screen"/>
      <sheetName val="Invoices for February 2003"/>
      <sheetName val="prices"/>
      <sheetName val="acctmod"/>
      <sheetName val="rm"/>
      <sheetName val="bs_related"/>
      <sheetName val="fg"/>
      <sheetName val="res 2002"/>
      <sheetName val="Inc Mod cigs"/>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ow r="65">
          <cell r="A65" t="str">
            <v>(II)</v>
          </cell>
        </row>
      </sheetData>
      <sheetData sheetId="169">
        <row r="65">
          <cell r="A65" t="str">
            <v>(II)</v>
          </cell>
        </row>
      </sheetData>
      <sheetData sheetId="170">
        <row r="65">
          <cell r="A65" t="str">
            <v>(II)</v>
          </cell>
        </row>
      </sheetData>
      <sheetData sheetId="171">
        <row r="65">
          <cell r="A65" t="str">
            <v>(II)</v>
          </cell>
        </row>
      </sheetData>
      <sheetData sheetId="172">
        <row r="65">
          <cell r="A65" t="str">
            <v>(II)</v>
          </cell>
        </row>
      </sheetData>
      <sheetData sheetId="173">
        <row r="65">
          <cell r="A65" t="str">
            <v>(II)</v>
          </cell>
        </row>
      </sheetData>
      <sheetData sheetId="174">
        <row r="65">
          <cell r="A65" t="str">
            <v>(II)</v>
          </cell>
        </row>
      </sheetData>
      <sheetData sheetId="175">
        <row r="65">
          <cell r="A65" t="str">
            <v>(II)</v>
          </cell>
        </row>
      </sheetData>
      <sheetData sheetId="176">
        <row r="65">
          <cell r="A65" t="str">
            <v>(II)</v>
          </cell>
        </row>
      </sheetData>
      <sheetData sheetId="177">
        <row r="65">
          <cell r="A65" t="str">
            <v>(II)</v>
          </cell>
        </row>
      </sheetData>
      <sheetData sheetId="178">
        <row r="65">
          <cell r="A65" t="str">
            <v>(II)</v>
          </cell>
        </row>
      </sheetData>
      <sheetData sheetId="179">
        <row r="65">
          <cell r="A65" t="str">
            <v>(II)</v>
          </cell>
        </row>
      </sheetData>
      <sheetData sheetId="180">
        <row r="65">
          <cell r="A65" t="str">
            <v>(II)</v>
          </cell>
        </row>
      </sheetData>
      <sheetData sheetId="181">
        <row r="65">
          <cell r="A65" t="str">
            <v>(II)</v>
          </cell>
        </row>
      </sheetData>
      <sheetData sheetId="182">
        <row r="65">
          <cell r="A65" t="str">
            <v>(II)</v>
          </cell>
        </row>
      </sheetData>
      <sheetData sheetId="183">
        <row r="65">
          <cell r="A65" t="str">
            <v>(II)</v>
          </cell>
        </row>
      </sheetData>
      <sheetData sheetId="184">
        <row r="65">
          <cell r="A65" t="str">
            <v>(II)</v>
          </cell>
        </row>
      </sheetData>
      <sheetData sheetId="185">
        <row r="65">
          <cell r="A65" t="str">
            <v>(II)</v>
          </cell>
        </row>
      </sheetData>
      <sheetData sheetId="186">
        <row r="65">
          <cell r="A65" t="str">
            <v>(II)</v>
          </cell>
        </row>
      </sheetData>
      <sheetData sheetId="187">
        <row r="65">
          <cell r="A65" t="str">
            <v>(II)</v>
          </cell>
        </row>
      </sheetData>
      <sheetData sheetId="188">
        <row r="65">
          <cell r="A65" t="str">
            <v>(II)</v>
          </cell>
        </row>
      </sheetData>
      <sheetData sheetId="189">
        <row r="65">
          <cell r="A65" t="str">
            <v>(II)</v>
          </cell>
        </row>
      </sheetData>
      <sheetData sheetId="190">
        <row r="65">
          <cell r="A65" t="str">
            <v>(II)</v>
          </cell>
        </row>
      </sheetData>
      <sheetData sheetId="191">
        <row r="65">
          <cell r="A65" t="str">
            <v>(II)</v>
          </cell>
        </row>
      </sheetData>
      <sheetData sheetId="192">
        <row r="65">
          <cell r="A65" t="str">
            <v>(II)</v>
          </cell>
        </row>
      </sheetData>
      <sheetData sheetId="193">
        <row r="65">
          <cell r="A65" t="str">
            <v>(II)</v>
          </cell>
        </row>
      </sheetData>
      <sheetData sheetId="194">
        <row r="65">
          <cell r="A65" t="str">
            <v>(II)</v>
          </cell>
        </row>
      </sheetData>
      <sheetData sheetId="195">
        <row r="65">
          <cell r="A65" t="str">
            <v>(II)</v>
          </cell>
        </row>
      </sheetData>
      <sheetData sheetId="196">
        <row r="65">
          <cell r="A65" t="str">
            <v>(II)</v>
          </cell>
        </row>
      </sheetData>
      <sheetData sheetId="197">
        <row r="65">
          <cell r="A65" t="str">
            <v>(II)</v>
          </cell>
        </row>
      </sheetData>
      <sheetData sheetId="198">
        <row r="65">
          <cell r="A65" t="str">
            <v>(II)</v>
          </cell>
        </row>
      </sheetData>
      <sheetData sheetId="199">
        <row r="65">
          <cell r="A65" t="str">
            <v>(II)</v>
          </cell>
        </row>
      </sheetData>
      <sheetData sheetId="200">
        <row r="65">
          <cell r="A65" t="str">
            <v>(II)</v>
          </cell>
        </row>
      </sheetData>
      <sheetData sheetId="201">
        <row r="65">
          <cell r="A65" t="str">
            <v>(II)</v>
          </cell>
        </row>
      </sheetData>
      <sheetData sheetId="202">
        <row r="65">
          <cell r="A65" t="str">
            <v>(II)</v>
          </cell>
        </row>
      </sheetData>
      <sheetData sheetId="203">
        <row r="65">
          <cell r="A65" t="str">
            <v>(II)</v>
          </cell>
        </row>
      </sheetData>
      <sheetData sheetId="204">
        <row r="65">
          <cell r="A65" t="str">
            <v>(II)</v>
          </cell>
        </row>
      </sheetData>
      <sheetData sheetId="205">
        <row r="65">
          <cell r="A65" t="str">
            <v>(II)</v>
          </cell>
        </row>
      </sheetData>
      <sheetData sheetId="206">
        <row r="65">
          <cell r="A65" t="str">
            <v>(II)</v>
          </cell>
        </row>
      </sheetData>
      <sheetData sheetId="207">
        <row r="65">
          <cell r="A65" t="str">
            <v>(II)</v>
          </cell>
        </row>
      </sheetData>
      <sheetData sheetId="208">
        <row r="65">
          <cell r="A65" t="str">
            <v>(II)</v>
          </cell>
        </row>
      </sheetData>
      <sheetData sheetId="209">
        <row r="65">
          <cell r="A65" t="str">
            <v>(II)</v>
          </cell>
        </row>
      </sheetData>
      <sheetData sheetId="210">
        <row r="65">
          <cell r="A65" t="str">
            <v>(II)</v>
          </cell>
        </row>
      </sheetData>
      <sheetData sheetId="211">
        <row r="65">
          <cell r="A65" t="str">
            <v>(II)</v>
          </cell>
        </row>
      </sheetData>
      <sheetData sheetId="212">
        <row r="65">
          <cell r="A65" t="str">
            <v>(II)</v>
          </cell>
        </row>
      </sheetData>
      <sheetData sheetId="213">
        <row r="65">
          <cell r="A65" t="str">
            <v>(II)</v>
          </cell>
        </row>
      </sheetData>
      <sheetData sheetId="214">
        <row r="65">
          <cell r="A65" t="str">
            <v>(II)</v>
          </cell>
        </row>
      </sheetData>
      <sheetData sheetId="215">
        <row r="65">
          <cell r="A65" t="str">
            <v>(II)</v>
          </cell>
        </row>
      </sheetData>
      <sheetData sheetId="216">
        <row r="65">
          <cell r="A65" t="str">
            <v>(II)</v>
          </cell>
        </row>
      </sheetData>
      <sheetData sheetId="217">
        <row r="65">
          <cell r="A65" t="str">
            <v>(II)</v>
          </cell>
        </row>
      </sheetData>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ow r="65">
          <cell r="A65" t="str">
            <v>(II)</v>
          </cell>
        </row>
      </sheetData>
      <sheetData sheetId="289">
        <row r="65">
          <cell r="A65" t="str">
            <v>(II)</v>
          </cell>
        </row>
      </sheetData>
      <sheetData sheetId="290">
        <row r="65">
          <cell r="A65" t="str">
            <v>(II)</v>
          </cell>
        </row>
      </sheetData>
      <sheetData sheetId="291">
        <row r="65">
          <cell r="A65" t="str">
            <v>(II)</v>
          </cell>
        </row>
      </sheetData>
      <sheetData sheetId="292">
        <row r="65">
          <cell r="A65" t="str">
            <v>(II)</v>
          </cell>
        </row>
      </sheetData>
      <sheetData sheetId="293">
        <row r="65">
          <cell r="A65" t="str">
            <v>(II)</v>
          </cell>
        </row>
      </sheetData>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ow r="65">
          <cell r="A65" t="str">
            <v>(II)</v>
          </cell>
        </row>
      </sheetData>
      <sheetData sheetId="304">
        <row r="65">
          <cell r="A65" t="str">
            <v>(II)</v>
          </cell>
        </row>
      </sheetData>
      <sheetData sheetId="305">
        <row r="65">
          <cell r="A65" t="str">
            <v>(II)</v>
          </cell>
        </row>
      </sheetData>
      <sheetData sheetId="306">
        <row r="65">
          <cell r="A65" t="str">
            <v>(II)</v>
          </cell>
        </row>
      </sheetData>
      <sheetData sheetId="307">
        <row r="65">
          <cell r="A65" t="str">
            <v>(II)</v>
          </cell>
        </row>
      </sheetData>
      <sheetData sheetId="308">
        <row r="65">
          <cell r="A65" t="str">
            <v>(II)</v>
          </cell>
        </row>
      </sheetData>
      <sheetData sheetId="309">
        <row r="65">
          <cell r="A65" t="str">
            <v>(II)</v>
          </cell>
        </row>
      </sheetData>
      <sheetData sheetId="310">
        <row r="65">
          <cell r="A65" t="str">
            <v>(II)</v>
          </cell>
        </row>
      </sheetData>
      <sheetData sheetId="311">
        <row r="65">
          <cell r="A65" t="str">
            <v>(II)</v>
          </cell>
        </row>
      </sheetData>
      <sheetData sheetId="312">
        <row r="65">
          <cell r="A65" t="str">
            <v>(II)</v>
          </cell>
        </row>
      </sheetData>
      <sheetData sheetId="313">
        <row r="65">
          <cell r="A65" t="str">
            <v>(II)</v>
          </cell>
        </row>
      </sheetData>
      <sheetData sheetId="314">
        <row r="65">
          <cell r="A65" t="str">
            <v>(II)</v>
          </cell>
        </row>
      </sheetData>
      <sheetData sheetId="315">
        <row r="65">
          <cell r="A65" t="str">
            <v>(II)</v>
          </cell>
        </row>
      </sheetData>
      <sheetData sheetId="316">
        <row r="65">
          <cell r="A65" t="str">
            <v>(II)</v>
          </cell>
        </row>
      </sheetData>
      <sheetData sheetId="317">
        <row r="65">
          <cell r="A65" t="str">
            <v>(II)</v>
          </cell>
        </row>
      </sheetData>
      <sheetData sheetId="318">
        <row r="65">
          <cell r="A65" t="str">
            <v>(II)</v>
          </cell>
        </row>
      </sheetData>
      <sheetData sheetId="319">
        <row r="65">
          <cell r="A65" t="str">
            <v>(II)</v>
          </cell>
        </row>
      </sheetData>
      <sheetData sheetId="320">
        <row r="65">
          <cell r="A65" t="str">
            <v>(II)</v>
          </cell>
        </row>
      </sheetData>
      <sheetData sheetId="321">
        <row r="65">
          <cell r="A65" t="str">
            <v>(II)</v>
          </cell>
        </row>
      </sheetData>
      <sheetData sheetId="322">
        <row r="65">
          <cell r="A65" t="str">
            <v>(II)</v>
          </cell>
        </row>
      </sheetData>
      <sheetData sheetId="323">
        <row r="65">
          <cell r="A65" t="str">
            <v>(II)</v>
          </cell>
        </row>
      </sheetData>
      <sheetData sheetId="324">
        <row r="65">
          <cell r="A65" t="str">
            <v>(II)</v>
          </cell>
        </row>
      </sheetData>
      <sheetData sheetId="325">
        <row r="65">
          <cell r="A65" t="str">
            <v>(II)</v>
          </cell>
        </row>
      </sheetData>
      <sheetData sheetId="326">
        <row r="65">
          <cell r="A65" t="str">
            <v>(II)</v>
          </cell>
        </row>
      </sheetData>
      <sheetData sheetId="327">
        <row r="65">
          <cell r="A65" t="str">
            <v>(II)</v>
          </cell>
        </row>
      </sheetData>
      <sheetData sheetId="328">
        <row r="65">
          <cell r="A65" t="str">
            <v>(II)</v>
          </cell>
        </row>
      </sheetData>
      <sheetData sheetId="329">
        <row r="65">
          <cell r="A65" t="str">
            <v>(II)</v>
          </cell>
        </row>
      </sheetData>
      <sheetData sheetId="330">
        <row r="65">
          <cell r="A65" t="str">
            <v>(II)</v>
          </cell>
        </row>
      </sheetData>
      <sheetData sheetId="331">
        <row r="65">
          <cell r="A65" t="str">
            <v>(II)</v>
          </cell>
        </row>
      </sheetData>
      <sheetData sheetId="332">
        <row r="65">
          <cell r="A65" t="str">
            <v>(II)</v>
          </cell>
        </row>
      </sheetData>
      <sheetData sheetId="333">
        <row r="65">
          <cell r="A65" t="str">
            <v>(II)</v>
          </cell>
        </row>
      </sheetData>
      <sheetData sheetId="334">
        <row r="65">
          <cell r="A65" t="str">
            <v>(II)</v>
          </cell>
        </row>
      </sheetData>
      <sheetData sheetId="335">
        <row r="65">
          <cell r="A65" t="str">
            <v>(II)</v>
          </cell>
        </row>
      </sheetData>
      <sheetData sheetId="336">
        <row r="65">
          <cell r="A65" t="str">
            <v>(II)</v>
          </cell>
        </row>
      </sheetData>
      <sheetData sheetId="337">
        <row r="65">
          <cell r="A65" t="str">
            <v>(II)</v>
          </cell>
        </row>
      </sheetData>
      <sheetData sheetId="338">
        <row r="65">
          <cell r="A65" t="str">
            <v>(II)</v>
          </cell>
        </row>
      </sheetData>
      <sheetData sheetId="339">
        <row r="65">
          <cell r="A65" t="str">
            <v>(II)</v>
          </cell>
        </row>
      </sheetData>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ow r="65">
          <cell r="A65" t="str">
            <v>(II)</v>
          </cell>
        </row>
      </sheetData>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ow r="65">
          <cell r="A65" t="str">
            <v>(II)</v>
          </cell>
        </row>
      </sheetData>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ow r="65">
          <cell r="A65" t="str">
            <v>(II)</v>
          </cell>
        </row>
      </sheetData>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ow r="65">
          <cell r="A65" t="str">
            <v>(II)</v>
          </cell>
        </row>
      </sheetData>
      <sheetData sheetId="617">
        <row r="65">
          <cell r="A65" t="str">
            <v>(II)</v>
          </cell>
        </row>
      </sheetData>
      <sheetData sheetId="618">
        <row r="65">
          <cell r="A65" t="str">
            <v>(II)</v>
          </cell>
        </row>
      </sheetData>
      <sheetData sheetId="619">
        <row r="65">
          <cell r="A65" t="str">
            <v>(II)</v>
          </cell>
        </row>
      </sheetData>
      <sheetData sheetId="620">
        <row r="65">
          <cell r="A65" t="str">
            <v>(II)</v>
          </cell>
        </row>
      </sheetData>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ow r="65">
          <cell r="A65" t="str">
            <v>(II)</v>
          </cell>
        </row>
      </sheetData>
      <sheetData sheetId="649">
        <row r="65">
          <cell r="A65" t="str">
            <v>(II)</v>
          </cell>
        </row>
      </sheetData>
      <sheetData sheetId="650">
        <row r="65">
          <cell r="A65" t="str">
            <v>(II)</v>
          </cell>
        </row>
      </sheetData>
      <sheetData sheetId="651">
        <row r="65">
          <cell r="A65" t="str">
            <v>(II)</v>
          </cell>
        </row>
      </sheetData>
      <sheetData sheetId="652">
        <row r="65">
          <cell r="A65" t="str">
            <v>(II)</v>
          </cell>
        </row>
      </sheetData>
      <sheetData sheetId="653">
        <row r="65">
          <cell r="A65" t="str">
            <v>(II)</v>
          </cell>
        </row>
      </sheetData>
      <sheetData sheetId="654">
        <row r="65">
          <cell r="A65" t="str">
            <v>(II)</v>
          </cell>
        </row>
      </sheetData>
      <sheetData sheetId="655">
        <row r="65">
          <cell r="A65" t="str">
            <v>(II)</v>
          </cell>
        </row>
      </sheetData>
      <sheetData sheetId="656">
        <row r="65">
          <cell r="A65" t="str">
            <v>(II)</v>
          </cell>
        </row>
      </sheetData>
      <sheetData sheetId="657">
        <row r="65">
          <cell r="A65" t="str">
            <v>(II)</v>
          </cell>
        </row>
      </sheetData>
      <sheetData sheetId="658">
        <row r="65">
          <cell r="A65" t="str">
            <v>(II)</v>
          </cell>
        </row>
      </sheetData>
      <sheetData sheetId="659">
        <row r="65">
          <cell r="A65" t="str">
            <v>(II)</v>
          </cell>
        </row>
      </sheetData>
      <sheetData sheetId="660">
        <row r="65">
          <cell r="A65" t="str">
            <v>(II)</v>
          </cell>
        </row>
      </sheetData>
      <sheetData sheetId="661">
        <row r="65">
          <cell r="A65" t="str">
            <v>(II)</v>
          </cell>
        </row>
      </sheetData>
      <sheetData sheetId="662">
        <row r="65">
          <cell r="A65" t="str">
            <v>(II)</v>
          </cell>
        </row>
      </sheetData>
      <sheetData sheetId="663">
        <row r="65">
          <cell r="A65" t="str">
            <v>(II)</v>
          </cell>
        </row>
      </sheetData>
      <sheetData sheetId="664">
        <row r="65">
          <cell r="A65" t="str">
            <v>(II)</v>
          </cell>
        </row>
      </sheetData>
      <sheetData sheetId="665">
        <row r="65">
          <cell r="A65" t="str">
            <v>(II)</v>
          </cell>
        </row>
      </sheetData>
      <sheetData sheetId="666">
        <row r="65">
          <cell r="A65" t="str">
            <v>(II)</v>
          </cell>
        </row>
      </sheetData>
      <sheetData sheetId="667">
        <row r="65">
          <cell r="A65" t="str">
            <v>(II)</v>
          </cell>
        </row>
      </sheetData>
      <sheetData sheetId="668">
        <row r="65">
          <cell r="A65" t="str">
            <v>(II)</v>
          </cell>
        </row>
      </sheetData>
      <sheetData sheetId="669">
        <row r="65">
          <cell r="A65" t="str">
            <v>(II)</v>
          </cell>
        </row>
      </sheetData>
      <sheetData sheetId="670">
        <row r="65">
          <cell r="A65" t="str">
            <v>(II)</v>
          </cell>
        </row>
      </sheetData>
      <sheetData sheetId="671">
        <row r="65">
          <cell r="A65" t="str">
            <v>(II)</v>
          </cell>
        </row>
      </sheetData>
      <sheetData sheetId="672">
        <row r="65">
          <cell r="A65" t="str">
            <v>(II)</v>
          </cell>
        </row>
      </sheetData>
      <sheetData sheetId="673">
        <row r="65">
          <cell r="A65" t="str">
            <v>(II)</v>
          </cell>
        </row>
      </sheetData>
      <sheetData sheetId="674">
        <row r="65">
          <cell r="A65" t="str">
            <v>(II)</v>
          </cell>
        </row>
      </sheetData>
      <sheetData sheetId="675">
        <row r="65">
          <cell r="A65" t="str">
            <v>(II)</v>
          </cell>
        </row>
      </sheetData>
      <sheetData sheetId="676">
        <row r="65">
          <cell r="A65" t="str">
            <v>(II)</v>
          </cell>
        </row>
      </sheetData>
      <sheetData sheetId="677">
        <row r="65">
          <cell r="A65" t="str">
            <v>(II)</v>
          </cell>
        </row>
      </sheetData>
      <sheetData sheetId="678" refreshError="1"/>
      <sheetData sheetId="679" refreshError="1"/>
      <sheetData sheetId="680" refreshError="1"/>
      <sheetData sheetId="681" refreshError="1"/>
      <sheetData sheetId="682" refreshError="1"/>
      <sheetData sheetId="683" refreshError="1"/>
      <sheetData sheetId="684" refreshError="1"/>
      <sheetData sheetId="685">
        <row r="65">
          <cell r="A65" t="str">
            <v>(II)</v>
          </cell>
        </row>
      </sheetData>
      <sheetData sheetId="686">
        <row r="65">
          <cell r="A65" t="str">
            <v>(II)</v>
          </cell>
        </row>
      </sheetData>
      <sheetData sheetId="687">
        <row r="65">
          <cell r="A65" t="str">
            <v>(II)</v>
          </cell>
        </row>
      </sheetData>
      <sheetData sheetId="688">
        <row r="65">
          <cell r="A65" t="str">
            <v>(II)</v>
          </cell>
        </row>
      </sheetData>
      <sheetData sheetId="689">
        <row r="65">
          <cell r="A65" t="str">
            <v>(II)</v>
          </cell>
        </row>
      </sheetData>
      <sheetData sheetId="690">
        <row r="65">
          <cell r="A65" t="str">
            <v>(II)</v>
          </cell>
        </row>
      </sheetData>
      <sheetData sheetId="691">
        <row r="65">
          <cell r="A65" t="str">
            <v>(II)</v>
          </cell>
        </row>
      </sheetData>
      <sheetData sheetId="692">
        <row r="65">
          <cell r="A65" t="str">
            <v>(II)</v>
          </cell>
        </row>
      </sheetData>
      <sheetData sheetId="693">
        <row r="65">
          <cell r="A65" t="str">
            <v>(II)</v>
          </cell>
        </row>
      </sheetData>
      <sheetData sheetId="694">
        <row r="65">
          <cell r="A65" t="str">
            <v>(II)</v>
          </cell>
        </row>
      </sheetData>
      <sheetData sheetId="695">
        <row r="65">
          <cell r="A65" t="str">
            <v>(II)</v>
          </cell>
        </row>
      </sheetData>
      <sheetData sheetId="696">
        <row r="65">
          <cell r="A65" t="str">
            <v>(II)</v>
          </cell>
        </row>
      </sheetData>
      <sheetData sheetId="697">
        <row r="65">
          <cell r="A65" t="str">
            <v>(II)</v>
          </cell>
        </row>
      </sheetData>
      <sheetData sheetId="698">
        <row r="65">
          <cell r="A65" t="str">
            <v>(II)</v>
          </cell>
        </row>
      </sheetData>
      <sheetData sheetId="699">
        <row r="65">
          <cell r="A65" t="str">
            <v>(II)</v>
          </cell>
        </row>
      </sheetData>
      <sheetData sheetId="700">
        <row r="65">
          <cell r="A65" t="str">
            <v>(II)</v>
          </cell>
        </row>
      </sheetData>
      <sheetData sheetId="701">
        <row r="65">
          <cell r="A65" t="str">
            <v>(II)</v>
          </cell>
        </row>
      </sheetData>
      <sheetData sheetId="702">
        <row r="65">
          <cell r="A65" t="str">
            <v>(II)</v>
          </cell>
        </row>
      </sheetData>
      <sheetData sheetId="703">
        <row r="65">
          <cell r="A65" t="str">
            <v>(II)</v>
          </cell>
        </row>
      </sheetData>
      <sheetData sheetId="704">
        <row r="65">
          <cell r="A65" t="str">
            <v>(II)</v>
          </cell>
        </row>
      </sheetData>
      <sheetData sheetId="705">
        <row r="65">
          <cell r="A65" t="str">
            <v>(II)</v>
          </cell>
        </row>
      </sheetData>
      <sheetData sheetId="706">
        <row r="65">
          <cell r="A65" t="str">
            <v>(II)</v>
          </cell>
        </row>
      </sheetData>
      <sheetData sheetId="707">
        <row r="65">
          <cell r="A65" t="str">
            <v>(II)</v>
          </cell>
        </row>
      </sheetData>
      <sheetData sheetId="708">
        <row r="65">
          <cell r="A65" t="str">
            <v>(II)</v>
          </cell>
        </row>
      </sheetData>
      <sheetData sheetId="709">
        <row r="65">
          <cell r="A65" t="str">
            <v>(II)</v>
          </cell>
        </row>
      </sheetData>
      <sheetData sheetId="710">
        <row r="65">
          <cell r="A65" t="str">
            <v>(II)</v>
          </cell>
        </row>
      </sheetData>
      <sheetData sheetId="711">
        <row r="65">
          <cell r="A65" t="str">
            <v>(II)</v>
          </cell>
        </row>
      </sheetData>
      <sheetData sheetId="712">
        <row r="65">
          <cell r="A65" t="str">
            <v>(II)</v>
          </cell>
        </row>
      </sheetData>
      <sheetData sheetId="713">
        <row r="65">
          <cell r="A65" t="str">
            <v>(II)</v>
          </cell>
        </row>
      </sheetData>
      <sheetData sheetId="714">
        <row r="65">
          <cell r="A65" t="str">
            <v>(II)</v>
          </cell>
        </row>
      </sheetData>
      <sheetData sheetId="715">
        <row r="65">
          <cell r="A65" t="str">
            <v>(II)</v>
          </cell>
        </row>
      </sheetData>
      <sheetData sheetId="716">
        <row r="65">
          <cell r="A65" t="str">
            <v>(II)</v>
          </cell>
        </row>
      </sheetData>
      <sheetData sheetId="717">
        <row r="65">
          <cell r="A65" t="str">
            <v>(II)</v>
          </cell>
        </row>
      </sheetData>
      <sheetData sheetId="718">
        <row r="65">
          <cell r="A65" t="str">
            <v>(II)</v>
          </cell>
        </row>
      </sheetData>
      <sheetData sheetId="719">
        <row r="65">
          <cell r="A65" t="str">
            <v>(II)</v>
          </cell>
        </row>
      </sheetData>
      <sheetData sheetId="720">
        <row r="65">
          <cell r="A65" t="str">
            <v>(II)</v>
          </cell>
        </row>
      </sheetData>
      <sheetData sheetId="721">
        <row r="65">
          <cell r="A65" t="str">
            <v>(II)</v>
          </cell>
        </row>
      </sheetData>
      <sheetData sheetId="722">
        <row r="65">
          <cell r="A65" t="str">
            <v>(II)</v>
          </cell>
        </row>
      </sheetData>
      <sheetData sheetId="723">
        <row r="65">
          <cell r="A65" t="str">
            <v>(II)</v>
          </cell>
        </row>
      </sheetData>
      <sheetData sheetId="724">
        <row r="65">
          <cell r="A65" t="str">
            <v>(II)</v>
          </cell>
        </row>
      </sheetData>
      <sheetData sheetId="725">
        <row r="65">
          <cell r="A65" t="str">
            <v>(II)</v>
          </cell>
        </row>
      </sheetData>
      <sheetData sheetId="726">
        <row r="65">
          <cell r="A65" t="str">
            <v>(II)</v>
          </cell>
        </row>
      </sheetData>
      <sheetData sheetId="727">
        <row r="65">
          <cell r="A65" t="str">
            <v>(II)</v>
          </cell>
        </row>
      </sheetData>
      <sheetData sheetId="728">
        <row r="65">
          <cell r="A65" t="str">
            <v>(II)</v>
          </cell>
        </row>
      </sheetData>
      <sheetData sheetId="729">
        <row r="65">
          <cell r="A65" t="str">
            <v>(II)</v>
          </cell>
        </row>
      </sheetData>
      <sheetData sheetId="730">
        <row r="65">
          <cell r="A65" t="str">
            <v>(II)</v>
          </cell>
        </row>
      </sheetData>
      <sheetData sheetId="731">
        <row r="65">
          <cell r="A65" t="str">
            <v>(II)</v>
          </cell>
        </row>
      </sheetData>
      <sheetData sheetId="732">
        <row r="65">
          <cell r="A65" t="str">
            <v>(II)</v>
          </cell>
        </row>
      </sheetData>
      <sheetData sheetId="733">
        <row r="65">
          <cell r="A65" t="str">
            <v>(II)</v>
          </cell>
        </row>
      </sheetData>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ow r="65">
          <cell r="A65" t="str">
            <v>(II)</v>
          </cell>
        </row>
      </sheetData>
      <sheetData sheetId="768">
        <row r="65">
          <cell r="A65" t="str">
            <v>(II)</v>
          </cell>
        </row>
      </sheetData>
      <sheetData sheetId="769">
        <row r="65">
          <cell r="A65" t="str">
            <v>(II)</v>
          </cell>
        </row>
      </sheetData>
      <sheetData sheetId="770">
        <row r="65">
          <cell r="A65" t="str">
            <v>(II)</v>
          </cell>
        </row>
      </sheetData>
      <sheetData sheetId="771">
        <row r="65">
          <cell r="A65" t="str">
            <v>(II)</v>
          </cell>
        </row>
      </sheetData>
      <sheetData sheetId="772">
        <row r="65">
          <cell r="A65" t="str">
            <v>(II)</v>
          </cell>
        </row>
      </sheetData>
      <sheetData sheetId="773">
        <row r="65">
          <cell r="A65" t="str">
            <v>(II)</v>
          </cell>
        </row>
      </sheetData>
      <sheetData sheetId="774">
        <row r="65">
          <cell r="A65" t="str">
            <v>(II)</v>
          </cell>
        </row>
      </sheetData>
      <sheetData sheetId="775">
        <row r="65">
          <cell r="A65" t="str">
            <v>(II)</v>
          </cell>
        </row>
      </sheetData>
      <sheetData sheetId="776">
        <row r="65">
          <cell r="A65" t="str">
            <v>(II)</v>
          </cell>
        </row>
      </sheetData>
      <sheetData sheetId="777">
        <row r="65">
          <cell r="A65" t="str">
            <v>(II)</v>
          </cell>
        </row>
      </sheetData>
      <sheetData sheetId="778">
        <row r="65">
          <cell r="A65" t="str">
            <v>(II)</v>
          </cell>
        </row>
      </sheetData>
      <sheetData sheetId="779">
        <row r="65">
          <cell r="A65" t="str">
            <v>(II)</v>
          </cell>
        </row>
      </sheetData>
      <sheetData sheetId="780" refreshError="1"/>
      <sheetData sheetId="781">
        <row r="65">
          <cell r="A65" t="str">
            <v>(II)</v>
          </cell>
        </row>
      </sheetData>
      <sheetData sheetId="782">
        <row r="65">
          <cell r="A65" t="str">
            <v>(II)</v>
          </cell>
        </row>
      </sheetData>
      <sheetData sheetId="783">
        <row r="65">
          <cell r="A65" t="str">
            <v>(II)</v>
          </cell>
        </row>
      </sheetData>
      <sheetData sheetId="784">
        <row r="65">
          <cell r="A65" t="str">
            <v>(II)</v>
          </cell>
        </row>
      </sheetData>
      <sheetData sheetId="785" refreshError="1"/>
      <sheetData sheetId="786" refreshError="1"/>
      <sheetData sheetId="787">
        <row r="65">
          <cell r="A65" t="str">
            <v>(II)</v>
          </cell>
        </row>
      </sheetData>
      <sheetData sheetId="788">
        <row r="65">
          <cell r="A65" t="str">
            <v>(II)</v>
          </cell>
        </row>
      </sheetData>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ow r="65">
          <cell r="A65" t="str">
            <v>(II)</v>
          </cell>
        </row>
      </sheetData>
      <sheetData sheetId="811" refreshError="1"/>
      <sheetData sheetId="812" refreshError="1"/>
      <sheetData sheetId="813">
        <row r="65">
          <cell r="A65" t="str">
            <v>(II)</v>
          </cell>
        </row>
      </sheetData>
      <sheetData sheetId="814">
        <row r="65">
          <cell r="A65" t="str">
            <v>(II)</v>
          </cell>
        </row>
      </sheetData>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ow r="65">
          <cell r="A65" t="str">
            <v>(II)</v>
          </cell>
        </row>
      </sheetData>
      <sheetData sheetId="828" refreshError="1"/>
      <sheetData sheetId="829">
        <row r="65">
          <cell r="A65" t="str">
            <v>(II)</v>
          </cell>
        </row>
      </sheetData>
      <sheetData sheetId="830">
        <row r="65">
          <cell r="A65" t="str">
            <v>(II)</v>
          </cell>
        </row>
      </sheetData>
      <sheetData sheetId="831">
        <row r="65">
          <cell r="A65" t="str">
            <v>(II)</v>
          </cell>
        </row>
      </sheetData>
      <sheetData sheetId="832" refreshError="1"/>
      <sheetData sheetId="833" refreshError="1"/>
      <sheetData sheetId="834">
        <row r="65">
          <cell r="A65" t="str">
            <v>(II)</v>
          </cell>
        </row>
      </sheetData>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65">
          <cell r="A65" t="str">
            <v>(II)</v>
          </cell>
        </row>
      </sheetData>
      <sheetData sheetId="848" refreshError="1"/>
      <sheetData sheetId="849">
        <row r="65">
          <cell r="A65" t="str">
            <v>(II)</v>
          </cell>
        </row>
      </sheetData>
      <sheetData sheetId="850" refreshError="1"/>
      <sheetData sheetId="851" refreshError="1"/>
      <sheetData sheetId="852" refreshError="1"/>
      <sheetData sheetId="853">
        <row r="65">
          <cell r="A65" t="str">
            <v>(II)</v>
          </cell>
        </row>
      </sheetData>
      <sheetData sheetId="854">
        <row r="65">
          <cell r="A65" t="str">
            <v>(II)</v>
          </cell>
        </row>
      </sheetData>
      <sheetData sheetId="855">
        <row r="65">
          <cell r="A65" t="str">
            <v>(II)</v>
          </cell>
        </row>
      </sheetData>
      <sheetData sheetId="856" refreshError="1"/>
      <sheetData sheetId="857" refreshError="1"/>
      <sheetData sheetId="858" refreshError="1"/>
      <sheetData sheetId="859" refreshError="1"/>
      <sheetData sheetId="860" refreshError="1"/>
      <sheetData sheetId="861">
        <row r="65">
          <cell r="A65" t="str">
            <v>(II)</v>
          </cell>
        </row>
      </sheetData>
      <sheetData sheetId="862" refreshError="1"/>
      <sheetData sheetId="863" refreshError="1"/>
      <sheetData sheetId="864" refreshError="1"/>
      <sheetData sheetId="865" refreshError="1"/>
      <sheetData sheetId="866" refreshError="1"/>
      <sheetData sheetId="867">
        <row r="65">
          <cell r="A65" t="str">
            <v>(II)</v>
          </cell>
        </row>
      </sheetData>
      <sheetData sheetId="868">
        <row r="65">
          <cell r="A65" t="str">
            <v>(II)</v>
          </cell>
        </row>
      </sheetData>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ow r="65">
          <cell r="A65" t="str">
            <v>(II)</v>
          </cell>
        </row>
      </sheetData>
      <sheetData sheetId="885">
        <row r="65">
          <cell r="A65" t="str">
            <v>(II)</v>
          </cell>
        </row>
      </sheetData>
      <sheetData sheetId="886">
        <row r="65">
          <cell r="A65" t="str">
            <v>(II)</v>
          </cell>
        </row>
      </sheetData>
      <sheetData sheetId="887">
        <row r="65">
          <cell r="A65" t="str">
            <v>(II)</v>
          </cell>
        </row>
      </sheetData>
      <sheetData sheetId="888">
        <row r="65">
          <cell r="A65" t="str">
            <v>(II)</v>
          </cell>
        </row>
      </sheetData>
      <sheetData sheetId="889">
        <row r="65">
          <cell r="A65" t="str">
            <v>(II)</v>
          </cell>
        </row>
      </sheetData>
      <sheetData sheetId="890" refreshError="1"/>
      <sheetData sheetId="891">
        <row r="65">
          <cell r="A65" t="str">
            <v>(II)</v>
          </cell>
        </row>
      </sheetData>
      <sheetData sheetId="892">
        <row r="65">
          <cell r="A65" t="str">
            <v>(II)</v>
          </cell>
        </row>
      </sheetData>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ow r="65">
          <cell r="A65" t="str">
            <v>(II)</v>
          </cell>
        </row>
      </sheetData>
      <sheetData sheetId="905">
        <row r="65">
          <cell r="A65" t="str">
            <v>(II)</v>
          </cell>
        </row>
      </sheetData>
      <sheetData sheetId="906" refreshError="1"/>
      <sheetData sheetId="907" refreshError="1"/>
      <sheetData sheetId="908" refreshError="1"/>
      <sheetData sheetId="909" refreshError="1"/>
      <sheetData sheetId="910" refreshError="1"/>
      <sheetData sheetId="911" refreshError="1"/>
      <sheetData sheetId="912">
        <row r="65">
          <cell r="A65" t="str">
            <v>(II)</v>
          </cell>
        </row>
      </sheetData>
      <sheetData sheetId="913">
        <row r="65">
          <cell r="A65" t="str">
            <v>(II)</v>
          </cell>
        </row>
      </sheetData>
      <sheetData sheetId="914">
        <row r="65">
          <cell r="A65" t="str">
            <v>(II)</v>
          </cell>
        </row>
      </sheetData>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ow r="65">
          <cell r="A65" t="str">
            <v>(II)</v>
          </cell>
        </row>
      </sheetData>
      <sheetData sheetId="938">
        <row r="65">
          <cell r="A65" t="str">
            <v>(II)</v>
          </cell>
        </row>
      </sheetData>
      <sheetData sheetId="939">
        <row r="65">
          <cell r="A65" t="str">
            <v>(II)</v>
          </cell>
        </row>
      </sheetData>
      <sheetData sheetId="940">
        <row r="65">
          <cell r="A65" t="str">
            <v>(II)</v>
          </cell>
        </row>
      </sheetData>
      <sheetData sheetId="941">
        <row r="65">
          <cell r="A65" t="str">
            <v>(II)</v>
          </cell>
        </row>
      </sheetData>
      <sheetData sheetId="942">
        <row r="65">
          <cell r="A65" t="str">
            <v>(II)</v>
          </cell>
        </row>
      </sheetData>
      <sheetData sheetId="943">
        <row r="65">
          <cell r="A65" t="str">
            <v>(II)</v>
          </cell>
        </row>
      </sheetData>
      <sheetData sheetId="944">
        <row r="65">
          <cell r="A65" t="str">
            <v>(II)</v>
          </cell>
        </row>
      </sheetData>
      <sheetData sheetId="945">
        <row r="65">
          <cell r="A65" t="str">
            <v>(II)</v>
          </cell>
        </row>
      </sheetData>
      <sheetData sheetId="946">
        <row r="65">
          <cell r="A65" t="str">
            <v>(II)</v>
          </cell>
        </row>
      </sheetData>
      <sheetData sheetId="947">
        <row r="65">
          <cell r="A65" t="str">
            <v>(II)</v>
          </cell>
        </row>
      </sheetData>
      <sheetData sheetId="948">
        <row r="65">
          <cell r="A65" t="str">
            <v>(II)</v>
          </cell>
        </row>
      </sheetData>
      <sheetData sheetId="949">
        <row r="65">
          <cell r="A65" t="str">
            <v>(II)</v>
          </cell>
        </row>
      </sheetData>
      <sheetData sheetId="950">
        <row r="65">
          <cell r="A65" t="str">
            <v>(II)</v>
          </cell>
        </row>
      </sheetData>
      <sheetData sheetId="951">
        <row r="65">
          <cell r="A65" t="str">
            <v>(II)</v>
          </cell>
        </row>
      </sheetData>
      <sheetData sheetId="952">
        <row r="65">
          <cell r="A65" t="str">
            <v>(II)</v>
          </cell>
        </row>
      </sheetData>
      <sheetData sheetId="953">
        <row r="65">
          <cell r="A65" t="str">
            <v>(II)</v>
          </cell>
        </row>
      </sheetData>
      <sheetData sheetId="954">
        <row r="65">
          <cell r="A65" t="str">
            <v>(II)</v>
          </cell>
        </row>
      </sheetData>
      <sheetData sheetId="955">
        <row r="65">
          <cell r="A65" t="str">
            <v>(II)</v>
          </cell>
        </row>
      </sheetData>
      <sheetData sheetId="956">
        <row r="65">
          <cell r="A65" t="str">
            <v>(II)</v>
          </cell>
        </row>
      </sheetData>
      <sheetData sheetId="957">
        <row r="65">
          <cell r="A65" t="str">
            <v>(II)</v>
          </cell>
        </row>
      </sheetData>
      <sheetData sheetId="958">
        <row r="65">
          <cell r="A65" t="str">
            <v>(II)</v>
          </cell>
        </row>
      </sheetData>
      <sheetData sheetId="959">
        <row r="65">
          <cell r="A65" t="str">
            <v>(II)</v>
          </cell>
        </row>
      </sheetData>
      <sheetData sheetId="960">
        <row r="65">
          <cell r="A65" t="str">
            <v>(II)</v>
          </cell>
        </row>
      </sheetData>
      <sheetData sheetId="961">
        <row r="65">
          <cell r="A65" t="str">
            <v>(II)</v>
          </cell>
        </row>
      </sheetData>
      <sheetData sheetId="962">
        <row r="65">
          <cell r="A65" t="str">
            <v>(II)</v>
          </cell>
        </row>
      </sheetData>
      <sheetData sheetId="963">
        <row r="65">
          <cell r="A65" t="str">
            <v>(II)</v>
          </cell>
        </row>
      </sheetData>
      <sheetData sheetId="964">
        <row r="65">
          <cell r="A65" t="str">
            <v>(II)</v>
          </cell>
        </row>
      </sheetData>
      <sheetData sheetId="965">
        <row r="65">
          <cell r="A65" t="str">
            <v>(II)</v>
          </cell>
        </row>
      </sheetData>
      <sheetData sheetId="966">
        <row r="65">
          <cell r="A65" t="str">
            <v>(II)</v>
          </cell>
        </row>
      </sheetData>
      <sheetData sheetId="967">
        <row r="65">
          <cell r="A65" t="str">
            <v>(II)</v>
          </cell>
        </row>
      </sheetData>
      <sheetData sheetId="968">
        <row r="65">
          <cell r="A65" t="str">
            <v>(II)</v>
          </cell>
        </row>
      </sheetData>
      <sheetData sheetId="969">
        <row r="65">
          <cell r="A65" t="str">
            <v>(II)</v>
          </cell>
        </row>
      </sheetData>
      <sheetData sheetId="970">
        <row r="65">
          <cell r="A65" t="str">
            <v>(II)</v>
          </cell>
        </row>
      </sheetData>
      <sheetData sheetId="971">
        <row r="65">
          <cell r="A65" t="str">
            <v>(II)</v>
          </cell>
        </row>
      </sheetData>
      <sheetData sheetId="972">
        <row r="65">
          <cell r="A65" t="str">
            <v>(II)</v>
          </cell>
        </row>
      </sheetData>
      <sheetData sheetId="973">
        <row r="65">
          <cell r="A65" t="str">
            <v>(II)</v>
          </cell>
        </row>
      </sheetData>
      <sheetData sheetId="974">
        <row r="65">
          <cell r="A65" t="str">
            <v>(II)</v>
          </cell>
        </row>
      </sheetData>
      <sheetData sheetId="975">
        <row r="65">
          <cell r="A65" t="str">
            <v>(II)</v>
          </cell>
        </row>
      </sheetData>
      <sheetData sheetId="976">
        <row r="65">
          <cell r="A65" t="str">
            <v>(II)</v>
          </cell>
        </row>
      </sheetData>
      <sheetData sheetId="977">
        <row r="65">
          <cell r="A65" t="str">
            <v>(II)</v>
          </cell>
        </row>
      </sheetData>
      <sheetData sheetId="978">
        <row r="65">
          <cell r="A65" t="str">
            <v>(II)</v>
          </cell>
        </row>
      </sheetData>
      <sheetData sheetId="979">
        <row r="65">
          <cell r="A65" t="str">
            <v>(II)</v>
          </cell>
        </row>
      </sheetData>
      <sheetData sheetId="980">
        <row r="65">
          <cell r="A65" t="str">
            <v>(II)</v>
          </cell>
        </row>
      </sheetData>
      <sheetData sheetId="981">
        <row r="65">
          <cell r="A65" t="str">
            <v>(II)</v>
          </cell>
        </row>
      </sheetData>
      <sheetData sheetId="982">
        <row r="65">
          <cell r="A65" t="str">
            <v>(II)</v>
          </cell>
        </row>
      </sheetData>
      <sheetData sheetId="983">
        <row r="65">
          <cell r="A65" t="str">
            <v>(II)</v>
          </cell>
        </row>
      </sheetData>
      <sheetData sheetId="984">
        <row r="65">
          <cell r="A65" t="str">
            <v>(II)</v>
          </cell>
        </row>
      </sheetData>
      <sheetData sheetId="985">
        <row r="65">
          <cell r="A65" t="str">
            <v>(II)</v>
          </cell>
        </row>
      </sheetData>
      <sheetData sheetId="986">
        <row r="65">
          <cell r="A65" t="str">
            <v>(II)</v>
          </cell>
        </row>
      </sheetData>
      <sheetData sheetId="987">
        <row r="65">
          <cell r="A65" t="str">
            <v>(II)</v>
          </cell>
        </row>
      </sheetData>
      <sheetData sheetId="988">
        <row r="65">
          <cell r="A65" t="str">
            <v>(II)</v>
          </cell>
        </row>
      </sheetData>
      <sheetData sheetId="989">
        <row r="65">
          <cell r="A65" t="str">
            <v>(II)</v>
          </cell>
        </row>
      </sheetData>
      <sheetData sheetId="990">
        <row r="65">
          <cell r="A65" t="str">
            <v>(II)</v>
          </cell>
        </row>
      </sheetData>
      <sheetData sheetId="991">
        <row r="65">
          <cell r="A65" t="str">
            <v>(II)</v>
          </cell>
        </row>
      </sheetData>
      <sheetData sheetId="992">
        <row r="65">
          <cell r="A65" t="str">
            <v>(II)</v>
          </cell>
        </row>
      </sheetData>
      <sheetData sheetId="993">
        <row r="65">
          <cell r="A65" t="str">
            <v>(II)</v>
          </cell>
        </row>
      </sheetData>
      <sheetData sheetId="994">
        <row r="65">
          <cell r="A65" t="str">
            <v>(II)</v>
          </cell>
        </row>
      </sheetData>
      <sheetData sheetId="995">
        <row r="65">
          <cell r="A65" t="str">
            <v>(II)</v>
          </cell>
        </row>
      </sheetData>
      <sheetData sheetId="996">
        <row r="65">
          <cell r="A65" t="str">
            <v>(II)</v>
          </cell>
        </row>
      </sheetData>
      <sheetData sheetId="997">
        <row r="65">
          <cell r="A65" t="str">
            <v>(II)</v>
          </cell>
        </row>
      </sheetData>
      <sheetData sheetId="998">
        <row r="65">
          <cell r="A65" t="str">
            <v>(II)</v>
          </cell>
        </row>
      </sheetData>
      <sheetData sheetId="999">
        <row r="65">
          <cell r="A65" t="str">
            <v>(II)</v>
          </cell>
        </row>
      </sheetData>
      <sheetData sheetId="1000">
        <row r="65">
          <cell r="A65" t="str">
            <v>(II)</v>
          </cell>
        </row>
      </sheetData>
      <sheetData sheetId="1001">
        <row r="65">
          <cell r="A65" t="str">
            <v>(II)</v>
          </cell>
        </row>
      </sheetData>
      <sheetData sheetId="1002">
        <row r="65">
          <cell r="A65" t="str">
            <v>(II)</v>
          </cell>
        </row>
      </sheetData>
      <sheetData sheetId="1003">
        <row r="65">
          <cell r="A65" t="str">
            <v>(II)</v>
          </cell>
        </row>
      </sheetData>
      <sheetData sheetId="1004">
        <row r="65">
          <cell r="A65" t="str">
            <v>(II)</v>
          </cell>
        </row>
      </sheetData>
      <sheetData sheetId="1005">
        <row r="65">
          <cell r="A65" t="str">
            <v>(II)</v>
          </cell>
        </row>
      </sheetData>
      <sheetData sheetId="1006">
        <row r="65">
          <cell r="A65" t="str">
            <v>(II)</v>
          </cell>
        </row>
      </sheetData>
      <sheetData sheetId="1007">
        <row r="65">
          <cell r="A65" t="str">
            <v>(II)</v>
          </cell>
        </row>
      </sheetData>
      <sheetData sheetId="1008">
        <row r="65">
          <cell r="A65" t="str">
            <v>(II)</v>
          </cell>
        </row>
      </sheetData>
      <sheetData sheetId="1009">
        <row r="65">
          <cell r="A65" t="str">
            <v>(II)</v>
          </cell>
        </row>
      </sheetData>
      <sheetData sheetId="1010">
        <row r="65">
          <cell r="A65" t="str">
            <v>(II)</v>
          </cell>
        </row>
      </sheetData>
      <sheetData sheetId="1011">
        <row r="65">
          <cell r="A65" t="str">
            <v>(II)</v>
          </cell>
        </row>
      </sheetData>
      <sheetData sheetId="1012">
        <row r="65">
          <cell r="A65" t="str">
            <v>(II)</v>
          </cell>
        </row>
      </sheetData>
      <sheetData sheetId="1013">
        <row r="65">
          <cell r="A65" t="str">
            <v>(II)</v>
          </cell>
        </row>
      </sheetData>
      <sheetData sheetId="1014">
        <row r="65">
          <cell r="A65" t="str">
            <v>(II)</v>
          </cell>
        </row>
      </sheetData>
      <sheetData sheetId="1015">
        <row r="65">
          <cell r="A65" t="str">
            <v>(II)</v>
          </cell>
        </row>
      </sheetData>
      <sheetData sheetId="1016">
        <row r="65">
          <cell r="A65" t="str">
            <v>(II)</v>
          </cell>
        </row>
      </sheetData>
      <sheetData sheetId="1017">
        <row r="65">
          <cell r="A65" t="str">
            <v>(II)</v>
          </cell>
        </row>
      </sheetData>
      <sheetData sheetId="1018">
        <row r="65">
          <cell r="A65" t="str">
            <v>(II)</v>
          </cell>
        </row>
      </sheetData>
      <sheetData sheetId="1019">
        <row r="65">
          <cell r="A65" t="str">
            <v>(II)</v>
          </cell>
        </row>
      </sheetData>
      <sheetData sheetId="1020">
        <row r="65">
          <cell r="A65" t="str">
            <v>(II)</v>
          </cell>
        </row>
      </sheetData>
      <sheetData sheetId="1021">
        <row r="65">
          <cell r="A65" t="str">
            <v>(II)</v>
          </cell>
        </row>
      </sheetData>
      <sheetData sheetId="1022">
        <row r="65">
          <cell r="A65" t="str">
            <v>(II)</v>
          </cell>
        </row>
      </sheetData>
      <sheetData sheetId="1023">
        <row r="65">
          <cell r="A65" t="str">
            <v>(II)</v>
          </cell>
        </row>
      </sheetData>
      <sheetData sheetId="1024">
        <row r="65">
          <cell r="A65" t="str">
            <v>(II)</v>
          </cell>
        </row>
      </sheetData>
      <sheetData sheetId="1025">
        <row r="65">
          <cell r="A65" t="str">
            <v>(II)</v>
          </cell>
        </row>
      </sheetData>
      <sheetData sheetId="1026">
        <row r="65">
          <cell r="A65" t="str">
            <v>(II)</v>
          </cell>
        </row>
      </sheetData>
      <sheetData sheetId="1027">
        <row r="65">
          <cell r="A65" t="str">
            <v>(II)</v>
          </cell>
        </row>
      </sheetData>
      <sheetData sheetId="1028">
        <row r="65">
          <cell r="A65" t="str">
            <v>(II)</v>
          </cell>
        </row>
      </sheetData>
      <sheetData sheetId="1029">
        <row r="65">
          <cell r="A65" t="str">
            <v>(II)</v>
          </cell>
        </row>
      </sheetData>
      <sheetData sheetId="1030">
        <row r="65">
          <cell r="A65" t="str">
            <v>(II)</v>
          </cell>
        </row>
      </sheetData>
      <sheetData sheetId="1031">
        <row r="65">
          <cell r="A65" t="str">
            <v>(II)</v>
          </cell>
        </row>
      </sheetData>
      <sheetData sheetId="1032">
        <row r="65">
          <cell r="A65" t="str">
            <v>(II)</v>
          </cell>
        </row>
      </sheetData>
      <sheetData sheetId="1033">
        <row r="65">
          <cell r="A65" t="str">
            <v>(II)</v>
          </cell>
        </row>
      </sheetData>
      <sheetData sheetId="1034">
        <row r="65">
          <cell r="A65" t="str">
            <v>(II)</v>
          </cell>
        </row>
      </sheetData>
      <sheetData sheetId="1035">
        <row r="65">
          <cell r="A65" t="str">
            <v>(II)</v>
          </cell>
        </row>
      </sheetData>
      <sheetData sheetId="1036">
        <row r="65">
          <cell r="A65" t="str">
            <v>(II)</v>
          </cell>
        </row>
      </sheetData>
      <sheetData sheetId="1037">
        <row r="65">
          <cell r="A65" t="str">
            <v>(II)</v>
          </cell>
        </row>
      </sheetData>
      <sheetData sheetId="1038">
        <row r="65">
          <cell r="A65" t="str">
            <v>(II)</v>
          </cell>
        </row>
      </sheetData>
      <sheetData sheetId="1039">
        <row r="65">
          <cell r="A65" t="str">
            <v>(II)</v>
          </cell>
        </row>
      </sheetData>
      <sheetData sheetId="1040">
        <row r="65">
          <cell r="A65" t="str">
            <v>(II)</v>
          </cell>
        </row>
      </sheetData>
      <sheetData sheetId="1041">
        <row r="65">
          <cell r="A65" t="str">
            <v>(II)</v>
          </cell>
        </row>
      </sheetData>
      <sheetData sheetId="1042">
        <row r="65">
          <cell r="A65" t="str">
            <v>(II)</v>
          </cell>
        </row>
      </sheetData>
      <sheetData sheetId="1043">
        <row r="65">
          <cell r="A65" t="str">
            <v>(II)</v>
          </cell>
        </row>
      </sheetData>
      <sheetData sheetId="1044">
        <row r="65">
          <cell r="A65" t="str">
            <v>(II)</v>
          </cell>
        </row>
      </sheetData>
      <sheetData sheetId="1045">
        <row r="65">
          <cell r="A65" t="str">
            <v>(II)</v>
          </cell>
        </row>
      </sheetData>
      <sheetData sheetId="1046">
        <row r="65">
          <cell r="A65" t="str">
            <v>(II)</v>
          </cell>
        </row>
      </sheetData>
      <sheetData sheetId="1047">
        <row r="65">
          <cell r="A65" t="str">
            <v>(II)</v>
          </cell>
        </row>
      </sheetData>
      <sheetData sheetId="1048">
        <row r="65">
          <cell r="A65" t="str">
            <v>(II)</v>
          </cell>
        </row>
      </sheetData>
      <sheetData sheetId="1049">
        <row r="65">
          <cell r="A65" t="str">
            <v>(II)</v>
          </cell>
        </row>
      </sheetData>
      <sheetData sheetId="1050">
        <row r="65">
          <cell r="A65" t="str">
            <v>(II)</v>
          </cell>
        </row>
      </sheetData>
      <sheetData sheetId="1051">
        <row r="65">
          <cell r="A65" t="str">
            <v>(II)</v>
          </cell>
        </row>
      </sheetData>
      <sheetData sheetId="1052">
        <row r="65">
          <cell r="A65" t="str">
            <v>(II)</v>
          </cell>
        </row>
      </sheetData>
      <sheetData sheetId="1053">
        <row r="65">
          <cell r="A65" t="str">
            <v>(II)</v>
          </cell>
        </row>
      </sheetData>
      <sheetData sheetId="1054">
        <row r="65">
          <cell r="A65" t="str">
            <v>(II)</v>
          </cell>
        </row>
      </sheetData>
      <sheetData sheetId="1055">
        <row r="65">
          <cell r="A65" t="str">
            <v>(II)</v>
          </cell>
        </row>
      </sheetData>
      <sheetData sheetId="1056">
        <row r="65">
          <cell r="A65" t="str">
            <v>(II)</v>
          </cell>
        </row>
      </sheetData>
      <sheetData sheetId="1057">
        <row r="65">
          <cell r="A65" t="str">
            <v>(II)</v>
          </cell>
        </row>
      </sheetData>
      <sheetData sheetId="1058">
        <row r="65">
          <cell r="A65" t="str">
            <v>(II)</v>
          </cell>
        </row>
      </sheetData>
      <sheetData sheetId="1059">
        <row r="65">
          <cell r="A65" t="str">
            <v>(II)</v>
          </cell>
        </row>
      </sheetData>
      <sheetData sheetId="1060">
        <row r="65">
          <cell r="A65" t="str">
            <v>(II)</v>
          </cell>
        </row>
      </sheetData>
      <sheetData sheetId="1061">
        <row r="65">
          <cell r="A65" t="str">
            <v>(II)</v>
          </cell>
        </row>
      </sheetData>
      <sheetData sheetId="1062">
        <row r="65">
          <cell r="A65" t="str">
            <v>(II)</v>
          </cell>
        </row>
      </sheetData>
      <sheetData sheetId="1063">
        <row r="65">
          <cell r="A65" t="str">
            <v>(II)</v>
          </cell>
        </row>
      </sheetData>
      <sheetData sheetId="1064">
        <row r="65">
          <cell r="A65" t="str">
            <v>(II)</v>
          </cell>
        </row>
      </sheetData>
      <sheetData sheetId="1065">
        <row r="65">
          <cell r="A65" t="str">
            <v>(II)</v>
          </cell>
        </row>
      </sheetData>
      <sheetData sheetId="1066">
        <row r="65">
          <cell r="A65" t="str">
            <v>(II)</v>
          </cell>
        </row>
      </sheetData>
      <sheetData sheetId="1067">
        <row r="65">
          <cell r="A65" t="str">
            <v>(II)</v>
          </cell>
        </row>
      </sheetData>
      <sheetData sheetId="1068">
        <row r="65">
          <cell r="A65" t="str">
            <v>(II)</v>
          </cell>
        </row>
      </sheetData>
      <sheetData sheetId="1069">
        <row r="65">
          <cell r="A65" t="str">
            <v>(II)</v>
          </cell>
        </row>
      </sheetData>
      <sheetData sheetId="1070">
        <row r="65">
          <cell r="A65" t="str">
            <v>(II)</v>
          </cell>
        </row>
      </sheetData>
      <sheetData sheetId="1071">
        <row r="65">
          <cell r="A65" t="str">
            <v>(II)</v>
          </cell>
        </row>
      </sheetData>
      <sheetData sheetId="1072">
        <row r="65">
          <cell r="A65" t="str">
            <v>(II)</v>
          </cell>
        </row>
      </sheetData>
      <sheetData sheetId="1073">
        <row r="65">
          <cell r="A65" t="str">
            <v>(II)</v>
          </cell>
        </row>
      </sheetData>
      <sheetData sheetId="1074">
        <row r="65">
          <cell r="A65" t="str">
            <v>(II)</v>
          </cell>
        </row>
      </sheetData>
      <sheetData sheetId="1075">
        <row r="65">
          <cell r="A65" t="str">
            <v>(II)</v>
          </cell>
        </row>
      </sheetData>
      <sheetData sheetId="1076">
        <row r="65">
          <cell r="A65" t="str">
            <v>(II)</v>
          </cell>
        </row>
      </sheetData>
      <sheetData sheetId="1077">
        <row r="65">
          <cell r="A65" t="str">
            <v>(II)</v>
          </cell>
        </row>
      </sheetData>
      <sheetData sheetId="1078">
        <row r="65">
          <cell r="A65" t="str">
            <v>(II)</v>
          </cell>
        </row>
      </sheetData>
      <sheetData sheetId="1079">
        <row r="65">
          <cell r="A65" t="str">
            <v>(II)</v>
          </cell>
        </row>
      </sheetData>
      <sheetData sheetId="1080">
        <row r="65">
          <cell r="A65" t="str">
            <v>(II)</v>
          </cell>
        </row>
      </sheetData>
      <sheetData sheetId="1081">
        <row r="65">
          <cell r="A65" t="str">
            <v>(II)</v>
          </cell>
        </row>
      </sheetData>
      <sheetData sheetId="1082">
        <row r="65">
          <cell r="A65" t="str">
            <v>(II)</v>
          </cell>
        </row>
      </sheetData>
      <sheetData sheetId="1083">
        <row r="65">
          <cell r="A65" t="str">
            <v>(II)</v>
          </cell>
        </row>
      </sheetData>
      <sheetData sheetId="1084">
        <row r="65">
          <cell r="A65" t="str">
            <v>(II)</v>
          </cell>
        </row>
      </sheetData>
      <sheetData sheetId="1085">
        <row r="65">
          <cell r="A65" t="str">
            <v>(II)</v>
          </cell>
        </row>
      </sheetData>
      <sheetData sheetId="1086">
        <row r="65">
          <cell r="A65" t="str">
            <v>(II)</v>
          </cell>
        </row>
      </sheetData>
      <sheetData sheetId="1087">
        <row r="65">
          <cell r="A65" t="str">
            <v>(II)</v>
          </cell>
        </row>
      </sheetData>
      <sheetData sheetId="1088">
        <row r="65">
          <cell r="A65" t="str">
            <v>(II)</v>
          </cell>
        </row>
      </sheetData>
      <sheetData sheetId="1089">
        <row r="65">
          <cell r="A65" t="str">
            <v>(II)</v>
          </cell>
        </row>
      </sheetData>
      <sheetData sheetId="1090">
        <row r="65">
          <cell r="A65" t="str">
            <v>(II)</v>
          </cell>
        </row>
      </sheetData>
      <sheetData sheetId="1091">
        <row r="65">
          <cell r="A65" t="str">
            <v>(II)</v>
          </cell>
        </row>
      </sheetData>
      <sheetData sheetId="1092">
        <row r="65">
          <cell r="A65" t="str">
            <v>(II)</v>
          </cell>
        </row>
      </sheetData>
      <sheetData sheetId="1093">
        <row r="65">
          <cell r="A65" t="str">
            <v>(II)</v>
          </cell>
        </row>
      </sheetData>
      <sheetData sheetId="1094">
        <row r="65">
          <cell r="A65" t="str">
            <v>(II)</v>
          </cell>
        </row>
      </sheetData>
      <sheetData sheetId="1095">
        <row r="65">
          <cell r="A65" t="str">
            <v>(II)</v>
          </cell>
        </row>
      </sheetData>
      <sheetData sheetId="1096">
        <row r="65">
          <cell r="A65" t="str">
            <v>(II)</v>
          </cell>
        </row>
      </sheetData>
      <sheetData sheetId="1097">
        <row r="65">
          <cell r="A65" t="str">
            <v>(II)</v>
          </cell>
        </row>
      </sheetData>
      <sheetData sheetId="1098">
        <row r="65">
          <cell r="A65" t="str">
            <v>(II)</v>
          </cell>
        </row>
      </sheetData>
      <sheetData sheetId="1099">
        <row r="65">
          <cell r="A65" t="str">
            <v>(II)</v>
          </cell>
        </row>
      </sheetData>
      <sheetData sheetId="1100">
        <row r="65">
          <cell r="A65" t="str">
            <v>(II)</v>
          </cell>
        </row>
      </sheetData>
      <sheetData sheetId="1101">
        <row r="65">
          <cell r="A65" t="str">
            <v>(II)</v>
          </cell>
        </row>
      </sheetData>
      <sheetData sheetId="1102">
        <row r="65">
          <cell r="A65" t="str">
            <v>(II)</v>
          </cell>
        </row>
      </sheetData>
      <sheetData sheetId="1103">
        <row r="65">
          <cell r="A65" t="str">
            <v>(II)</v>
          </cell>
        </row>
      </sheetData>
      <sheetData sheetId="1104">
        <row r="65">
          <cell r="A65" t="str">
            <v>(II)</v>
          </cell>
        </row>
      </sheetData>
      <sheetData sheetId="1105">
        <row r="65">
          <cell r="A65" t="str">
            <v>(II)</v>
          </cell>
        </row>
      </sheetData>
      <sheetData sheetId="1106">
        <row r="65">
          <cell r="A65" t="str">
            <v>(II)</v>
          </cell>
        </row>
      </sheetData>
      <sheetData sheetId="1107">
        <row r="65">
          <cell r="A65" t="str">
            <v>(II)</v>
          </cell>
        </row>
      </sheetData>
      <sheetData sheetId="1108">
        <row r="65">
          <cell r="A65" t="str">
            <v>(II)</v>
          </cell>
        </row>
      </sheetData>
      <sheetData sheetId="1109">
        <row r="65">
          <cell r="A65" t="str">
            <v>(II)</v>
          </cell>
        </row>
      </sheetData>
      <sheetData sheetId="1110">
        <row r="65">
          <cell r="A65" t="str">
            <v>(II)</v>
          </cell>
        </row>
      </sheetData>
      <sheetData sheetId="1111">
        <row r="65">
          <cell r="A65" t="str">
            <v>(II)</v>
          </cell>
        </row>
      </sheetData>
      <sheetData sheetId="1112">
        <row r="65">
          <cell r="A65" t="str">
            <v>(II)</v>
          </cell>
        </row>
      </sheetData>
      <sheetData sheetId="1113">
        <row r="65">
          <cell r="A65" t="str">
            <v>(II)</v>
          </cell>
        </row>
      </sheetData>
      <sheetData sheetId="1114" refreshError="1"/>
      <sheetData sheetId="1115" refreshError="1"/>
      <sheetData sheetId="1116" refreshError="1"/>
      <sheetData sheetId="1117">
        <row r="65">
          <cell r="A65" t="str">
            <v>(II)</v>
          </cell>
        </row>
      </sheetData>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ow r="65">
          <cell r="A65" t="str">
            <v>(II)</v>
          </cell>
        </row>
      </sheetData>
      <sheetData sheetId="1139">
        <row r="65">
          <cell r="A65" t="str">
            <v>(II)</v>
          </cell>
        </row>
      </sheetData>
      <sheetData sheetId="1140">
        <row r="65">
          <cell r="A65" t="str">
            <v>(II)</v>
          </cell>
        </row>
      </sheetData>
      <sheetData sheetId="1141">
        <row r="65">
          <cell r="A65" t="str">
            <v>(II)</v>
          </cell>
        </row>
      </sheetData>
      <sheetData sheetId="1142">
        <row r="65">
          <cell r="A65" t="str">
            <v>(II)</v>
          </cell>
        </row>
      </sheetData>
      <sheetData sheetId="1143">
        <row r="65">
          <cell r="A65" t="str">
            <v>(II)</v>
          </cell>
        </row>
      </sheetData>
      <sheetData sheetId="1144">
        <row r="65">
          <cell r="A65" t="str">
            <v>(II)</v>
          </cell>
        </row>
      </sheetData>
      <sheetData sheetId="1145">
        <row r="65">
          <cell r="A65" t="str">
            <v>(II)</v>
          </cell>
        </row>
      </sheetData>
      <sheetData sheetId="1146">
        <row r="65">
          <cell r="A65" t="str">
            <v>(II)</v>
          </cell>
        </row>
      </sheetData>
      <sheetData sheetId="1147">
        <row r="65">
          <cell r="A65" t="str">
            <v>(II)</v>
          </cell>
        </row>
      </sheetData>
      <sheetData sheetId="1148" refreshError="1"/>
      <sheetData sheetId="1149" refreshError="1"/>
      <sheetData sheetId="1150" refreshError="1"/>
      <sheetData sheetId="1151">
        <row r="65">
          <cell r="A65" t="str">
            <v>(II)</v>
          </cell>
        </row>
      </sheetData>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ow r="65">
          <cell r="A65" t="str">
            <v>(II)</v>
          </cell>
        </row>
      </sheetData>
      <sheetData sheetId="1163">
        <row r="65">
          <cell r="A65" t="str">
            <v>(II)</v>
          </cell>
        </row>
      </sheetData>
      <sheetData sheetId="1164">
        <row r="65">
          <cell r="A65" t="str">
            <v>(II)</v>
          </cell>
        </row>
      </sheetData>
      <sheetData sheetId="1165">
        <row r="65">
          <cell r="A65" t="str">
            <v>(II)</v>
          </cell>
        </row>
      </sheetData>
      <sheetData sheetId="1166">
        <row r="65">
          <cell r="A65" t="str">
            <v>(II)</v>
          </cell>
        </row>
      </sheetData>
      <sheetData sheetId="1167">
        <row r="65">
          <cell r="A65" t="str">
            <v>(II)</v>
          </cell>
        </row>
      </sheetData>
      <sheetData sheetId="1168" refreshError="1"/>
      <sheetData sheetId="1169">
        <row r="65">
          <cell r="A65" t="str">
            <v>(II)</v>
          </cell>
        </row>
      </sheetData>
      <sheetData sheetId="1170">
        <row r="65">
          <cell r="A65" t="str">
            <v>(II)</v>
          </cell>
        </row>
      </sheetData>
      <sheetData sheetId="1171">
        <row r="65">
          <cell r="A65" t="str">
            <v>(II)</v>
          </cell>
        </row>
      </sheetData>
      <sheetData sheetId="1172">
        <row r="65">
          <cell r="A65" t="str">
            <v>(II)</v>
          </cell>
        </row>
      </sheetData>
      <sheetData sheetId="1173" refreshError="1"/>
      <sheetData sheetId="1174" refreshError="1"/>
      <sheetData sheetId="1175" refreshError="1"/>
      <sheetData sheetId="1176" refreshError="1"/>
      <sheetData sheetId="1177" refreshError="1"/>
      <sheetData sheetId="1178" refreshError="1"/>
      <sheetData sheetId="1179"/>
      <sheetData sheetId="1180">
        <row r="65">
          <cell r="A65" t="str">
            <v>(II)</v>
          </cell>
        </row>
      </sheetData>
      <sheetData sheetId="1181">
        <row r="65">
          <cell r="A65" t="str">
            <v>(II)</v>
          </cell>
        </row>
      </sheetData>
      <sheetData sheetId="1182"/>
      <sheetData sheetId="1183">
        <row r="65">
          <cell r="A65" t="str">
            <v>(II)</v>
          </cell>
        </row>
      </sheetData>
      <sheetData sheetId="1184">
        <row r="65">
          <cell r="A65" t="str">
            <v>(II)</v>
          </cell>
        </row>
      </sheetData>
      <sheetData sheetId="1185"/>
      <sheetData sheetId="1186"/>
      <sheetData sheetId="1187">
        <row r="65">
          <cell r="A65" t="str">
            <v>(II)</v>
          </cell>
        </row>
      </sheetData>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ow r="65">
          <cell r="A65" t="str">
            <v>(II)</v>
          </cell>
        </row>
      </sheetData>
      <sheetData sheetId="1208">
        <row r="65">
          <cell r="A65" t="str">
            <v>(II)</v>
          </cell>
        </row>
      </sheetData>
      <sheetData sheetId="1209">
        <row r="65">
          <cell r="A65" t="str">
            <v>(II)</v>
          </cell>
        </row>
      </sheetData>
      <sheetData sheetId="1210">
        <row r="65">
          <cell r="A65" t="str">
            <v>(II)</v>
          </cell>
        </row>
      </sheetData>
      <sheetData sheetId="1211">
        <row r="65">
          <cell r="A65" t="str">
            <v>(II)</v>
          </cell>
        </row>
      </sheetData>
      <sheetData sheetId="1212">
        <row r="65">
          <cell r="A65" t="str">
            <v>(II)</v>
          </cell>
        </row>
      </sheetData>
      <sheetData sheetId="1213">
        <row r="65">
          <cell r="A65" t="str">
            <v>(II)</v>
          </cell>
        </row>
      </sheetData>
      <sheetData sheetId="1214">
        <row r="65">
          <cell r="A65" t="str">
            <v>(II)</v>
          </cell>
        </row>
      </sheetData>
      <sheetData sheetId="1215">
        <row r="65">
          <cell r="A65" t="str">
            <v>(II)</v>
          </cell>
        </row>
      </sheetData>
      <sheetData sheetId="1216">
        <row r="65">
          <cell r="A65" t="str">
            <v>(II)</v>
          </cell>
        </row>
      </sheetData>
      <sheetData sheetId="1217">
        <row r="65">
          <cell r="A65" t="str">
            <v>(II)</v>
          </cell>
        </row>
      </sheetData>
      <sheetData sheetId="1218">
        <row r="65">
          <cell r="A65" t="str">
            <v>(II)</v>
          </cell>
        </row>
      </sheetData>
      <sheetData sheetId="1219">
        <row r="65">
          <cell r="A65" t="str">
            <v>(II)</v>
          </cell>
        </row>
      </sheetData>
      <sheetData sheetId="1220">
        <row r="65">
          <cell r="A65" t="str">
            <v>(II)</v>
          </cell>
        </row>
      </sheetData>
      <sheetData sheetId="1221">
        <row r="65">
          <cell r="A65" t="str">
            <v>(II)</v>
          </cell>
        </row>
      </sheetData>
      <sheetData sheetId="1222">
        <row r="65">
          <cell r="A65" t="str">
            <v>(II)</v>
          </cell>
        </row>
      </sheetData>
      <sheetData sheetId="1223">
        <row r="65">
          <cell r="A65" t="str">
            <v>(II)</v>
          </cell>
        </row>
      </sheetData>
      <sheetData sheetId="1224">
        <row r="65">
          <cell r="A65" t="str">
            <v>(II)</v>
          </cell>
        </row>
      </sheetData>
      <sheetData sheetId="1225">
        <row r="65">
          <cell r="A65" t="str">
            <v>(II)</v>
          </cell>
        </row>
      </sheetData>
      <sheetData sheetId="1226">
        <row r="65">
          <cell r="A65" t="str">
            <v>(II)</v>
          </cell>
        </row>
      </sheetData>
      <sheetData sheetId="1227">
        <row r="65">
          <cell r="A65" t="str">
            <v>(II)</v>
          </cell>
        </row>
      </sheetData>
      <sheetData sheetId="1228">
        <row r="65">
          <cell r="A65" t="str">
            <v>(II)</v>
          </cell>
        </row>
      </sheetData>
      <sheetData sheetId="1229">
        <row r="65">
          <cell r="A65" t="str">
            <v>(II)</v>
          </cell>
        </row>
      </sheetData>
      <sheetData sheetId="1230">
        <row r="65">
          <cell r="A65" t="str">
            <v>(II)</v>
          </cell>
        </row>
      </sheetData>
      <sheetData sheetId="1231">
        <row r="65">
          <cell r="A65" t="str">
            <v>(II)</v>
          </cell>
        </row>
      </sheetData>
      <sheetData sheetId="1232">
        <row r="65">
          <cell r="A65" t="str">
            <v>(II)</v>
          </cell>
        </row>
      </sheetData>
      <sheetData sheetId="1233">
        <row r="65">
          <cell r="A65" t="str">
            <v>(II)</v>
          </cell>
        </row>
      </sheetData>
      <sheetData sheetId="1234">
        <row r="65">
          <cell r="A65" t="str">
            <v>(II)</v>
          </cell>
        </row>
      </sheetData>
      <sheetData sheetId="1235">
        <row r="65">
          <cell r="A65" t="str">
            <v>(II)</v>
          </cell>
        </row>
      </sheetData>
      <sheetData sheetId="1236">
        <row r="65">
          <cell r="A65" t="str">
            <v>(II)</v>
          </cell>
        </row>
      </sheetData>
      <sheetData sheetId="1237">
        <row r="65">
          <cell r="A65" t="str">
            <v>(II)</v>
          </cell>
        </row>
      </sheetData>
      <sheetData sheetId="1238">
        <row r="65">
          <cell r="A65" t="str">
            <v>(II)</v>
          </cell>
        </row>
      </sheetData>
      <sheetData sheetId="1239">
        <row r="65">
          <cell r="A65" t="str">
            <v>(II)</v>
          </cell>
        </row>
      </sheetData>
      <sheetData sheetId="1240">
        <row r="65">
          <cell r="A65" t="str">
            <v>(II)</v>
          </cell>
        </row>
      </sheetData>
      <sheetData sheetId="1241">
        <row r="65">
          <cell r="A65" t="str">
            <v>(II)</v>
          </cell>
        </row>
      </sheetData>
      <sheetData sheetId="1242">
        <row r="65">
          <cell r="A65" t="str">
            <v>(II)</v>
          </cell>
        </row>
      </sheetData>
      <sheetData sheetId="1243">
        <row r="65">
          <cell r="A65" t="str">
            <v>(II)</v>
          </cell>
        </row>
      </sheetData>
      <sheetData sheetId="1244">
        <row r="65">
          <cell r="A65" t="str">
            <v>(II)</v>
          </cell>
        </row>
      </sheetData>
      <sheetData sheetId="1245">
        <row r="65">
          <cell r="A65" t="str">
            <v>(II)</v>
          </cell>
        </row>
      </sheetData>
      <sheetData sheetId="1246">
        <row r="65">
          <cell r="A65" t="str">
            <v>(II)</v>
          </cell>
        </row>
      </sheetData>
      <sheetData sheetId="1247">
        <row r="65">
          <cell r="A65" t="str">
            <v>(II)</v>
          </cell>
        </row>
      </sheetData>
      <sheetData sheetId="1248">
        <row r="65">
          <cell r="A65" t="str">
            <v>(II)</v>
          </cell>
        </row>
      </sheetData>
      <sheetData sheetId="1249">
        <row r="65">
          <cell r="A65" t="str">
            <v>(II)</v>
          </cell>
        </row>
      </sheetData>
      <sheetData sheetId="1250">
        <row r="65">
          <cell r="A65" t="str">
            <v>(II)</v>
          </cell>
        </row>
      </sheetData>
      <sheetData sheetId="1251">
        <row r="65">
          <cell r="A65" t="str">
            <v>(II)</v>
          </cell>
        </row>
      </sheetData>
      <sheetData sheetId="1252">
        <row r="65">
          <cell r="A65" t="str">
            <v>(II)</v>
          </cell>
        </row>
      </sheetData>
      <sheetData sheetId="1253">
        <row r="65">
          <cell r="A65" t="str">
            <v>(II)</v>
          </cell>
        </row>
      </sheetData>
      <sheetData sheetId="1254">
        <row r="65">
          <cell r="A65" t="str">
            <v>(II)</v>
          </cell>
        </row>
      </sheetData>
      <sheetData sheetId="1255">
        <row r="65">
          <cell r="A65" t="str">
            <v>(II)</v>
          </cell>
        </row>
      </sheetData>
      <sheetData sheetId="1256">
        <row r="65">
          <cell r="A65" t="str">
            <v>(II)</v>
          </cell>
        </row>
      </sheetData>
      <sheetData sheetId="1257">
        <row r="65">
          <cell r="A65" t="str">
            <v>(II)</v>
          </cell>
        </row>
      </sheetData>
      <sheetData sheetId="1258">
        <row r="65">
          <cell r="A65" t="str">
            <v>(II)</v>
          </cell>
        </row>
      </sheetData>
      <sheetData sheetId="1259">
        <row r="65">
          <cell r="A65" t="str">
            <v>(II)</v>
          </cell>
        </row>
      </sheetData>
      <sheetData sheetId="1260">
        <row r="65">
          <cell r="A65" t="str">
            <v>(II)</v>
          </cell>
        </row>
      </sheetData>
      <sheetData sheetId="1261">
        <row r="65">
          <cell r="A65" t="str">
            <v>(II)</v>
          </cell>
        </row>
      </sheetData>
      <sheetData sheetId="1262">
        <row r="65">
          <cell r="A65" t="str">
            <v>(II)</v>
          </cell>
        </row>
      </sheetData>
      <sheetData sheetId="1263">
        <row r="65">
          <cell r="A65" t="str">
            <v>(II)</v>
          </cell>
        </row>
      </sheetData>
      <sheetData sheetId="1264">
        <row r="65">
          <cell r="A65" t="str">
            <v>(II)</v>
          </cell>
        </row>
      </sheetData>
      <sheetData sheetId="1265">
        <row r="65">
          <cell r="A65" t="str">
            <v>(II)</v>
          </cell>
        </row>
      </sheetData>
      <sheetData sheetId="1266">
        <row r="65">
          <cell r="A65" t="str">
            <v>(II)</v>
          </cell>
        </row>
      </sheetData>
      <sheetData sheetId="1267">
        <row r="65">
          <cell r="A65" t="str">
            <v>(II)</v>
          </cell>
        </row>
      </sheetData>
      <sheetData sheetId="1268">
        <row r="65">
          <cell r="A65" t="str">
            <v>(II)</v>
          </cell>
        </row>
      </sheetData>
      <sheetData sheetId="1269">
        <row r="65">
          <cell r="A65" t="str">
            <v>(II)</v>
          </cell>
        </row>
      </sheetData>
      <sheetData sheetId="1270">
        <row r="65">
          <cell r="A65" t="str">
            <v>(II)</v>
          </cell>
        </row>
      </sheetData>
      <sheetData sheetId="1271">
        <row r="65">
          <cell r="A65" t="str">
            <v>(II)</v>
          </cell>
        </row>
      </sheetData>
      <sheetData sheetId="1272">
        <row r="65">
          <cell r="A65" t="str">
            <v>(II)</v>
          </cell>
        </row>
      </sheetData>
      <sheetData sheetId="1273">
        <row r="65">
          <cell r="A65" t="str">
            <v>(II)</v>
          </cell>
        </row>
      </sheetData>
      <sheetData sheetId="1274">
        <row r="65">
          <cell r="A65" t="str">
            <v>(II)</v>
          </cell>
        </row>
      </sheetData>
      <sheetData sheetId="1275">
        <row r="65">
          <cell r="A65" t="str">
            <v>(II)</v>
          </cell>
        </row>
      </sheetData>
      <sheetData sheetId="1276">
        <row r="65">
          <cell r="A65" t="str">
            <v>(II)</v>
          </cell>
        </row>
      </sheetData>
      <sheetData sheetId="1277">
        <row r="65">
          <cell r="A65" t="str">
            <v>(II)</v>
          </cell>
        </row>
      </sheetData>
      <sheetData sheetId="1278">
        <row r="65">
          <cell r="A65" t="str">
            <v>(II)</v>
          </cell>
        </row>
      </sheetData>
      <sheetData sheetId="1279">
        <row r="65">
          <cell r="A65" t="str">
            <v>(II)</v>
          </cell>
        </row>
      </sheetData>
      <sheetData sheetId="1280">
        <row r="65">
          <cell r="A65" t="str">
            <v>(II)</v>
          </cell>
        </row>
      </sheetData>
      <sheetData sheetId="1281">
        <row r="65">
          <cell r="A65" t="str">
            <v>(II)</v>
          </cell>
        </row>
      </sheetData>
      <sheetData sheetId="1282">
        <row r="65">
          <cell r="A65" t="str">
            <v>(II)</v>
          </cell>
        </row>
      </sheetData>
      <sheetData sheetId="1283">
        <row r="65">
          <cell r="A65" t="str">
            <v>(II)</v>
          </cell>
        </row>
      </sheetData>
      <sheetData sheetId="1284">
        <row r="65">
          <cell r="A65" t="str">
            <v>(II)</v>
          </cell>
        </row>
      </sheetData>
      <sheetData sheetId="1285">
        <row r="65">
          <cell r="A65" t="str">
            <v>(II)</v>
          </cell>
        </row>
      </sheetData>
      <sheetData sheetId="1286">
        <row r="65">
          <cell r="A65" t="str">
            <v>(II)</v>
          </cell>
        </row>
      </sheetData>
      <sheetData sheetId="1287">
        <row r="65">
          <cell r="A65" t="str">
            <v>(II)</v>
          </cell>
        </row>
      </sheetData>
      <sheetData sheetId="1288">
        <row r="65">
          <cell r="A65" t="str">
            <v>(II)</v>
          </cell>
        </row>
      </sheetData>
      <sheetData sheetId="1289">
        <row r="65">
          <cell r="A65" t="str">
            <v>(II)</v>
          </cell>
        </row>
      </sheetData>
      <sheetData sheetId="1290">
        <row r="65">
          <cell r="A65" t="str">
            <v>(II)</v>
          </cell>
        </row>
      </sheetData>
      <sheetData sheetId="1291">
        <row r="65">
          <cell r="A65" t="str">
            <v>(II)</v>
          </cell>
        </row>
      </sheetData>
      <sheetData sheetId="1292">
        <row r="65">
          <cell r="A65" t="str">
            <v>(II)</v>
          </cell>
        </row>
      </sheetData>
      <sheetData sheetId="1293">
        <row r="65">
          <cell r="A65" t="str">
            <v>(II)</v>
          </cell>
        </row>
      </sheetData>
      <sheetData sheetId="1294">
        <row r="65">
          <cell r="A65" t="str">
            <v>(II)</v>
          </cell>
        </row>
      </sheetData>
      <sheetData sheetId="1295">
        <row r="65">
          <cell r="A65" t="str">
            <v>(II)</v>
          </cell>
        </row>
      </sheetData>
      <sheetData sheetId="1296">
        <row r="65">
          <cell r="A65" t="str">
            <v>(II)</v>
          </cell>
        </row>
      </sheetData>
      <sheetData sheetId="1297">
        <row r="65">
          <cell r="A65" t="str">
            <v>(II)</v>
          </cell>
        </row>
      </sheetData>
      <sheetData sheetId="1298">
        <row r="65">
          <cell r="A65" t="str">
            <v>(II)</v>
          </cell>
        </row>
      </sheetData>
      <sheetData sheetId="1299">
        <row r="65">
          <cell r="A65" t="str">
            <v>(II)</v>
          </cell>
        </row>
      </sheetData>
      <sheetData sheetId="1300">
        <row r="65">
          <cell r="A65" t="str">
            <v>(II)</v>
          </cell>
        </row>
      </sheetData>
      <sheetData sheetId="1301">
        <row r="65">
          <cell r="A65" t="str">
            <v>(II)</v>
          </cell>
        </row>
      </sheetData>
      <sheetData sheetId="1302">
        <row r="65">
          <cell r="A65" t="str">
            <v>(II)</v>
          </cell>
        </row>
      </sheetData>
      <sheetData sheetId="1303">
        <row r="65">
          <cell r="A65" t="str">
            <v>(II)</v>
          </cell>
        </row>
      </sheetData>
      <sheetData sheetId="1304">
        <row r="65">
          <cell r="A65" t="str">
            <v>(II)</v>
          </cell>
        </row>
      </sheetData>
      <sheetData sheetId="1305">
        <row r="65">
          <cell r="A65" t="str">
            <v>(II)</v>
          </cell>
        </row>
      </sheetData>
      <sheetData sheetId="1306">
        <row r="65">
          <cell r="A65" t="str">
            <v>(II)</v>
          </cell>
        </row>
      </sheetData>
      <sheetData sheetId="1307">
        <row r="65">
          <cell r="A65" t="str">
            <v>(II)</v>
          </cell>
        </row>
      </sheetData>
      <sheetData sheetId="1308">
        <row r="65">
          <cell r="A65" t="str">
            <v>(II)</v>
          </cell>
        </row>
      </sheetData>
      <sheetData sheetId="1309">
        <row r="65">
          <cell r="A65" t="str">
            <v>(II)</v>
          </cell>
        </row>
      </sheetData>
      <sheetData sheetId="1310">
        <row r="65">
          <cell r="A65" t="str">
            <v>(II)</v>
          </cell>
        </row>
      </sheetData>
      <sheetData sheetId="1311">
        <row r="65">
          <cell r="A65" t="str">
            <v>(II)</v>
          </cell>
        </row>
      </sheetData>
      <sheetData sheetId="1312">
        <row r="65">
          <cell r="A65" t="str">
            <v>(II)</v>
          </cell>
        </row>
      </sheetData>
      <sheetData sheetId="1313">
        <row r="65">
          <cell r="A65" t="str">
            <v>(II)</v>
          </cell>
        </row>
      </sheetData>
      <sheetData sheetId="1314">
        <row r="65">
          <cell r="A65" t="str">
            <v>(II)</v>
          </cell>
        </row>
      </sheetData>
      <sheetData sheetId="1315">
        <row r="65">
          <cell r="A65" t="str">
            <v>(II)</v>
          </cell>
        </row>
      </sheetData>
      <sheetData sheetId="1316">
        <row r="65">
          <cell r="A65" t="str">
            <v>(II)</v>
          </cell>
        </row>
      </sheetData>
      <sheetData sheetId="1317">
        <row r="65">
          <cell r="A65" t="str">
            <v>(II)</v>
          </cell>
        </row>
      </sheetData>
      <sheetData sheetId="1318">
        <row r="65">
          <cell r="A65" t="str">
            <v>(II)</v>
          </cell>
        </row>
      </sheetData>
      <sheetData sheetId="1319">
        <row r="65">
          <cell r="A65" t="str">
            <v>(II)</v>
          </cell>
        </row>
      </sheetData>
      <sheetData sheetId="1320">
        <row r="65">
          <cell r="A65" t="str">
            <v>(II)</v>
          </cell>
        </row>
      </sheetData>
      <sheetData sheetId="1321">
        <row r="65">
          <cell r="A65" t="str">
            <v>(II)</v>
          </cell>
        </row>
      </sheetData>
      <sheetData sheetId="1322">
        <row r="65">
          <cell r="A65" t="str">
            <v>(II)</v>
          </cell>
        </row>
      </sheetData>
      <sheetData sheetId="1323">
        <row r="65">
          <cell r="A65" t="str">
            <v>(II)</v>
          </cell>
        </row>
      </sheetData>
      <sheetData sheetId="1324">
        <row r="65">
          <cell r="A65" t="str">
            <v>(II)</v>
          </cell>
        </row>
      </sheetData>
      <sheetData sheetId="1325">
        <row r="65">
          <cell r="A65" t="str">
            <v>(II)</v>
          </cell>
        </row>
      </sheetData>
      <sheetData sheetId="1326">
        <row r="65">
          <cell r="A65" t="str">
            <v>(II)</v>
          </cell>
        </row>
      </sheetData>
      <sheetData sheetId="1327">
        <row r="65">
          <cell r="A65" t="str">
            <v>(II)</v>
          </cell>
        </row>
      </sheetData>
      <sheetData sheetId="1328">
        <row r="65">
          <cell r="A65" t="str">
            <v>(II)</v>
          </cell>
        </row>
      </sheetData>
      <sheetData sheetId="1329">
        <row r="65">
          <cell r="A65" t="str">
            <v>(II)</v>
          </cell>
        </row>
      </sheetData>
      <sheetData sheetId="1330">
        <row r="65">
          <cell r="A65" t="str">
            <v>(II)</v>
          </cell>
        </row>
      </sheetData>
      <sheetData sheetId="1331">
        <row r="65">
          <cell r="A65" t="str">
            <v>(II)</v>
          </cell>
        </row>
      </sheetData>
      <sheetData sheetId="1332">
        <row r="65">
          <cell r="A65" t="str">
            <v>(II)</v>
          </cell>
        </row>
      </sheetData>
      <sheetData sheetId="1333">
        <row r="65">
          <cell r="A65" t="str">
            <v>(II)</v>
          </cell>
        </row>
      </sheetData>
      <sheetData sheetId="1334">
        <row r="65">
          <cell r="A65" t="str">
            <v>(II)</v>
          </cell>
        </row>
      </sheetData>
      <sheetData sheetId="1335">
        <row r="65">
          <cell r="A65" t="str">
            <v>(II)</v>
          </cell>
        </row>
      </sheetData>
      <sheetData sheetId="1336">
        <row r="65">
          <cell r="A65" t="str">
            <v>(II)</v>
          </cell>
        </row>
      </sheetData>
      <sheetData sheetId="1337">
        <row r="65">
          <cell r="A65" t="str">
            <v>(II)</v>
          </cell>
        </row>
      </sheetData>
      <sheetData sheetId="1338">
        <row r="65">
          <cell r="A65" t="str">
            <v>(II)</v>
          </cell>
        </row>
      </sheetData>
      <sheetData sheetId="1339">
        <row r="65">
          <cell r="A65" t="str">
            <v>(II)</v>
          </cell>
        </row>
      </sheetData>
      <sheetData sheetId="1340">
        <row r="65">
          <cell r="A65" t="str">
            <v>(II)</v>
          </cell>
        </row>
      </sheetData>
      <sheetData sheetId="1341">
        <row r="65">
          <cell r="A65" t="str">
            <v>(II)</v>
          </cell>
        </row>
      </sheetData>
      <sheetData sheetId="1342">
        <row r="65">
          <cell r="A65" t="str">
            <v>(II)</v>
          </cell>
        </row>
      </sheetData>
      <sheetData sheetId="1343">
        <row r="65">
          <cell r="A65" t="str">
            <v>(II)</v>
          </cell>
        </row>
      </sheetData>
      <sheetData sheetId="1344">
        <row r="65">
          <cell r="A65" t="str">
            <v>(II)</v>
          </cell>
        </row>
      </sheetData>
      <sheetData sheetId="1345">
        <row r="65">
          <cell r="A65" t="str">
            <v>(II)</v>
          </cell>
        </row>
      </sheetData>
      <sheetData sheetId="1346">
        <row r="65">
          <cell r="A65" t="str">
            <v>(II)</v>
          </cell>
        </row>
      </sheetData>
      <sheetData sheetId="1347">
        <row r="65">
          <cell r="A65" t="str">
            <v>(II)</v>
          </cell>
        </row>
      </sheetData>
      <sheetData sheetId="1348">
        <row r="65">
          <cell r="A65" t="str">
            <v>(II)</v>
          </cell>
        </row>
      </sheetData>
      <sheetData sheetId="1349">
        <row r="65">
          <cell r="A65" t="str">
            <v>(II)</v>
          </cell>
        </row>
      </sheetData>
      <sheetData sheetId="1350">
        <row r="65">
          <cell r="A65" t="str">
            <v>(II)</v>
          </cell>
        </row>
      </sheetData>
      <sheetData sheetId="1351">
        <row r="65">
          <cell r="A65" t="str">
            <v>(II)</v>
          </cell>
        </row>
      </sheetData>
      <sheetData sheetId="1352">
        <row r="65">
          <cell r="A65" t="str">
            <v>(II)</v>
          </cell>
        </row>
      </sheetData>
      <sheetData sheetId="1353">
        <row r="65">
          <cell r="A65" t="str">
            <v>(II)</v>
          </cell>
        </row>
      </sheetData>
      <sheetData sheetId="1354">
        <row r="65">
          <cell r="A65" t="str">
            <v>(II)</v>
          </cell>
        </row>
      </sheetData>
      <sheetData sheetId="1355">
        <row r="65">
          <cell r="A65" t="str">
            <v>(II)</v>
          </cell>
        </row>
      </sheetData>
      <sheetData sheetId="1356">
        <row r="65">
          <cell r="A65" t="str">
            <v>(II)</v>
          </cell>
        </row>
      </sheetData>
      <sheetData sheetId="1357">
        <row r="65">
          <cell r="A65" t="str">
            <v>(II)</v>
          </cell>
        </row>
      </sheetData>
      <sheetData sheetId="1358">
        <row r="65">
          <cell r="A65" t="str">
            <v>(II)</v>
          </cell>
        </row>
      </sheetData>
      <sheetData sheetId="1359">
        <row r="65">
          <cell r="A65" t="str">
            <v>(II)</v>
          </cell>
        </row>
      </sheetData>
      <sheetData sheetId="1360">
        <row r="65">
          <cell r="A65" t="str">
            <v>(II)</v>
          </cell>
        </row>
      </sheetData>
      <sheetData sheetId="1361">
        <row r="65">
          <cell r="A65" t="str">
            <v>(II)</v>
          </cell>
        </row>
      </sheetData>
      <sheetData sheetId="1362">
        <row r="65">
          <cell r="A65" t="str">
            <v>(II)</v>
          </cell>
        </row>
      </sheetData>
      <sheetData sheetId="1363">
        <row r="65">
          <cell r="A65" t="str">
            <v>(II)</v>
          </cell>
        </row>
      </sheetData>
      <sheetData sheetId="1364">
        <row r="65">
          <cell r="A65" t="str">
            <v>(II)</v>
          </cell>
        </row>
      </sheetData>
      <sheetData sheetId="1365">
        <row r="65">
          <cell r="A65" t="str">
            <v>(II)</v>
          </cell>
        </row>
      </sheetData>
      <sheetData sheetId="1366">
        <row r="65">
          <cell r="A65" t="str">
            <v>(II)</v>
          </cell>
        </row>
      </sheetData>
      <sheetData sheetId="1367">
        <row r="65">
          <cell r="A65" t="str">
            <v>(II)</v>
          </cell>
        </row>
      </sheetData>
      <sheetData sheetId="1368">
        <row r="65">
          <cell r="A65" t="str">
            <v>(II)</v>
          </cell>
        </row>
      </sheetData>
      <sheetData sheetId="1369">
        <row r="65">
          <cell r="A65" t="str">
            <v>(II)</v>
          </cell>
        </row>
      </sheetData>
      <sheetData sheetId="1370">
        <row r="65">
          <cell r="A65" t="str">
            <v>(II)</v>
          </cell>
        </row>
      </sheetData>
      <sheetData sheetId="1371">
        <row r="65">
          <cell r="A65" t="str">
            <v>(II)</v>
          </cell>
        </row>
      </sheetData>
      <sheetData sheetId="1372">
        <row r="65">
          <cell r="A65" t="str">
            <v>(II)</v>
          </cell>
        </row>
      </sheetData>
      <sheetData sheetId="1373">
        <row r="65">
          <cell r="A65" t="str">
            <v>(II)</v>
          </cell>
        </row>
      </sheetData>
      <sheetData sheetId="1374">
        <row r="65">
          <cell r="A65" t="str">
            <v>(II)</v>
          </cell>
        </row>
      </sheetData>
      <sheetData sheetId="1375">
        <row r="65">
          <cell r="A65" t="str">
            <v>(II)</v>
          </cell>
        </row>
      </sheetData>
      <sheetData sheetId="1376">
        <row r="65">
          <cell r="A65" t="str">
            <v>(II)</v>
          </cell>
        </row>
      </sheetData>
      <sheetData sheetId="1377">
        <row r="65">
          <cell r="A65" t="str">
            <v>(II)</v>
          </cell>
        </row>
      </sheetData>
      <sheetData sheetId="1378">
        <row r="65">
          <cell r="A65" t="str">
            <v>(II)</v>
          </cell>
        </row>
      </sheetData>
      <sheetData sheetId="1379">
        <row r="65">
          <cell r="A65" t="str">
            <v>(II)</v>
          </cell>
        </row>
      </sheetData>
      <sheetData sheetId="1380">
        <row r="65">
          <cell r="A65" t="str">
            <v>(II)</v>
          </cell>
        </row>
      </sheetData>
      <sheetData sheetId="1381">
        <row r="65">
          <cell r="A65" t="str">
            <v>(II)</v>
          </cell>
        </row>
      </sheetData>
      <sheetData sheetId="1382"/>
      <sheetData sheetId="1383">
        <row r="65">
          <cell r="A65" t="str">
            <v>(II)</v>
          </cell>
        </row>
      </sheetData>
      <sheetData sheetId="1384">
        <row r="65">
          <cell r="A65" t="str">
            <v>(II)</v>
          </cell>
        </row>
      </sheetData>
      <sheetData sheetId="1385">
        <row r="65">
          <cell r="A65" t="str">
            <v>(II)</v>
          </cell>
        </row>
      </sheetData>
      <sheetData sheetId="1386">
        <row r="65">
          <cell r="A65" t="str">
            <v>(II)</v>
          </cell>
        </row>
      </sheetData>
      <sheetData sheetId="1387">
        <row r="65">
          <cell r="A65" t="str">
            <v>(II)</v>
          </cell>
        </row>
      </sheetData>
      <sheetData sheetId="1388">
        <row r="65">
          <cell r="A65" t="str">
            <v>(II)</v>
          </cell>
        </row>
      </sheetData>
      <sheetData sheetId="1389">
        <row r="65">
          <cell r="A65" t="str">
            <v>(II)</v>
          </cell>
        </row>
      </sheetData>
      <sheetData sheetId="1390">
        <row r="65">
          <cell r="A65" t="str">
            <v>(II)</v>
          </cell>
        </row>
      </sheetData>
      <sheetData sheetId="1391">
        <row r="65">
          <cell r="A65" t="str">
            <v>(II)</v>
          </cell>
        </row>
      </sheetData>
      <sheetData sheetId="1392">
        <row r="65">
          <cell r="A65" t="str">
            <v>(II)</v>
          </cell>
        </row>
      </sheetData>
      <sheetData sheetId="1393">
        <row r="65">
          <cell r="A65" t="str">
            <v>(II)</v>
          </cell>
        </row>
      </sheetData>
      <sheetData sheetId="1394">
        <row r="65">
          <cell r="A65" t="str">
            <v>(II)</v>
          </cell>
        </row>
      </sheetData>
      <sheetData sheetId="1395">
        <row r="65">
          <cell r="A65" t="str">
            <v>(II)</v>
          </cell>
        </row>
      </sheetData>
      <sheetData sheetId="1396">
        <row r="65">
          <cell r="A65" t="str">
            <v>(II)</v>
          </cell>
        </row>
      </sheetData>
      <sheetData sheetId="1397">
        <row r="65">
          <cell r="A65" t="str">
            <v>(II)</v>
          </cell>
        </row>
      </sheetData>
      <sheetData sheetId="1398">
        <row r="65">
          <cell r="A65" t="str">
            <v>(II)</v>
          </cell>
        </row>
      </sheetData>
      <sheetData sheetId="1399">
        <row r="65">
          <cell r="A65" t="str">
            <v>(II)</v>
          </cell>
        </row>
      </sheetData>
      <sheetData sheetId="1400">
        <row r="65">
          <cell r="A65" t="str">
            <v>(II)</v>
          </cell>
        </row>
      </sheetData>
      <sheetData sheetId="1401">
        <row r="65">
          <cell r="A65" t="str">
            <v>(II)</v>
          </cell>
        </row>
      </sheetData>
      <sheetData sheetId="1402">
        <row r="65">
          <cell r="A65" t="str">
            <v>(II)</v>
          </cell>
        </row>
      </sheetData>
      <sheetData sheetId="1403">
        <row r="65">
          <cell r="A65" t="str">
            <v>(II)</v>
          </cell>
        </row>
      </sheetData>
      <sheetData sheetId="1404">
        <row r="65">
          <cell r="A65" t="str">
            <v>(II)</v>
          </cell>
        </row>
      </sheetData>
      <sheetData sheetId="1405">
        <row r="65">
          <cell r="A65" t="str">
            <v>(II)</v>
          </cell>
        </row>
      </sheetData>
      <sheetData sheetId="1406">
        <row r="65">
          <cell r="A65" t="str">
            <v>(II)</v>
          </cell>
        </row>
      </sheetData>
      <sheetData sheetId="1407">
        <row r="65">
          <cell r="A65" t="str">
            <v>(II)</v>
          </cell>
        </row>
      </sheetData>
      <sheetData sheetId="1408">
        <row r="65">
          <cell r="A65" t="str">
            <v>(II)</v>
          </cell>
        </row>
      </sheetData>
      <sheetData sheetId="1409">
        <row r="65">
          <cell r="A65" t="str">
            <v>(II)</v>
          </cell>
        </row>
      </sheetData>
      <sheetData sheetId="1410">
        <row r="65">
          <cell r="A65" t="str">
            <v>(II)</v>
          </cell>
        </row>
      </sheetData>
      <sheetData sheetId="1411">
        <row r="65">
          <cell r="A65" t="str">
            <v>(II)</v>
          </cell>
        </row>
      </sheetData>
      <sheetData sheetId="1412">
        <row r="65">
          <cell r="A65" t="str">
            <v>(II)</v>
          </cell>
        </row>
      </sheetData>
      <sheetData sheetId="1413">
        <row r="65">
          <cell r="A65" t="str">
            <v>(II)</v>
          </cell>
        </row>
      </sheetData>
      <sheetData sheetId="1414">
        <row r="65">
          <cell r="A65" t="str">
            <v>(II)</v>
          </cell>
        </row>
      </sheetData>
      <sheetData sheetId="1415">
        <row r="65">
          <cell r="A65" t="str">
            <v>(II)</v>
          </cell>
        </row>
      </sheetData>
      <sheetData sheetId="1416">
        <row r="65">
          <cell r="A65" t="str">
            <v>(II)</v>
          </cell>
        </row>
      </sheetData>
      <sheetData sheetId="1417">
        <row r="65">
          <cell r="A65" t="str">
            <v>(II)</v>
          </cell>
        </row>
      </sheetData>
      <sheetData sheetId="1418">
        <row r="65">
          <cell r="A65" t="str">
            <v>(II)</v>
          </cell>
        </row>
      </sheetData>
      <sheetData sheetId="1419">
        <row r="65">
          <cell r="A65" t="str">
            <v>(II)</v>
          </cell>
        </row>
      </sheetData>
      <sheetData sheetId="1420">
        <row r="65">
          <cell r="A65" t="str">
            <v>(II)</v>
          </cell>
        </row>
      </sheetData>
      <sheetData sheetId="1421">
        <row r="65">
          <cell r="A65" t="str">
            <v>(II)</v>
          </cell>
        </row>
      </sheetData>
      <sheetData sheetId="1422">
        <row r="65">
          <cell r="A65" t="str">
            <v>(II)</v>
          </cell>
        </row>
      </sheetData>
      <sheetData sheetId="1423">
        <row r="65">
          <cell r="A65" t="str">
            <v>(II)</v>
          </cell>
        </row>
      </sheetData>
      <sheetData sheetId="1424">
        <row r="65">
          <cell r="A65" t="str">
            <v>(II)</v>
          </cell>
        </row>
      </sheetData>
      <sheetData sheetId="1425">
        <row r="65">
          <cell r="A65" t="str">
            <v>(II)</v>
          </cell>
        </row>
      </sheetData>
      <sheetData sheetId="1426">
        <row r="65">
          <cell r="A65" t="str">
            <v>(II)</v>
          </cell>
        </row>
      </sheetData>
      <sheetData sheetId="1427">
        <row r="65">
          <cell r="A65" t="str">
            <v>(II)</v>
          </cell>
        </row>
      </sheetData>
      <sheetData sheetId="1428">
        <row r="65">
          <cell r="A65" t="str">
            <v>(II)</v>
          </cell>
        </row>
      </sheetData>
      <sheetData sheetId="1429">
        <row r="65">
          <cell r="A65" t="str">
            <v>(II)</v>
          </cell>
        </row>
      </sheetData>
      <sheetData sheetId="1430">
        <row r="65">
          <cell r="A65" t="str">
            <v>(II)</v>
          </cell>
        </row>
      </sheetData>
      <sheetData sheetId="1431">
        <row r="65">
          <cell r="A65" t="str">
            <v>(II)</v>
          </cell>
        </row>
      </sheetData>
      <sheetData sheetId="1432">
        <row r="65">
          <cell r="A65" t="str">
            <v>(II)</v>
          </cell>
        </row>
      </sheetData>
      <sheetData sheetId="1433"/>
      <sheetData sheetId="1434"/>
      <sheetData sheetId="1435"/>
      <sheetData sheetId="1436">
        <row r="65">
          <cell r="A65" t="str">
            <v>(II)</v>
          </cell>
        </row>
      </sheetData>
      <sheetData sheetId="1437">
        <row r="65">
          <cell r="A65" t="str">
            <v>(II)</v>
          </cell>
        </row>
      </sheetData>
      <sheetData sheetId="1438">
        <row r="65">
          <cell r="A65" t="str">
            <v>(II)</v>
          </cell>
        </row>
      </sheetData>
      <sheetData sheetId="1439">
        <row r="65">
          <cell r="A65" t="str">
            <v>(II)</v>
          </cell>
        </row>
      </sheetData>
      <sheetData sheetId="1440" refreshError="1"/>
      <sheetData sheetId="1441" refreshError="1"/>
      <sheetData sheetId="1442" refreshError="1"/>
      <sheetData sheetId="1443" refreshError="1"/>
      <sheetData sheetId="1444" refreshError="1"/>
      <sheetData sheetId="1445">
        <row r="65">
          <cell r="A65" t="str">
            <v>(II)</v>
          </cell>
        </row>
      </sheetData>
      <sheetData sheetId="1446">
        <row r="65">
          <cell r="A65" t="str">
            <v>(II)</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ow r="65">
          <cell r="A65" t="str">
            <v>(II)</v>
          </cell>
        </row>
      </sheetData>
      <sheetData sheetId="1462">
        <row r="65">
          <cell r="A65" t="str">
            <v>(II)</v>
          </cell>
        </row>
      </sheetData>
      <sheetData sheetId="1463">
        <row r="65">
          <cell r="A65" t="str">
            <v>(II)</v>
          </cell>
        </row>
      </sheetData>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ow r="65">
          <cell r="A65" t="str">
            <v>(II)</v>
          </cell>
        </row>
      </sheetData>
      <sheetData sheetId="1590">
        <row r="65">
          <cell r="A65" t="str">
            <v>(II)</v>
          </cell>
        </row>
      </sheetData>
      <sheetData sheetId="1591">
        <row r="65">
          <cell r="A65" t="str">
            <v>(II)</v>
          </cell>
        </row>
      </sheetData>
      <sheetData sheetId="1592">
        <row r="65">
          <cell r="A65" t="str">
            <v>(II)</v>
          </cell>
        </row>
      </sheetData>
      <sheetData sheetId="1593">
        <row r="65">
          <cell r="A65" t="str">
            <v>(II)</v>
          </cell>
        </row>
      </sheetData>
      <sheetData sheetId="1594">
        <row r="65">
          <cell r="A65" t="str">
            <v>(II)</v>
          </cell>
        </row>
      </sheetData>
      <sheetData sheetId="1595">
        <row r="65">
          <cell r="A65" t="str">
            <v>(II)</v>
          </cell>
        </row>
      </sheetData>
      <sheetData sheetId="1596">
        <row r="65">
          <cell r="A65" t="str">
            <v>(II)</v>
          </cell>
        </row>
      </sheetData>
      <sheetData sheetId="1597">
        <row r="65">
          <cell r="A65" t="str">
            <v>(II)</v>
          </cell>
        </row>
      </sheetData>
      <sheetData sheetId="1598">
        <row r="65">
          <cell r="A65" t="str">
            <v>(II)</v>
          </cell>
        </row>
      </sheetData>
      <sheetData sheetId="1599">
        <row r="65">
          <cell r="A65" t="str">
            <v>(II)</v>
          </cell>
        </row>
      </sheetData>
      <sheetData sheetId="1600">
        <row r="65">
          <cell r="A65" t="str">
            <v>(II)</v>
          </cell>
        </row>
      </sheetData>
      <sheetData sheetId="1601" refreshError="1"/>
      <sheetData sheetId="1602">
        <row r="65">
          <cell r="A65" t="str">
            <v>(II)</v>
          </cell>
        </row>
      </sheetData>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sheetData sheetId="1629"/>
      <sheetData sheetId="1630"/>
      <sheetData sheetId="1631"/>
      <sheetData sheetId="1632"/>
      <sheetData sheetId="1633"/>
      <sheetData sheetId="1634"/>
      <sheetData sheetId="1635"/>
      <sheetData sheetId="1636"/>
      <sheetData sheetId="1637">
        <row r="65">
          <cell r="A65" t="str">
            <v>(II)</v>
          </cell>
        </row>
      </sheetData>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ow r="65">
          <cell r="A65" t="str">
            <v>(II)</v>
          </cell>
        </row>
      </sheetData>
      <sheetData sheetId="1770"/>
      <sheetData sheetId="1771"/>
      <sheetData sheetId="1772"/>
      <sheetData sheetId="1773"/>
      <sheetData sheetId="1774"/>
      <sheetData sheetId="1775">
        <row r="65">
          <cell r="A65" t="str">
            <v>(II)</v>
          </cell>
        </row>
      </sheetData>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row r="65">
          <cell r="A65" t="str">
            <v>(II)</v>
          </cell>
        </row>
      </sheetData>
      <sheetData sheetId="1805"/>
      <sheetData sheetId="1806"/>
      <sheetData sheetId="1807">
        <row r="65">
          <cell r="A65" t="str">
            <v>(II)</v>
          </cell>
        </row>
      </sheetData>
      <sheetData sheetId="1808"/>
      <sheetData sheetId="1809"/>
      <sheetData sheetId="1810"/>
      <sheetData sheetId="1811">
        <row r="65">
          <cell r="A65" t="str">
            <v>(II)</v>
          </cell>
        </row>
      </sheetData>
      <sheetData sheetId="1812"/>
      <sheetData sheetId="1813"/>
      <sheetData sheetId="1814"/>
      <sheetData sheetId="1815"/>
      <sheetData sheetId="1816"/>
      <sheetData sheetId="1817">
        <row r="65">
          <cell r="A65" t="str">
            <v>(II)</v>
          </cell>
        </row>
      </sheetData>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row r="65">
          <cell r="A65" t="str">
            <v>(II)</v>
          </cell>
        </row>
      </sheetData>
      <sheetData sheetId="1838"/>
      <sheetData sheetId="1839"/>
      <sheetData sheetId="1840">
        <row r="65">
          <cell r="A65" t="str">
            <v>(II)</v>
          </cell>
        </row>
      </sheetData>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row r="65">
          <cell r="A65" t="str">
            <v>(II)</v>
          </cell>
        </row>
      </sheetData>
      <sheetData sheetId="1867"/>
      <sheetData sheetId="1868"/>
      <sheetData sheetId="1869"/>
      <sheetData sheetId="1870"/>
      <sheetData sheetId="1871"/>
      <sheetData sheetId="1872"/>
      <sheetData sheetId="1873"/>
      <sheetData sheetId="1874"/>
      <sheetData sheetId="1875">
        <row r="65">
          <cell r="A65" t="str">
            <v>(II)</v>
          </cell>
        </row>
      </sheetData>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row r="65">
          <cell r="A65" t="str">
            <v>(II)</v>
          </cell>
        </row>
      </sheetData>
      <sheetData sheetId="1896"/>
      <sheetData sheetId="1897"/>
      <sheetData sheetId="1898"/>
      <sheetData sheetId="1899">
        <row r="65">
          <cell r="A65" t="str">
            <v>(II)</v>
          </cell>
        </row>
      </sheetData>
      <sheetData sheetId="1900"/>
      <sheetData sheetId="1901"/>
      <sheetData sheetId="1902"/>
      <sheetData sheetId="1903"/>
      <sheetData sheetId="1904"/>
      <sheetData sheetId="1905"/>
      <sheetData sheetId="1906"/>
      <sheetData sheetId="1907">
        <row r="65">
          <cell r="A65" t="str">
            <v>(II)</v>
          </cell>
        </row>
      </sheetData>
      <sheetData sheetId="1908"/>
      <sheetData sheetId="1909"/>
      <sheetData sheetId="1910"/>
      <sheetData sheetId="1911">
        <row r="65">
          <cell r="A65" t="str">
            <v>(II)</v>
          </cell>
        </row>
      </sheetData>
      <sheetData sheetId="1912">
        <row r="65">
          <cell r="A65" t="str">
            <v>(II)</v>
          </cell>
        </row>
      </sheetData>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sheetData sheetId="1926" refreshError="1"/>
      <sheetData sheetId="1927"/>
      <sheetData sheetId="1928"/>
      <sheetData sheetId="1929">
        <row r="65">
          <cell r="A65" t="str">
            <v>(II)</v>
          </cell>
        </row>
      </sheetData>
      <sheetData sheetId="1930"/>
      <sheetData sheetId="1931"/>
      <sheetData sheetId="1932">
        <row r="65">
          <cell r="A65" t="str">
            <v>(II)</v>
          </cell>
        </row>
      </sheetData>
      <sheetData sheetId="1933">
        <row r="65">
          <cell r="A65" t="str">
            <v>(II)</v>
          </cell>
        </row>
      </sheetData>
      <sheetData sheetId="1934">
        <row r="65">
          <cell r="A65" t="str">
            <v>(II)</v>
          </cell>
        </row>
      </sheetData>
      <sheetData sheetId="1935"/>
      <sheetData sheetId="1936" refreshError="1"/>
      <sheetData sheetId="1937" refreshError="1"/>
      <sheetData sheetId="1938" refreshError="1"/>
      <sheetData sheetId="1939" refreshError="1"/>
      <sheetData sheetId="1940" refreshError="1"/>
      <sheetData sheetId="1941" refreshError="1"/>
      <sheetData sheetId="1942"/>
      <sheetData sheetId="1943"/>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sheetData sheetId="1955"/>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sheetData sheetId="2025" refreshError="1"/>
      <sheetData sheetId="2026" refreshError="1"/>
      <sheetData sheetId="2027" refreshError="1"/>
      <sheetData sheetId="2028"/>
      <sheetData sheetId="2029"/>
      <sheetData sheetId="2030"/>
      <sheetData sheetId="2031"/>
      <sheetData sheetId="2032"/>
      <sheetData sheetId="2033">
        <row r="65">
          <cell r="A65" t="str">
            <v>(II)</v>
          </cell>
        </row>
      </sheetData>
      <sheetData sheetId="2034"/>
      <sheetData sheetId="2035"/>
      <sheetData sheetId="2036"/>
      <sheetData sheetId="2037"/>
      <sheetData sheetId="2038"/>
      <sheetData sheetId="2039">
        <row r="65">
          <cell r="A65" t="str">
            <v>(II)</v>
          </cell>
        </row>
      </sheetData>
      <sheetData sheetId="2040"/>
      <sheetData sheetId="2041"/>
      <sheetData sheetId="2042"/>
      <sheetData sheetId="2043"/>
      <sheetData sheetId="2044"/>
      <sheetData sheetId="2045"/>
      <sheetData sheetId="2046">
        <row r="65">
          <cell r="A65" t="str">
            <v>(II)</v>
          </cell>
        </row>
      </sheetData>
      <sheetData sheetId="2047"/>
      <sheetData sheetId="2048"/>
      <sheetData sheetId="2049"/>
      <sheetData sheetId="2050"/>
      <sheetData sheetId="2051"/>
      <sheetData sheetId="2052"/>
      <sheetData sheetId="2053"/>
      <sheetData sheetId="2054"/>
      <sheetData sheetId="2055"/>
      <sheetData sheetId="2056"/>
      <sheetData sheetId="2057">
        <row r="65">
          <cell r="A65" t="str">
            <v>(II)</v>
          </cell>
        </row>
      </sheetData>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row r="65">
          <cell r="A65" t="str">
            <v>(II)</v>
          </cell>
        </row>
      </sheetData>
      <sheetData sheetId="2083"/>
      <sheetData sheetId="2084"/>
      <sheetData sheetId="2085"/>
      <sheetData sheetId="2086">
        <row r="65">
          <cell r="A65" t="str">
            <v>(II)</v>
          </cell>
        </row>
      </sheetData>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row r="65">
          <cell r="A65" t="str">
            <v>(II)</v>
          </cell>
        </row>
      </sheetData>
      <sheetData sheetId="2115"/>
      <sheetData sheetId="2116"/>
      <sheetData sheetId="2117"/>
      <sheetData sheetId="2118"/>
      <sheetData sheetId="2119"/>
      <sheetData sheetId="2120"/>
      <sheetData sheetId="2121">
        <row r="65">
          <cell r="A65" t="str">
            <v>(II)</v>
          </cell>
        </row>
      </sheetData>
      <sheetData sheetId="2122"/>
      <sheetData sheetId="2123"/>
      <sheetData sheetId="2124"/>
      <sheetData sheetId="2125"/>
      <sheetData sheetId="2126"/>
      <sheetData sheetId="2127"/>
      <sheetData sheetId="2128">
        <row r="65">
          <cell r="A65" t="str">
            <v>(II)</v>
          </cell>
        </row>
      </sheetData>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row r="65">
          <cell r="A65" t="str">
            <v>(II)</v>
          </cell>
        </row>
      </sheetData>
      <sheetData sheetId="2163"/>
      <sheetData sheetId="2164"/>
      <sheetData sheetId="2165"/>
      <sheetData sheetId="2166"/>
      <sheetData sheetId="2167"/>
      <sheetData sheetId="2168"/>
      <sheetData sheetId="2169">
        <row r="65">
          <cell r="A65" t="str">
            <v>(II)</v>
          </cell>
        </row>
      </sheetData>
      <sheetData sheetId="2170"/>
      <sheetData sheetId="2171"/>
      <sheetData sheetId="2172"/>
      <sheetData sheetId="2173"/>
      <sheetData sheetId="2174"/>
      <sheetData sheetId="2175"/>
      <sheetData sheetId="2176">
        <row r="65">
          <cell r="A65" t="str">
            <v>(II)</v>
          </cell>
        </row>
      </sheetData>
      <sheetData sheetId="2177"/>
      <sheetData sheetId="2178"/>
      <sheetData sheetId="2179">
        <row r="65">
          <cell r="A65" t="str">
            <v>(II)</v>
          </cell>
        </row>
      </sheetData>
      <sheetData sheetId="2180">
        <row r="65">
          <cell r="A65" t="str">
            <v>(II)</v>
          </cell>
        </row>
      </sheetData>
      <sheetData sheetId="2181"/>
      <sheetData sheetId="2182"/>
      <sheetData sheetId="2183"/>
      <sheetData sheetId="2184"/>
      <sheetData sheetId="2185"/>
      <sheetData sheetId="2186">
        <row r="65">
          <cell r="A65" t="str">
            <v>(II)</v>
          </cell>
        </row>
      </sheetData>
      <sheetData sheetId="2187">
        <row r="65">
          <cell r="A65" t="str">
            <v>(II)</v>
          </cell>
        </row>
      </sheetData>
      <sheetData sheetId="2188"/>
      <sheetData sheetId="2189"/>
      <sheetData sheetId="2190"/>
      <sheetData sheetId="2191"/>
      <sheetData sheetId="2192"/>
      <sheetData sheetId="2193">
        <row r="65">
          <cell r="A65" t="str">
            <v>(II)</v>
          </cell>
        </row>
      </sheetData>
      <sheetData sheetId="2194">
        <row r="65">
          <cell r="A65" t="str">
            <v>(II)</v>
          </cell>
        </row>
      </sheetData>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row r="65">
          <cell r="A65" t="str">
            <v>(II)</v>
          </cell>
        </row>
      </sheetData>
      <sheetData sheetId="2235"/>
      <sheetData sheetId="2236">
        <row r="65">
          <cell r="A65" t="str">
            <v>(II)</v>
          </cell>
        </row>
      </sheetData>
      <sheetData sheetId="2237"/>
      <sheetData sheetId="2238"/>
      <sheetData sheetId="2239"/>
      <sheetData sheetId="2240"/>
      <sheetData sheetId="2241">
        <row r="65">
          <cell r="A65" t="str">
            <v>(II)</v>
          </cell>
        </row>
      </sheetData>
      <sheetData sheetId="2242"/>
      <sheetData sheetId="2243">
        <row r="65">
          <cell r="A65" t="str">
            <v>(II)</v>
          </cell>
        </row>
      </sheetData>
      <sheetData sheetId="2244"/>
      <sheetData sheetId="2245"/>
      <sheetData sheetId="2246"/>
      <sheetData sheetId="2247"/>
      <sheetData sheetId="2248">
        <row r="65">
          <cell r="A65" t="str">
            <v>(II)</v>
          </cell>
        </row>
      </sheetData>
      <sheetData sheetId="2249"/>
      <sheetData sheetId="2250">
        <row r="65">
          <cell r="A65" t="str">
            <v>(II)</v>
          </cell>
        </row>
      </sheetData>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row r="65">
          <cell r="A65" t="str">
            <v>(II)</v>
          </cell>
        </row>
      </sheetData>
      <sheetData sheetId="2439">
        <row r="65">
          <cell r="A65" t="str">
            <v>(II)</v>
          </cell>
        </row>
      </sheetData>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row r="65">
          <cell r="A65" t="str">
            <v>(II)</v>
          </cell>
        </row>
      </sheetData>
      <sheetData sheetId="2555">
        <row r="65">
          <cell r="A65" t="str">
            <v>(II)</v>
          </cell>
        </row>
      </sheetData>
      <sheetData sheetId="2556">
        <row r="65">
          <cell r="A65" t="str">
            <v>(II)</v>
          </cell>
        </row>
      </sheetData>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row r="65">
          <cell r="A65" t="str">
            <v>(II)</v>
          </cell>
        </row>
      </sheetData>
      <sheetData sheetId="2679">
        <row r="65">
          <cell r="A65" t="str">
            <v>(II)</v>
          </cell>
        </row>
      </sheetData>
      <sheetData sheetId="2680">
        <row r="65">
          <cell r="A65" t="str">
            <v>(II)</v>
          </cell>
        </row>
      </sheetData>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row r="65">
          <cell r="A65" t="str">
            <v>(II)</v>
          </cell>
        </row>
      </sheetData>
      <sheetData sheetId="2803">
        <row r="65">
          <cell r="A65" t="str">
            <v>(II)</v>
          </cell>
        </row>
      </sheetData>
      <sheetData sheetId="2804">
        <row r="65">
          <cell r="A65" t="str">
            <v>(II)</v>
          </cell>
        </row>
      </sheetData>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row r="65">
          <cell r="A65" t="str">
            <v>(II)</v>
          </cell>
        </row>
      </sheetData>
      <sheetData sheetId="2927">
        <row r="65">
          <cell r="A65" t="str">
            <v>(II)</v>
          </cell>
        </row>
      </sheetData>
      <sheetData sheetId="2928">
        <row r="65">
          <cell r="A65" t="str">
            <v>(II)</v>
          </cell>
        </row>
      </sheetData>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row r="65">
          <cell r="A65" t="str">
            <v>(II)</v>
          </cell>
        </row>
      </sheetData>
      <sheetData sheetId="3051">
        <row r="65">
          <cell r="A65" t="str">
            <v>(II)</v>
          </cell>
        </row>
      </sheetData>
      <sheetData sheetId="3052">
        <row r="65">
          <cell r="A65" t="str">
            <v>(II)</v>
          </cell>
        </row>
      </sheetData>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row r="65">
          <cell r="A65" t="str">
            <v>(II)</v>
          </cell>
        </row>
      </sheetData>
      <sheetData sheetId="3175">
        <row r="65">
          <cell r="A65" t="str">
            <v>(II)</v>
          </cell>
        </row>
      </sheetData>
      <sheetData sheetId="3176">
        <row r="65">
          <cell r="A65" t="str">
            <v>(II)</v>
          </cell>
        </row>
      </sheetData>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Info"/>
      <sheetName val="EquityTemplate"/>
      <sheetName val="Charts"/>
      <sheetName val="iQ_US_CoreIndustrials"/>
      <sheetName val="iQ_APR_CoreIndustrials"/>
      <sheetName val="KT main"/>
      <sheetName val="QoQ - new format"/>
      <sheetName val="Old interims format"/>
      <sheetName val="Global comps"/>
      <sheetName val="WG Tables"/>
      <sheetName val="New Comps"/>
      <sheetName val="Pac_Cyber "/>
      <sheetName val="B2B"/>
      <sheetName val="Internet services"/>
      <sheetName val="Mobile"/>
      <sheetName val="sum of parts "/>
      <sheetName val="Financing"/>
      <sheetName val="Shareholders"/>
      <sheetName val="Op Stats - YE"/>
      <sheetName val=" Op Stats - Interim"/>
      <sheetName val="PCC"/>
      <sheetName val="CMHK Master"/>
      <sheetName val="Sensitivity"/>
      <sheetName val="Databox"/>
      <sheetName val="Macro"/>
      <sheetName val="Head office"/>
      <sheetName val="BS 2001"/>
      <sheetName val="Balance sheet 2000"/>
      <sheetName val="Operation"/>
      <sheetName val="Pro forma"/>
      <sheetName val="Interim"/>
      <sheetName val="Interim (2)"/>
      <sheetName val="Earnings Revision"/>
      <sheetName val="Master"/>
      <sheetName val="nonfinancial"/>
      <sheetName val="Mthly"/>
      <sheetName val="financial analysis"/>
      <sheetName val="Revenue"/>
      <sheetName val="WG Table"/>
      <sheetName val="Privatization path"/>
      <sheetName val="Tariff"/>
      <sheetName val="Consolidated"/>
      <sheetName val="TSS"/>
      <sheetName val="Reach"/>
      <sheetName val="Infrastructure"/>
      <sheetName val="Sheet1"/>
      <sheetName val="Model"/>
      <sheetName val="Segment"/>
      <sheetName val="Chart_Tables"/>
      <sheetName val="CDMA NPV"/>
      <sheetName val="Acquisition"/>
      <sheetName val="2000 GDP"/>
      <sheetName val="Local Tariffs"/>
      <sheetName val="Spectrum"/>
      <sheetName val="Interconnection"/>
      <sheetName val="CDMA funding"/>
      <sheetName val="Asian Comps"/>
      <sheetName val="Cellular"/>
      <sheetName val="Paging"/>
      <sheetName val="Regional paging market"/>
      <sheetName val="Fixed line and IP tariff"/>
      <sheetName val="Incremental sub"/>
      <sheetName val="Book1"/>
      <sheetName val="Financials"/>
      <sheetName val="PL"/>
      <sheetName val="BS"/>
      <sheetName val="Old"/>
      <sheetName val="Financials(O)"/>
      <sheetName val="Operating Statistics"/>
      <sheetName val="Cover"/>
      <sheetName val="vsnl"/>
      <sheetName val="#REF"/>
      <sheetName val="Introduction"/>
      <sheetName val="****00"/>
      <sheetName val="Sheet2"/>
      <sheetName val="Sheet3"/>
      <sheetName val="ENGG_VAL"/>
      <sheetName val="ADD_WAVG"/>
      <sheetName val="VAL31MAR-ALL"/>
      <sheetName val="MPS_PACKING"/>
      <sheetName val=""/>
      <sheetName val="BS Groupings"/>
      <sheetName val="PL Groupings"/>
      <sheetName val="WORKINGS"/>
      <sheetName val="ANNEXURE 5 c"/>
      <sheetName val="21 (i)(B)(b)"/>
      <sheetName val="remittance"/>
      <sheetName val="Setup"/>
      <sheetName val="Finance IT &amp; Pro (2)"/>
      <sheetName val="EXPENSES"/>
      <sheetName val="TDS Entries Apr to Sept"/>
      <sheetName val="Add to FA"/>
      <sheetName val="LOCAL FAR TIL JUL10 (2)"/>
      <sheetName val="DF"/>
      <sheetName val="BS (2)"/>
      <sheetName val="P&amp;L (2)"/>
      <sheetName val="FTT_TW_Q2"/>
      <sheetName val="FTT_TW_Q2(Spin)"/>
      <sheetName val="Capex &amp; Opex"/>
      <sheetName val="Interconnect"/>
      <sheetName val="CF"/>
      <sheetName val="Emp"/>
      <sheetName val="_REF"/>
      <sheetName val="Annexuture"/>
      <sheetName val="SPS DETAIL"/>
      <sheetName val="factor"/>
      <sheetName val="BS Schdl-3-Fixed Assets"/>
      <sheetName val="Sales"/>
      <sheetName val="CN Detail"/>
      <sheetName val="laroux"/>
      <sheetName val="XXXXXXXXXXXXX"/>
      <sheetName val="XXXXXX"/>
      <sheetName val="Factoring Accrual Summary"/>
      <sheetName val="ttings\purnima\Application Data"/>
      <sheetName val="Material"/>
      <sheetName val="OM except Sales Mat Intcom"/>
      <sheetName val="TOTAL"/>
      <sheetName val="Inv"/>
      <sheetName val="Inv (2)"/>
      <sheetName val="Obso"/>
      <sheetName val="FIFO Reval"/>
      <sheetName val="IT PPV"/>
      <sheetName val="ECSYSTEM"/>
      <sheetName val="Inputs"/>
      <sheetName val="Controls"/>
      <sheetName val="Print Controls"/>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IEA_02-99"/>
      <sheetName val="WRLD EXPN"/>
      <sheetName val="JetFuel"/>
      <sheetName val="SingCracks"/>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DEC-MEMO"/>
      <sheetName val="Scope of supply"/>
      <sheetName val="Dep"/>
      <sheetName val="BS Schdl- 1 &amp; 2"/>
      <sheetName val="k"/>
      <sheetName val="l"/>
      <sheetName val="o"/>
      <sheetName val="Cabinet details"/>
      <sheetName val="Retirals"/>
      <sheetName val="provision for new Salary"/>
      <sheetName val="TDS"/>
      <sheetName val="Planning Materiality Mar 06"/>
      <sheetName val="Sheet2 (3)"/>
      <sheetName val="Sheet2 (2)"/>
      <sheetName val="TDS_Deposit"/>
      <sheetName val="list - do not delete"/>
      <sheetName val="____00"/>
      <sheetName val="Valuation _F_"/>
      <sheetName val="IEA_02_99"/>
      <sheetName val="Qtrly database"/>
      <sheetName val="BS &amp; P&amp;LPETII"/>
      <sheetName val="BS &amp; P&amp;L PETI"/>
      <sheetName val="PET FIBRES LTD."/>
      <sheetName val="plbs"/>
      <sheetName val="Top Sheet"/>
      <sheetName val="Premature_falied_details_"/>
      <sheetName val="Top_Sheet"/>
      <sheetName val="Sch1-5"/>
      <sheetName val="Workings for notes"/>
      <sheetName val="Input selection"/>
      <sheetName val="TB CPP"/>
      <sheetName val="REFNCOMPARE"/>
      <sheetName val="BREAKUP"/>
      <sheetName val="Annexure VII"/>
      <sheetName val="BP05-06 (2)"/>
      <sheetName val="assumption"/>
      <sheetName val="Break up of RMcost"/>
      <sheetName val="Details"/>
      <sheetName val="margin."/>
      <sheetName val="CONTANGO"/>
      <sheetName val="Cons-Division"/>
      <sheetName val="CVK p&amp;L"/>
      <sheetName val="lot no 86"/>
      <sheetName val="Sales &amp;Sale Cost"/>
      <sheetName val="Stock Cal"/>
      <sheetName val="Lme-REV"/>
      <sheetName val="CU-P&amp;L-Work"/>
      <sheetName val="GROUPING"/>
      <sheetName val="rawmat break up"/>
      <sheetName val="cell rel"/>
      <sheetName val="Contract Details"/>
      <sheetName val="COST SHEET"/>
      <sheetName val="OTHER RM"/>
      <sheetName val="YTD (2)"/>
      <sheetName val="March "/>
      <sheetName val="Copper Stock"/>
      <sheetName val="Daily Production Report"/>
      <sheetName val="Schedule-1"/>
      <sheetName val="ASSUMPTIONS"/>
      <sheetName val="CF_MESSINA_USD"/>
      <sheetName val="FUNDING"/>
      <sheetName val="All-Fab"/>
      <sheetName val="Ref"/>
      <sheetName val="Production forecast Short Term"/>
      <sheetName val="sap"/>
      <sheetName val="CON-I"/>
      <sheetName val="Awa "/>
      <sheetName val="Cons PL"/>
      <sheetName val="PAP"/>
      <sheetName val="SPR"/>
      <sheetName val="Facility"/>
      <sheetName val="deb"/>
      <sheetName val="Keyratios"/>
      <sheetName val="Input"/>
      <sheetName val="P L"/>
      <sheetName val="Cntrl Sheet"/>
      <sheetName val="NFF"/>
      <sheetName val="MISBS"/>
      <sheetName val="BOD PL NEW"/>
      <sheetName val="Intang"/>
      <sheetName val="Financial Progress Mar.2011"/>
      <sheetName val="BS'03"/>
      <sheetName val="Cap. Exp."/>
      <sheetName val="Three Aces"/>
      <sheetName val="Summary"/>
      <sheetName val="detail'02"/>
      <sheetName val="Global format(Tk)"/>
      <sheetName val="Indirect expenses"/>
      <sheetName val="ACVPN Flat Recurring Mo Chrgs"/>
      <sheetName val="Pricing Tool"/>
      <sheetName val="Monthwise sale"/>
      <sheetName val="PURCHASED ADDITIONS"/>
      <sheetName val="Cons.Trial"/>
      <sheetName val="TB"/>
      <sheetName val="A302101-000-017"/>
      <sheetName val="Sheet1 (2)"/>
      <sheetName val="Tax Comp (Revise with 80IA)"/>
      <sheetName val="Deduction 80IA"/>
      <sheetName val="Building wise Income for 80IA"/>
      <sheetName val="Maint Income (80IA)"/>
      <sheetName val="Tax Comp"/>
      <sheetName val="Dep as per I.T Act"/>
      <sheetName val="26AS 15.9Section wise"/>
      <sheetName val="Current Liab"/>
      <sheetName val="Debtors"/>
      <sheetName val="Loan &amp; Advances"/>
      <sheetName val="stock reco"/>
      <sheetName val="Dependencies"/>
      <sheetName val="BHANDUP"/>
      <sheetName val="PLAN_FEB97"/>
      <sheetName val="Bridges"/>
      <sheetName val="Bridges (Abst)"/>
      <sheetName val="Overpass"/>
      <sheetName val="Slab Culvert"/>
      <sheetName val="Underpass"/>
      <sheetName val="Abstract"/>
      <sheetName val="TB-WORK SMLT"/>
      <sheetName val="Additions upto 31-3-08"/>
      <sheetName val="Data (2)"/>
      <sheetName val="G2.5 Advance to vendors"/>
      <sheetName val="Data"/>
      <sheetName val="CRITERIA1"/>
      <sheetName val="Fixed Assets-Last year"/>
      <sheetName val="SOAD "/>
      <sheetName val="FAR_new"/>
      <sheetName val="Other Info"/>
      <sheetName val="??"/>
      <sheetName val="8"/>
      <sheetName val="P&amp;LGROUP"/>
      <sheetName val="Encl I"/>
      <sheetName val="Basic Details"/>
      <sheetName val="Exp provn (3)"/>
      <sheetName val="consol (2)"/>
      <sheetName val="consol (3)"/>
      <sheetName val="Variance"/>
      <sheetName val="SL Schedule (2)"/>
      <sheetName val="consol (4)"/>
      <sheetName val="Sheet4"/>
      <sheetName val="Initial"/>
      <sheetName val="Precalculation"/>
      <sheetName val="Cost Centres"/>
      <sheetName val="BBH"/>
      <sheetName val="final sheet "/>
      <sheetName val="chiet tinh"/>
      <sheetName val="B'Sheet"/>
      <sheetName val="Asmp"/>
      <sheetName val="discounts_XP140"/>
      <sheetName val="Other assumptions"/>
      <sheetName val="RSU lookups"/>
      <sheetName val="RSU sites"/>
      <sheetName val="DLC sites"/>
      <sheetName val="SDH COST"/>
      <sheetName val="c "/>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entitlements"/>
      <sheetName val="Citrix"/>
      <sheetName val="Factors"/>
      <sheetName val="raw"/>
      <sheetName val="FORM-16"/>
      <sheetName val="MSU"/>
      <sheetName val="PM &amp; TE"/>
      <sheetName val="1441023-0-9xxx"/>
      <sheetName val="1441013-0-9xxx"/>
      <sheetName val="1441013"/>
      <sheetName val="1420199"/>
      <sheetName val="1441023"/>
      <sheetName val="1430204 (2)"/>
      <sheetName val="1430205 (2)"/>
      <sheetName val="1430301 (2)"/>
      <sheetName val="1130101"/>
      <sheetName val="1130104"/>
      <sheetName val="1340104 A"/>
      <sheetName val="1141131"/>
      <sheetName val="1340541"/>
      <sheetName val="1360503 a"/>
      <sheetName val="1360602"/>
      <sheetName val="1360604"/>
      <sheetName val="1430517"/>
      <sheetName val="1430801 (2)"/>
      <sheetName val="1430802 (2)"/>
      <sheetName val="1430806 (2)"/>
      <sheetName val="1430809 (2)"/>
      <sheetName val="1430810 (2)"/>
      <sheetName val="1430813 "/>
      <sheetName val="1430820"/>
      <sheetName val="1430821 (2)"/>
      <sheetName val="1430829 (2)"/>
      <sheetName val="1430830 (2)"/>
      <sheetName val="1430831"/>
      <sheetName val="1430835 (2)"/>
      <sheetName val="1430836 (2)"/>
      <sheetName val="1430838 (2)"/>
      <sheetName val="1430840 (2)"/>
      <sheetName val="1431601"/>
      <sheetName val="1431602"/>
      <sheetName val="1431603"/>
      <sheetName val="1431604"/>
      <sheetName val="1431612 (2)"/>
      <sheetName val="1440201 (2)"/>
      <sheetName val="1440202 (2)"/>
      <sheetName val="1440207 (2)"/>
      <sheetName val="1440208 (2)"/>
      <sheetName val="1440214 (2)"/>
      <sheetName val="1440217 (2)"/>
      <sheetName val="1470101 (2)"/>
      <sheetName val="1620501"/>
      <sheetName val="1620502"/>
      <sheetName val="1113236 "/>
      <sheetName val="1113237 "/>
      <sheetName val="1113246 "/>
      <sheetName val="1113247 "/>
      <sheetName val="1113256 "/>
      <sheetName val="1113257 "/>
      <sheetName val="1113281 "/>
      <sheetName val="1113282 "/>
      <sheetName val="1110136"/>
      <sheetName val="1110146"/>
      <sheetName val="1110156"/>
      <sheetName val="1110181"/>
      <sheetName val="1110182"/>
      <sheetName val="1110183"/>
      <sheetName val="1112782"/>
      <sheetName val="1112787"/>
      <sheetName val="1112586"/>
      <sheetName val="1112888"/>
      <sheetName val="1113236"/>
      <sheetName val="1112883"/>
      <sheetName val="1112757"/>
      <sheetName val="1310211"/>
      <sheetName val="1310243"/>
      <sheetName val="1320301"/>
      <sheetName val="1310206"/>
      <sheetName val="1330402"/>
      <sheetName val="1330714"/>
      <sheetName val="1330721"/>
      <sheetName val="1340103"/>
      <sheetName val="1340109"/>
      <sheetName val="1340159"/>
      <sheetName val="1340167"/>
      <sheetName val="1340168"/>
      <sheetName val="1340172"/>
      <sheetName val="1340699"/>
      <sheetName val="1350101"/>
      <sheetName val="1360606"/>
      <sheetName val="1420165-0-9xxx"/>
      <sheetName val="1420165-0-1027"/>
      <sheetName val="1420165-0-1034"/>
      <sheetName val="1428208"/>
      <sheetName val="1430318"/>
      <sheetName val="1430531"/>
      <sheetName val="1350109"/>
      <sheetName val="1441007"/>
      <sheetName val="1441010"/>
      <sheetName val="1441017"/>
      <sheetName val="1441019"/>
      <sheetName val="1441024 "/>
      <sheetName val="1420165 "/>
      <sheetName val="sEP2003"/>
      <sheetName val="Satco"/>
      <sheetName val="Notes to accounts"/>
      <sheetName val="EEFC Account"/>
      <sheetName val="Dashboard"/>
      <sheetName val="MKT PO-2011"/>
      <sheetName val="ONOFF-BUD (ROC)"/>
      <sheetName val="TMSPF-Dump"/>
      <sheetName val="Proclarity"/>
      <sheetName val="Bank Sort (2)"/>
      <sheetName val="Bank Sort"/>
      <sheetName val="Flat Cost"/>
      <sheetName val="ICICI JSB "/>
      <sheetName val="Int234"/>
      <sheetName val="Cost of Flat"/>
      <sheetName val="Exp Sort"/>
      <sheetName val="FCAct"/>
      <sheetName val="Matcost (2)"/>
      <sheetName val="FC1999"/>
      <sheetName val="upgsales (2)"/>
      <sheetName val="uly%202010%20Aug%205,%202010%20"/>
      <sheetName val="3-4PL"/>
      <sheetName val="7Misc"/>
      <sheetName val="Front"/>
      <sheetName val="1-2BS"/>
      <sheetName val="Std data"/>
      <sheetName val="ACCOUNTS"/>
      <sheetName val="Cash flow"/>
      <sheetName val="WPS99"/>
      <sheetName val="6Exp"/>
      <sheetName val="WBN"/>
      <sheetName val="CON"/>
      <sheetName val="Dividend Working"/>
      <sheetName val="PPE 1006"/>
      <sheetName val="Shweta"/>
      <sheetName val="sum"/>
      <sheetName val="Data Sheet 1"/>
      <sheetName val="main"/>
      <sheetName val="Reimbursement"/>
      <sheetName val="Hub Inputs"/>
      <sheetName val="Rel Pty"/>
      <sheetName val="Depreciation"/>
      <sheetName val="Monthly Revenue"/>
      <sheetName val="Profit and Loss"/>
      <sheetName val="FA"/>
      <sheetName val="PL-yearly"/>
      <sheetName val="Sheet1汇总表"/>
      <sheetName val="S&amp;M Dept"/>
      <sheetName val="IPO"/>
      <sheetName val="Details BS"/>
      <sheetName val="Details PL"/>
      <sheetName val="RM Consumption Schedule 11"/>
      <sheetName val="TB 01-05-03"/>
      <sheetName val="Annex-modvat-Jun03 (2)"/>
      <sheetName val="Annex-modvat-Jun03"/>
      <sheetName val="Cliams-recov-others"/>
      <sheetName val="Adv IT-Jun 03F"/>
      <sheetName val="IGE"/>
      <sheetName val="IBC"/>
      <sheetName val="GEIOC"/>
      <sheetName val="GE CAPITAL"/>
      <sheetName val="Pune addition"/>
      <sheetName val="PM2"/>
      <sheetName val="coa_ramco_168"/>
      <sheetName val="OpMod-Old"/>
      <sheetName val="Reconciliation"/>
      <sheetName val="Sheet5"/>
      <sheetName val="netmatl."/>
      <sheetName val="PCD_Matl"/>
      <sheetName val="pcbu"/>
      <sheetName val="PTP_Matrix"/>
      <sheetName val="t.o"/>
      <sheetName val="RECON"/>
      <sheetName val="corp"/>
      <sheetName val="B0_111350"/>
      <sheetName val="EDETNOV"/>
      <sheetName val="cvbu"/>
      <sheetName val="qty"/>
      <sheetName val="CVBUH2MONTHLY"/>
      <sheetName val="Sheet1_MIS"/>
      <sheetName val="exports"/>
      <sheetName val="Nonvehicle"/>
      <sheetName val="CVBUYR"/>
      <sheetName val="PRDMAR96"/>
      <sheetName val="sch_list (2)"/>
      <sheetName val="improvements"/>
      <sheetName val="YR0102"/>
      <sheetName val="revaug"/>
      <sheetName val="mktexp"/>
      <sheetName val=" t.o."/>
      <sheetName val="volapr-dec"/>
      <sheetName val="volapr_feb"/>
      <sheetName val="Index"/>
      <sheetName val="Assm"/>
      <sheetName val="Old Data"/>
      <sheetName val="mnth"/>
      <sheetName val="Stks"/>
      <sheetName val="CMVR"/>
      <sheetName val="TO"/>
      <sheetName val="erc"/>
      <sheetName val="exp"/>
      <sheetName val="dm1"/>
      <sheetName val="dm"/>
      <sheetName val="woe"/>
      <sheetName val="Sal0304"/>
      <sheetName val="men"/>
      <sheetName val="sal summ"/>
      <sheetName val="dep war"/>
      <sheetName val="trsfrcst"/>
      <sheetName val="IV"/>
      <sheetName val="TrCost"/>
      <sheetName val="Links"/>
      <sheetName val="Lead"/>
      <sheetName val="MetaData"/>
      <sheetName val="BS Rec Control Sheet"/>
      <sheetName val="New May"/>
      <sheetName val="Market Num50"/>
      <sheetName val="Market Num75"/>
      <sheetName val="Market Val50"/>
      <sheetName val="Market Val75"/>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ummary of Project &amp; WIP Review"/>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O101"/>
      <sheetName val="AP&lt;A300&gt;-2002"/>
      <sheetName val="A520"/>
      <sheetName val="U510"/>
      <sheetName val="M-Note Payable"/>
      <sheetName val="U320"/>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营业费用"/>
      <sheetName val="营业费用月报表"/>
      <sheetName val="辅助生产成本"/>
      <sheetName val="cut off"/>
      <sheetName val="transaction test"/>
      <sheetName val="G&amp;AU400 "/>
      <sheetName val="U401"/>
      <sheetName val="U120-top 10 suppliers"/>
      <sheetName val="U410-广告宣传费明细"/>
      <sheetName val="U410-工资明细表"/>
      <sheetName val="Other receipt and payment "/>
      <sheetName val="U610-1-12月工资明细表  (2)"/>
      <sheetName val="F520_F.G. NRV test"/>
      <sheetName val="A300"/>
      <sheetName val="Q"/>
      <sheetName val="S5"/>
      <sheetName val="T1"/>
      <sheetName val="T2"/>
      <sheetName val="U1"/>
      <sheetName val="U2"/>
      <sheetName val="U3"/>
      <sheetName val="U4"/>
      <sheetName val="U5"/>
      <sheetName val="U6"/>
      <sheetName val="U7"/>
      <sheetName val="U8"/>
      <sheetName val="P6"/>
      <sheetName val="H2"/>
      <sheetName val="K100"/>
      <sheetName val="U1100"/>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B300-8"/>
      <sheetName val="T10"/>
      <sheetName val="F810 Compliation"/>
      <sheetName val="C"/>
      <sheetName val="C110"/>
      <sheetName val="C120"/>
      <sheetName val="C12-control"/>
      <sheetName val="03BD"/>
      <sheetName val="固定资产总计-Company"/>
      <sheetName val="Jan 16 (2)"/>
      <sheetName val="C os"/>
      <sheetName val="CIP2003 movement"/>
      <sheetName val="Q100m"/>
      <sheetName val="Q200m"/>
      <sheetName val="stock 5.14报告版2003update ok"/>
      <sheetName val="农行环翠银票03.6"/>
      <sheetName val="N1"/>
      <sheetName val="C200"/>
      <sheetName val="G200 (2)"/>
      <sheetName val="N100"/>
      <sheetName val="C2000"/>
      <sheetName val="A500"/>
      <sheetName val="K "/>
      <sheetName val="K200"/>
      <sheetName val="K300"/>
      <sheetName val="R"/>
      <sheetName val="R100"/>
      <sheetName val="O1"/>
      <sheetName val="P3"/>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递延资产审定表"/>
      <sheetName val="Cindy"/>
      <sheetName val="？I"/>
      <sheetName val="I200%"/>
      <sheetName val="I600%"/>
      <sheetName val="FA details"/>
      <sheetName val="27.租赁承诺"/>
      <sheetName val="28.资本承诺"/>
      <sheetName val="29.关联交易"/>
      <sheetName val="30.关联余额"/>
      <sheetName val="7-制造费用"/>
      <sheetName val="169"/>
      <sheetName val="k301"/>
      <sheetName val="应付帐款明细表"/>
      <sheetName val="其他应付款明细表"/>
      <sheetName val="os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11"/>
      <sheetName val="应收帐款05"/>
      <sheetName val="其他应收款05"/>
      <sheetName val="应付帐款05"/>
      <sheetName val="预收帐款05"/>
      <sheetName val="其他应付款05"/>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U130-Consulting fee"/>
      <sheetName val="U120-Consulting Fee  Breakd"/>
      <sheetName val="U130-Professional Fee GPC"/>
      <sheetName val="U140-Legal Fee"/>
      <sheetName val="往来"/>
      <sheetName val="Compilation test"/>
      <sheetName val="OS list of 深中置 - 3"/>
      <sheetName val="F203"/>
      <sheetName val="U500.G&amp;A.Expenses"/>
      <sheetName val="I100-Interco Bal confirmation"/>
      <sheetName val="6 需报废清单"/>
      <sheetName val="2003"/>
      <sheetName val="2002"/>
      <sheetName val="代办工程adj"/>
      <sheetName val="U60-ww"/>
      <sheetName val="U110"/>
      <sheetName val="滨州"/>
      <sheetName val="I1-威海"/>
      <sheetName val="S400"/>
      <sheetName val="2Q200"/>
      <sheetName val="O330-增值税检查"/>
      <sheetName val="K400-固定资产-增加审计"/>
      <sheetName val="M300-短期借款明细表"/>
      <sheetName val="P410-应付工资-程序表"/>
      <sheetName val="P520-其他应付款-具体审计"/>
      <sheetName val="P620-预提费用-具体审计"/>
      <sheetName val="outstangding"/>
      <sheetName val="U700-销售费用明细表"/>
      <sheetName val="O320-所得税"/>
      <sheetName val="交换意见"/>
      <sheetName val="问题汇总"/>
      <sheetName val="U363-收入-截止测试-2004"/>
      <sheetName val="历年净利润及盈余公积复核 (审定)"/>
      <sheetName val="所得税"/>
      <sheetName val="C600-货币资金-符合性测试"/>
      <sheetName val="B402"/>
      <sheetName val="附表60-1"/>
      <sheetName val="附表60-2"/>
      <sheetName val="C310"/>
      <sheetName val="NN"/>
      <sheetName val="B101"/>
      <sheetName val="F 。"/>
      <sheetName val="F"/>
      <sheetName val="F311-RM V test"/>
      <sheetName val="RS-F320"/>
      <sheetName val="FS-F310"/>
      <sheetName val="All overhead Variance"/>
      <sheetName val="I"/>
      <sheetName val="I10"/>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SP B6"/>
      <sheetName val="M"/>
      <sheetName val="A4-3"/>
      <sheetName val="NKS B6"/>
      <sheetName val="E4 Sales cutoff"/>
      <sheetName val="F-2"/>
      <sheetName val="F-4"/>
      <sheetName val="S2"/>
      <sheetName val="A7"/>
      <sheetName val="A2-1"/>
      <sheetName val="A2-2"/>
      <sheetName val="A2-3"/>
      <sheetName val="A4-1-2"/>
      <sheetName val="W"/>
      <sheetName val="III"/>
      <sheetName val="J"/>
      <sheetName val="N"/>
      <sheetName val="DPL"/>
      <sheetName val="N3"/>
      <sheetName val="CPF"/>
      <sheetName val="Sales Cut-off"/>
      <sheetName val="U2.1.1 (2)"/>
      <sheetName val="M8memo Prov for connectplan"/>
      <sheetName val="U2.1 ARPs(P)"/>
      <sheetName val="U1 Lead (2)"/>
      <sheetName val="U6.3A Landscape project ana"/>
      <sheetName val="E"/>
      <sheetName val="T"/>
      <sheetName val="U1-2F Review Margin"/>
      <sheetName val="F3F"/>
      <sheetName val="Payroll"/>
      <sheetName val="A6.3"/>
      <sheetName val="I1- interco"/>
      <sheetName val="U3 Payroll lead"/>
      <sheetName val="E5.1 Sales cut off"/>
      <sheetName val="现金流量过渡"/>
      <sheetName val="流量附注过渡"/>
      <sheetName val="追溯调帐2000"/>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List"/>
      <sheetName val="U500"/>
      <sheetName val="F20-Breakdown2003"/>
      <sheetName val="04G100"/>
      <sheetName val="04S100"/>
      <sheetName val="IAS510_RJE"/>
      <sheetName val="OS"/>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RJE"/>
      <sheetName val="AJE "/>
      <sheetName val="E201"/>
      <sheetName val="AJE (2)"/>
      <sheetName val="U"/>
      <sheetName val="CF-1|2 (2)"/>
      <sheetName val="CF-3 (2)"/>
      <sheetName val="CF-1|2"/>
      <sheetName val="CF-3"/>
      <sheetName val="Notes to FS (2)"/>
      <sheetName val="Notes to FS"/>
      <sheetName val="U-1-2"/>
      <sheetName val="U-1-1"/>
      <sheetName val="M-1"/>
      <sheetName val="E-1"/>
      <sheetName val="U-1"/>
      <sheetName val="U-2"/>
      <sheetName val="U-3"/>
      <sheetName val="A3-2"/>
      <sheetName val="CC-1"/>
      <sheetName val="A3-1&amp;2"/>
      <sheetName val="A3-3"/>
      <sheetName val="SRM-BS"/>
      <sheetName val="SRM-P&amp;L"/>
      <sheetName val="A3"/>
      <sheetName val="Note 19"/>
      <sheetName val="SRM"/>
      <sheetName val="HDA-5"/>
      <sheetName val="U102"/>
      <sheetName val="U101"/>
      <sheetName val="OS(1)"/>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A8-5"/>
      <sheetName val="Form EYP 1"/>
      <sheetName val="C-1-final"/>
      <sheetName val="U-4"/>
      <sheetName val="U-5"/>
      <sheetName val="C-1"/>
      <sheetName val="E-2"/>
      <sheetName val="K-1"/>
      <sheetName val="K-Disc"/>
      <sheetName val="U4l3"/>
      <sheetName val="Doc"/>
      <sheetName val="N-10_UL"/>
      <sheetName val="F-1"/>
      <sheetName val="A3-1"/>
      <sheetName val="I (2)"/>
      <sheetName val="U1-1"/>
      <sheetName val="Appendix1"/>
      <sheetName val="I1"/>
      <sheetName val="Ff -1"/>
      <sheetName val="Notes"/>
      <sheetName val="OSM"/>
      <sheetName val="U5-2"/>
      <sheetName val="K2"/>
      <sheetName val="S"/>
      <sheetName val="B-10"/>
      <sheetName val="APPENDIX XIII"/>
      <sheetName val="K-16"/>
      <sheetName val="Appendix II"/>
      <sheetName val="SRM-Appx 1 BS"/>
      <sheetName val="U1a"/>
      <sheetName val="U2-1a"/>
      <sheetName val="U1-2 Sales Analysis"/>
      <sheetName val="U1-2 Sales Analysis -by product"/>
      <sheetName val="N7"/>
      <sheetName val="J-1"/>
      <sheetName val="Outstanding Matters (2)"/>
      <sheetName val="Creditors"/>
      <sheetName val="OS 1(FOR CLIENT DISTRIBUTION)"/>
      <sheetName val="I-2"/>
      <sheetName val="Inter- Company Reconciliation"/>
      <sheetName val="OML"/>
      <sheetName val="A2-6"/>
      <sheetName val="A3-4"/>
      <sheetName val="A3-5"/>
      <sheetName val="A3-6"/>
      <sheetName val="C-5"/>
      <sheetName val="C1"/>
      <sheetName val="E-10"/>
      <sheetName val="K-2"/>
      <sheetName val="K-3"/>
      <sheetName val="K-4"/>
      <sheetName val="M-10"/>
      <sheetName val="O-5"/>
      <sheetName val="P"/>
      <sheetName val="P-1"/>
      <sheetName val="P-2"/>
      <sheetName val="Q-1"/>
      <sheetName val="Q-1-1"/>
      <sheetName val="Q-1-2"/>
      <sheetName val="Q-2"/>
      <sheetName val="Q-2-1"/>
      <sheetName val="Q-2-2"/>
      <sheetName val="Q-3"/>
      <sheetName val="Q-3-1"/>
      <sheetName val="Q-3-2"/>
      <sheetName val="U-1-5"/>
      <sheetName val="U-2-1"/>
      <sheetName val="U-4 "/>
      <sheetName val="A3-22"/>
      <sheetName val="A3-23"/>
      <sheetName val="interbal"/>
      <sheetName val="K4"/>
      <sheetName val="PMB (opening balance)"/>
      <sheetName val="Hafizah"/>
      <sheetName val="Questions"/>
      <sheetName val="&lt;A2.2&gt;Cla"/>
      <sheetName val="Acs (2)"/>
      <sheetName val="UA (2)"/>
      <sheetName val="K2-A"/>
      <sheetName val="A2|1(SAD) "/>
      <sheetName val="I2 "/>
      <sheetName val="F3"/>
      <sheetName val="U3-1"/>
      <sheetName val="K1"/>
      <sheetName val="G1"/>
      <sheetName val="F_1"/>
      <sheetName val="K-1 "/>
      <sheetName val="Attachment 1"/>
      <sheetName val="T. Equity"/>
      <sheetName val="N1 (2)"/>
      <sheetName val="sp (2)"/>
      <sheetName val="O|S (2)"/>
      <sheetName val="O|S"/>
      <sheetName val="N1 .1"/>
      <sheetName val="F3-Group 1 (2)"/>
      <sheetName val="A2-4 (2004)"/>
      <sheetName val="E5"/>
      <sheetName val="U7-1"/>
      <sheetName val="Note 6"/>
      <sheetName val="Note 4"/>
      <sheetName val="J2ss"/>
      <sheetName val="U-10-2"/>
      <sheetName val="U-10-1"/>
      <sheetName val="I "/>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D2x"/>
      <sheetName val="FAR"/>
      <sheetName val="O2_superceed"/>
      <sheetName val="Pinus"/>
      <sheetName val="Climate"/>
      <sheetName val="Sy.Kapasi"/>
      <sheetName val="Selamat"/>
      <sheetName val="Primadana"/>
      <sheetName val="L-print"/>
      <sheetName val="U- FINAL (2)"/>
      <sheetName val="U-2 FINAL"/>
      <sheetName val="U-FINAL"/>
      <sheetName val="U30"/>
      <sheetName val="A3-1(U)"/>
      <sheetName val="Aging+ve"/>
      <sheetName val="KFinal"/>
      <sheetName val="Freehold Land"/>
      <sheetName val="CWIP"/>
      <sheetName val="Sch I"/>
      <sheetName val="Sch IIa"/>
      <sheetName val="Sch IIb"/>
      <sheetName val="Sch III"/>
      <sheetName val="Sheet6"/>
      <sheetName val="J disclosure"/>
      <sheetName val="A2-2-1"/>
      <sheetName val="A2-2-2"/>
      <sheetName val="A2-2-3"/>
      <sheetName val="A2-2-1 (2)"/>
      <sheetName val="A2-2-2 (2)"/>
      <sheetName val="A2-2-3 (2)"/>
      <sheetName val="Info"/>
      <sheetName val="AdjPYA"/>
      <sheetName val="Adj"/>
      <sheetName val="E4"/>
      <sheetName val="M4"/>
      <sheetName val="E1"/>
      <sheetName val="E3"/>
      <sheetName val="M1"/>
      <sheetName val="N2"/>
      <sheetName val="K3"/>
      <sheetName val="Annuity"/>
      <sheetName val="U4-1"/>
      <sheetName val="U5-1"/>
      <sheetName val="F2"/>
      <sheetName val="Dir"/>
      <sheetName val="GP analysis"/>
      <sheetName val="K3-1"/>
      <sheetName val="K4-1"/>
      <sheetName val="F-71"/>
      <sheetName val="U-6"/>
      <sheetName val="U-10"/>
      <sheetName val="U-11"/>
      <sheetName val="U-12"/>
      <sheetName val="U-13"/>
      <sheetName val="M5 Cut off"/>
      <sheetName val="E4-1 cut off"/>
      <sheetName val="purchase cut-off"/>
      <sheetName val="K10"/>
      <sheetName val="N40-2"/>
      <sheetName val="F6"/>
      <sheetName val="F5"/>
      <sheetName val="U-20"/>
      <sheetName val="U-30"/>
      <sheetName val="U-40"/>
      <sheetName val="U-50"/>
      <sheetName val="E-20"/>
      <sheetName val="E-30"/>
      <sheetName val="E-31"/>
      <sheetName val="E-40"/>
      <sheetName val="F-30"/>
      <sheetName val="APPENDIX 1"/>
      <sheetName val="Travel.OS.FY04"/>
      <sheetName val="F-50"/>
      <sheetName val="K4-Sighting"/>
      <sheetName val="Attached 9"/>
      <sheetName val="Attached 10"/>
      <sheetName val="A2|1"/>
      <sheetName val="R4"/>
      <sheetName val="R-1"/>
      <sheetName val="R-2"/>
      <sheetName val="R-3"/>
      <sheetName val="U1|1"/>
      <sheetName val="U1|2"/>
      <sheetName val="Interco"/>
      <sheetName val="J-3"/>
      <sheetName val="J-2"/>
      <sheetName val="Lestari"/>
      <sheetName val="Kenshine"/>
      <sheetName val="OSM (2)"/>
      <sheetName val="AJE"/>
      <sheetName val="CLA (2)"/>
      <sheetName val="tax com"/>
      <sheetName val="Cflow"/>
      <sheetName val="A2-2(CJE)"/>
      <sheetName val="OSM 2"/>
      <sheetName val="A2-4"/>
      <sheetName val="BS0605"/>
      <sheetName val="PL0605"/>
      <sheetName val="F5|1"/>
      <sheetName val="G&amp;SHFnotes"/>
      <sheetName val="Lifenotes"/>
      <sheetName val="LifeUdisc00"/>
      <sheetName val="PLnotes "/>
      <sheetName val="Exh -20"/>
      <sheetName val="Exh3"/>
      <sheetName val="Erlang and Infra"/>
      <sheetName val="GSM"/>
      <sheetName val="Network Summary"/>
      <sheetName val="Prices"/>
      <sheetName val="Control"/>
      <sheetName val="Calc"/>
      <sheetName val="EAW Final Accounts - 99"/>
      <sheetName val="P&amp;L"/>
      <sheetName val="Mar 07"/>
      <sheetName val="유통망계획"/>
      <sheetName val="1754824"/>
      <sheetName val="1754924"/>
      <sheetName val="1754812"/>
      <sheetName val="1754912"/>
      <sheetName val="1754804"/>
      <sheetName val="ANZOT"/>
      <sheetName val="ANZSS"/>
      <sheetName val="Computation 04-05"/>
      <sheetName val="Firmabil"/>
      <sheetName val="Pensionsoversigt"/>
      <sheetName val="Personale stamdata"/>
      <sheetName val="TAX INCOME"/>
      <sheetName val="Clause 21-1 (2)"/>
      <sheetName val="lov-COAct"/>
      <sheetName val="lov-cspl"/>
      <sheetName val="품의서"/>
      <sheetName val="Macro1"/>
      <sheetName val="BASE"/>
      <sheetName val="주행"/>
      <sheetName val="표지★"/>
      <sheetName val="MX628EX"/>
      <sheetName val="p2-1"/>
      <sheetName val="2.대외공문"/>
      <sheetName val="85872-82"/>
      <sheetName val="???"/>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근태현황"/>
      <sheetName val="Ç°ÀÇ¼­"/>
      <sheetName val="ÁÖÇà"/>
      <sheetName val="Ç¥Áö¡Ú"/>
      <sheetName val="2.´ë¿Ü°ø¹®"/>
      <sheetName val="외주현황.wq1"/>
      <sheetName val="Production Plan1"/>
      <sheetName val="CAUDIT"/>
      <sheetName val="협조전"/>
      <sheetName val="Value Analysis - Sheet 1"/>
      <sheetName val="카케라1"/>
      <sheetName val="카메라4"/>
      <sheetName val="원단위"/>
      <sheetName val="RD제품개발투자비(매가)"/>
      <sheetName val="표2"/>
      <sheetName val="so-021"/>
      <sheetName val="major"/>
      <sheetName val="기안"/>
      <sheetName val="R&amp;D"/>
      <sheetName val="신규DEP"/>
      <sheetName val="95계획"/>
      <sheetName val="BUS제원1"/>
      <sheetName val="GRACE"/>
      <sheetName val="대외공문"/>
      <sheetName val="기안(2)"/>
      <sheetName val="예산근거"/>
      <sheetName val="경쟁실분"/>
      <sheetName val="그패프"/>
      <sheetName val="현금경비중역"/>
      <sheetName val="MAST S"/>
      <sheetName val="96수출"/>
      <sheetName val="인도원가"/>
      <sheetName val="전체현황"/>
      <sheetName val="차수"/>
      <sheetName val="견적LIST"/>
      <sheetName val="투자계획서"/>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mdb,*.htm,*.html,*.pub);웹 페이지("/>
      <sheetName val="ccar"/>
      <sheetName val="목차"/>
      <sheetName val="1-1)개발추진범위"/>
      <sheetName val="1-2)개발일정"/>
      <sheetName val="S_MBR_UPR"/>
      <sheetName val="S_MBR_LWR"/>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사장"/>
      <sheetName val="사원"/>
      <sheetName val="기존젨비교"/>
      <sheetName val="_x0000_䅀㿠_x0000__x0000__x0000__x0000__x0001__x0000__x0000__x0000__x0000__x0000__x0001_t_x0016__x0000_䅀㿰_x0000__x0000_"/>
      <sheetName val="戀椀最㔀"/>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bleĤģ_x0000__x0000__x0000__x0000__x0000__x0000_서식을 Ĩĥ_x0000__x0000__x0000__x0000_ħĦ_x0000__x0000__x0000__x0000__x0000__x0000_률_x0000_"/>
      <sheetName val="전산품의"/>
      <sheetName val="¿ÜÁÖÇöÈ².wq1"/>
      <sheetName val="LEASE4"/>
      <sheetName val="Sheet1_x0000_ˆŒ_x0004__x0000_ ǅ_x0001__x0000_ˆ&lt;BOOK1.XLS]Shee"/>
      <sheetName val="_x001e_.&gt;N^n~Žž®¾ÎÞî"/>
      <sheetName val="bleĤģ서식을 ĨĥħĦ_x0000_률_x0000_며_x0000_을 변경īĪ용_x0000_ĭĬ 끌어"/>
      <sheetName val="ㅊ.ㅔㅁㅇ"/>
      <sheetName val="품의양식"/>
      <sheetName val="bleĤģ"/>
      <sheetName val="Sheet1_x0000_ˆŒ_x0000__x0004__x0000_ ǅ"/>
      <sheetName val="_x0001__x0000__x0001__x0000__x0003__x0000__x0001__x0000_Ô_x0001__x0000_,_x0000_¦¦"/>
      <sheetName val="bleĤģ서식을 ĨĥħĦ"/>
      <sheetName val="CD-실적"/>
      <sheetName val="Sheet1_x0000__x0000__x0004__x0000_ ǅ_x0000__x0001__x0000_&lt;BOOK1.XLS]Sh"/>
      <sheetName val="bleĤģ_x0000_서식을 Ĩĥ_x0000_ħĦ_x0000_률_x0000_며_x0000_을 변경īĪ_x0000_용_x0000_ĭĬ"/>
      <sheetName val="FR HR(A-LEA)"/>
      <sheetName val="FR HR(VINYL)"/>
      <sheetName val="PROTECTOR단가"/>
      <sheetName val="MOTO"/>
      <sheetName val="NBQA"/>
      <sheetName val="UPH"/>
      <sheetName val="̃_x0000_"/>
      <sheetName val="___"/>
      <sheetName val="__仛"/>
      <sheetName val="__★"/>
      <sheetName val="2.____"/>
      <sheetName val=".mdb,_.htm,_.html,_.pub);웹 페이지("/>
      <sheetName val="_x0001_"/>
      <sheetName val="환율기준"/>
      <sheetName val="dd mmmm yyyy_x0000__x0000__x0000_赶_x0000__x0003__x0016_[$-0409]hh:m"/>
      <sheetName val="?䅀㿠????_x0001_?????_x0001_t_x0016_?䅀㿰??"/>
      <sheetName val="Sheet1???_x0004_?????? ǅ???????????"/>
      <sheetName val="?_x0001_?_x0001_?_x0003_?_x0001_?Ô?_x0001_???,?¦?¦???????????"/>
      <sheetName val="bleĤģ??????서식을 Ĩĥ????ħĦ??????률?"/>
      <sheetName val="Sheet1?ˆŒ_x0004_? ǅ_x0001_?ˆ&lt;BOOK1.XLS]Shee"/>
      <sheetName val="bleĤģ서식을 ĨĥħĦ?률?며?을 변경īĪ용?ĭĬ 끌어"/>
      <sheetName val="䅀㿠_x0001_?_x0001_t_x0016_?䅀㿰"/>
      <sheetName val="_x0001_?_x0001_?_x0003_?_x0001_?Ô_x0001_?,?¦¦_x0002_?p?4"/>
      <sheetName val="Sheet1?ˆŒ?_x0004_? ǅ"/>
      <sheetName val="_x0001_?_x0001_?_x0003_?_x0001_?Ô_x0001_?,?¦¦"/>
      <sheetName val="bleĤģ서식을 ĨĥħĦ?률?"/>
      <sheetName val="__"/>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OP20"/>
      <sheetName val="COA- Nov  02"/>
      <sheetName val="Jan 2002"/>
      <sheetName val="Sub group code &amp; Name"/>
      <sheetName val="AN_Input"/>
      <sheetName val="CARE(Q1)"/>
      <sheetName val="S&amp;M_Dept"/>
      <sheetName val="BS_(2)"/>
      <sheetName val="P&amp;L_(2)"/>
      <sheetName val="Monthly_Revenue"/>
      <sheetName val="Profit_and_Loss"/>
      <sheetName val="Details_BS"/>
      <sheetName val="Details_PL"/>
      <sheetName val="Sales_Summary"/>
      <sheetName val="RM_Consumption_Schedule_11"/>
      <sheetName val="TB_01-05-03"/>
      <sheetName val="Annex-modvat-Jun03_(2)"/>
      <sheetName val="Adv_IT-Jun_03F"/>
      <sheetName val="GE_CAPITAL"/>
      <sheetName val="ANN_9"/>
      <sheetName val="DIR_REMN"/>
      <sheetName val="80IA_(CONT)"/>
      <sheetName val="80_IA"/>
      <sheetName val="Raw_Material-old"/>
      <sheetName val="By_Product"/>
      <sheetName val="80_HHC"/>
      <sheetName val="Pune_addition"/>
      <sheetName val="MKT_PO-2011"/>
      <sheetName val="ONOFF-BUD_(ROC)"/>
      <sheetName val="Finance_IT_&amp;_Pro_(2)"/>
      <sheetName val="BS_Groupings"/>
      <sheetName val="PL_Groupings"/>
      <sheetName val="ANNEXURE_5_c"/>
      <sheetName val="21_(i)(B)(b)"/>
      <sheetName val="GS_Master"/>
      <sheetName val="Summary_model"/>
      <sheetName val="model_by_field"/>
      <sheetName val="Crude_oil"/>
      <sheetName val="Block_A"/>
      <sheetName val="W_Natuna"/>
      <sheetName val="Valuation_(F)"/>
      <sheetName val="Valuation_2"/>
      <sheetName val="Adjusted_data"/>
      <sheetName val="WRLD_EXPN"/>
      <sheetName val="EEFC_Account"/>
      <sheetName val="netmatl_"/>
      <sheetName val="t_o"/>
      <sheetName val="sch_list_(2)"/>
      <sheetName val="_t_o_"/>
      <sheetName val="Old_Data"/>
      <sheetName val="sal_summ"/>
      <sheetName val="dep_war"/>
      <sheetName val="BS_Rec_Control_Sheet"/>
      <sheetName val="New_May"/>
      <sheetName val="WCOL INDEX"/>
      <sheetName val="WCOL INPUT"/>
      <sheetName val="Expansion needed"/>
      <sheetName val="ALL"/>
      <sheetName val="Erlang B"/>
      <sheetName val="RPT 11-VOLUME BY BRANDS"/>
      <sheetName val="FORM7"/>
      <sheetName val="16-03-2K1"/>
      <sheetName val="Other"/>
      <sheetName val="Garbage Chute"/>
      <sheetName val="CPCـC_x0000__x0000__x0000__x0000__x0000__x0000__x0000__x0000__x0000__x0000__x0000__x0000__x0000__x0000__x0000__x0000__x0000__x0000__x0000__x0000__x0000__x0000__x0000__x0000__x0000__x0000_"/>
      <sheetName val="Material Constant-1A Chart 507"/>
      <sheetName val="[Book1.xls][Book1.xls]d/m/yy_x0000__x0013_["/>
      <sheetName val="3BPA00132-5-3 W plan HVPNL"/>
      <sheetName val="Pune-Solapur"/>
      <sheetName val="ICICI"/>
      <sheetName val="HDFC"/>
      <sheetName val="5 - CITICORP"/>
      <sheetName val="Av.G Level"/>
      <sheetName val="1-OBJ98 "/>
      <sheetName val="VISION 2000"/>
      <sheetName val="Operating Expenses HRY"/>
      <sheetName val="Sales1 HRY"/>
      <sheetName val="Operating Expenses"/>
      <sheetName val="Sales1"/>
      <sheetName val="_x0000__x001c__x0000_prashant.gajbhiye@ai"/>
      <sheetName val="nt ColorChartsWorkbook_VBA_PROJ"/>
      <sheetName val="ヰ`_x0000_᠑┡㜦ስ᜗┥ᜓ℔☦☦☦☦☦ᔕ┥⌥ⵃ✪┯〢ᐯ⤙䈠㈱㌨〉ㄥ䐬"/>
      <sheetName val="Sub Base Regionwise Sorting"/>
      <sheetName val="M51-09"/>
      <sheetName val="_x0000_豈_x0000__x0001__x0001_m_x0000_豰_x0000__x0001__x0001_m_x0000_貘_x0000__x0001__x0001_e_x0000_賀_x0000__x0001__x0001_p_x0000_賨_x0000__x0001__x0001_s_x0000_"/>
      <sheetName val="_x0000__x0004_"/>
      <sheetName val="ヰ`_x0000_j푨j함j헰j훰j흸j_xd878_j_xd900_j_xdb08_j_xdb90_j_xdc90_j_xdd18_j_xde68_j_xdfb8_j"/>
      <sheetName val="ヰ`_x0000_k佈k倠k储k冨k到k匰k厸k唈k嘈k嚐k垐k堘k夘k妠"/>
      <sheetName val="_x0000_p禠k稨k窰k笸k節k籈k糐k絘k締k繨k済k源k漘k澠k瀨"/>
      <sheetName val="ヰ`_x0000_k餸k騸k髀k鯀k鱈k鵈k鷐k鿘kꁠkꅠkꇨkꌸkꒈkꗘ"/>
      <sheetName val="ヰ`_x0000_lᐘlᓰlᕸlᙸlᜀl᠀lᢈl᧘l᫘l᭠lᱠl᳨lᷨlṰ"/>
      <sheetName val="_x0000_m㹰l㻸l㾀l䀈l䂐l䄘l䆠l䈨l䊰l䌸l㋘l㍠l㏨l㑰l㓸"/>
      <sheetName val="ヰ`_x0000_l앸l외l윀l저l좈l즈l쨐l쯰l챸l쵸l츀l콐l킠l퇰"/>
      <sheetName val="ヰ`_x0000_m䀰m䄈m䆐m䊐m䌘m䐘m䒠m䗰m䛰m䝸m䡸m䤀m䨀m䪈"/>
      <sheetName val="_x0000_o檈m欐m殘m氠m沨m洰m涸m湀m滈m潐m廰m彸m怀m悈m愐"/>
      <sheetName val="_x0000__x0015__x0000_harinath.m@airtel.in"/>
      <sheetName val="AP Accrual"/>
      <sheetName val="Wavelength selection"/>
      <sheetName val="Anil IT_2013-14"/>
      <sheetName val="Simulator Detail"/>
      <sheetName val="_x0000_Database: [2]. Exceeded number"/>
      <sheetName val="ERE `ODBCDriver`.`Component_` ="/>
      <sheetName val="elfReg`, `FileAction` Where `Se"/>
      <sheetName val="௔按਱ဵ_x0000__x0000_"/>
      <sheetName val="1-11%20MOI.xls_x0000__x0000__x0016__x0000__x0000__x000d__x0000__x0000__x000c__x0000_ň_x0000__x0002__x0000_"/>
      <sheetName val="ல"/>
      <sheetName val="Database: [2]. Exceeded number "/>
      <sheetName val="1-11%20MOI.xls_x0000__x0000__x0016__x0000__x0000__x000d__x0000__x000c__x0000_ň_x0000__x0002__x0000_Ӥ"/>
      <sheetName val="௔按਱ဵ_x0000_"/>
      <sheetName val="Dept Score-Assoc-Avg Dept Wise"/>
      <sheetName val="Dept Score-Assoc-Avg Dept W (2)"/>
      <sheetName val="ExistingRangeDetails"/>
      <sheetName val="Encl II"/>
      <sheetName val="Other notes"/>
      <sheetName val="Enclosure XV (2)"/>
      <sheetName val="Enclosure X contd"/>
      <sheetName val="Clause 20"/>
      <sheetName val="Enclosure VIII"/>
      <sheetName val="Makro1"/>
      <sheetName val="Net TB"/>
      <sheetName val="Variables"/>
      <sheetName val="Finance IT _ Pro _2_"/>
      <sheetName val="Jul 96 Worksheet"/>
      <sheetName val="80G"/>
      <sheetName val="MGT REP"/>
      <sheetName val="14"/>
      <sheetName val="3"/>
      <sheetName val="40"/>
      <sheetName val="RBS"/>
      <sheetName val="gen ledger data"/>
      <sheetName val="CHENNAI - ANNX"/>
      <sheetName val="Allocation for Nov 04"/>
      <sheetName val="Sheet18"/>
      <sheetName val="Aviva Debit Note- Nov 04"/>
      <sheetName val="Aviva Debit Note- Dec 04"/>
      <sheetName val="Aviva Invoice- Dec 04"/>
      <sheetName val="Liferev 2002 (2)"/>
      <sheetName val="Liferev 2002"/>
      <sheetName val="LifeCBS-2002"/>
      <sheetName val="CPL-2002"/>
      <sheetName val="Genrevdetail "/>
      <sheetName val="CBS-2002"/>
      <sheetName val="Div"/>
      <sheetName val="MNIH-Consol entries 2002(i)"/>
      <sheetName val="InvestmentL-BS-2002"/>
      <sheetName val="AP 110 sub"/>
      <sheetName val="FSL"/>
      <sheetName val="F-3"/>
      <sheetName val="30"/>
      <sheetName val="CJE"/>
      <sheetName val="CF-1"/>
      <sheetName val="CF-2"/>
      <sheetName val="Disclosure"/>
      <sheetName val="D-1"/>
      <sheetName val="L-2"/>
      <sheetName val="RCD-403-1"/>
      <sheetName val="RCD-403-2"/>
      <sheetName val="RCD-403-3"/>
      <sheetName val="RCD-403-4"/>
      <sheetName val="RCD-403-4 (2)"/>
      <sheetName val="Rec"/>
      <sheetName val="U2_AR on Revenue"/>
      <sheetName val="U3 (disclosure)"/>
      <sheetName val="O2-2"/>
      <sheetName val="O2-1"/>
      <sheetName val="O4"/>
      <sheetName val="O3"/>
      <sheetName val="O3-1"/>
      <sheetName val="O5"/>
      <sheetName val="M1l1"/>
      <sheetName val="M2_payables listing"/>
      <sheetName val="TNK-Staff costs"/>
      <sheetName val="A2-2 RJE"/>
      <sheetName val="A2-1 AJE"/>
      <sheetName val="Q2"/>
      <sheetName val="Equity"/>
      <sheetName val="Bal-Sheet"/>
      <sheetName val="Income"/>
      <sheetName val="Reclassification"/>
      <sheetName val="A10-1 (2)"/>
      <sheetName val="A10-1"/>
      <sheetName val="C4-1 (2)"/>
      <sheetName val="C4-1"/>
      <sheetName val="F7"/>
      <sheetName val="Starbase(CLA)"/>
      <sheetName val="O1-1"/>
      <sheetName val="N3|2-1 (2)"/>
      <sheetName val="A2l1"/>
      <sheetName val="StockTake"/>
      <sheetName val="B Redang"/>
      <sheetName val="E3 (2)"/>
      <sheetName val="interest restriction"/>
      <sheetName val="E.5"/>
      <sheetName val="Specific_RCD3"/>
      <sheetName val="F6 Stock Take recon"/>
      <sheetName val="F5.1 stk valuation"/>
      <sheetName val="A2.4 SAD"/>
      <sheetName val="E2 (&lt;)"/>
      <sheetName val="E3-1"/>
      <sheetName val="B7-2"/>
      <sheetName val="B9-2"/>
      <sheetName val="K5"/>
      <sheetName val="A2|3 AJE"/>
      <sheetName val="A2|2 RJE"/>
      <sheetName val="A2|1 OJE"/>
      <sheetName val="Page 3"/>
      <sheetName val="U2-Staff Welfare"/>
      <sheetName val="N3_SCH FUND"/>
      <sheetName val="K_Leeza"/>
      <sheetName val="K1_DEP Leeza"/>
      <sheetName val="#RE"/>
      <sheetName val="#R"/>
      <sheetName val="#"/>
      <sheetName val="PNB-MINORITY"/>
      <sheetName val="CONPL2003"/>
      <sheetName val="A2-1_CLA"/>
      <sheetName val="A2-2_RJE"/>
      <sheetName val="Bakat - consol"/>
      <sheetName val="consol-05"/>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receipt Reg_Nov08"/>
      <sheetName val="Price Nego(Summary) (2)"/>
      <sheetName val="April'00"/>
      <sheetName val="MAIN LATEST"/>
      <sheetName val="currency (2)"/>
      <sheetName val="currency"/>
      <sheetName val="Outgoing"/>
      <sheetName val="Incoming"/>
      <sheetName val="Consol"/>
      <sheetName val="Capex_&amp;_Opex"/>
      <sheetName val="MAIN_LATEST"/>
      <sheetName val="currency_(2)"/>
      <sheetName val="SPS_DETAIL"/>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FX"/>
      <sheetName val="new_main_20K"/>
      <sheetName val="Final"/>
      <sheetName val="Summary-Price_New"/>
      <sheetName val="AN-2K"/>
      <sheetName val="Switch V16"/>
      <sheetName val="EBT"/>
      <sheetName val="Scenarios"/>
      <sheetName val="Component Pricing, Costs"/>
      <sheetName val="AR"/>
      <sheetName val="CALCULATIONS"/>
      <sheetName val="Edit(01)"/>
      <sheetName val="syndicate codes"/>
      <sheetName val="BTVL-ABN Tranche I"/>
      <sheetName val="&amp;Synchro"/>
      <sheetName val="204"/>
      <sheetName val="_x0000__x0000__x0000__x0000__x0000__x0000__x0000__x0000_"/>
      <sheetName val="BRP&amp;L"/>
      <sheetName val="Distribution"/>
      <sheetName val="Home Office"/>
      <sheetName val="Others"/>
      <sheetName val="Input Sheet"/>
      <sheetName val="IRR Gaming"/>
      <sheetName val="P&amp;L breakup"/>
      <sheetName val="NOIDA"/>
      <sheetName val="Preside"/>
      <sheetName val="Calcns FDB"/>
      <sheetName val="Assns FDB"/>
      <sheetName val="UK"/>
      <sheetName val="DE"/>
      <sheetName val="MX"/>
      <sheetName val="CN"/>
      <sheetName val="BR"/>
      <sheetName val="BR (2)"/>
      <sheetName val="PLJAN"/>
      <sheetName val="Summary_Local"/>
      <sheetName val="LANGUAGE"/>
      <sheetName val="BCL-Barclays"/>
      <sheetName val="Dels"/>
      <sheetName val="comp."/>
      <sheetName val="Apparel"/>
      <sheetName val="Bodega"/>
      <sheetName val="CCA"/>
      <sheetName val="CashNCarry"/>
      <sheetName val="Membership"/>
      <sheetName val="SoftDiscount"/>
      <sheetName val="Balance Shee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list_-_do_not_delete"/>
      <sheetName val="SEC bridge"/>
      <sheetName val="EMC format"/>
      <sheetName val="Overview"/>
      <sheetName val="Import"/>
      <sheetName val="Bal Sheet"/>
      <sheetName val="223.582"/>
      <sheetName val="IHP Detailed QA"/>
      <sheetName val="Profit &amp; Loss (2)"/>
      <sheetName val="M-2 Discounted"/>
      <sheetName val="MAINT,QP,COMM"/>
      <sheetName val="SUPPORTING"/>
      <sheetName val="Acquirer Input"/>
      <sheetName val="PE EV charts"/>
      <sheetName val="DLBUR-COST (2)"/>
      <sheetName val="피벗"/>
      <sheetName val="K-15"/>
      <sheetName val="D"/>
      <sheetName val="K16"/>
      <sheetName val="E5-Recoverability review"/>
      <sheetName val="F1-Stock Roll fwd"/>
      <sheetName val="EPS (2)"/>
      <sheetName val="수정사항"/>
      <sheetName val="AFS (2)"/>
      <sheetName val="현금예금"/>
      <sheetName val="투자자산"/>
      <sheetName val="유형자산"/>
      <sheetName val="상각overall"/>
      <sheetName val="단기차입금"/>
      <sheetName val="장기차입금"/>
      <sheetName val="자본"/>
      <sheetName val="이자비용"/>
      <sheetName val="개요"/>
      <sheetName val="부가세 대사"/>
      <sheetName val="재고실사 refer"/>
      <sheetName val="월별급여"/>
      <sheetName val="8400"/>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L1"/>
      <sheetName val="L1-1"/>
      <sheetName val="Reclassifications"/>
      <sheetName val="Int rea (2)"/>
      <sheetName val="Int rea (4)"/>
      <sheetName val="L7-1"/>
      <sheetName val="RMatValuation"/>
      <sheetName val="B3-1"/>
      <sheetName val="E3.3"/>
      <sheetName val="E3.4"/>
      <sheetName val="L-FL"/>
      <sheetName val="L2"/>
      <sheetName val="L3"/>
      <sheetName val="Royalty"/>
      <sheetName val="credit"/>
      <sheetName val="C1 "/>
      <sheetName val="C1-1"/>
      <sheetName val="C1-2 "/>
      <sheetName val="C1-3"/>
      <sheetName val="C2"/>
      <sheetName val="C3.."/>
      <sheetName val="C4w"/>
      <sheetName val="TBS"/>
      <sheetName val="TPL"/>
      <sheetName val="TRecon"/>
      <sheetName val="C1-2"/>
      <sheetName val="B-ins"/>
      <sheetName val="lease"/>
      <sheetName val="N1.2 (2)"/>
      <sheetName val="BS-YLI"/>
      <sheetName val="BS-ATT"/>
      <sheetName val="BS-YLB"/>
      <sheetName val="BS-YLT"/>
      <sheetName val="A5"/>
      <sheetName val="D2"/>
      <sheetName val="Payroll Summary"/>
      <sheetName val="Insurance"/>
      <sheetName val="B4"/>
      <sheetName val="MFG"/>
      <sheetName val="dpla "/>
      <sheetName val="OP. EXP (2)"/>
      <sheetName val="Cut off - Fac A"/>
      <sheetName val="B4-1"/>
      <sheetName val="B2-4 (2)"/>
      <sheetName val="B6"/>
      <sheetName val="M5"/>
      <sheetName val="D1-2"/>
      <sheetName val="TBCS-PL"/>
      <sheetName val="E-Sales Cut-off"/>
      <sheetName val="E-Purch Cut-off"/>
      <sheetName val="TOC-Sales"/>
      <sheetName val="TOC-Receipts"/>
      <sheetName val="C1-FL"/>
      <sheetName val="C1-AL"/>
      <sheetName val="F1-1"/>
      <sheetName val="M2"/>
      <sheetName val="M2-1"/>
      <sheetName val="M2-2"/>
      <sheetName val="M2-3"/>
      <sheetName val="M2-4"/>
      <sheetName val="c1.1"/>
      <sheetName val="c1.2 "/>
      <sheetName val="fully depreciated"/>
      <sheetName val="asset list 2004 (4)"/>
      <sheetName val="details fully depr"/>
      <sheetName val="c1.3"/>
      <sheetName val="FA Addition"/>
      <sheetName val="disposal"/>
      <sheetName val="Adjustments"/>
      <sheetName val="D - Loan charges"/>
      <sheetName val="OSM11-01-06"/>
      <sheetName val="TBCS-BS"/>
      <sheetName val="D1"/>
      <sheetName val="D1-1"/>
      <sheetName val="D2-1"/>
      <sheetName val="D3"/>
      <sheetName val="HP"/>
      <sheetName val="D-PAD"/>
      <sheetName val="PT KUTAI P7005 "/>
      <sheetName val="PT KUTAI P705U"/>
      <sheetName val="WTK W7002"/>
      <sheetName val="WTK W7003"/>
      <sheetName val="WTK W7008"/>
      <sheetName val="WTK W708U"/>
      <sheetName val="H1"/>
      <sheetName val="M1.2"/>
      <sheetName val="M2-deposit"/>
      <sheetName val="M3-retentionsum"/>
      <sheetName val="M4-accruals"/>
      <sheetName val="BURGER ACC"/>
      <sheetName val="M6.1-insurance"/>
      <sheetName val="Sheet1 (3)"/>
      <sheetName val="Sheet1 (4)"/>
      <sheetName val="Sheet1 (5)"/>
      <sheetName val="Sheet1 (6)"/>
      <sheetName val="Sheet1 (7)"/>
      <sheetName val="Sheet1 (8)"/>
      <sheetName val="Sheet1 (9)"/>
      <sheetName val="Sheet1 (10)"/>
      <sheetName val="Sheet1 (11)"/>
      <sheetName val="E1-1"/>
      <sheetName val="E1-2 "/>
      <sheetName val="E8"/>
      <sheetName val="Wywy"/>
      <sheetName val="WOS"/>
      <sheetName val="TBCS-PL "/>
      <sheetName val="G2"/>
      <sheetName val="BASIC PRICE TIMES MUSIC "/>
      <sheetName val="with plm (2)"/>
      <sheetName val="5"/>
      <sheetName val="INSTRUCTIONS"/>
      <sheetName val="Accounts Payable (11)"/>
      <sheetName val="AP Concentrations"/>
      <sheetName val="FS - BS (2)"/>
      <sheetName val="FS - BS Det (2)"/>
      <sheetName val="FS- IS (2)"/>
      <sheetName val="Layout"/>
      <sheetName val="Concentrations"/>
      <sheetName val="Delinquent Accounts "/>
      <sheetName val="Ship Test"/>
      <sheetName val="Mgmt Letter"/>
      <sheetName val="AR Roll"/>
      <sheetName val="Non-Primes"/>
      <sheetName val="Misc - Tax(NIC)"/>
      <sheetName val="CM Test "/>
      <sheetName val="Conc (NIC)"/>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AR Stats Input"/>
      <sheetName val="Cash Diagram (3)"/>
      <sheetName val="Cash  (2)"/>
      <sheetName val="INV-Counts  (2)"/>
      <sheetName val="CM Test (sales credits)"/>
      <sheetName val="H"/>
      <sheetName val="Cash -Lockbox"/>
      <sheetName val="Reconciliations"/>
      <sheetName val="AP - stats"/>
      <sheetName val="INV - Counts Roto"/>
      <sheetName val="Cash - Operating Fleet"/>
      <sheetName val="Cash - Operating Trustco"/>
      <sheetName val="Cash Diagram"/>
      <sheetName val="AP Factored By CIT (2)"/>
      <sheetName val="INV-IEC"/>
      <sheetName val="INV-CMI"/>
      <sheetName val="INV-CC"/>
      <sheetName val="INV - Costs Intl Environmental"/>
      <sheetName val="INV - Costs Climate Master"/>
      <sheetName val="INV - Costs Climate Craft"/>
      <sheetName val="Conc"/>
      <sheetName val="Flash Pg-1"/>
      <sheetName val="Expanded Shipping Test"/>
      <sheetName val="Conc-Merc.Air Cargo"/>
      <sheetName val="AP - conc"/>
      <sheetName val=" AP Delinq "/>
      <sheetName val="Missing Doc Rpt"/>
      <sheetName val="AR Roll Consol"/>
      <sheetName val="BU Color &amp; Specialties"/>
      <sheetName val="BRISTOL"/>
      <sheetName val="Manuf Chem Cleveland"/>
      <sheetName val="Organic Pigments"/>
      <sheetName val="CM Test"/>
      <sheetName val="AP Conc"/>
      <sheetName val="AP Disb"/>
      <sheetName val="Concs"/>
      <sheetName val="Delinq"/>
      <sheetName val="INV - Counts Nashville"/>
      <sheetName val="FS- IS"/>
      <sheetName val="wwww"/>
      <sheetName val="OFA YTD (Co4)"/>
      <sheetName val="Input Data"/>
      <sheetName val="Data_Input_SAM"/>
      <sheetName val="Control Sheet"/>
      <sheetName val="sqm_8k"/>
      <sheetName val="12k"/>
      <sheetName val="Hidden"/>
      <sheetName val="9"/>
      <sheetName val="Customize Your Invoice"/>
      <sheetName val="#ADR"/>
      <sheetName val="Security"/>
      <sheetName val="sqm_5k"/>
      <sheetName val="sqm_10k"/>
      <sheetName val="Summary Freehold"/>
      <sheetName val="Summary Propco"/>
      <sheetName val="New Stores by Type"/>
      <sheetName val="Cars"/>
      <sheetName val="BRI Capex 2007"/>
      <sheetName val="BC"/>
      <sheetName val="BC summary"/>
      <sheetName val="BOOK1.XLS"/>
      <sheetName val="Profit&amp;Loss"/>
      <sheetName val="Consolidated Seasonalities"/>
      <sheetName val="Consolidated Bases"/>
      <sheetName val="DLI Bases"/>
      <sheetName val="DLI Seasonalities"/>
      <sheetName val="Net Seasonalities"/>
      <sheetName val="SSPCA Seasonalities"/>
      <sheetName val="Sales Tree (2)"/>
      <sheetName val="Schedules Ref &amp; Ext"/>
      <sheetName val="Definitions"/>
      <sheetName val="admin"/>
      <sheetName val="Lookup"/>
      <sheetName val="CalcSheet"/>
      <sheetName val="act_r90r0182 (2)"/>
      <sheetName val="Intro"/>
      <sheetName val="_x0000_开孞썝豼쌀疋謈ె䶋忴"/>
      <sheetName val="Cost Sheet PTD_BS"/>
      <sheetName val="?开孞썝豼쌀疋謈ె䶋忴"/>
      <sheetName val="011 Manaccs - GHW.xls?o_x0008_?????8?"/>
      <sheetName val="Cost Sheet_FS"/>
      <sheetName val="011 Manaccs - GHW.xls_x0000_o_x0008__x0000__x0000__x0000__x0000__x0000_8_x0000_"/>
      <sheetName val="UNIT"/>
      <sheetName val="cr"/>
      <sheetName val="sr"/>
      <sheetName val="CAD TRG"/>
      <sheetName val="tblNNSExport23Master"/>
      <sheetName val="이자율"/>
      <sheetName val="C4_월관리(전일누적)"/>
      <sheetName val="월목표"/>
      <sheetName val="인건비"/>
      <sheetName val="live format"/>
      <sheetName val="lookups"/>
      <sheetName val="Team_Query"/>
      <sheetName val="Cust Sat Master"/>
      <sheetName val="opening programme"/>
      <sheetName val="Select"/>
      <sheetName val="CC Summary"/>
      <sheetName val="calc rent"/>
      <sheetName val="BRANDS"/>
      <sheetName val="AtlasParameters"/>
      <sheetName val="OFA_YTD_(Co4)"/>
      <sheetName val="Input_Data"/>
      <sheetName val="Control_Sheet"/>
      <sheetName val="Customize_Your_Invoice"/>
      <sheetName val="Summary_Freehold"/>
      <sheetName val="Summary_Propco"/>
      <sheetName val="New_Stores_by_Type"/>
      <sheetName val="BRI_Capex_2007"/>
      <sheetName val="BC_summary"/>
      <sheetName val="BOOK1_XLS"/>
      <sheetName val="Cash_Flow"/>
      <sheetName val="Sales_Tree_(2)"/>
      <sheetName val="Schedules_Ref_&amp;_Ext"/>
      <sheetName val="Consolidated_Seasonalities"/>
      <sheetName val="Consolidated_Bases"/>
      <sheetName val="DLI_Bases"/>
      <sheetName val="DLI_Seasonalities"/>
      <sheetName val="Net_Seasonalities"/>
      <sheetName val="SSPCA_Seasonalities"/>
      <sheetName val="act_r90r0182_(2)"/>
      <sheetName val="Cost_Sheet_PTD_BS"/>
      <sheetName val="011_Manaccs_-_GHW_xls?o?????8?"/>
      <sheetName val="Cost_Sheet_FS"/>
      <sheetName val="011_Manaccs_-_GHW_xlso8"/>
      <sheetName val="CAD_TRG"/>
      <sheetName val="live_format"/>
      <sheetName val="Cust_Sat_Master"/>
      <sheetName val="opening_programme"/>
      <sheetName val="CC_Summary"/>
      <sheetName val="calc_rent"/>
      <sheetName val="OFA_YTD_(Co4)1"/>
      <sheetName val="Input_Data1"/>
      <sheetName val="Control_Sheet1"/>
      <sheetName val="Customize_Your_Invoice1"/>
      <sheetName val="Summary_Freehold1"/>
      <sheetName val="Summary_Propco1"/>
      <sheetName val="New_Stores_by_Type1"/>
      <sheetName val="BRI_Capex_20071"/>
      <sheetName val="BC_summary1"/>
      <sheetName val="BOOK1_XLS1"/>
      <sheetName val="Cash_Flow1"/>
      <sheetName val="Consolidated_Seasonalities1"/>
      <sheetName val="Consolidated_Bases1"/>
      <sheetName val="DLI_Bases1"/>
      <sheetName val="DLI_Seasonalities1"/>
      <sheetName val="Net_Seasonalities1"/>
      <sheetName val="SSPCA_Seasonalities1"/>
      <sheetName val="Sales_Tree_(2)1"/>
      <sheetName val="Schedules_Ref_&amp;_Ext1"/>
      <sheetName val="Cost_Sheet_PTD_BS1"/>
      <sheetName val="act_r90r0182_(2)1"/>
      <sheetName val="Cost_Sheet_FS1"/>
      <sheetName val="CAD_TRG1"/>
      <sheetName val="live_format1"/>
      <sheetName val="Cust_Sat_Master1"/>
      <sheetName val="opening_programme1"/>
      <sheetName val="CC_Summary1"/>
      <sheetName val="calc_rent1"/>
      <sheetName val="Direct D code"/>
      <sheetName val="D Summary"/>
      <sheetName val="Direct D code (2)"/>
      <sheetName val="Parameters"/>
      <sheetName val="011 Manaccs - GHW.xls"/>
      <sheetName val="StorePivot"/>
      <sheetName val="EXGHS"/>
      <sheetName val="GHS"/>
      <sheetName val="GenericPivot"/>
      <sheetName val="GroupPivot"/>
      <sheetName val="MainData"/>
      <sheetName val="Ratio"/>
      <sheetName val="2001 Total"/>
      <sheetName val="Analysis"/>
      <sheetName val="Attachment - 3(cont.)"/>
      <sheetName val="Attachment 9(contd)"/>
      <sheetName val="Dep Books"/>
      <sheetName val="Dep Month wise"/>
      <sheetName val="PDCA 9"/>
      <sheetName val="Data 2003"/>
      <sheetName val="_x0000__x0000_"/>
      <sheetName val="Trennung SRE BDE NEU"/>
      <sheetName val="Clientes"/>
      <sheetName val="Sheet1_x0000_Ҩ⋨【_x0008__x0000__x0007__x0000__x0008__x0000_"/>
      <sheetName val="HYDERABAD J907"/>
      <sheetName val="Comp"/>
      <sheetName val="QA表（Ｂ）概要"/>
      <sheetName val="別紙3-1機能別ﾌﾞﾛｯｸ別原価目標"/>
      <sheetName val="別紙3-2Budget(機能、費目別)"/>
      <sheetName val="ATRUCK"/>
      <sheetName val="TM"/>
      <sheetName val="#REF!"/>
      <sheetName val="??矏????????Ộ믩????_x0005__x000d_Ā_x0009_䑄䵅䅌獮䍩楬湥t??"/>
      <sheetName val="_x0000__x0000_矏_x0000__x0000__x0000__x0000__x0000__x0000__x0000__x0000_Ộ믩_x0000__x0000__x0000__x0000__x0005__x000d_Ā_x0009_䑄䵅䅌獮䍩楬湥t_x0000__x0000_"/>
      <sheetName val="項目定義"/>
      <sheetName val="__矏________Ộ믩_____x0005__x000d_Ā_x0009_䑄䵅䅌獮䍩楬湥t__"/>
      <sheetName val="ACO"/>
      <sheetName val="055"/>
      <sheetName val="200"/>
      <sheetName val="工場Ａ"/>
      <sheetName val="Invoice to Finance"/>
      <sheetName val="Payments-Jul07"/>
      <sheetName val="p-4 (2)"/>
      <sheetName val="Sch 4- (2)"/>
      <sheetName val="Prof"/>
      <sheetName val="liquidated Damages"/>
      <sheetName val="manpowe"/>
      <sheetName val="SSLP"/>
      <sheetName val="SBPFIX"/>
      <sheetName val="MP-CP-SS"/>
      <sheetName val="??矏????????Ộ믩????_x0005__x000d_Ā 䑄䵅䅌獮䍩楬湥t??"/>
      <sheetName val="_x0000__x0000_矏_x0000__x0000__x0000__x0000__x0000__x0000__x0000__x0000_Ộ믩_x0000__x0000__x0000__x0000__x0005__x000d_Ā 䑄䵅䅌獮䍩楬湥t_x0000__x0000_"/>
      <sheetName val="__矏________Ộ믩_____x0005__x000d_Ā 䑄䵅䅌獮䍩楬湥t__"/>
      <sheetName val="P&amp;L February"/>
      <sheetName val="P&amp;L Feb 2001 cumulative"/>
      <sheetName val="Unmatched"/>
      <sheetName val="Matched"/>
      <sheetName val=".dll_x005f_x0000__x005f_x0005__x005f_x0008_Ā_x000"/>
      <sheetName val="e &amp;Support_x005f_x0000__x005f_x0005__x005f_x0019_"/>
      <sheetName val="ttings_purnima_Application Data"/>
      <sheetName val="_I"/>
      <sheetName val="Own Variable"/>
      <sheetName val="ヰ`"/>
      <sheetName val="̃"/>
      <sheetName val=".dll"/>
      <sheetName val="e &amp;Support"/>
      <sheetName val="CPCـC"/>
      <sheetName val="[Book1.xls][Book1.xls]d/m/yy"/>
      <sheetName val="௔按਱ဵ"/>
      <sheetName val="1-11%20MOI.xls"/>
      <sheetName val="on register &amp; chargeable"/>
      <sheetName val="not included on register"/>
      <sheetName val="on register but not charged"/>
      <sheetName val="Sorted (2)"/>
      <sheetName val="其他应收明细"/>
      <sheetName val="货币资金审定表"/>
      <sheetName val="其他货币资金审定表 "/>
      <sheetName val="与对帐单余额核对"/>
      <sheetName val="未达帐项审查-银行已计,单位未计"/>
      <sheetName val="货币资金明细表"/>
      <sheetName val="其他货币资金明细表 "/>
      <sheetName val="应收票据审定表"/>
      <sheetName val="应收票据明细表"/>
      <sheetName val="应收票据清单-Q2"/>
      <sheetName val="久隆应收票据-Q3"/>
      <sheetName val="应收账款审定表"/>
      <sheetName val="坏账准备审定表"/>
      <sheetName val="应收账款明细"/>
      <sheetName val="应收帐龄-REVISED"/>
      <sheetName val="预付账款审定表"/>
      <sheetName val="预付账款明细"/>
      <sheetName val="预付应付重分类帐龄分析"/>
      <sheetName val="其他应收款审定表"/>
      <sheetName val="代付九龙机电安置费明细"/>
      <sheetName val="其他应收-单位帐龄"/>
      <sheetName val="其他应收个人帐龄分析"/>
      <sheetName val="长期投资审定表"/>
      <sheetName val="长期投资明细表"/>
      <sheetName val="固定资产、累计折旧审定表"/>
      <sheetName val="固定资产及累计折旧增减变动表-Q3"/>
      <sheetName val="REVISED"/>
      <sheetName val="REVISED -抽盘"/>
      <sheetName val="在建工程审定表"/>
      <sheetName val="在建工程明细"/>
      <sheetName val="无形资产审定表 "/>
      <sheetName val="借款利息"/>
      <sheetName val="应付工资审定表"/>
      <sheetName val="应付工资 明细表"/>
      <sheetName val="应付工资审查表"/>
      <sheetName val="应付福利费审定表"/>
      <sheetName val="应付福利费"/>
      <sheetName val="应付福利费明细表"/>
      <sheetName val="应付股利审定表"/>
      <sheetName val="应付股利明细"/>
      <sheetName val="其他应付款审定表"/>
      <sheetName val="其他应付款明细"/>
      <sheetName val="各项福利"/>
      <sheetName val="预收账款审定表"/>
      <sheetName val="其他应交款审定表"/>
      <sheetName val="预提费用审定表"/>
      <sheetName val="预提费用明细"/>
      <sheetName val="实收资本审定表"/>
      <sheetName val="资本公积审定表"/>
      <sheetName val="资本公积明细"/>
      <sheetName val="盈余公积审定表"/>
      <sheetName val="盈余公积明细"/>
      <sheetName val="未分配利润审定表"/>
      <sheetName val="管理费用审定表"/>
      <sheetName val="管理费用明细表"/>
      <sheetName val="管理费用-税金 (2)"/>
      <sheetName val="销售费用审定表"/>
      <sheetName val="销售费用明细表"/>
      <sheetName val="财务费用审定表"/>
      <sheetName val="财务费用明细"/>
      <sheetName val="其他业务利润审定表"/>
      <sheetName val="其他业务收支明细"/>
      <sheetName val="营业外收入审定表"/>
      <sheetName val="营业外支出审定表"/>
      <sheetName val="PL-monthly"/>
      <sheetName val="Wacc"/>
      <sheetName val="CF-8&quot;-y2"/>
      <sheetName val="关联方 (3)"/>
      <sheetName val="关联方"/>
      <sheetName val="production cost-pbc"/>
      <sheetName val="mov-pbc"/>
      <sheetName val="mov"/>
      <sheetName val="复核程序表"/>
      <sheetName val="复核声明"/>
      <sheetName val="底稿复核记录"/>
      <sheetName val="底稿目录"/>
      <sheetName val="database"/>
      <sheetName val="A"/>
      <sheetName val="预付账款分账龄(其他资产)"/>
      <sheetName val="应收补贴款(其他资产)"/>
      <sheetName val="长期债权投资(GSM)"/>
      <sheetName val="长期股权投资减值准备(GSM)"/>
      <sheetName val="长期债权投资减值准备(GSM)"/>
      <sheetName val="固定资产分类变动(GSM)"/>
      <sheetName val="固定资产使用状态变动(GSM)"/>
      <sheetName val="经营租入固定资产改良(GSM)"/>
      <sheetName val="固定资产分类减值准备(GSM)"/>
      <sheetName val="固定资产使用状态减值准备(GSM)"/>
      <sheetName val="工程物资(GSM)"/>
      <sheetName val="在建工程减值准备(GSM)"/>
      <sheetName val="固定资产清理(GSM)"/>
      <sheetName val="无形资产(GSM)"/>
      <sheetName val="无形资产减值准备(GSM)"/>
      <sheetName val="未确认融资租赁费(GSM)"/>
      <sheetName val="特准储备物资(GSM)"/>
      <sheetName val="待处理财产损益(GSM)"/>
      <sheetName val="短期借款(GSM)"/>
      <sheetName val="应付票据(GSM)"/>
      <sheetName val="应付短期债券(GSM)"/>
      <sheetName val="应付账款分账龄(GSM)"/>
      <sheetName val="应付工程及设备款变动(GSM)"/>
      <sheetName val="预收账款分账龄(GSM)"/>
      <sheetName val="代销商品款(GSM)"/>
      <sheetName val="应付工资及福利费(GSM)"/>
      <sheetName val="应付利息(GSM)"/>
      <sheetName val="应交税金(GSM)"/>
      <sheetName val="其他应交款(GSM)"/>
      <sheetName val="其他应付款分账龄(GSM)"/>
      <sheetName val="预提费用(GSM)"/>
      <sheetName val="待转资产价值(GSM)"/>
      <sheetName val="预计负债(GSM)"/>
      <sheetName val="长期借款(GSM)"/>
      <sheetName val="应付债券(GSM)"/>
      <sheetName val="长期应付款(GSM)"/>
      <sheetName val="专项应付款(GSM)"/>
      <sheetName val="递延税款(GSM)"/>
      <sheetName val="06.12"/>
      <sheetName val="补贴收入"/>
      <sheetName val="财务费用"/>
      <sheetName val="分专业利润表"/>
      <sheetName val="分专业资产负债表"/>
      <sheetName val="管理费用"/>
      <sheetName val="分专业利润分配表"/>
      <sheetName val="上市公司与关联公司往来"/>
      <sheetName val="其他业务利润"/>
      <sheetName val="人工成本"/>
      <sheetName val="投资收益"/>
      <sheetName val="现金流量表"/>
      <sheetName val="营业外收入"/>
      <sheetName val="营业外支出"/>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资本公积取数"/>
      <sheetName val="1-10"/>
      <sheetName val="1-10a"/>
      <sheetName val="1-10b"/>
      <sheetName val="1-10c"/>
      <sheetName val="1-10d"/>
      <sheetName val="营业所收入"/>
      <sheetName val="合并销量"/>
      <sheetName val="销售成本过渡"/>
      <sheetName val="销售成本"/>
      <sheetName val="合并抵消往来分录"/>
      <sheetName val="协议清单"/>
      <sheetName val="LinkData"/>
      <sheetName val="DropDown"/>
      <sheetName val="F-B"/>
      <sheetName val="F-B-1"/>
      <sheetName val="折旧测算 (2)"/>
      <sheetName val="折旧测算"/>
      <sheetName val="折旧测算 (3)"/>
      <sheetName val="C - Cash and Bank"/>
      <sheetName val="Info. Request"/>
      <sheetName val="Orders"/>
      <sheetName val="To tied 2001 opening RE"/>
      <sheetName val="新洋06合同汇总"/>
      <sheetName val="Finsum-NAS"/>
      <sheetName val="数字视频并帐"/>
      <sheetName val="XL4Poppy"/>
      <sheetName val="预收帐款"/>
      <sheetName val="回函汇总表"/>
      <sheetName val="存货余额表"/>
      <sheetName val="原材料仓库与财务对账"/>
      <sheetName val="产成品"/>
      <sheetName val="产成品计价测试"/>
      <sheetName val="发出商品与委托加工物资"/>
      <sheetName val="原材料分析"/>
      <sheetName val="直销"/>
      <sheetName val="存货说明书"/>
      <sheetName val="2002.1-6管理费用"/>
      <sheetName val="人力_总"/>
      <sheetName val="总裁室"/>
      <sheetName val="企划办"/>
      <sheetName val="人力资源部"/>
      <sheetName val="公关外联部"/>
      <sheetName val="信息技术部"/>
      <sheetName val="Operating Companies"/>
      <sheetName val="Management Companies"/>
      <sheetName val="Contacts"/>
      <sheetName val="PCAP Data"/>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 val="퇴직영수증"/>
      <sheetName val="근로영수증"/>
      <sheetName val="회사내역"/>
      <sheetName val="A4공장"/>
      <sheetName val="PSI"/>
      <sheetName val="Raw_data"/>
      <sheetName val="Acqusition of FEC"/>
      <sheetName val="相机6个月以上"/>
      <sheetName val="dso-WS"/>
      <sheetName val="잡손실_"/>
      <sheetName val="잡이익_"/>
      <sheetName val="Code"/>
      <sheetName val="客户代码"/>
      <sheetName val="无锡"/>
      <sheetName val="内蒙古3-1"/>
      <sheetName val="未付返利表"/>
      <sheetName val="2月总费用（不含税）"/>
      <sheetName val="2月总费用（含税）"/>
      <sheetName val="办事处费用"/>
      <sheetName val="合计销售"/>
      <sheetName val="客户资料"/>
      <sheetName val="Cover Sheet"/>
      <sheetName val="51701"/>
      <sheetName val="Assump"/>
      <sheetName val="Ann XV"/>
      <sheetName val="Quarters"/>
      <sheetName val="#2212000"/>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rbc"/>
      <sheetName val="bbc"/>
      <sheetName val="2rr"/>
      <sheetName val="2rollb"/>
      <sheetName val="sltr"/>
      <sheetName val="brkr"/>
      <sheetName val="WIRE_CUTTR"/>
      <sheetName val="CAM_GUM"/>
      <sheetName val="BANRAW-1"/>
      <sheetName val="ban-1"/>
      <sheetName val="ban-2"/>
      <sheetName val="ASHOK"/>
      <sheetName val="teo model"/>
      <sheetName val="Figures"/>
      <sheetName val="PetroConsultants"/>
      <sheetName val="eval"/>
      <sheetName val="Projections"/>
      <sheetName val="EVA1"/>
      <sheetName val="QoQ Forecast"/>
      <sheetName val="PetroChina"/>
      <sheetName val="Quarterly "/>
      <sheetName val="Rev sum"/>
      <sheetName val="chem"/>
      <sheetName val="chems"/>
      <sheetName val="R&amp;M"/>
      <sheetName val="GAS"/>
      <sheetName val="LPG"/>
      <sheetName val="RoW"/>
      <sheetName val="LatAm"/>
      <sheetName val="NAf, MEast"/>
      <sheetName val="group E&amp;P"/>
      <sheetName val="debt"/>
      <sheetName val="africa"/>
      <sheetName val="euro"/>
      <sheetName val="health"/>
      <sheetName val="SNAM"/>
      <sheetName val="groupE&amp;P"/>
      <sheetName val="North Sea"/>
      <sheetName val="West Africa"/>
      <sheetName val="Italy"/>
      <sheetName val="North Africa"/>
      <sheetName val="Oilservice"/>
      <sheetName val="assms"/>
      <sheetName val="Accounting"/>
      <sheetName val="IRR"/>
      <sheetName val="MenuData"/>
      <sheetName val="Financial Data"/>
      <sheetName val="[Book1.xls]ttings_purnima_App_2"/>
      <sheetName val="[Book1.xls]dd_mmmm_yyyy_______2"/>
      <sheetName val="[Book1.xls][Book1.xls]_Book1__2"/>
      <sheetName val="[Book1.xls]_x0000_Database: [2]__Ex_2"/>
      <sheetName val="[Book1.xls]Database: [2]__Exc_2"/>
      <sheetName val="[Book1.xls][Book1.xls]_Book1__3"/>
      <sheetName val="GMB1"/>
      <sheetName val="GMB2"/>
      <sheetName val="GMS1"/>
      <sheetName val="GMS2"/>
      <sheetName val="IFO1"/>
      <sheetName val="IFO2"/>
      <sheetName val="WCR1"/>
      <sheetName val="WCR2"/>
      <sheetName val="Backlog"/>
      <sheetName val="Bookings1"/>
      <sheetName val="Bookings2"/>
      <sheetName val="EBIT"/>
      <sheetName val="Thales"/>
      <sheetName val="GeoBooking"/>
      <sheetName val="GMCS1"/>
      <sheetName val="GMCS2"/>
      <sheetName val="Investment1"/>
      <sheetName val="Investment2"/>
      <sheetName val="REX"/>
      <sheetName val="Roce1"/>
      <sheetName val="Sales2"/>
      <sheetName val="R1040"/>
      <sheetName val="base de dados"/>
      <sheetName val="Form No. 3CD"/>
      <sheetName val="[book1.xls][book1.xls]_x0000_Database"/>
      <sheetName val="[book1.xls][book1.xls][book1.xl"/>
      <sheetName val="PROFIT"/>
      <sheetName val="Power &amp; Fuel (S)"/>
      <sheetName val="DEPN"/>
      <sheetName val="INTT"/>
      <sheetName val="CS"/>
      <sheetName val="CFS"/>
      <sheetName val="Power_&amp;_Fuel_(S)"/>
      <sheetName val="bajaj_copeland"/>
      <sheetName val="InQuart"/>
      <sheetName val="GS_Master2"/>
      <sheetName val="Summary_model2"/>
      <sheetName val="model_by_field2"/>
      <sheetName val="Crude_oil2"/>
      <sheetName val="Block_A2"/>
      <sheetName val="W_Natuna2"/>
      <sheetName val="Valuation_(F)2"/>
      <sheetName val="Valuation_22"/>
      <sheetName val="Adjusted_data2"/>
      <sheetName val="WRLD_EXPN2"/>
      <sheetName val="Power_&amp;_Fuel_(S)2"/>
      <sheetName val="GS_Master1"/>
      <sheetName val="Summary_model1"/>
      <sheetName val="model_by_field1"/>
      <sheetName val="Crude_oil1"/>
      <sheetName val="Block_A1"/>
      <sheetName val="W_Natuna1"/>
      <sheetName val="Valuation_(F)1"/>
      <sheetName val="Valuation_21"/>
      <sheetName val="Adjusted_data1"/>
      <sheetName val="WRLD_EXPN1"/>
      <sheetName val="Power_&amp;_Fuel_(S)1"/>
      <sheetName val="%_Share"/>
      <sheetName val="Financial_Services"/>
      <sheetName val="Account"/>
      <sheetName val="FEBE_Data"/>
      <sheetName val="GE6CRITERIA"/>
      <sheetName val="party"/>
      <sheetName val="Year_2"/>
      <sheetName val="部店・内容ﾏｽﾀｰ"/>
      <sheetName val="Bank"/>
      <sheetName val="ED"/>
      <sheetName val="Stats"/>
      <sheetName val="Masters"/>
      <sheetName val="BSLA"/>
      <sheetName val="Input_&amp;_Control1"/>
      <sheetName val="Volume"/>
      <sheetName val="Delinquency_(2)"/>
      <sheetName val="ＣＤＲ_Ｍ"/>
      <sheetName val="OFA"/>
      <sheetName val="OFA_Acq"/>
      <sheetName val="column"/>
      <sheetName val="Reference"/>
      <sheetName val="Criteria"/>
      <sheetName val="ccySummary"/>
      <sheetName val="Data_Tape"/>
      <sheetName val="Deal_List1"/>
      <sheetName val="12__Asset_Walk_from_Prior_Yr"/>
      <sheetName val="Cover_Sheet"/>
      <sheetName val="PackInfo"/>
      <sheetName val="ANI_Look-ups"/>
      <sheetName val="Q3_-_GECF"/>
      <sheetName val="PopCache"/>
      <sheetName val="DATA_-_INCOME_STATEMENTSII"/>
      <sheetName val="Relocation_Data"/>
      <sheetName val="IC_Interest_Payable"/>
      <sheetName val="HDFC_Std_Life"/>
      <sheetName val="SBILife"/>
      <sheetName val="Master_Sheet_"/>
      <sheetName val="Birla_Sun_Life"/>
      <sheetName val="Bajaj_Allianz"/>
      <sheetName val="Max_New_York_Life"/>
      <sheetName val="ICICI_Pru"/>
      <sheetName val="Hyp_Dump"/>
      <sheetName val="HC_Drivers_vs_plan"/>
      <sheetName val="walk_data"/>
      <sheetName val="SUMMARY_BALANCE"/>
      <sheetName val="Interface"/>
      <sheetName val="OSEBS2003-04"/>
      <sheetName val="Values"/>
      <sheetName val="ignore_0804"/>
      <sheetName val="Qtr4-00"/>
      <sheetName val="PARTY_DETAILS"/>
      <sheetName val="1118_C_I"/>
      <sheetName val="1118_C_II"/>
      <sheetName val="1118_C_III"/>
      <sheetName val="Lists"/>
      <sheetName val="ReferenceLists"/>
      <sheetName val="Z_report"/>
      <sheetName val="S_4_3_SAP Dump"/>
      <sheetName val="Groupings"/>
      <sheetName val="Fixed_Assets"/>
      <sheetName val="BS_PL"/>
      <sheetName val="Sunmap"/>
      <sheetName val="Financial Statements"/>
      <sheetName val="Cap.employed "/>
      <sheetName val="Qtr IIISegment"/>
      <sheetName val="CUSTOM Jun99"/>
      <sheetName val="Jun"/>
      <sheetName val="Jul"/>
      <sheetName val="Aug"/>
      <sheetName val="Sep"/>
      <sheetName val="Oct"/>
      <sheetName val="Apr"/>
      <sheetName val="May"/>
      <sheetName val="Nov"/>
      <sheetName val="Dec"/>
      <sheetName val="Mar"/>
      <sheetName val="inventory valuation"/>
      <sheetName val="Apr-Mar"/>
      <sheetName val="Ann C&amp;D Revised"/>
      <sheetName val="Jan"/>
      <sheetName val="Feb"/>
      <sheetName val="year 2002-03"/>
      <sheetName val="9 Month"/>
      <sheetName val="inline"/>
      <sheetName val="im"/>
      <sheetName val="filter"/>
      <sheetName val="bt"/>
      <sheetName val="Online"/>
      <sheetName val="Agri"/>
      <sheetName val="Heavy"/>
      <sheetName val="HO"/>
      <sheetName val="Master-with field names"/>
      <sheetName val="2_대외공문1"/>
      <sheetName val="2_????"/>
      <sheetName val="B_K작업분석1"/>
      <sheetName val="조치사항"/>
      <sheetName val="XGPROD"/>
      <sheetName val="OPT손익_내수"/>
      <sheetName val="B"/>
      <sheetName val="OPT손익_수출"/>
      <sheetName val="full_(2)"/>
      <sheetName val="GRP"/>
      <sheetName val="발생장소"/>
      <sheetName val="공작"/>
      <sheetName val="계열사현황종합"/>
      <sheetName val="모듈"/>
      <sheetName val="KMCWD"/>
      <sheetName val="KD율"/>
      <sheetName val="문제유형"/>
      <sheetName val="DATA_(2)"/>
      <sheetName val="A-A"/>
      <sheetName val="전장"/>
      <sheetName val="64164"/>
      <sheetName val="차체"/>
      <sheetName val="HOLE_9905(1)"/>
      <sheetName val="_SR3차원단위_(3)"/>
      <sheetName val="내장"/>
      <sheetName val="계정"/>
      <sheetName val="THEME_CODE"/>
      <sheetName val="1-5-2"/>
      <sheetName val="외장"/>
      <sheetName val="해외"/>
      <sheetName val="VDR"/>
      <sheetName val="126_255"/>
      <sheetName val="JANG_DOM"/>
      <sheetName val="CR_CODE"/>
      <sheetName val="설비사양서B-1"/>
      <sheetName val="구list"/>
      <sheetName val="대표경력"/>
      <sheetName val="대표자"/>
      <sheetName val="2월"/>
      <sheetName val="부서CODE"/>
      <sheetName val="차체부품_INS_REPORT(갑)"/>
      <sheetName val="DAT(목표)"/>
      <sheetName val="진급관련DATA"/>
      <sheetName val="1.변경범위"/>
      <sheetName val="PC%계산"/>
      <sheetName val="RR 세부"/>
      <sheetName val="기초자료"/>
      <sheetName val="3.일반사상"/>
      <sheetName val="Sheet1_x0000_ˆŒ_x0004__x0000_ ǅ_x0001__x0000_ˆ&lt;BOOK1.XLS]Sh"/>
      <sheetName val="수출"/>
      <sheetName val="와이어링종합"/>
      <sheetName val="W-현원가"/>
      <sheetName val="J100"/>
      <sheetName val="BND"/>
      <sheetName val="ORIGIN"/>
      <sheetName val="FUEL FILLER"/>
      <sheetName val="Tbom-tot"/>
      <sheetName val="EXP-COST"/>
      <sheetName val="MH_생산"/>
      <sheetName val="A-100전제"/>
      <sheetName val="시설투자"/>
      <sheetName val="팀별 합계"/>
      <sheetName val="PILOT APP."/>
      <sheetName val="BRAKE"/>
      <sheetName val="T진도"/>
      <sheetName val="J150 승인진도관리 LIST"/>
      <sheetName val="TOTAL LIST"/>
      <sheetName val="FTR MACRo"/>
      <sheetName val="지정공장"/>
      <sheetName val="서울정비"/>
      <sheetName val="전체실적"/>
      <sheetName val="효율계획(당월)"/>
      <sheetName val="Price Range"/>
      <sheetName val="판매대수"/>
      <sheetName val="PAKAGE4362"/>
      <sheetName val="목표재료비"/>
      <sheetName val=" 계산(&amp;E)                중지(&amp;A)  "/>
      <sheetName val="사용하십시오.인터넷 주소 '|'이(가) 잘못되었습니다. "/>
      <sheetName val="되게 합니다.선택한 WordArt 개체의 왼쪽에 텍스트를"/>
      <sheetName val="회색조 이미지로 변환합니다.선택한 그림을 흑백 이미지로 "/>
      <sheetName val="1의 공정능력"/>
      <sheetName val="서식등록대장"/>
      <sheetName val="Sheet1_x0000_ˆŒ_x0004__x0000_ ǅ_x0001__x0000_ˆ&lt;BOOK1.XLS"/>
      <sheetName val="헤드불량내용"/>
      <sheetName val="크랑크불량내용"/>
      <sheetName val="1st Gear"/>
      <sheetName val="1st Gear (2)"/>
      <sheetName val="표시형식"/>
      <sheetName val="셀간 이동"/>
      <sheetName val="영역선택"/>
      <sheetName val="_x0000_p"/>
      <sheetName val="bleĤģ서식을 ĨĥħĦ률며을 변경īĪ용ĭĬ 끌어 에서는"/>
      <sheetName val="T255 가격현황"/>
      <sheetName val="제조관리"/>
      <sheetName val="omctl32.dll_x0000__x0000_Edit_x0000__x0000__x0018__x0000__x0000__x0000_$_x0000__x0018__x0000__x0018__x0000_ံ_x0000_"/>
      <sheetName val="ĞĀ_x0008_r_x0005__x0003__x0000_⇠藩떘뱬_x0000__x0000_̀耀¨_x0008__x0002_蒀_x0000_"/>
      <sheetName val="성과지표"/>
      <sheetName val="bleĤģ_x0000__x0000__x0000__x0000__x0000__x0000_서식을 Ĩĥ_x0000__x0000__x0000__x0000_ħĦ_x0000__x0000__x0000__x0000__x0001__x0000_뛸〉"/>
      <sheetName val="_x001e__x0002__x0000__x0000__x0000__x0000__x0000__x0000__x0000__x001d__x0000__x0000__x0000_&amp;"/>
      <sheetName val="2-다-종합의견(1분기)"/>
      <sheetName val="채산"/>
      <sheetName val="3D"/>
      <sheetName val="2D"/>
      <sheetName val="Summa"/>
      <sheetName val="되게 합니다.셏택한 WordArt 개체의 왼쪽에 텍스트를"/>
      <sheetName val="-INR BUTN"/>
      <sheetName val="납킈용기개발"/>
      <sheetName val="시작젨문제"/>
      <sheetName val="B)...文字方向(&amp;X)...项目符号和编号(&amp;N)...标"/>
      <sheetName val="직원신상"/>
      <sheetName val="가공라인실적"/>
      <sheetName val="NF+CM"/>
      <sheetName val="02년결과_VLOOK"/>
      <sheetName val="수리결과"/>
      <sheetName val="2_____"/>
      <sheetName val="_x0000__x0002__x0000_⁏ꗞ۴_x0000__x001a__x0000_ܐ_x0000_`_x0000__x0002__x0000_⹏─ݰ_x0000__x001a__x0000_ތ_x0000_`_x0000__x0002__x0000_Ꜵ빨߬_x0000_"/>
      <sheetName val="omctl32.dll_x0000_Edit_x0000__x0018__x0000_$_x0000__x0018__x0000__x0018__x0000_ံ6.0.2"/>
      <sheetName val="_x0001_¨_x0001__x0000__x0001__x0000__x0001__x0010__x0000_ր_x0001__x0000__x0002__x000d__x0000__x0001__x0000__x0000__x0000_⿰_x0001_⿰_x0001_耀_x0000__x0000__x0000__x0000__x0000__x0000__x0010_"/>
      <sheetName val="TRIAL BALANCE"/>
      <sheetName val="Trial_x0000__x0000__x0000__x0012_[1111.xls]********_x0000__x0000__x0000__x0000_"/>
      <sheetName val="MISforgeforging"/>
      <sheetName val="Cost_Redn"/>
      <sheetName val="119"/>
      <sheetName val="Errors_130303"/>
      <sheetName val="FDY_PWR"/>
      <sheetName val="IND9899"/>
      <sheetName val="finalised"/>
      <sheetName val="Transportation"/>
      <sheetName val="Dforgings"/>
      <sheetName val="change fdy"/>
      <sheetName val="501frgmar"/>
      <sheetName val="201consfdymar"/>
      <sheetName val="업무분장 "/>
      <sheetName val="공통"/>
      <sheetName val="AC 196100 "/>
      <sheetName val="AC 196000 "/>
      <sheetName val="masop"/>
      <sheetName val="Monthwise P&amp;L"/>
      <sheetName val="PO"/>
      <sheetName val="#RIF"/>
      <sheetName val="부서코드표"/>
      <sheetName val="RENDFIN"/>
      <sheetName val="TO1_DETT"/>
      <sheetName val="CALEND"/>
      <sheetName val="Annexure 1"/>
      <sheetName val="RATES"/>
      <sheetName val="Punto"/>
      <sheetName val="Panda"/>
      <sheetName val="판매46"/>
      <sheetName val="제조부문배부"/>
      <sheetName val="change_fdy"/>
      <sheetName val="업무분장_"/>
      <sheetName val="AC_196100_"/>
      <sheetName val="AC_196000_"/>
      <sheetName val="Monthwise_P&amp;L"/>
      <sheetName val="Annexure_1"/>
      <sheetName val="Roaming"/>
      <sheetName val="Operating Lease"/>
      <sheetName val="netmatl_1"/>
      <sheetName val="t_o1"/>
      <sheetName val="sch_list_(2)1"/>
      <sheetName val="_t_o_1"/>
      <sheetName val="Old_Data1"/>
      <sheetName val="sal_summ1"/>
      <sheetName val="dep_war1"/>
      <sheetName val="change_fdy1"/>
      <sheetName val="업무분장_1"/>
      <sheetName val="AC_196100_1"/>
      <sheetName val="AC_196000_1"/>
      <sheetName val="Monthwise_P&amp;L1"/>
      <sheetName val="Annexure_11"/>
      <sheetName val="LL Lookups"/>
      <sheetName val="FINBLOK(03-04)"/>
      <sheetName val="FFS"/>
      <sheetName val="FPS"/>
      <sheetName val="INCR_DECR"/>
      <sheetName val="STR"/>
      <sheetName val="CASH&amp;BANK"/>
      <sheetName val="CC"/>
      <sheetName val="LSR"/>
      <sheetName val="ANX C"/>
      <sheetName val="PAGE6"/>
      <sheetName val="PAGE8"/>
      <sheetName val="PAGE10"/>
      <sheetName val="PAGE11"/>
      <sheetName val="10ccac98-99"/>
      <sheetName val="ヰ`_x0000_j푨j함j헰j훰j흸j�j�j�j�j_xdc90_j_xdd18_j_xde68_j_xdfb8_j"/>
      <sheetName val="INVENTORY"/>
      <sheetName val="225004"/>
      <sheetName val="graph_main"/>
      <sheetName val="Deal Inputs (In)"/>
      <sheetName val="CompLink"/>
      <sheetName val="Control (In)"/>
      <sheetName val="Combo"/>
      <sheetName val="DCF I (In)"/>
      <sheetName val="manager"/>
      <sheetName val="ELTA"/>
      <sheetName val="CSCCincSKR"/>
      <sheetName val="SOTP"/>
      <sheetName val="Interpool"/>
      <sheetName val="TAL"/>
      <sheetName val="Cronos"/>
      <sheetName val="Group"/>
      <sheetName val="OpCo"/>
      <sheetName val="Synergies"/>
      <sheetName val="LBO inputs"/>
      <sheetName val="DCF"/>
      <sheetName val="Infrastructure model"/>
      <sheetName val="DIV INC"/>
      <sheetName val="LTM"/>
      <sheetName val="CREDIT STATS"/>
      <sheetName val="DropZone"/>
      <sheetName val="Outputs"/>
      <sheetName val="GEMiner"/>
      <sheetName val="Cap_employed_"/>
      <sheetName val="Qtr_IIISegment"/>
      <sheetName val="CUSTOM_Jun99"/>
      <sheetName val="inventory_valuation"/>
      <sheetName val="Ann_C&amp;D_Revised"/>
      <sheetName val="year_2002-03"/>
      <sheetName val="9_Month"/>
      <sheetName val="Master-with_field_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row r="1">
          <cell r="A1" t="str">
            <v>OXFORD UNIVERSITY PRESS INDIAN BRANCH</v>
          </cell>
        </row>
      </sheetData>
      <sheetData sheetId="289"/>
      <sheetData sheetId="290">
        <row r="1">
          <cell r="A1" t="str">
            <v>OXFORD UNIVERSITY PRESS INDIAN BRANCH</v>
          </cell>
        </row>
      </sheetData>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sheetData sheetId="262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sheetData sheetId="2701" refreshError="1"/>
      <sheetData sheetId="2702"/>
      <sheetData sheetId="2703" refreshError="1"/>
      <sheetData sheetId="2704" refreshError="1"/>
      <sheetData sheetId="2705" refreshError="1"/>
      <sheetData sheetId="2706" refreshError="1"/>
      <sheetData sheetId="2707"/>
      <sheetData sheetId="2708" refreshError="1"/>
      <sheetData sheetId="2709" refreshError="1"/>
      <sheetData sheetId="2710" refreshError="1"/>
      <sheetData sheetId="2711" refreshError="1"/>
      <sheetData sheetId="2712" refreshError="1"/>
      <sheetData sheetId="2713" refreshError="1"/>
      <sheetData sheetId="2714"/>
      <sheetData sheetId="2715" refreshError="1"/>
      <sheetData sheetId="2716" refreshError="1"/>
      <sheetData sheetId="2717" refreshError="1"/>
      <sheetData sheetId="2718" refreshError="1"/>
      <sheetData sheetId="2719" refreshError="1"/>
      <sheetData sheetId="2720" refreshError="1"/>
      <sheetData sheetId="2721" refreshError="1"/>
      <sheetData sheetId="2722"/>
      <sheetData sheetId="2723"/>
      <sheetData sheetId="2724" refreshError="1"/>
      <sheetData sheetId="2725" refreshError="1"/>
      <sheetData sheetId="2726" refreshError="1"/>
      <sheetData sheetId="2727"/>
      <sheetData sheetId="2728"/>
      <sheetData sheetId="2729" refreshError="1"/>
      <sheetData sheetId="2730"/>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sheetData sheetId="2771"/>
      <sheetData sheetId="2772"/>
      <sheetData sheetId="2773"/>
      <sheetData sheetId="2774"/>
      <sheetData sheetId="2775">
        <row r="19">
          <cell r="C19" t="str">
            <v>VEHICLES</v>
          </cell>
        </row>
      </sheetData>
      <sheetData sheetId="2776" refreshError="1"/>
      <sheetData sheetId="2777" refreshError="1"/>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sheetData sheetId="2835"/>
      <sheetData sheetId="2836"/>
      <sheetData sheetId="2837"/>
      <sheetData sheetId="2838"/>
      <sheetData sheetId="2839"/>
      <sheetData sheetId="2840"/>
      <sheetData sheetId="284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
      <sheetName val="LASSER-4"/>
      <sheetName val="GARMENT"/>
      <sheetName val="LASS-GAR"/>
      <sheetName val="EXIS-COMBINED"/>
      <sheetName val="EMBR-PROJECT"/>
      <sheetName val="COMBINE"/>
      <sheetName val="final_in_millions"/>
      <sheetName val="Settings"/>
      <sheetName val="EXIS_COMBINED"/>
      <sheetName val="Sheet1"/>
      <sheetName val="GAEL-12mach_68cr_24INSTALLMENT"/>
      <sheetName val="LIST OF MAKES"/>
      <sheetName val="재1"/>
      <sheetName val="main"/>
      <sheetName val="Calculation (2)"/>
      <sheetName val="Earnings model"/>
      <sheetName val="Sheet2"/>
      <sheetName val="Inc Mod"/>
      <sheetName val="LIST_OF_MAKES"/>
      <sheetName val="Calculation_(2)"/>
      <sheetName val="Earnings_model"/>
      <sheetName val="Inc_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output"/>
      <sheetName val="for word"/>
      <sheetName val="QoQ"/>
      <sheetName val="price table"/>
      <sheetName val="BANK^CO"/>
      <sheetName val="Forcast Details"/>
      <sheetName val="Consolidated"/>
      <sheetName val="Ratios"/>
      <sheetName val="DU PONT ANA"/>
      <sheetName val="Sensitivity"/>
      <sheetName val="RIBs"/>
      <sheetName val="Quarterly"/>
      <sheetName val="Half Yearly"/>
      <sheetName val="CLcpd"/>
      <sheetName val="Cover"/>
      <sheetName val="Profit"/>
      <sheetName val="Cashflow"/>
      <sheetName val="FDEPS"/>
      <sheetName val="Adj book value"/>
      <sheetName val="Sheet1"/>
      <sheetName val="Maturity profile"/>
      <sheetName val="Associates"/>
    </sheetNames>
    <sheetDataSet>
      <sheetData sheetId="0" refreshError="1"/>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Model"/>
      <sheetName val="Cash Flow"/>
      <sheetName val="DCF"/>
      <sheetName val="Questions"/>
      <sheetName val="EPS build-up"/>
      <sheetName val="Announced Orders Chart"/>
      <sheetName val="Trailing Bookings Chart"/>
      <sheetName val="Trailing Bookings Data"/>
      <sheetName val="Qrtly Cash Flow"/>
      <sheetName val="AR Analysis"/>
      <sheetName val="Pre NY"/>
      <sheetName val="PreSDRC IncStat"/>
      <sheetName val="Delphi"/>
      <sheetName val="Sheet2"/>
      <sheetName val="Int'l Contracts"/>
      <sheetName val="Top 10 Backlog Contracts"/>
      <sheetName val="Announced Large Contracts"/>
      <sheetName val="Federal Contracts Up for Bid"/>
      <sheetName val="EPS Chart"/>
      <sheetName val="oper mgn"/>
      <sheetName val="Backlog"/>
      <sheetName val="Old Balance Sheet"/>
      <sheetName val="Presentation"/>
      <sheetName val="XII_Plan_Mkt_shr"/>
      <sheetName val="RR(P)"/>
      <sheetName val="Tables"/>
      <sheetName val="Segment"/>
      <sheetName val="Capacity"/>
      <sheetName val="Orders-Power"/>
      <sheetName val="Supercritcal"/>
      <sheetName val="Sales_table"/>
      <sheetName val="EE"/>
      <sheetName val="Market"/>
      <sheetName val="Bidding"/>
      <sheetName val="systems"/>
      <sheetName val="Old"/>
      <sheetName val="1"/>
      <sheetName val="BS"/>
      <sheetName val="data"/>
      <sheetName val="bhel(p)"/>
      <sheetName val="EquityTemplate"/>
      <sheetName val="p&amp;l(f)"/>
    </sheetNames>
    <sheetDataSet>
      <sheetData sheetId="0" refreshError="1"/>
      <sheetData sheetId="1" refreshError="1">
        <row r="18">
          <cell r="DJ18">
            <v>20339.733096000004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sheetData sheetId="42"/>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cf-ff"/>
      <sheetName val="Stand alone Main"/>
      <sheetName val="Qtrly_Template"/>
      <sheetName val="RBS"/>
      <sheetName val="Schedule"/>
    </sheetNames>
    <sheetDataSet>
      <sheetData sheetId="0">
        <row r="1">
          <cell r="A1" t="str">
            <v>Jan</v>
          </cell>
        </row>
        <row r="2">
          <cell r="A2" t="str">
            <v>Feb</v>
          </cell>
        </row>
        <row r="3">
          <cell r="A3" t="str">
            <v>Mar</v>
          </cell>
        </row>
        <row r="4">
          <cell r="A4" t="str">
            <v>Apr</v>
          </cell>
        </row>
        <row r="5">
          <cell r="A5" t="str">
            <v>May</v>
          </cell>
        </row>
        <row r="6">
          <cell r="A6" t="str">
            <v>Jun</v>
          </cell>
        </row>
        <row r="7">
          <cell r="A7" t="str">
            <v>Jul</v>
          </cell>
        </row>
        <row r="8">
          <cell r="A8" t="str">
            <v>Aug</v>
          </cell>
        </row>
        <row r="9">
          <cell r="A9" t="str">
            <v>Sep</v>
          </cell>
        </row>
        <row r="10">
          <cell r="A10" t="str">
            <v>Oct</v>
          </cell>
        </row>
        <row r="11">
          <cell r="A11" t="str">
            <v>Nov</v>
          </cell>
        </row>
        <row r="12">
          <cell r="A12" t="str">
            <v>Dec</v>
          </cell>
        </row>
        <row r="20">
          <cell r="D20" t="str">
            <v>RIC</v>
          </cell>
        </row>
        <row r="35">
          <cell r="D35" t="b">
            <v>1</v>
          </cell>
        </row>
        <row r="36">
          <cell r="D36" t="str">
            <v>OPPROF</v>
          </cell>
        </row>
        <row r="41">
          <cell r="D41" t="b">
            <v>0</v>
          </cell>
        </row>
      </sheetData>
      <sheetData sheetId="1"/>
      <sheetData sheetId="2" refreshError="1"/>
      <sheetData sheetId="3" refreshError="1"/>
      <sheetData sheetId="4" refreshError="1"/>
      <sheetData sheetId="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Business"/>
      <sheetName val="Inds."/>
      <sheetName val="Peer Compa"/>
      <sheetName val="Order flow"/>
      <sheetName val="Mgt."/>
      <sheetName val="Inds-Order"/>
      <sheetName val="Qtrly"/>
      <sheetName val="Qtr-OFlow"/>
      <sheetName val="Order Book"/>
      <sheetName val="Seg-Yearlyl"/>
      <sheetName val="Assumptions"/>
      <sheetName val="INPUTS"/>
      <sheetName val="PL-Proj"/>
      <sheetName val="BS-Proj"/>
      <sheetName val="CF-Proj"/>
      <sheetName val="Sens Analysis"/>
      <sheetName val="Val"/>
      <sheetName val="Chart1"/>
      <sheetName val="Sheet1"/>
      <sheetName val="SW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scow"/>
      <sheetName val="Quarters"/>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
      <sheetName val="GRPS-Y"/>
      <sheetName val="GRPS-Q"/>
      <sheetName val="Valn"/>
      <sheetName val="DCF"/>
      <sheetName val="Qtly"/>
      <sheetName val="Sheet2"/>
      <sheetName val="Seg Assum"/>
      <sheetName val="Financials"/>
      <sheetName val="Qtrly snapshot "/>
      <sheetName val="Qtrly "/>
      <sheetName val="Change in est"/>
      <sheetName val="Cheat Sheet"/>
      <sheetName val="Sheet1"/>
      <sheetName val="IC tables"/>
      <sheetName val="Chart top dwn"/>
      <sheetName val="Client mix"/>
      <sheetName val="Capacity"/>
      <sheetName val="Peer Valn"/>
      <sheetName val="TB"/>
      <sheetName val="header"/>
      <sheetName val="annual temp"/>
    </sheetNames>
    <sheetDataSet>
      <sheetData sheetId="0"/>
      <sheetData sheetId="1">
        <row r="2">
          <cell r="A2" t="str">
            <v>iicd</v>
          </cell>
          <cell r="B2" t="str">
            <v>Full balance date (don't use text format)</v>
          </cell>
          <cell r="D2">
            <v>39903</v>
          </cell>
          <cell r="E2">
            <v>40268</v>
          </cell>
          <cell r="F2">
            <v>40633</v>
          </cell>
          <cell r="G2">
            <v>40999</v>
          </cell>
          <cell r="H2">
            <v>41364</v>
          </cell>
          <cell r="I2">
            <v>41729</v>
          </cell>
          <cell r="J2">
            <v>42094</v>
          </cell>
          <cell r="K2">
            <v>42460</v>
          </cell>
          <cell r="L2">
            <v>42825</v>
          </cell>
          <cell r="M2">
            <v>43190</v>
          </cell>
          <cell r="N2">
            <v>43555</v>
          </cell>
          <cell r="O2">
            <v>43921</v>
          </cell>
          <cell r="P2">
            <v>44286</v>
          </cell>
          <cell r="Q2">
            <v>44651</v>
          </cell>
        </row>
        <row r="4">
          <cell r="A4" t="str">
            <v>iinm</v>
          </cell>
          <cell r="B4" t="str">
            <v>Number of months in year</v>
          </cell>
          <cell r="D4">
            <v>12</v>
          </cell>
          <cell r="E4">
            <v>12</v>
          </cell>
          <cell r="F4">
            <v>12</v>
          </cell>
          <cell r="G4">
            <v>12</v>
          </cell>
          <cell r="H4">
            <v>12</v>
          </cell>
          <cell r="I4">
            <v>12</v>
          </cell>
          <cell r="J4">
            <v>12</v>
          </cell>
          <cell r="K4">
            <v>12</v>
          </cell>
          <cell r="L4">
            <v>12</v>
          </cell>
          <cell r="M4">
            <v>12</v>
          </cell>
          <cell r="N4">
            <v>12</v>
          </cell>
          <cell r="O4">
            <v>12</v>
          </cell>
          <cell r="P4">
            <v>12</v>
          </cell>
          <cell r="Q4">
            <v>12</v>
          </cell>
        </row>
        <row r="24">
          <cell r="C24">
            <v>43555</v>
          </cell>
        </row>
        <row r="25">
          <cell r="C25">
            <v>2020</v>
          </cell>
        </row>
        <row r="31">
          <cell r="C31">
            <v>38.93</v>
          </cell>
        </row>
        <row r="37">
          <cell r="A37" t="str">
            <v>ipre</v>
          </cell>
          <cell r="B37" t="str">
            <v>Revenue</v>
          </cell>
          <cell r="G37">
            <v>5724.0048619999998</v>
          </cell>
          <cell r="H37">
            <v>7669.2439999999997</v>
          </cell>
          <cell r="I37">
            <v>10937.189</v>
          </cell>
          <cell r="J37">
            <v>12013.384999999998</v>
          </cell>
          <cell r="K37">
            <v>13894.162387</v>
          </cell>
          <cell r="L37">
            <v>24570.25</v>
          </cell>
          <cell r="M37">
            <v>28416.300000000003</v>
          </cell>
          <cell r="N37">
            <v>29844.5</v>
          </cell>
          <cell r="O37">
            <v>49512.933000000005</v>
          </cell>
          <cell r="P37">
            <v>58670.181750000003</v>
          </cell>
          <cell r="Q37">
            <v>65573.832862499999</v>
          </cell>
        </row>
        <row r="38">
          <cell r="A38" t="str">
            <v>ipco</v>
          </cell>
          <cell r="B38" t="str">
            <v>Costs</v>
          </cell>
          <cell r="G38">
            <v>-5672.41</v>
          </cell>
          <cell r="H38">
            <v>-7468.0390000000007</v>
          </cell>
          <cell r="I38">
            <v>-10677.3</v>
          </cell>
          <cell r="J38">
            <v>-11691.323</v>
          </cell>
          <cell r="K38">
            <v>-13307.305</v>
          </cell>
          <cell r="L38">
            <v>-23659.239999999998</v>
          </cell>
          <cell r="M38">
            <v>-27289.4</v>
          </cell>
          <cell r="N38">
            <v>-28495.8</v>
          </cell>
          <cell r="O38">
            <v>-47298.040765500002</v>
          </cell>
          <cell r="P38">
            <v>-55978.868943000001</v>
          </cell>
          <cell r="Q38">
            <v>-62493.36034005</v>
          </cell>
        </row>
        <row r="39">
          <cell r="A39" t="str">
            <v>ipeb</v>
          </cell>
          <cell r="B39" t="str">
            <v>Ebitda</v>
          </cell>
          <cell r="D39">
            <v>0</v>
          </cell>
          <cell r="E39">
            <v>0</v>
          </cell>
          <cell r="F39">
            <v>0</v>
          </cell>
          <cell r="G39">
            <v>51.594861999999921</v>
          </cell>
          <cell r="H39">
            <v>201.20499999999902</v>
          </cell>
          <cell r="I39">
            <v>259.88900000000103</v>
          </cell>
          <cell r="J39">
            <v>322.06199999999808</v>
          </cell>
          <cell r="K39">
            <v>586.85738700000002</v>
          </cell>
          <cell r="L39">
            <v>911.01000000000204</v>
          </cell>
          <cell r="M39">
            <v>1126.9000000000015</v>
          </cell>
          <cell r="N39">
            <v>1348.7000000000007</v>
          </cell>
          <cell r="O39">
            <v>2214.8922345000028</v>
          </cell>
          <cell r="P39">
            <v>2691.3128070000021</v>
          </cell>
          <cell r="Q39">
            <v>3080.4725224499998</v>
          </cell>
        </row>
        <row r="40">
          <cell r="A40" t="str">
            <v>ipda</v>
          </cell>
          <cell r="B40" t="str">
            <v>Depreciation and Amortisation</v>
          </cell>
          <cell r="G40">
            <v>-48.835999999999999</v>
          </cell>
          <cell r="H40">
            <v>-47.033000000000001</v>
          </cell>
          <cell r="I40">
            <v>-53.372999999999998</v>
          </cell>
          <cell r="J40">
            <v>-68.965000000000003</v>
          </cell>
          <cell r="K40">
            <v>-84.376608287953047</v>
          </cell>
          <cell r="L40">
            <v>-107.1</v>
          </cell>
          <cell r="M40">
            <v>-151.80000000000001</v>
          </cell>
          <cell r="N40">
            <v>-216.5</v>
          </cell>
          <cell r="O40">
            <v>-334.65669599999995</v>
          </cell>
          <cell r="P40">
            <v>-406.09480000000008</v>
          </cell>
          <cell r="Q40">
            <v>-478.59480000000008</v>
          </cell>
        </row>
        <row r="41">
          <cell r="A41" t="str">
            <v>ipop</v>
          </cell>
          <cell r="B41" t="str">
            <v>Ebit</v>
          </cell>
          <cell r="D41">
            <v>0</v>
          </cell>
          <cell r="E41">
            <v>0</v>
          </cell>
          <cell r="F41">
            <v>0</v>
          </cell>
          <cell r="G41">
            <v>2.7588619999999224</v>
          </cell>
          <cell r="H41">
            <v>154.171999999999</v>
          </cell>
          <cell r="I41">
            <v>206.51600000000104</v>
          </cell>
          <cell r="J41">
            <v>253.09699999999808</v>
          </cell>
          <cell r="K41">
            <v>502.48077871204697</v>
          </cell>
          <cell r="L41">
            <v>803.91000000000201</v>
          </cell>
          <cell r="M41">
            <v>975.1000000000015</v>
          </cell>
          <cell r="N41">
            <v>1132.2000000000007</v>
          </cell>
          <cell r="O41">
            <v>1880.2355385000028</v>
          </cell>
          <cell r="P41">
            <v>2285.2180070000022</v>
          </cell>
          <cell r="Q41">
            <v>2601.87772245</v>
          </cell>
        </row>
        <row r="42">
          <cell r="A42" t="str">
            <v>ipno</v>
          </cell>
          <cell r="B42" t="str">
            <v>Non-operating income</v>
          </cell>
          <cell r="G42">
            <v>13.692241538000001</v>
          </cell>
          <cell r="H42">
            <v>11.18</v>
          </cell>
          <cell r="I42">
            <v>33.700000000000003</v>
          </cell>
          <cell r="J42">
            <v>17.86</v>
          </cell>
          <cell r="K42">
            <v>17.57</v>
          </cell>
          <cell r="L42">
            <v>14.1</v>
          </cell>
          <cell r="M42">
            <v>41.7</v>
          </cell>
          <cell r="N42">
            <v>56.3</v>
          </cell>
          <cell r="O42">
            <v>54.610999999999997</v>
          </cell>
          <cell r="P42">
            <v>58.433770000000003</v>
          </cell>
          <cell r="Q42">
            <v>62.52413390000001</v>
          </cell>
        </row>
        <row r="43">
          <cell r="A43" t="str">
            <v>ipfe</v>
          </cell>
          <cell r="B43" t="str">
            <v>Financial expense</v>
          </cell>
          <cell r="G43">
            <v>-105.83499999999999</v>
          </cell>
          <cell r="H43">
            <v>-114.73399999999999</v>
          </cell>
          <cell r="I43">
            <v>-112.273</v>
          </cell>
          <cell r="J43">
            <v>-98.448999999999998</v>
          </cell>
          <cell r="K43">
            <v>-131.07</v>
          </cell>
          <cell r="L43">
            <v>-155.4</v>
          </cell>
          <cell r="M43">
            <v>-134.5</v>
          </cell>
          <cell r="N43">
            <v>-250.4</v>
          </cell>
          <cell r="O43">
            <v>-397.2572892</v>
          </cell>
          <cell r="P43">
            <v>-446.76925889999995</v>
          </cell>
          <cell r="Q43">
            <v>-471.09948201499998</v>
          </cell>
        </row>
        <row r="44">
          <cell r="A44" t="str">
            <v>ipbt</v>
          </cell>
          <cell r="B44" t="str">
            <v>PBT</v>
          </cell>
          <cell r="D44">
            <v>0</v>
          </cell>
          <cell r="E44">
            <v>0</v>
          </cell>
          <cell r="F44">
            <v>0</v>
          </cell>
          <cell r="G44">
            <v>-89.383896462000067</v>
          </cell>
          <cell r="H44">
            <v>50.617999999999014</v>
          </cell>
          <cell r="I44">
            <v>127.94300000000104</v>
          </cell>
          <cell r="J44">
            <v>172.50799999999805</v>
          </cell>
          <cell r="K44">
            <v>388.98077871204697</v>
          </cell>
          <cell r="L44">
            <v>662.61000000000206</v>
          </cell>
          <cell r="M44">
            <v>882.30000000000155</v>
          </cell>
          <cell r="N44">
            <v>938.1000000000007</v>
          </cell>
          <cell r="O44">
            <v>1537.5892493000028</v>
          </cell>
          <cell r="P44">
            <v>1896.8825181000025</v>
          </cell>
          <cell r="Q44">
            <v>2193.302374335</v>
          </cell>
        </row>
        <row r="45">
          <cell r="A45" t="str">
            <v>ipex</v>
          </cell>
          <cell r="B45" t="str">
            <v>Exceptionals</v>
          </cell>
          <cell r="G45">
            <v>0</v>
          </cell>
          <cell r="H45">
            <v>0</v>
          </cell>
          <cell r="I45">
            <v>54.28</v>
          </cell>
          <cell r="J45">
            <v>0</v>
          </cell>
          <cell r="K45">
            <v>117.02</v>
          </cell>
          <cell r="L45">
            <v>0</v>
          </cell>
          <cell r="M45">
            <v>0</v>
          </cell>
          <cell r="N45">
            <v>-0.7</v>
          </cell>
          <cell r="O45">
            <v>0</v>
          </cell>
          <cell r="P45">
            <v>0</v>
          </cell>
          <cell r="Q45">
            <v>0</v>
          </cell>
        </row>
        <row r="46">
          <cell r="A46" t="str">
            <v>iprp</v>
          </cell>
          <cell r="B46" t="str">
            <v>Reported PBT</v>
          </cell>
          <cell r="D46">
            <v>0</v>
          </cell>
          <cell r="E46">
            <v>0</v>
          </cell>
          <cell r="F46">
            <v>0</v>
          </cell>
          <cell r="G46">
            <v>-89.383896462000067</v>
          </cell>
          <cell r="H46">
            <v>50.617999999999014</v>
          </cell>
          <cell r="I46">
            <v>182.22300000000104</v>
          </cell>
          <cell r="J46">
            <v>172.50799999999805</v>
          </cell>
          <cell r="K46">
            <v>506.00077871204695</v>
          </cell>
          <cell r="L46">
            <v>662.61000000000206</v>
          </cell>
          <cell r="M46">
            <v>882.30000000000155</v>
          </cell>
          <cell r="N46">
            <v>937.40000000000066</v>
          </cell>
          <cell r="O46">
            <v>1537.5892493000028</v>
          </cell>
          <cell r="P46">
            <v>1896.8825181000025</v>
          </cell>
          <cell r="Q46">
            <v>2193.302374335</v>
          </cell>
        </row>
        <row r="47">
          <cell r="A47" t="str">
            <v>ipte</v>
          </cell>
          <cell r="B47" t="str">
            <v>Tax expense</v>
          </cell>
          <cell r="G47">
            <v>14.205</v>
          </cell>
          <cell r="H47">
            <v>-15.263</v>
          </cell>
          <cell r="I47">
            <v>-35.159999999999997</v>
          </cell>
          <cell r="J47">
            <v>-42.150000000000006</v>
          </cell>
          <cell r="K47">
            <v>-80.33</v>
          </cell>
          <cell r="L47">
            <v>-188.2</v>
          </cell>
          <cell r="M47">
            <v>-273.3</v>
          </cell>
          <cell r="N47">
            <v>-304.59999999999997</v>
          </cell>
          <cell r="O47">
            <v>-349.80155421574995</v>
          </cell>
          <cell r="P47">
            <v>-485.60192463360016</v>
          </cell>
          <cell r="Q47">
            <v>-561.48540782975999</v>
          </cell>
        </row>
        <row r="48">
          <cell r="A48" t="str">
            <v>ipat</v>
          </cell>
          <cell r="B48" t="str">
            <v>PAT</v>
          </cell>
          <cell r="D48">
            <v>0</v>
          </cell>
          <cell r="E48">
            <v>0</v>
          </cell>
          <cell r="F48">
            <v>0</v>
          </cell>
          <cell r="G48">
            <v>-75.178896462000068</v>
          </cell>
          <cell r="H48">
            <v>35.354999999999016</v>
          </cell>
          <cell r="I48">
            <v>147.06300000000104</v>
          </cell>
          <cell r="J48">
            <v>130.35799999999804</v>
          </cell>
          <cell r="K48">
            <v>425.67077871204697</v>
          </cell>
          <cell r="L48">
            <v>474.41000000000207</v>
          </cell>
          <cell r="M48">
            <v>609.00000000000159</v>
          </cell>
          <cell r="N48">
            <v>632.80000000000064</v>
          </cell>
          <cell r="O48">
            <v>1187.7876950842528</v>
          </cell>
          <cell r="P48">
            <v>1411.2805934664023</v>
          </cell>
          <cell r="Q48">
            <v>1631.8169665052401</v>
          </cell>
        </row>
        <row r="49">
          <cell r="A49" t="str">
            <v>ipma</v>
          </cell>
          <cell r="B49" t="str">
            <v>Minorities, Associates and Others</v>
          </cell>
          <cell r="G49">
            <v>5.12</v>
          </cell>
          <cell r="H49">
            <v>14.470000000000002</v>
          </cell>
          <cell r="I49">
            <v>-12</v>
          </cell>
          <cell r="J49">
            <v>-11.782999999999999</v>
          </cell>
          <cell r="K49">
            <v>0</v>
          </cell>
          <cell r="L49">
            <v>0</v>
          </cell>
          <cell r="M49">
            <v>0</v>
          </cell>
          <cell r="N49">
            <v>0</v>
          </cell>
          <cell r="O49">
            <v>0</v>
          </cell>
          <cell r="P49">
            <v>0</v>
          </cell>
          <cell r="Q49">
            <v>0</v>
          </cell>
        </row>
        <row r="50">
          <cell r="A50" t="str">
            <v>ipap</v>
          </cell>
          <cell r="B50" t="str">
            <v>Attributable PAT</v>
          </cell>
          <cell r="D50">
            <v>0</v>
          </cell>
          <cell r="E50">
            <v>0</v>
          </cell>
          <cell r="F50">
            <v>0</v>
          </cell>
          <cell r="G50">
            <v>-70.058896462000064</v>
          </cell>
          <cell r="H50">
            <v>49.824999999999022</v>
          </cell>
          <cell r="I50">
            <v>135.06300000000104</v>
          </cell>
          <cell r="J50">
            <v>118.57499999999804</v>
          </cell>
          <cell r="K50">
            <v>425.67077871204697</v>
          </cell>
          <cell r="L50">
            <v>474.41000000000207</v>
          </cell>
          <cell r="M50">
            <v>609.00000000000159</v>
          </cell>
          <cell r="N50">
            <v>632.80000000000064</v>
          </cell>
          <cell r="O50">
            <v>1187.7876950842528</v>
          </cell>
          <cell r="P50">
            <v>1411.2805934664023</v>
          </cell>
          <cell r="Q50">
            <v>1631.8169665052401</v>
          </cell>
        </row>
        <row r="51">
          <cell r="A51" t="str">
            <v>ipei</v>
          </cell>
          <cell r="B51" t="str">
            <v>Exceptional items on a post tax basis</v>
          </cell>
          <cell r="G51">
            <v>0</v>
          </cell>
          <cell r="H51">
            <v>0</v>
          </cell>
          <cell r="I51">
            <v>-54.28</v>
          </cell>
          <cell r="J51">
            <v>0</v>
          </cell>
          <cell r="K51">
            <v>-117.02</v>
          </cell>
          <cell r="L51">
            <v>0</v>
          </cell>
          <cell r="M51">
            <v>0</v>
          </cell>
          <cell r="N51">
            <v>0.7</v>
          </cell>
          <cell r="O51">
            <v>0</v>
          </cell>
          <cell r="P51">
            <v>0</v>
          </cell>
          <cell r="Q51">
            <v>0</v>
          </cell>
        </row>
        <row r="52">
          <cell r="A52" t="str">
            <v>ippt</v>
          </cell>
          <cell r="B52" t="str">
            <v>Pre-exceptional attributable PAT</v>
          </cell>
          <cell r="D52">
            <v>0</v>
          </cell>
          <cell r="E52">
            <v>0</v>
          </cell>
          <cell r="F52">
            <v>0</v>
          </cell>
          <cell r="G52">
            <v>-70.058896462000064</v>
          </cell>
          <cell r="H52">
            <v>49.824999999999022</v>
          </cell>
          <cell r="I52">
            <v>80.783000000001039</v>
          </cell>
          <cell r="J52">
            <v>118.57499999999804</v>
          </cell>
          <cell r="K52">
            <v>308.65077871204699</v>
          </cell>
          <cell r="L52">
            <v>474.41000000000207</v>
          </cell>
          <cell r="M52">
            <v>609.00000000000159</v>
          </cell>
          <cell r="N52">
            <v>633.50000000000068</v>
          </cell>
          <cell r="O52">
            <v>1187.7876950842528</v>
          </cell>
          <cell r="P52">
            <v>1411.2805934664023</v>
          </cell>
          <cell r="Q52">
            <v>1631.8169665052401</v>
          </cell>
        </row>
        <row r="55">
          <cell r="A55" t="str">
            <v>ibce</v>
          </cell>
          <cell r="B55" t="str">
            <v>Cash &amp; cash equivalents</v>
          </cell>
          <cell r="G55">
            <v>56.780563579999999</v>
          </cell>
          <cell r="H55">
            <v>57.876124190000006</v>
          </cell>
          <cell r="I55">
            <v>46.249737580000001</v>
          </cell>
          <cell r="J55">
            <v>68.91833376999999</v>
          </cell>
          <cell r="K55">
            <v>75.608999999999995</v>
          </cell>
          <cell r="L55">
            <v>153.30000000000001</v>
          </cell>
          <cell r="M55">
            <v>552.5</v>
          </cell>
          <cell r="N55">
            <v>443.3</v>
          </cell>
          <cell r="O55">
            <v>566.6568228960532</v>
          </cell>
          <cell r="P55">
            <v>608.04972648084367</v>
          </cell>
          <cell r="Q55">
            <v>562.26644736751769</v>
          </cell>
        </row>
        <row r="56">
          <cell r="A56" t="str">
            <v>ibin</v>
          </cell>
          <cell r="B56" t="str">
            <v>Inventories</v>
          </cell>
          <cell r="G56">
            <v>737.14796918825505</v>
          </cell>
          <cell r="H56">
            <v>885.91003810351606</v>
          </cell>
          <cell r="I56">
            <v>933.27541527984761</v>
          </cell>
          <cell r="J56">
            <v>1130.3322548866672</v>
          </cell>
          <cell r="K56">
            <v>1362.8219550770959</v>
          </cell>
          <cell r="L56">
            <v>2821.97</v>
          </cell>
          <cell r="M56">
            <v>3223.4</v>
          </cell>
          <cell r="N56">
            <v>4083.6</v>
          </cell>
          <cell r="O56">
            <v>6782.5935616438364</v>
          </cell>
          <cell r="P56">
            <v>8037.0111986301381</v>
          </cell>
          <cell r="Q56">
            <v>8982.7168304794523</v>
          </cell>
        </row>
        <row r="57">
          <cell r="A57" t="str">
            <v>ibre</v>
          </cell>
          <cell r="B57" t="str">
            <v>Receivables</v>
          </cell>
          <cell r="G57">
            <v>575.55840657999988</v>
          </cell>
          <cell r="H57">
            <v>426.71910870000005</v>
          </cell>
          <cell r="I57">
            <v>480.64711347000002</v>
          </cell>
          <cell r="J57">
            <v>562.33787387999996</v>
          </cell>
          <cell r="K57">
            <v>896.59</v>
          </cell>
          <cell r="L57">
            <v>2802.1</v>
          </cell>
          <cell r="M57">
            <v>3007.4</v>
          </cell>
          <cell r="N57">
            <v>6649.7</v>
          </cell>
          <cell r="O57">
            <v>9495.6309863013721</v>
          </cell>
          <cell r="P57">
            <v>11573.296126027397</v>
          </cell>
          <cell r="Q57">
            <v>13294.420909109589</v>
          </cell>
        </row>
        <row r="58">
          <cell r="A58" t="str">
            <v>iboc</v>
          </cell>
          <cell r="B58" t="str">
            <v>Other current assets</v>
          </cell>
          <cell r="G58">
            <v>250.54422436000002</v>
          </cell>
          <cell r="H58">
            <v>342.94998652000004</v>
          </cell>
          <cell r="I58">
            <v>398.59401856359636</v>
          </cell>
          <cell r="J58">
            <v>303.67946726000002</v>
          </cell>
          <cell r="K58">
            <v>410.03359999999998</v>
          </cell>
          <cell r="L58">
            <v>599.5</v>
          </cell>
          <cell r="M58">
            <v>984.8</v>
          </cell>
          <cell r="N58">
            <v>999.5</v>
          </cell>
          <cell r="O58">
            <v>1658.2008924089866</v>
          </cell>
          <cell r="P58">
            <v>1964.8795141190171</v>
          </cell>
          <cell r="Q58">
            <v>2196.0845698895528</v>
          </cell>
        </row>
        <row r="59">
          <cell r="A59" t="str">
            <v>ibcr</v>
          </cell>
          <cell r="B59" t="str">
            <v>Creditors</v>
          </cell>
          <cell r="G59">
            <v>859.88944675000005</v>
          </cell>
          <cell r="H59">
            <v>1083.2553798499998</v>
          </cell>
          <cell r="I59">
            <v>991.70725587000015</v>
          </cell>
          <cell r="J59">
            <v>1358.76236961</v>
          </cell>
          <cell r="K59">
            <v>1844.327</v>
          </cell>
          <cell r="L59">
            <v>5030.1000000000004</v>
          </cell>
          <cell r="M59">
            <v>5147.5</v>
          </cell>
          <cell r="N59">
            <v>8975.7000000000007</v>
          </cell>
          <cell r="O59">
            <v>13565.187123287673</v>
          </cell>
          <cell r="P59">
            <v>16074.022397260276</v>
          </cell>
          <cell r="Q59">
            <v>17606.124987739724</v>
          </cell>
        </row>
        <row r="60">
          <cell r="A60" t="str">
            <v>ibol</v>
          </cell>
          <cell r="B60" t="str">
            <v>Other current liabilities</v>
          </cell>
          <cell r="G60">
            <v>85.635339830000007</v>
          </cell>
          <cell r="H60">
            <v>69.853464316936993</v>
          </cell>
          <cell r="I60">
            <v>157.58355779565449</v>
          </cell>
          <cell r="J60">
            <v>110.8498857227423</v>
          </cell>
          <cell r="K60">
            <v>206.38499999999999</v>
          </cell>
          <cell r="L60">
            <v>387.10000000000008</v>
          </cell>
          <cell r="M60">
            <v>1038.3</v>
          </cell>
          <cell r="N60">
            <v>548.09999999999991</v>
          </cell>
          <cell r="O60">
            <v>1180.6183088783255</v>
          </cell>
          <cell r="P60">
            <v>1398.9696542369845</v>
          </cell>
          <cell r="Q60">
            <v>1563.5847640210427</v>
          </cell>
        </row>
        <row r="61">
          <cell r="A61" t="str">
            <v>ibnc</v>
          </cell>
          <cell r="B61" t="str">
            <v>Net current assets</v>
          </cell>
          <cell r="D61">
            <v>0</v>
          </cell>
          <cell r="E61">
            <v>0</v>
          </cell>
          <cell r="F61">
            <v>0</v>
          </cell>
          <cell r="G61">
            <v>674.50637712825494</v>
          </cell>
          <cell r="H61">
            <v>560.34641334657931</v>
          </cell>
          <cell r="I61">
            <v>709.47547122778951</v>
          </cell>
          <cell r="J61">
            <v>595.65567446392515</v>
          </cell>
          <cell r="K61">
            <v>694.34255507709554</v>
          </cell>
          <cell r="L61">
            <v>959.66999999999916</v>
          </cell>
          <cell r="M61">
            <v>1582.3000000000002</v>
          </cell>
          <cell r="N61">
            <v>2652.2999999999993</v>
          </cell>
          <cell r="O61">
            <v>3757.2768310842512</v>
          </cell>
          <cell r="P61">
            <v>4710.2445137601353</v>
          </cell>
          <cell r="Q61">
            <v>5865.7790050853437</v>
          </cell>
        </row>
        <row r="62">
          <cell r="A62" t="str">
            <v>ibfa</v>
          </cell>
          <cell r="B62" t="str">
            <v>Fixed assets</v>
          </cell>
          <cell r="G62">
            <v>823.23501993404977</v>
          </cell>
          <cell r="H62">
            <v>844.44451992724441</v>
          </cell>
          <cell r="I62">
            <v>840.07336631052488</v>
          </cell>
          <cell r="J62">
            <v>968.8991978815784</v>
          </cell>
          <cell r="K62">
            <v>1118.547</v>
          </cell>
          <cell r="L62">
            <v>1383.8799999999999</v>
          </cell>
          <cell r="M62">
            <v>1947.7</v>
          </cell>
          <cell r="N62">
            <v>2549.8999999999996</v>
          </cell>
          <cell r="O62">
            <v>2828.2023040000004</v>
          </cell>
          <cell r="P62">
            <v>3172.1075040000005</v>
          </cell>
          <cell r="Q62">
            <v>3393.5127040000007</v>
          </cell>
        </row>
        <row r="63">
          <cell r="A63" t="str">
            <v>ibit</v>
          </cell>
          <cell r="B63" t="str">
            <v>Intangibles</v>
          </cell>
          <cell r="G63">
            <v>4.7071340552176997</v>
          </cell>
          <cell r="H63">
            <v>6.2197193300000002</v>
          </cell>
          <cell r="I63">
            <v>2.0968579613961751</v>
          </cell>
          <cell r="J63">
            <v>1.1507810077529605</v>
          </cell>
          <cell r="K63">
            <v>1.1970000000000001</v>
          </cell>
          <cell r="L63">
            <v>1.34</v>
          </cell>
          <cell r="M63">
            <v>2.1</v>
          </cell>
          <cell r="N63">
            <v>47.2</v>
          </cell>
          <cell r="O63">
            <v>47.2</v>
          </cell>
          <cell r="P63">
            <v>47.2</v>
          </cell>
          <cell r="Q63">
            <v>47.2</v>
          </cell>
        </row>
        <row r="64">
          <cell r="A64" t="str">
            <v>ibiv</v>
          </cell>
          <cell r="B64" t="str">
            <v>Investments</v>
          </cell>
          <cell r="G64">
            <v>43.811962894994032</v>
          </cell>
          <cell r="H64">
            <v>65.492450308872463</v>
          </cell>
          <cell r="I64">
            <v>63.203510765488666</v>
          </cell>
          <cell r="J64">
            <v>60.337459765488667</v>
          </cell>
          <cell r="K64">
            <v>0</v>
          </cell>
          <cell r="L64">
            <v>0</v>
          </cell>
          <cell r="M64">
            <v>0</v>
          </cell>
          <cell r="N64">
            <v>0</v>
          </cell>
          <cell r="O64">
            <v>0</v>
          </cell>
          <cell r="P64">
            <v>0</v>
          </cell>
          <cell r="Q64">
            <v>0</v>
          </cell>
        </row>
        <row r="65">
          <cell r="A65" t="str">
            <v>iboa</v>
          </cell>
          <cell r="B65" t="str">
            <v>Other long-term assets</v>
          </cell>
          <cell r="G65">
            <v>244.70680747</v>
          </cell>
          <cell r="H65">
            <v>136.66585549000001</v>
          </cell>
          <cell r="I65">
            <v>149.16786640000001</v>
          </cell>
          <cell r="J65">
            <v>148.63209497</v>
          </cell>
          <cell r="K65">
            <v>91.608000000000004</v>
          </cell>
          <cell r="L65">
            <v>122.2</v>
          </cell>
          <cell r="M65">
            <v>140.80000000000001</v>
          </cell>
          <cell r="N65">
            <v>135.30000000000001</v>
          </cell>
          <cell r="O65">
            <v>0</v>
          </cell>
          <cell r="P65">
            <v>0</v>
          </cell>
          <cell r="Q65">
            <v>0</v>
          </cell>
        </row>
        <row r="66">
          <cell r="A66" t="str">
            <v>ibna</v>
          </cell>
          <cell r="B66" t="str">
            <v>Total net assets</v>
          </cell>
          <cell r="D66">
            <v>0</v>
          </cell>
          <cell r="E66">
            <v>0</v>
          </cell>
          <cell r="F66">
            <v>0</v>
          </cell>
          <cell r="G66">
            <v>1790.9673014825164</v>
          </cell>
          <cell r="H66">
            <v>1613.1689584026963</v>
          </cell>
          <cell r="I66">
            <v>1764.0170726651993</v>
          </cell>
          <cell r="J66">
            <v>1774.6752080887452</v>
          </cell>
          <cell r="K66">
            <v>1905.6945550770954</v>
          </cell>
          <cell r="L66">
            <v>2467.0899999999992</v>
          </cell>
          <cell r="M66">
            <v>3672.9</v>
          </cell>
          <cell r="N66">
            <v>5384.6999999999989</v>
          </cell>
          <cell r="O66">
            <v>6632.6791350842514</v>
          </cell>
          <cell r="P66">
            <v>7929.5520177601356</v>
          </cell>
          <cell r="Q66">
            <v>9306.4917090853451</v>
          </cell>
        </row>
        <row r="67">
          <cell r="A67" t="str">
            <v>ibbo</v>
          </cell>
          <cell r="B67" t="str">
            <v>Borrowings</v>
          </cell>
          <cell r="G67">
            <v>1189.6130445499998</v>
          </cell>
          <cell r="H67">
            <v>940.05089773999998</v>
          </cell>
          <cell r="I67">
            <v>932.69736915999999</v>
          </cell>
          <cell r="J67">
            <v>817.08683380000002</v>
          </cell>
          <cell r="K67">
            <v>768.98461777</v>
          </cell>
          <cell r="L67">
            <v>467.29999999999995</v>
          </cell>
          <cell r="M67">
            <v>446.3</v>
          </cell>
          <cell r="N67">
            <v>1412.4</v>
          </cell>
          <cell r="O67">
            <v>1499.95</v>
          </cell>
          <cell r="P67">
            <v>1499.95</v>
          </cell>
          <cell r="Q67">
            <v>1499.95</v>
          </cell>
        </row>
        <row r="68">
          <cell r="A68" t="str">
            <v>ibll</v>
          </cell>
          <cell r="B68" t="str">
            <v>Other long-term liabilities</v>
          </cell>
          <cell r="G68">
            <v>38.470131913844</v>
          </cell>
          <cell r="H68">
            <v>57.651787597442869</v>
          </cell>
          <cell r="I68">
            <v>94.711937048721694</v>
          </cell>
          <cell r="J68">
            <v>108.71619800108516</v>
          </cell>
          <cell r="K68">
            <v>-2.1098848000000032</v>
          </cell>
          <cell r="L68">
            <v>29.2</v>
          </cell>
          <cell r="M68">
            <v>76.900000000000006</v>
          </cell>
          <cell r="N68">
            <v>190.10000000000002</v>
          </cell>
          <cell r="O68">
            <v>190.10000000000002</v>
          </cell>
          <cell r="P68">
            <v>190.10000000000002</v>
          </cell>
          <cell r="Q68">
            <v>190.10000000000002</v>
          </cell>
        </row>
        <row r="69">
          <cell r="A69" t="str">
            <v>ibne</v>
          </cell>
          <cell r="B69" t="str">
            <v>Networth</v>
          </cell>
          <cell r="G69">
            <v>562.88412908171165</v>
          </cell>
          <cell r="H69">
            <v>615.46627479431072</v>
          </cell>
          <cell r="I69">
            <v>736.10861</v>
          </cell>
          <cell r="J69">
            <v>848.46861000000001</v>
          </cell>
          <cell r="K69">
            <v>1138.7915700000001</v>
          </cell>
          <cell r="L69">
            <v>1970.7</v>
          </cell>
          <cell r="M69">
            <v>3149.8</v>
          </cell>
          <cell r="N69">
            <v>3782.1</v>
          </cell>
          <cell r="O69">
            <v>4942.6291350842494</v>
          </cell>
          <cell r="P69">
            <v>6239.5020177601345</v>
          </cell>
          <cell r="Q69">
            <v>7616.4417090853431</v>
          </cell>
        </row>
        <row r="70">
          <cell r="A70" t="str">
            <v>ibtl</v>
          </cell>
          <cell r="B70" t="str">
            <v>Total liabilities</v>
          </cell>
          <cell r="D70">
            <v>0</v>
          </cell>
          <cell r="E70">
            <v>0</v>
          </cell>
          <cell r="F70">
            <v>0</v>
          </cell>
          <cell r="G70">
            <v>1790.9673055455555</v>
          </cell>
          <cell r="H70">
            <v>1613.1689601317535</v>
          </cell>
          <cell r="I70">
            <v>1763.5179162087218</v>
          </cell>
          <cell r="J70">
            <v>1774.271641801085</v>
          </cell>
          <cell r="K70">
            <v>1905.6663029700001</v>
          </cell>
          <cell r="L70">
            <v>2467.1999999999998</v>
          </cell>
          <cell r="M70">
            <v>3673</v>
          </cell>
          <cell r="N70">
            <v>5384.6</v>
          </cell>
          <cell r="O70">
            <v>6632.6791350842495</v>
          </cell>
          <cell r="P70">
            <v>7929.5520177601347</v>
          </cell>
          <cell r="Q70">
            <v>9306.4917090853432</v>
          </cell>
        </row>
        <row r="94">
          <cell r="A94" t="str">
            <v>iosa</v>
          </cell>
          <cell r="B94" t="str">
            <v>Shares outstanding adjusted for split; bonus etc</v>
          </cell>
          <cell r="G94">
            <v>9.3800000000000008</v>
          </cell>
          <cell r="H94">
            <v>9.3800000000000008</v>
          </cell>
          <cell r="I94">
            <v>9.3800000000000008</v>
          </cell>
          <cell r="J94">
            <v>9.3800000000000008</v>
          </cell>
          <cell r="K94">
            <v>9.3800000000000008</v>
          </cell>
          <cell r="L94">
            <v>10.99</v>
          </cell>
          <cell r="M94">
            <v>11.33</v>
          </cell>
          <cell r="N94">
            <v>11.32</v>
          </cell>
          <cell r="O94">
            <v>11.32</v>
          </cell>
          <cell r="P94">
            <v>11.32</v>
          </cell>
          <cell r="Q94">
            <v>11.32</v>
          </cell>
        </row>
        <row r="95">
          <cell r="A95" t="str">
            <v>iosb</v>
          </cell>
          <cell r="B95" t="str">
            <v>Fully diluted equity share capital adjusted for split; bonus etc</v>
          </cell>
          <cell r="G95">
            <v>9.3800000000000008</v>
          </cell>
          <cell r="H95">
            <v>9.3800000000000008</v>
          </cell>
          <cell r="I95">
            <v>9.3800000000000008</v>
          </cell>
          <cell r="J95">
            <v>9.3800000000000008</v>
          </cell>
          <cell r="K95">
            <v>9.3800000000000008</v>
          </cell>
          <cell r="L95">
            <v>10.99</v>
          </cell>
          <cell r="M95">
            <v>11.33</v>
          </cell>
          <cell r="N95">
            <v>11.32</v>
          </cell>
          <cell r="O95">
            <v>11.32</v>
          </cell>
          <cell r="P95">
            <v>11.32</v>
          </cell>
          <cell r="Q95">
            <v>11.32</v>
          </cell>
        </row>
        <row r="97">
          <cell r="A97" t="str">
            <v>ioda</v>
          </cell>
          <cell r="B97" t="str">
            <v>DPS adjusted for split; bonus etc</v>
          </cell>
          <cell r="G97">
            <v>0</v>
          </cell>
          <cell r="H97">
            <v>0.33081023454157782</v>
          </cell>
          <cell r="I97">
            <v>0.99285714285714288</v>
          </cell>
          <cell r="J97">
            <v>0.33081023454157782</v>
          </cell>
          <cell r="K97">
            <v>4.135394456289978</v>
          </cell>
          <cell r="L97">
            <v>5.9972702456778881</v>
          </cell>
          <cell r="M97">
            <v>2</v>
          </cell>
          <cell r="N97">
            <v>2</v>
          </cell>
          <cell r="O97">
            <v>8.3942593292173129</v>
          </cell>
          <cell r="P97">
            <v>18.700714577734988</v>
          </cell>
          <cell r="Q97">
            <v>21.623016340617138</v>
          </cell>
        </row>
        <row r="99">
          <cell r="A99" t="str">
            <v>iorm</v>
          </cell>
          <cell r="B99" t="str">
            <v>Raw material cost</v>
          </cell>
          <cell r="G99">
            <v>-4997.4229999999998</v>
          </cell>
          <cell r="H99">
            <v>-6880.7290000000003</v>
          </cell>
          <cell r="I99">
            <v>-10083.789999999999</v>
          </cell>
          <cell r="J99">
            <v>-10974.143</v>
          </cell>
          <cell r="K99">
            <v>-12291.925000000001</v>
          </cell>
          <cell r="L99">
            <v>-21800.82</v>
          </cell>
          <cell r="M99">
            <v>-24870.2</v>
          </cell>
          <cell r="N99">
            <v>-26092.699999999997</v>
          </cell>
          <cell r="O99">
            <v>-43818.945705000006</v>
          </cell>
          <cell r="P99">
            <v>-51629.759940000004</v>
          </cell>
          <cell r="Q99">
            <v>-57704.972919</v>
          </cell>
        </row>
        <row r="100">
          <cell r="A100" t="str">
            <v>ioec</v>
          </cell>
          <cell r="B100" t="str">
            <v>Employee cost</v>
          </cell>
          <cell r="G100">
            <v>-361.9</v>
          </cell>
          <cell r="H100">
            <v>-207.83</v>
          </cell>
          <cell r="I100">
            <v>-322.66000000000003</v>
          </cell>
          <cell r="J100">
            <v>-368.59</v>
          </cell>
          <cell r="K100">
            <v>-549.57000000000005</v>
          </cell>
          <cell r="L100">
            <v>-639.1</v>
          </cell>
          <cell r="M100">
            <v>-727.5</v>
          </cell>
          <cell r="N100">
            <v>-838.7</v>
          </cell>
          <cell r="O100">
            <v>-1174.18</v>
          </cell>
          <cell r="P100">
            <v>-1350.307</v>
          </cell>
          <cell r="Q100">
            <v>-1485.3377</v>
          </cell>
        </row>
        <row r="101">
          <cell r="A101" t="str">
            <v>iooe</v>
          </cell>
          <cell r="B101" t="str">
            <v>Other expenses</v>
          </cell>
          <cell r="G101">
            <v>-313.0870000000001</v>
          </cell>
          <cell r="H101">
            <v>-379.48</v>
          </cell>
          <cell r="I101">
            <v>-270.85000000000002</v>
          </cell>
          <cell r="J101">
            <v>-348.59000000000003</v>
          </cell>
          <cell r="K101">
            <v>-465.80999999999995</v>
          </cell>
          <cell r="L101">
            <v>-1219.32</v>
          </cell>
          <cell r="M101">
            <v>-1691.7</v>
          </cell>
          <cell r="N101">
            <v>-1564.4</v>
          </cell>
          <cell r="O101">
            <v>-2304.9150604999959</v>
          </cell>
          <cell r="P101">
            <v>-2998.802002999998</v>
          </cell>
          <cell r="Q101">
            <v>-3303.0497210499998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 val="BSE 200"/>
      <sheetName val="summary"/>
      <sheetName val="Unit_Costs"/>
      <sheetName val="Project_Cost"/>
      <sheetName val="FieldDepot-Chen(_CKT_1)"/>
      <sheetName val="FieldDepot-Coimb_(_CKT_1)"/>
      <sheetName val="FieldDepot-Bang(_CKT_1)"/>
      <sheetName val="BaseDepot_(CKT_1)"/>
      <sheetName val="BaseDepot_(CKT_2)"/>
      <sheetName val="FieldDepot-Hoogly(_CKT_2)"/>
      <sheetName val="FieldDepot-Navi_(CKT_2)"/>
      <sheetName val="Base_depot_Eqpmt(_CKT_2)"/>
      <sheetName val="Field_Depot_Eqpmt-0_5(_CKT_2_)"/>
      <sheetName val="Field_Depot_Eqpmt_(_CKT_2)"/>
      <sheetName val="BSE_200"/>
      <sheetName val="retail breakdown"/>
      <sheetName val="model"/>
    </sheetNames>
    <sheetDataSet>
      <sheetData sheetId="0" refreshError="1"/>
      <sheetData sheetId="1" refreshError="1"/>
      <sheetData sheetId="2" refreshError="1"/>
      <sheetData sheetId="3" refreshError="1">
        <row r="8">
          <cell r="D8">
            <v>7.0000000000000007E-2</v>
          </cell>
        </row>
        <row r="11">
          <cell r="D11">
            <v>0.33660000000000001</v>
          </cell>
        </row>
        <row r="12">
          <cell r="D12">
            <v>8.4150000000000003E-2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Changes -22Jul"/>
      <sheetName val="Top-10 performance"/>
      <sheetName val="Portfolio performance"/>
      <sheetName val="Top-10"/>
      <sheetName val="Portfolio"/>
      <sheetName val="BSE-30"/>
      <sheetName val="usecon"/>
      <sheetName val="FCF"/>
      <sheetName val="econ"/>
      <sheetName val="mosoon"/>
      <sheetName val="Comparison"/>
      <sheetName val="Aluminium price trend"/>
      <sheetName val="alum_ind"/>
      <sheetName val="steel_dem_sup"/>
      <sheetName val="alum_gl"/>
      <sheetName val="Steel price"/>
      <sheetName val="Price data"/>
      <sheetName val="CV_cos"/>
      <sheetName val="CVs"/>
      <sheetName val="Freight index vs M&amp;HCV sales"/>
      <sheetName val="HH"/>
      <sheetName val="chem_Prices"/>
      <sheetName val="chem_Margins"/>
      <sheetName val="global-cap"/>
      <sheetName val="ethylene-operating rate"/>
      <sheetName val="margins-prices"/>
      <sheetName val="valuations"/>
      <sheetName val="cem_prices"/>
      <sheetName val="acc"/>
      <sheetName val="cem_cons"/>
      <sheetName val="cem_road"/>
      <sheetName val="cem_dem"/>
      <sheetName val="Sheet1"/>
      <sheetName val="summary"/>
      <sheetName val="BOB"/>
      <sheetName val="earnmodel"/>
      <sheetName val="used cv demand"/>
      <sheetName val="RDB"/>
      <sheetName val="I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d_links"/>
      <sheetName val="Sheet2"/>
      <sheetName val="PF Reserves"/>
      <sheetName val="Sheet1"/>
      <sheetName val="Sheet3"/>
      <sheetName val="Data Box"/>
      <sheetName val="#REF"/>
      <sheetName val="Data"/>
      <sheetName val="Input"/>
      <sheetName val="TBI NAV"/>
      <sheetName val="Cmdty scenarios"/>
      <sheetName val="NBL"/>
      <sheetName val="Financial results"/>
      <sheetName val="Earnings model"/>
      <sheetName val="Profile"/>
      <sheetName val="Debt"/>
      <sheetName val="CapEx"/>
      <sheetName val="General Assumptions (Link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s"/>
      <sheetName val="summary"/>
      <sheetName val="main"/>
      <sheetName val="chart_data1"/>
      <sheetName val="chart_data2"/>
      <sheetName val="change"/>
      <sheetName val="PE"/>
      <sheetName val="PB, RoE"/>
      <sheetName val="EVEBITDA"/>
      <sheetName val="mcap"/>
      <sheetName val="prices"/>
      <sheetName val="shares"/>
      <sheetName val="profit"/>
      <sheetName val="ebitda"/>
      <sheetName val="NW"/>
      <sheetName val="debt"/>
      <sheetName val="EV"/>
      <sheetName val="hist"/>
      <sheetName val="operating_stats"/>
      <sheetName val="index_target"/>
      <sheetName val="liquidity"/>
      <sheetName val="Liq g"/>
      <sheetName val="oper_par"/>
      <sheetName val="Erg-gwth"/>
      <sheetName val="Calendar"/>
      <sheetName val="all_mcap"/>
      <sheetName val="b30_changes"/>
      <sheetName val="b30"/>
      <sheetName val="dump_all_yrs"/>
      <sheetName val="Sheet5"/>
      <sheetName val="Sheet3"/>
      <sheetName val="NC"/>
      <sheetName val="Sheet1"/>
      <sheetName val="Sheet2"/>
      <sheetName val="int rate"/>
      <sheetName val="2003E"/>
      <sheetName val="s 2"/>
      <sheetName val="FCFf"/>
      <sheetName val="hist1"/>
      <sheetName val="free float"/>
      <sheetName val="index_target (2)"/>
      <sheetName val="global"/>
      <sheetName val="gl_perf"/>
      <sheetName val="const_wgt"/>
      <sheetName val="portfolio"/>
      <sheetName val="Top-10 ret"/>
      <sheetName val="port_perf"/>
      <sheetName val="Erng_mom"/>
      <sheetName val="change_nov03"/>
      <sheetName val="key"/>
      <sheetName val="wgt_old"/>
      <sheetName val="wgt_chg"/>
      <sheetName val="Dividend"/>
      <sheetName val="yr"/>
      <sheetName val="mon_log"/>
      <sheetName val="qtr"/>
      <sheetName val="index_target (3)"/>
      <sheetName val="Sheet4"/>
      <sheetName val="nov03"/>
      <sheetName val="Top-10 ret old (fixed)"/>
      <sheetName val="Top-10 ret "/>
      <sheetName val="bse30"/>
      <sheetName val="Chart1"/>
      <sheetName val="const_wgt_new"/>
      <sheetName val="portfolio New"/>
      <sheetName val="Top-10 ret old"/>
      <sheetName val="BSE 30 Consensus"/>
      <sheetName val="const_wgt_2004"/>
      <sheetName val="icici"/>
      <sheetName val="Consumption"/>
      <sheetName val="Interest"/>
      <sheetName val="Calculations"/>
      <sheetName val="p&amp;l"/>
      <sheetName val="Profile"/>
      <sheetName val="Input"/>
      <sheetName val="Cap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A3">
            <v>33694</v>
          </cell>
          <cell r="CA3">
            <v>33694</v>
          </cell>
          <cell r="CG3">
            <v>33694</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s-chg"/>
      <sheetName val="key assmp"/>
      <sheetName val="sensitivity"/>
      <sheetName val="yield"/>
      <sheetName val="ref price"/>
      <sheetName val="ref sales"/>
      <sheetName val="mkt sales"/>
      <sheetName val="other sales"/>
      <sheetName val="pipe sales"/>
      <sheetName val="revenue model"/>
      <sheetName val="crude mix"/>
      <sheetName val="costs"/>
      <sheetName val="finstats"/>
      <sheetName val="profit model"/>
      <sheetName val="interim"/>
      <sheetName val="cash model"/>
      <sheetName val="balance model"/>
      <sheetName val="investment"/>
      <sheetName val="capex_1"/>
      <sheetName val="capex_2"/>
      <sheetName val="interest"/>
      <sheetName val="depreciation"/>
      <sheetName val="taxation"/>
      <sheetName val="WACC"/>
      <sheetName val="DCF value"/>
      <sheetName val="cont_break"/>
      <sheetName val="PM (F)"/>
      <sheetName val="CM (F)"/>
      <sheetName val="BM (F)"/>
      <sheetName val="data_sheet"/>
      <sheetName val="kotak_qrtrly"/>
      <sheetName val="kotakval"/>
      <sheetName val="NoteXpress"/>
      <sheetName val="GS_val_sheet"/>
      <sheetName val="interims"/>
      <sheetName val="premium_value"/>
      <sheetName val="global_majors_val"/>
      <sheetName val="RO_avg_vol"/>
      <sheetName val="reg_dem_sup"/>
      <sheetName val="ril_vol"/>
      <sheetName val="ril_capex"/>
      <sheetName val="current_price"/>
      <sheetName val="RO_eco"/>
      <sheetName val="decon_prices"/>
      <sheetName val="intl_margins"/>
      <sheetName val="Retail outlets"/>
      <sheetName val="EV_RC (F)"/>
      <sheetName val="EV_RC"/>
      <sheetName val="oil_pool"/>
      <sheetName val="naphtha_price"/>
      <sheetName val="FO_price"/>
      <sheetName val="ATF_price"/>
      <sheetName val="OCC prices"/>
      <sheetName val="decon_price"/>
      <sheetName val="upside"/>
      <sheetName val="duty_protection"/>
      <sheetName val="ref assmp"/>
      <sheetName val="Sheet2"/>
      <sheetName val="Sheet1"/>
      <sheetName val="icici"/>
      <sheetName val="IEA_02-99"/>
      <sheetName val="Crude oil"/>
      <sheetName val="model by field"/>
      <sheetName val="W Natuna"/>
      <sheetName val="cs1997"/>
      <sheetName val="Book1"/>
      <sheetName val="Block A"/>
      <sheetName val="Adjusted data"/>
      <sheetName val="Corridor"/>
      <sheetName val="JetFuel"/>
      <sheetName val="Summary model"/>
      <sheetName val="Valuation (F)"/>
      <sheetName val="WRLD EXPN"/>
      <sheetName val="Charts"/>
      <sheetName val="#REF"/>
      <sheetName val="Data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Scrap, Prod + CapUtil"/>
      <sheetName val="Monthly Scrap (#1+Bundles)"/>
      <sheetName val="Perform"/>
      <sheetName val="Monthly Ship+Prod"/>
      <sheetName val="ShipII"/>
      <sheetName val="Corrupt SSCI"/>
      <sheetName val="Auto"/>
      <sheetName val="Financials"/>
      <sheetName val="coal"/>
      <sheetName val="Gas"/>
      <sheetName val="bajaj_copeland"/>
      <sheetName val="Charts"/>
      <sheetName val="EVA1"/>
      <sheetName val="#REF"/>
      <sheetName val="Calculation (2)"/>
      <sheetName val="InQuart"/>
      <sheetName val="Mico"/>
      <sheetName val="Macro1"/>
      <sheetName val="Data"/>
      <sheetName val="finstats"/>
      <sheetName val="Earnings model"/>
      <sheetName val="Model"/>
      <sheetName val="Key"/>
      <sheetName val="KINECTIC HONDA"/>
      <sheetName val="Assumps"/>
      <sheetName val="Monthly Ship_Prod"/>
      <sheetName val="Shinhan data"/>
      <sheetName val="HCB data"/>
      <sheetName val="Kookmin data"/>
      <sheetName val="Ignore"/>
      <sheetName val="tax"/>
      <sheetName val="ESOP_issuance"/>
      <sheetName val="p&amp;l"/>
      <sheetName val="Summary finl - Consolidated"/>
      <sheetName val="Black-scholes calculator"/>
      <sheetName val="BS"/>
      <sheetName val="graph"/>
    </sheetNames>
    <sheetDataSet>
      <sheetData sheetId="0" refreshError="1"/>
      <sheetData sheetId="1" refreshError="1"/>
      <sheetData sheetId="2" refreshError="1">
        <row r="461">
          <cell r="A461" t="str">
            <v>1985:1</v>
          </cell>
          <cell r="B461">
            <v>1985</v>
          </cell>
          <cell r="C461">
            <v>191.64</v>
          </cell>
          <cell r="D461">
            <v>1.0409999999999999</v>
          </cell>
          <cell r="E461">
            <v>38.590000000000003</v>
          </cell>
          <cell r="F461">
            <v>-0.23066188197767135</v>
          </cell>
          <cell r="G461">
            <v>60.9</v>
          </cell>
          <cell r="H461">
            <v>-0.125</v>
          </cell>
          <cell r="I461">
            <v>81.78</v>
          </cell>
          <cell r="J461">
            <v>-0.11560506110089752</v>
          </cell>
          <cell r="K461">
            <v>6.0170000000000003</v>
          </cell>
          <cell r="L461">
            <v>6.1872909698996725E-3</v>
          </cell>
          <cell r="M461">
            <v>1</v>
          </cell>
          <cell r="N461">
            <v>1</v>
          </cell>
          <cell r="O461">
            <v>1</v>
          </cell>
          <cell r="P461">
            <v>2.0217552533992582</v>
          </cell>
          <cell r="Q461">
            <v>2.6624040920716108</v>
          </cell>
          <cell r="R461">
            <v>0.7593720500279636</v>
          </cell>
          <cell r="S461">
            <v>1.927967806841046</v>
          </cell>
          <cell r="T461">
            <v>0.88347069597069605</v>
          </cell>
          <cell r="U461">
            <v>0.45823934032293467</v>
          </cell>
          <cell r="V461">
            <v>0</v>
          </cell>
        </row>
        <row r="462">
          <cell r="A462" t="str">
            <v>1985:2</v>
          </cell>
          <cell r="B462">
            <v>1985</v>
          </cell>
          <cell r="C462">
            <v>202.13</v>
          </cell>
          <cell r="D462">
            <v>1.042</v>
          </cell>
          <cell r="E462">
            <v>38.89</v>
          </cell>
          <cell r="F462">
            <v>-0.11108571428571423</v>
          </cell>
          <cell r="G462">
            <v>66.099999999999994</v>
          </cell>
          <cell r="H462">
            <v>-0.13026315789473697</v>
          </cell>
          <cell r="I462">
            <v>83.49</v>
          </cell>
          <cell r="J462">
            <v>-0.13257142857142867</v>
          </cell>
          <cell r="K462">
            <v>5.5979999999999999</v>
          </cell>
          <cell r="L462">
            <v>-8.9756097560975689E-2</v>
          </cell>
          <cell r="M462">
            <v>1.0547380505113755</v>
          </cell>
          <cell r="N462">
            <v>1.0077740347240216</v>
          </cell>
          <cell r="O462">
            <v>0.95547328953896749</v>
          </cell>
          <cell r="P462">
            <v>2.0640296662546351</v>
          </cell>
          <cell r="Q462">
            <v>2.6649616368286444</v>
          </cell>
          <cell r="R462">
            <v>0.7745063334986203</v>
          </cell>
          <cell r="S462">
            <v>2.0335010060362171</v>
          </cell>
          <cell r="T462">
            <v>0.8903388278388279</v>
          </cell>
          <cell r="U462">
            <v>0.43783544989452089</v>
          </cell>
          <cell r="V462">
            <v>0</v>
          </cell>
        </row>
        <row r="463">
          <cell r="A463" t="str">
            <v>1985:3</v>
          </cell>
          <cell r="B463">
            <v>1985</v>
          </cell>
          <cell r="C463">
            <v>200.42</v>
          </cell>
          <cell r="D463">
            <v>1.0409999999999999</v>
          </cell>
          <cell r="E463">
            <v>37.06</v>
          </cell>
          <cell r="F463">
            <v>-0.25327422929679633</v>
          </cell>
          <cell r="G463">
            <v>72.099999999999994</v>
          </cell>
          <cell r="H463">
            <v>-8.8495575221238965E-2</v>
          </cell>
          <cell r="I463">
            <v>85.79</v>
          </cell>
          <cell r="J463">
            <v>-8.8407183083625496E-2</v>
          </cell>
          <cell r="K463">
            <v>6.3440000000000003</v>
          </cell>
          <cell r="L463">
            <v>-0.12363586130681026</v>
          </cell>
          <cell r="M463">
            <v>1.045815069922772</v>
          </cell>
          <cell r="N463">
            <v>0.96035242290748901</v>
          </cell>
          <cell r="O463">
            <v>0.91828130089806992</v>
          </cell>
          <cell r="P463">
            <v>2.1208899876390608</v>
          </cell>
          <cell r="Q463">
            <v>2.6624040920716108</v>
          </cell>
          <cell r="R463">
            <v>0.79660709430055032</v>
          </cell>
          <cell r="S463">
            <v>2.0162977867203216</v>
          </cell>
          <cell r="T463">
            <v>0.84844322344322354</v>
          </cell>
          <cell r="U463">
            <v>0.42079261755441788</v>
          </cell>
          <cell r="V463">
            <v>0</v>
          </cell>
        </row>
        <row r="464">
          <cell r="A464" t="str">
            <v>1985:4</v>
          </cell>
          <cell r="B464">
            <v>1985</v>
          </cell>
          <cell r="C464">
            <v>201.13</v>
          </cell>
          <cell r="D464">
            <v>1.044</v>
          </cell>
          <cell r="E464">
            <v>35.340000000000003</v>
          </cell>
          <cell r="F464">
            <v>-0.23655217109526883</v>
          </cell>
          <cell r="G464">
            <v>71.599999999999994</v>
          </cell>
          <cell r="H464">
            <v>-0.11386138613861385</v>
          </cell>
          <cell r="I464">
            <v>81.069999999999993</v>
          </cell>
          <cell r="J464">
            <v>-0.13349722103463024</v>
          </cell>
          <cell r="K464">
            <v>6.4249999999999998</v>
          </cell>
          <cell r="L464">
            <v>-7.2620519159457553E-3</v>
          </cell>
          <cell r="M464">
            <v>1.0495199332080987</v>
          </cell>
          <cell r="N464">
            <v>0.9157812904897642</v>
          </cell>
          <cell r="O464">
            <v>0.87257160299039616</v>
          </cell>
          <cell r="P464">
            <v>2.0042027194066745</v>
          </cell>
          <cell r="Q464">
            <v>2.6700767263427112</v>
          </cell>
          <cell r="R464">
            <v>0.75061615257472192</v>
          </cell>
          <cell r="S464">
            <v>2.0234406438631791</v>
          </cell>
          <cell r="T464">
            <v>0.80906593406593419</v>
          </cell>
          <cell r="U464">
            <v>0.39984663573884482</v>
          </cell>
          <cell r="V464">
            <v>0</v>
          </cell>
        </row>
        <row r="465">
          <cell r="A465" t="str">
            <v>1985:5</v>
          </cell>
          <cell r="B465">
            <v>1985</v>
          </cell>
          <cell r="C465">
            <v>204.83</v>
          </cell>
          <cell r="D465">
            <v>1.048</v>
          </cell>
          <cell r="E465">
            <v>35.65</v>
          </cell>
          <cell r="F465">
            <v>-0.10404624277456653</v>
          </cell>
          <cell r="G465">
            <v>68.900000000000006</v>
          </cell>
          <cell r="H465">
            <v>-0.13659147869674171</v>
          </cell>
          <cell r="I465">
            <v>71.5</v>
          </cell>
          <cell r="J465">
            <v>-0.23513050919982892</v>
          </cell>
          <cell r="K465">
            <v>6.5190000000000001</v>
          </cell>
          <cell r="L465">
            <v>-6.1744386873920587E-2</v>
          </cell>
          <cell r="M465">
            <v>1.0688269672302235</v>
          </cell>
          <cell r="N465">
            <v>0.92381445970458653</v>
          </cell>
          <cell r="O465">
            <v>0.86432555317964621</v>
          </cell>
          <cell r="P465">
            <v>1.7676143386897403</v>
          </cell>
          <cell r="Q465">
            <v>2.6803069053708439</v>
          </cell>
          <cell r="R465">
            <v>0.65948206720199276</v>
          </cell>
          <cell r="S465">
            <v>2.0606639839034204</v>
          </cell>
          <cell r="T465">
            <v>0.81616300366300365</v>
          </cell>
          <cell r="U465">
            <v>0.39606797131329674</v>
          </cell>
          <cell r="V465">
            <v>0</v>
          </cell>
        </row>
        <row r="466">
          <cell r="A466" t="str">
            <v>1985:6</v>
          </cell>
          <cell r="B466">
            <v>1985</v>
          </cell>
          <cell r="C466">
            <v>208.5</v>
          </cell>
          <cell r="D466">
            <v>1.048</v>
          </cell>
          <cell r="E466">
            <v>35.01</v>
          </cell>
          <cell r="F466">
            <v>-7.6740506329114E-2</v>
          </cell>
          <cell r="G466">
            <v>66.3</v>
          </cell>
          <cell r="H466">
            <v>-7.1428571428571508E-2</v>
          </cell>
          <cell r="I466">
            <v>66.58</v>
          </cell>
          <cell r="J466">
            <v>-0.25081579835715095</v>
          </cell>
          <cell r="K466">
            <v>6.125</v>
          </cell>
          <cell r="L466">
            <v>-8.3906670655100157E-2</v>
          </cell>
          <cell r="M466">
            <v>1.0879774577332499</v>
          </cell>
          <cell r="N466">
            <v>0.90722985229334008</v>
          </cell>
          <cell r="O466">
            <v>0.83386824409350446</v>
          </cell>
          <cell r="P466">
            <v>1.645982694684796</v>
          </cell>
          <cell r="Q466">
            <v>2.6803069053708439</v>
          </cell>
          <cell r="R466">
            <v>0.61410232215816341</v>
          </cell>
          <cell r="S466">
            <v>2.0975855130784709</v>
          </cell>
          <cell r="T466">
            <v>0.80151098901098894</v>
          </cell>
          <cell r="U466">
            <v>0.38211123408965131</v>
          </cell>
          <cell r="V466">
            <v>0</v>
          </cell>
        </row>
        <row r="467">
          <cell r="A467" t="str">
            <v>1985:7</v>
          </cell>
          <cell r="B467">
            <v>1985</v>
          </cell>
          <cell r="C467">
            <v>212.9</v>
          </cell>
          <cell r="D467">
            <v>1.0509999999999999</v>
          </cell>
          <cell r="E467">
            <v>39.79</v>
          </cell>
          <cell r="F467">
            <v>0.1355593607305936</v>
          </cell>
          <cell r="G467">
            <v>62.1</v>
          </cell>
          <cell r="H467">
            <v>-4.9004594180704353E-2</v>
          </cell>
          <cell r="I467">
            <v>68.38</v>
          </cell>
          <cell r="J467">
            <v>-0.17713598074608905</v>
          </cell>
          <cell r="K467">
            <v>5.71</v>
          </cell>
          <cell r="L467">
            <v>-1.8900343642611728E-2</v>
          </cell>
          <cell r="M467">
            <v>1.1109371738676685</v>
          </cell>
          <cell r="N467">
            <v>1.0310961388960869</v>
          </cell>
          <cell r="O467">
            <v>0.92813181802745925</v>
          </cell>
          <cell r="P467">
            <v>1.6904820766378243</v>
          </cell>
          <cell r="Q467">
            <v>2.6879795396419435</v>
          </cell>
          <cell r="R467">
            <v>0.62890436913928582</v>
          </cell>
          <cell r="S467">
            <v>2.1418511066398391</v>
          </cell>
          <cell r="T467">
            <v>0.91094322344322343</v>
          </cell>
          <cell r="U467">
            <v>0.42530651202562897</v>
          </cell>
          <cell r="V467">
            <v>0</v>
          </cell>
        </row>
        <row r="468">
          <cell r="A468" t="str">
            <v>1985:8</v>
          </cell>
          <cell r="B468">
            <v>1985</v>
          </cell>
          <cell r="C468">
            <v>209.4</v>
          </cell>
          <cell r="D468">
            <v>1.046</v>
          </cell>
          <cell r="E468">
            <v>38.9</v>
          </cell>
          <cell r="F468">
            <v>1.5400678673975321E-2</v>
          </cell>
          <cell r="G468">
            <v>63.2</v>
          </cell>
          <cell r="H468">
            <v>4.4628099173553704E-2</v>
          </cell>
          <cell r="I468">
            <v>74.67</v>
          </cell>
          <cell r="J468">
            <v>-8.6046511627906996E-2</v>
          </cell>
          <cell r="K468">
            <v>6.0640000000000001</v>
          </cell>
          <cell r="L468">
            <v>5.1384054367644705E-3</v>
          </cell>
          <cell r="M468">
            <v>1.0926737633061991</v>
          </cell>
          <cell r="N468">
            <v>1.0080331692148223</v>
          </cell>
          <cell r="O468">
            <v>0.92253809239889473</v>
          </cell>
          <cell r="P468">
            <v>1.8459826946847959</v>
          </cell>
          <cell r="Q468">
            <v>2.6751918158567776</v>
          </cell>
          <cell r="R468">
            <v>0.6900375082425958</v>
          </cell>
          <cell r="S468">
            <v>2.1066398390342052</v>
          </cell>
          <cell r="T468">
            <v>0.89056776556776551</v>
          </cell>
          <cell r="U468">
            <v>0.42274324688364801</v>
          </cell>
          <cell r="V468">
            <v>0</v>
          </cell>
        </row>
        <row r="469">
          <cell r="A469" t="str">
            <v>1985:9</v>
          </cell>
          <cell r="B469">
            <v>1985</v>
          </cell>
          <cell r="C469">
            <v>205.15</v>
          </cell>
          <cell r="D469">
            <v>1.0329999999999999</v>
          </cell>
          <cell r="E469">
            <v>37.53</v>
          </cell>
          <cell r="F469">
            <v>-1.3304949441191871E-3</v>
          </cell>
          <cell r="G469">
            <v>63.4</v>
          </cell>
          <cell r="H469">
            <v>9.8786828422876782E-2</v>
          </cell>
          <cell r="I469">
            <v>73.400000000000006</v>
          </cell>
          <cell r="J469">
            <v>-0.14192190787935466</v>
          </cell>
          <cell r="K469">
            <v>5.8479999999999999</v>
          </cell>
          <cell r="L469">
            <v>7.2240557389072313E-2</v>
          </cell>
          <cell r="M469">
            <v>1.0704967647672721</v>
          </cell>
          <cell r="N469">
            <v>0.97253174397512299</v>
          </cell>
          <cell r="O469">
            <v>0.90848639247083862</v>
          </cell>
          <cell r="P469">
            <v>1.8145859085290483</v>
          </cell>
          <cell r="Q469">
            <v>2.6419437340153449</v>
          </cell>
          <cell r="R469">
            <v>0.68683745424478027</v>
          </cell>
          <cell r="S469">
            <v>2.0638832997987926</v>
          </cell>
          <cell r="T469">
            <v>0.85920329670329676</v>
          </cell>
          <cell r="U469">
            <v>0.41630420517819988</v>
          </cell>
          <cell r="V469">
            <v>0</v>
          </cell>
        </row>
        <row r="470">
          <cell r="A470" t="str">
            <v>1985:10</v>
          </cell>
          <cell r="B470">
            <v>1985</v>
          </cell>
          <cell r="C470">
            <v>207.65</v>
          </cell>
          <cell r="D470">
            <v>1.05</v>
          </cell>
          <cell r="E470">
            <v>33.380000000000003</v>
          </cell>
          <cell r="F470">
            <v>-3.1621700029010658E-2</v>
          </cell>
          <cell r="G470">
            <v>65.2</v>
          </cell>
          <cell r="H470">
            <v>0.11643835616438358</v>
          </cell>
          <cell r="I470">
            <v>72.3</v>
          </cell>
          <cell r="J470">
            <v>-0.14881092535907703</v>
          </cell>
          <cell r="K470">
            <v>6.3079999999999998</v>
          </cell>
          <cell r="L470">
            <v>3.6306883522260636E-2</v>
          </cell>
          <cell r="M470">
            <v>1.0835420580254644</v>
          </cell>
          <cell r="N470">
            <v>0.86499093029282192</v>
          </cell>
          <cell r="O470">
            <v>0.79829935892760118</v>
          </cell>
          <cell r="P470">
            <v>1.787391841779975</v>
          </cell>
          <cell r="Q470">
            <v>2.6854219948849103</v>
          </cell>
          <cell r="R470">
            <v>0.66559067631997171</v>
          </cell>
          <cell r="S470">
            <v>2.0890342052313882</v>
          </cell>
          <cell r="T470">
            <v>0.76419413919413925</v>
          </cell>
          <cell r="U470">
            <v>0.36581217161520563</v>
          </cell>
          <cell r="V470">
            <v>0</v>
          </cell>
        </row>
        <row r="471">
          <cell r="A471" t="str">
            <v>1985:11</v>
          </cell>
          <cell r="B471">
            <v>1985</v>
          </cell>
          <cell r="C471">
            <v>219.44</v>
          </cell>
          <cell r="D471">
            <v>1.056</v>
          </cell>
          <cell r="E471">
            <v>34.93</v>
          </cell>
          <cell r="F471">
            <v>-1.5779092702169706E-2</v>
          </cell>
          <cell r="G471">
            <v>64.7</v>
          </cell>
          <cell r="H471">
            <v>0.11937716262975795</v>
          </cell>
          <cell r="I471">
            <v>69.83</v>
          </cell>
          <cell r="J471">
            <v>-0.1442401960784313</v>
          </cell>
          <cell r="K471">
            <v>5.6539999999999999</v>
          </cell>
          <cell r="L471">
            <v>6.3381606168892102E-2</v>
          </cell>
          <cell r="M471">
            <v>1.1450636610311</v>
          </cell>
          <cell r="N471">
            <v>0.90515677636693437</v>
          </cell>
          <cell r="O471">
            <v>0.79048598533977077</v>
          </cell>
          <cell r="P471">
            <v>1.7263288009888751</v>
          </cell>
          <cell r="Q471">
            <v>2.7007672634271098</v>
          </cell>
          <cell r="R471">
            <v>0.63919939506311574</v>
          </cell>
          <cell r="S471">
            <v>2.2076458752515089</v>
          </cell>
          <cell r="T471">
            <v>0.79967948717948723</v>
          </cell>
          <cell r="U471">
            <v>0.36223177645662158</v>
          </cell>
          <cell r="V471">
            <v>0</v>
          </cell>
        </row>
        <row r="472">
          <cell r="A472" t="str">
            <v>1985:12</v>
          </cell>
          <cell r="B472">
            <v>1985</v>
          </cell>
          <cell r="C472">
            <v>230.29</v>
          </cell>
          <cell r="D472">
            <v>1.0589999999999999</v>
          </cell>
          <cell r="E472">
            <v>34.31</v>
          </cell>
          <cell r="F472">
            <v>-5.0110741971206907E-2</v>
          </cell>
          <cell r="G472">
            <v>59.7</v>
          </cell>
          <cell r="H472">
            <v>0.13931297709923673</v>
          </cell>
          <cell r="I472">
            <v>70.77</v>
          </cell>
          <cell r="J472">
            <v>-0.10812854442344044</v>
          </cell>
          <cell r="K472">
            <v>5.8209999999999997</v>
          </cell>
          <cell r="L472">
            <v>0.19601397164577761</v>
          </cell>
          <cell r="M472">
            <v>1.2016802337716552</v>
          </cell>
          <cell r="N472">
            <v>0.88909043793728948</v>
          </cell>
          <cell r="O472">
            <v>0.73987273232143014</v>
          </cell>
          <cell r="P472">
            <v>1.7495673671199008</v>
          </cell>
          <cell r="Q472">
            <v>2.7084398976982094</v>
          </cell>
          <cell r="R472">
            <v>0.64596868795456208</v>
          </cell>
          <cell r="S472">
            <v>2.3168008048289734</v>
          </cell>
          <cell r="T472">
            <v>0.78548534798534808</v>
          </cell>
          <cell r="U472">
            <v>0.33903879278189941</v>
          </cell>
          <cell r="V472">
            <v>0</v>
          </cell>
        </row>
        <row r="473">
          <cell r="A473" t="str">
            <v>1986:1</v>
          </cell>
          <cell r="B473">
            <v>1986</v>
          </cell>
          <cell r="C473">
            <v>230.37</v>
          </cell>
          <cell r="D473">
            <v>1.0549999999999999</v>
          </cell>
          <cell r="E473">
            <v>34.549999999999997</v>
          </cell>
          <cell r="F473">
            <v>-0.10469033428349328</v>
          </cell>
          <cell r="G473">
            <v>69.400000000000006</v>
          </cell>
          <cell r="H473">
            <v>0.13957307060755353</v>
          </cell>
          <cell r="I473">
            <v>74.2</v>
          </cell>
          <cell r="J473">
            <v>-9.2687698703839527E-2</v>
          </cell>
          <cell r="K473">
            <v>6.4370000000000003</v>
          </cell>
          <cell r="L473">
            <v>6.9802227023433527E-2</v>
          </cell>
          <cell r="M473">
            <v>1.2020976831559174</v>
          </cell>
          <cell r="N473">
            <v>0.89530966571650672</v>
          </cell>
          <cell r="O473">
            <v>0.74478944453666429</v>
          </cell>
          <cell r="P473">
            <v>1.8343634116192831</v>
          </cell>
          <cell r="Q473">
            <v>2.6982097186700766</v>
          </cell>
          <cell r="R473">
            <v>0.67984463880866319</v>
          </cell>
          <cell r="S473">
            <v>2.3176056338028168</v>
          </cell>
          <cell r="T473">
            <v>0.79097985347985345</v>
          </cell>
          <cell r="U473">
            <v>0.34129182374396594</v>
          </cell>
          <cell r="V473">
            <v>0</v>
          </cell>
        </row>
        <row r="474">
          <cell r="A474" t="str">
            <v>1986:2</v>
          </cell>
          <cell r="B474">
            <v>1986</v>
          </cell>
          <cell r="C474">
            <v>241.91</v>
          </cell>
          <cell r="D474">
            <v>1.04</v>
          </cell>
          <cell r="E474">
            <v>36.229999999999997</v>
          </cell>
          <cell r="F474">
            <v>-6.8398045770120985E-2</v>
          </cell>
          <cell r="G474">
            <v>71.8</v>
          </cell>
          <cell r="H474">
            <v>8.6232980332829001E-2</v>
          </cell>
          <cell r="I474">
            <v>75.89</v>
          </cell>
          <cell r="J474">
            <v>-9.102886573242297E-2</v>
          </cell>
          <cell r="K474">
            <v>5.7990000000000004</v>
          </cell>
          <cell r="L474">
            <v>3.5905680600214485E-2</v>
          </cell>
          <cell r="M474">
            <v>1.2623147568357338</v>
          </cell>
          <cell r="N474">
            <v>0.93884426017102862</v>
          </cell>
          <cell r="O474">
            <v>0.74374814608398121</v>
          </cell>
          <cell r="P474">
            <v>1.876143386897404</v>
          </cell>
          <cell r="Q474">
            <v>2.659846547314578</v>
          </cell>
          <cell r="R474">
            <v>0.70535775411238943</v>
          </cell>
          <cell r="S474">
            <v>2.4337022132796777</v>
          </cell>
          <cell r="T474">
            <v>0.82944139194139188</v>
          </cell>
          <cell r="U474">
            <v>0.34081465982792924</v>
          </cell>
          <cell r="V474">
            <v>0</v>
          </cell>
        </row>
        <row r="475">
          <cell r="A475" t="str">
            <v>1986:3</v>
          </cell>
          <cell r="B475">
            <v>1986</v>
          </cell>
          <cell r="C475">
            <v>256.25</v>
          </cell>
          <cell r="D475">
            <v>1.026</v>
          </cell>
          <cell r="E475">
            <v>37.04</v>
          </cell>
          <cell r="F475">
            <v>-5.3966540744743163E-4</v>
          </cell>
          <cell r="G475">
            <v>71.900000000000006</v>
          </cell>
          <cell r="H475">
            <v>-2.7739251040220791E-3</v>
          </cell>
          <cell r="I475">
            <v>74.02</v>
          </cell>
          <cell r="J475">
            <v>-0.13719547732836002</v>
          </cell>
          <cell r="K475">
            <v>6.1420000000000003</v>
          </cell>
          <cell r="L475">
            <v>-3.1841109709962123E-2</v>
          </cell>
          <cell r="M475">
            <v>1.3371425589647257</v>
          </cell>
          <cell r="N475">
            <v>0.95983415392588745</v>
          </cell>
          <cell r="O475">
            <v>0.7178248478374909</v>
          </cell>
          <cell r="P475">
            <v>1.8299134734239799</v>
          </cell>
          <cell r="Q475">
            <v>2.6240409207161126</v>
          </cell>
          <cell r="R475">
            <v>0.69736468626586368</v>
          </cell>
          <cell r="S475">
            <v>2.5779678068410461</v>
          </cell>
          <cell r="T475">
            <v>0.84798534798534797</v>
          </cell>
          <cell r="U475">
            <v>0.32893558474046281</v>
          </cell>
          <cell r="V475">
            <v>0</v>
          </cell>
        </row>
        <row r="476">
          <cell r="A476" t="str">
            <v>1986:4</v>
          </cell>
          <cell r="B476">
            <v>1986</v>
          </cell>
          <cell r="C476">
            <v>263.89</v>
          </cell>
          <cell r="D476">
            <v>1.0229999999999999</v>
          </cell>
          <cell r="E476">
            <v>33.33</v>
          </cell>
          <cell r="F476">
            <v>-5.6876061120543442E-2</v>
          </cell>
          <cell r="G476">
            <v>73.5</v>
          </cell>
          <cell r="H476">
            <v>2.6536312849162025E-2</v>
          </cell>
          <cell r="I476">
            <v>74</v>
          </cell>
          <cell r="J476">
            <v>-8.7208585173306985E-2</v>
          </cell>
          <cell r="K476">
            <v>6.2830000000000004</v>
          </cell>
          <cell r="L476">
            <v>-2.2101167315174974E-2</v>
          </cell>
          <cell r="M476">
            <v>1.3770089751617616</v>
          </cell>
          <cell r="N476">
            <v>0.86369525783881818</v>
          </cell>
          <cell r="O476">
            <v>0.62722558343336665</v>
          </cell>
          <cell r="P476">
            <v>1.8294190358467242</v>
          </cell>
          <cell r="Q476">
            <v>2.6163682864450126</v>
          </cell>
          <cell r="R476">
            <v>0.69922076541160239</v>
          </cell>
          <cell r="S476">
            <v>2.6548289738430579</v>
          </cell>
          <cell r="T476">
            <v>0.7630494505494505</v>
          </cell>
          <cell r="U476">
            <v>0.28741943758617378</v>
          </cell>
          <cell r="V476">
            <v>0</v>
          </cell>
        </row>
        <row r="477">
          <cell r="A477" t="str">
            <v>1986:5</v>
          </cell>
          <cell r="B477">
            <v>1986</v>
          </cell>
          <cell r="C477">
            <v>266.38</v>
          </cell>
          <cell r="D477">
            <v>1.0289999999999999</v>
          </cell>
          <cell r="E477">
            <v>33.409999999999997</v>
          </cell>
          <cell r="F477">
            <v>-6.2833099579242657E-2</v>
          </cell>
          <cell r="G477">
            <v>69.5</v>
          </cell>
          <cell r="H477">
            <v>8.7082728592162706E-3</v>
          </cell>
          <cell r="I477">
            <v>72.790000000000006</v>
          </cell>
          <cell r="J477">
            <v>1.8041958041958184E-2</v>
          </cell>
          <cell r="K477">
            <v>6.2119999999999997</v>
          </cell>
          <cell r="L477">
            <v>-4.7093112440558471E-2</v>
          </cell>
          <cell r="M477">
            <v>1.3900020872469214</v>
          </cell>
          <cell r="N477">
            <v>0.865768333765224</v>
          </cell>
          <cell r="O477">
            <v>0.62285398109004997</v>
          </cell>
          <cell r="P477">
            <v>1.7995055624227441</v>
          </cell>
          <cell r="Q477">
            <v>2.6317135549872122</v>
          </cell>
          <cell r="R477">
            <v>0.68377713790796202</v>
          </cell>
          <cell r="S477">
            <v>2.6798792756539234</v>
          </cell>
          <cell r="T477">
            <v>0.76488095238095233</v>
          </cell>
          <cell r="U477">
            <v>0.28541619741221813</v>
          </cell>
          <cell r="V477">
            <v>0</v>
          </cell>
        </row>
        <row r="478">
          <cell r="A478" t="str">
            <v>1986:6</v>
          </cell>
          <cell r="B478">
            <v>1986</v>
          </cell>
          <cell r="C478">
            <v>274.55</v>
          </cell>
          <cell r="D478">
            <v>1.0309999999999999</v>
          </cell>
          <cell r="E478">
            <v>31.41</v>
          </cell>
          <cell r="F478">
            <v>-0.10282776349614386</v>
          </cell>
          <cell r="G478">
            <v>63.5</v>
          </cell>
          <cell r="H478">
            <v>-4.2232277526395134E-2</v>
          </cell>
          <cell r="I478">
            <v>71.39</v>
          </cell>
          <cell r="J478">
            <v>7.224391709222E-2</v>
          </cell>
          <cell r="K478">
            <v>6.0069999999999997</v>
          </cell>
          <cell r="L478">
            <v>-1.9265306122449033E-2</v>
          </cell>
          <cell r="M478">
            <v>1.4326341056146943</v>
          </cell>
          <cell r="N478">
            <v>0.81394143560507892</v>
          </cell>
          <cell r="O478">
            <v>0.56814327706923085</v>
          </cell>
          <cell r="P478">
            <v>1.7648949320148331</v>
          </cell>
          <cell r="Q478">
            <v>2.6368286445012785</v>
          </cell>
          <cell r="R478">
            <v>0.66932484812589699</v>
          </cell>
          <cell r="S478">
            <v>2.7620724346076457</v>
          </cell>
          <cell r="T478">
            <v>0.71909340659340659</v>
          </cell>
          <cell r="U478">
            <v>0.26034560049311462</v>
          </cell>
          <cell r="V478">
            <v>0</v>
          </cell>
        </row>
        <row r="479">
          <cell r="A479" t="str">
            <v>1986:7</v>
          </cell>
          <cell r="B479">
            <v>1986</v>
          </cell>
          <cell r="C479">
            <v>266.17</v>
          </cell>
          <cell r="D479">
            <v>1.0249999999999999</v>
          </cell>
          <cell r="E479">
            <v>24.13</v>
          </cell>
          <cell r="F479">
            <v>-0.39356622266901231</v>
          </cell>
          <cell r="G479">
            <v>59.2</v>
          </cell>
          <cell r="H479">
            <v>-4.6698872785829293E-2</v>
          </cell>
          <cell r="I479">
            <v>72.17</v>
          </cell>
          <cell r="J479">
            <v>5.5425563030125913E-2</v>
          </cell>
          <cell r="K479">
            <v>5.8150000000000004</v>
          </cell>
          <cell r="L479">
            <v>1.8388791593695331E-2</v>
          </cell>
          <cell r="M479">
            <v>1.3889062826132332</v>
          </cell>
          <cell r="N479">
            <v>0.62529152630215068</v>
          </cell>
          <cell r="O479">
            <v>0.4502042608128044</v>
          </cell>
          <cell r="P479">
            <v>1.784177997527812</v>
          </cell>
          <cell r="Q479">
            <v>2.621483375959079</v>
          </cell>
          <cell r="R479">
            <v>0.68059863125207276</v>
          </cell>
          <cell r="S479">
            <v>2.6777665995975855</v>
          </cell>
          <cell r="T479">
            <v>0.55242673992673996</v>
          </cell>
          <cell r="U479">
            <v>0.20630130348543393</v>
          </cell>
          <cell r="V479">
            <v>0</v>
          </cell>
        </row>
        <row r="480">
          <cell r="A480" t="str">
            <v>1986:8</v>
          </cell>
          <cell r="B480">
            <v>1986</v>
          </cell>
          <cell r="C480">
            <v>270.23</v>
          </cell>
          <cell r="D480">
            <v>1.0269999999999999</v>
          </cell>
          <cell r="E480">
            <v>27.54</v>
          </cell>
          <cell r="F480">
            <v>-0.2920308483290488</v>
          </cell>
          <cell r="G480">
            <v>52.8</v>
          </cell>
          <cell r="H480">
            <v>-0.16455696202531656</v>
          </cell>
          <cell r="I480">
            <v>75.97</v>
          </cell>
          <cell r="J480">
            <v>1.7409937056381386E-2</v>
          </cell>
          <cell r="K480">
            <v>5.3639999999999999</v>
          </cell>
          <cell r="L480">
            <v>-0.11543535620052769</v>
          </cell>
          <cell r="M480">
            <v>1.4100918388645378</v>
          </cell>
          <cell r="N480">
            <v>0.71365638766519812</v>
          </cell>
          <cell r="O480">
            <v>0.5061063173302689</v>
          </cell>
          <cell r="P480">
            <v>1.8781211372064275</v>
          </cell>
          <cell r="Q480">
            <v>2.6265984654731453</v>
          </cell>
          <cell r="R480">
            <v>0.71503930345444333</v>
          </cell>
          <cell r="S480">
            <v>2.7186116700201208</v>
          </cell>
          <cell r="T480">
            <v>0.63049450549450547</v>
          </cell>
          <cell r="U480">
            <v>0.23191782498669222</v>
          </cell>
          <cell r="V480">
            <v>0</v>
          </cell>
        </row>
        <row r="481">
          <cell r="A481" t="str">
            <v>1986:9</v>
          </cell>
          <cell r="B481">
            <v>1986</v>
          </cell>
          <cell r="C481">
            <v>263.62</v>
          </cell>
          <cell r="D481">
            <v>1.024</v>
          </cell>
          <cell r="E481">
            <v>30.7</v>
          </cell>
          <cell r="F481">
            <v>-0.18198774313882227</v>
          </cell>
          <cell r="G481">
            <v>54.3</v>
          </cell>
          <cell r="H481">
            <v>-0.14353312302839116</v>
          </cell>
          <cell r="I481">
            <v>74.75</v>
          </cell>
          <cell r="J481">
            <v>1.8392370572207106E-2</v>
          </cell>
          <cell r="K481">
            <v>5.6079999999999997</v>
          </cell>
          <cell r="L481">
            <v>-4.1039671682626566E-2</v>
          </cell>
          <cell r="M481">
            <v>1.3756000834898769</v>
          </cell>
          <cell r="N481">
            <v>0.79554288675822749</v>
          </cell>
          <cell r="O481">
            <v>0.57832425012649535</v>
          </cell>
          <cell r="P481">
            <v>1.8479604449938194</v>
          </cell>
          <cell r="Q481">
            <v>2.6189258312020458</v>
          </cell>
          <cell r="R481">
            <v>0.70561770897713227</v>
          </cell>
          <cell r="S481">
            <v>2.6521126760563378</v>
          </cell>
          <cell r="T481">
            <v>0.70283882783882778</v>
          </cell>
          <cell r="U481">
            <v>0.26501092287072109</v>
          </cell>
          <cell r="V481">
            <v>0</v>
          </cell>
        </row>
        <row r="482">
          <cell r="A482" t="str">
            <v>1986:10</v>
          </cell>
          <cell r="B482">
            <v>1986</v>
          </cell>
          <cell r="C482">
            <v>263.08999999999997</v>
          </cell>
          <cell r="D482">
            <v>1.036</v>
          </cell>
          <cell r="E482">
            <v>32.49</v>
          </cell>
          <cell r="F482">
            <v>-2.6662672258837672E-2</v>
          </cell>
          <cell r="G482">
            <v>56.8</v>
          </cell>
          <cell r="H482">
            <v>-0.12883435582822089</v>
          </cell>
          <cell r="I482">
            <v>74.09</v>
          </cell>
          <cell r="J482">
            <v>2.4757952973720743E-2</v>
          </cell>
          <cell r="K482">
            <v>5.923</v>
          </cell>
          <cell r="L482">
            <v>-6.103360811667724E-2</v>
          </cell>
          <cell r="M482">
            <v>1.37283448131914</v>
          </cell>
          <cell r="N482">
            <v>0.84192796061155739</v>
          </cell>
          <cell r="O482">
            <v>0.61327710810596703</v>
          </cell>
          <cell r="P482">
            <v>1.8316440049443756</v>
          </cell>
          <cell r="Q482">
            <v>2.6496163682864449</v>
          </cell>
          <cell r="R482">
            <v>0.69128649221356264</v>
          </cell>
          <cell r="S482">
            <v>2.6467806841046273</v>
          </cell>
          <cell r="T482">
            <v>0.74381868131868134</v>
          </cell>
          <cell r="U482">
            <v>0.28102769745363543</v>
          </cell>
          <cell r="V482">
            <v>0</v>
          </cell>
        </row>
        <row r="483">
          <cell r="A483" t="str">
            <v>1986:11</v>
          </cell>
          <cell r="B483">
            <v>1986</v>
          </cell>
          <cell r="C483">
            <v>272.79000000000002</v>
          </cell>
          <cell r="D483">
            <v>1.036</v>
          </cell>
          <cell r="E483">
            <v>27.9</v>
          </cell>
          <cell r="F483">
            <v>-0.20125966218150593</v>
          </cell>
          <cell r="G483">
            <v>56.5</v>
          </cell>
          <cell r="H483">
            <v>-0.12673879443585789</v>
          </cell>
          <cell r="I483">
            <v>75.13</v>
          </cell>
          <cell r="J483">
            <v>7.5898610912215281E-2</v>
          </cell>
          <cell r="K483">
            <v>4.899</v>
          </cell>
          <cell r="L483">
            <v>-0.13353378139370353</v>
          </cell>
          <cell r="M483">
            <v>1.4234502191609268</v>
          </cell>
          <cell r="N483">
            <v>0.7229852293340242</v>
          </cell>
          <cell r="O483">
            <v>0.50791044154687626</v>
          </cell>
          <cell r="P483">
            <v>1.8573547589616808</v>
          </cell>
          <cell r="Q483">
            <v>2.6496163682864449</v>
          </cell>
          <cell r="R483">
            <v>0.70099006829538346</v>
          </cell>
          <cell r="S483">
            <v>2.7443661971830986</v>
          </cell>
          <cell r="T483">
            <v>0.63873626373626369</v>
          </cell>
          <cell r="U483">
            <v>0.23274454567757105</v>
          </cell>
          <cell r="V483">
            <v>0</v>
          </cell>
        </row>
        <row r="484">
          <cell r="A484" t="str">
            <v>1986:12</v>
          </cell>
          <cell r="B484">
            <v>1986</v>
          </cell>
          <cell r="C484">
            <v>276.69</v>
          </cell>
          <cell r="D484">
            <v>1.0349999999999999</v>
          </cell>
          <cell r="E484">
            <v>28.18</v>
          </cell>
          <cell r="F484">
            <v>-0.17866511221218306</v>
          </cell>
          <cell r="G484">
            <v>54.9</v>
          </cell>
          <cell r="H484">
            <v>-8.0402010050251271E-2</v>
          </cell>
          <cell r="I484">
            <v>75.69</v>
          </cell>
          <cell r="J484">
            <v>6.9520983467570963E-2</v>
          </cell>
          <cell r="K484">
            <v>5.1989999999999998</v>
          </cell>
          <cell r="L484">
            <v>-0.10685449235526545</v>
          </cell>
          <cell r="M484">
            <v>1.4438008766437069</v>
          </cell>
          <cell r="N484">
            <v>0.73024099507644458</v>
          </cell>
          <cell r="O484">
            <v>0.50577680543731196</v>
          </cell>
          <cell r="P484">
            <v>1.8711990111248453</v>
          </cell>
          <cell r="Q484">
            <v>2.6470588235294112</v>
          </cell>
          <cell r="R484">
            <v>0.70689740420271951</v>
          </cell>
          <cell r="S484">
            <v>2.7836016096579477</v>
          </cell>
          <cell r="T484">
            <v>0.64514652014652019</v>
          </cell>
          <cell r="U484">
            <v>0.23176682967423509</v>
          </cell>
          <cell r="V484">
            <v>0</v>
          </cell>
        </row>
        <row r="485">
          <cell r="A485" t="str">
            <v>1987:1</v>
          </cell>
          <cell r="B485">
            <v>1987</v>
          </cell>
          <cell r="C485">
            <v>296.10000000000002</v>
          </cell>
          <cell r="D485">
            <v>1.04</v>
          </cell>
          <cell r="E485">
            <v>31.31</v>
          </cell>
          <cell r="F485">
            <v>-9.3777134587554212E-2</v>
          </cell>
          <cell r="G485">
            <v>65.5</v>
          </cell>
          <cell r="H485">
            <v>-5.6195965417867533E-2</v>
          </cell>
          <cell r="I485">
            <v>77.83</v>
          </cell>
          <cell r="J485">
            <v>4.8921832884097016E-2</v>
          </cell>
          <cell r="K485">
            <v>5.6639999999999997</v>
          </cell>
          <cell r="L485">
            <v>-0.12008699704831449</v>
          </cell>
          <cell r="M485">
            <v>1.5450845335003134</v>
          </cell>
          <cell r="N485">
            <v>0.81135009069707165</v>
          </cell>
          <cell r="O485">
            <v>0.52511695839644301</v>
          </cell>
          <cell r="P485">
            <v>1.9241038318912236</v>
          </cell>
          <cell r="Q485">
            <v>2.659846547314578</v>
          </cell>
          <cell r="R485">
            <v>0.72338903679756583</v>
          </cell>
          <cell r="S485">
            <v>2.97887323943662</v>
          </cell>
          <cell r="T485">
            <v>0.71680402930402931</v>
          </cell>
          <cell r="U485">
            <v>0.240629248607972</v>
          </cell>
          <cell r="V485">
            <v>0</v>
          </cell>
        </row>
        <row r="486">
          <cell r="A486" t="str">
            <v>1987:2</v>
          </cell>
          <cell r="B486">
            <v>1987</v>
          </cell>
          <cell r="C486">
            <v>318.18</v>
          </cell>
          <cell r="D486">
            <v>1.0409999999999999</v>
          </cell>
          <cell r="E486">
            <v>32.619999999999997</v>
          </cell>
          <cell r="F486">
            <v>-9.9641181341429741E-2</v>
          </cell>
          <cell r="G486">
            <v>69.5</v>
          </cell>
          <cell r="H486">
            <v>-3.2033426183843972E-2</v>
          </cell>
          <cell r="I486">
            <v>77.62</v>
          </cell>
          <cell r="J486">
            <v>2.2796152325734731E-2</v>
          </cell>
          <cell r="K486">
            <v>5.5270000000000001</v>
          </cell>
          <cell r="L486">
            <v>-4.690463873081574E-2</v>
          </cell>
          <cell r="M486">
            <v>1.660300563556669</v>
          </cell>
          <cell r="N486">
            <v>0.84529670899196674</v>
          </cell>
          <cell r="O486">
            <v>0.50912270196498988</v>
          </cell>
          <cell r="P486">
            <v>1.9189122373300371</v>
          </cell>
          <cell r="Q486">
            <v>2.6624040920716108</v>
          </cell>
          <cell r="R486">
            <v>0.72074417367535515</v>
          </cell>
          <cell r="S486">
            <v>3.2010060362173038</v>
          </cell>
          <cell r="T486">
            <v>0.7467948717948717</v>
          </cell>
          <cell r="U486">
            <v>0.23330005109186702</v>
          </cell>
          <cell r="V486">
            <v>0</v>
          </cell>
        </row>
        <row r="487">
          <cell r="A487" t="str">
            <v>1987:3</v>
          </cell>
          <cell r="B487">
            <v>1987</v>
          </cell>
          <cell r="C487">
            <v>334.65</v>
          </cell>
          <cell r="D487">
            <v>1.0429999999999999</v>
          </cell>
          <cell r="E487">
            <v>36.33</v>
          </cell>
          <cell r="F487">
            <v>-1.9168466522678229E-2</v>
          </cell>
          <cell r="G487">
            <v>77.3</v>
          </cell>
          <cell r="H487">
            <v>7.5104311543810809E-2</v>
          </cell>
          <cell r="I487">
            <v>74.97</v>
          </cell>
          <cell r="J487">
            <v>1.2834369089435249E-2</v>
          </cell>
          <cell r="K487">
            <v>6.234</v>
          </cell>
          <cell r="L487">
            <v>1.4978834255942708E-2</v>
          </cell>
          <cell r="M487">
            <v>1.7462429555416406</v>
          </cell>
          <cell r="N487">
            <v>0.9414356050790359</v>
          </cell>
          <cell r="O487">
            <v>0.53912063157730894</v>
          </cell>
          <cell r="P487">
            <v>1.8533992583436341</v>
          </cell>
          <cell r="Q487">
            <v>2.6675191815856776</v>
          </cell>
          <cell r="R487">
            <v>0.69480259828606039</v>
          </cell>
          <cell r="S487">
            <v>3.3667002012072431</v>
          </cell>
          <cell r="T487">
            <v>0.83173076923076916</v>
          </cell>
          <cell r="U487">
            <v>0.24704628256846994</v>
          </cell>
          <cell r="V487">
            <v>0</v>
          </cell>
        </row>
        <row r="488">
          <cell r="A488" t="str">
            <v>1987:4</v>
          </cell>
          <cell r="B488">
            <v>1987</v>
          </cell>
          <cell r="C488">
            <v>335.43</v>
          </cell>
          <cell r="D488">
            <v>1.0509999999999999</v>
          </cell>
          <cell r="E488">
            <v>38.53</v>
          </cell>
          <cell r="F488">
            <v>0.15601560156015615</v>
          </cell>
          <cell r="G488">
            <v>80.3</v>
          </cell>
          <cell r="H488">
            <v>9.2517006802721014E-2</v>
          </cell>
          <cell r="I488">
            <v>73.72</v>
          </cell>
          <cell r="J488">
            <v>-3.7837837837837451E-3</v>
          </cell>
          <cell r="K488">
            <v>6.3120000000000003</v>
          </cell>
          <cell r="L488">
            <v>4.6156294763648464E-3</v>
          </cell>
          <cell r="M488">
            <v>1.7503130870381969</v>
          </cell>
          <cell r="N488">
            <v>0.99844519305519563</v>
          </cell>
          <cell r="O488">
            <v>0.57043805502518463</v>
          </cell>
          <cell r="P488">
            <v>1.822496909765142</v>
          </cell>
          <cell r="Q488">
            <v>2.6879795396419435</v>
          </cell>
          <cell r="R488">
            <v>0.67801740410863043</v>
          </cell>
          <cell r="S488">
            <v>3.374547283702213</v>
          </cell>
          <cell r="T488">
            <v>0.88209706959706968</v>
          </cell>
          <cell r="U488">
            <v>0.26139715802983854</v>
          </cell>
          <cell r="V488">
            <v>0</v>
          </cell>
        </row>
        <row r="489">
          <cell r="A489" t="str">
            <v>1987:5</v>
          </cell>
          <cell r="B489">
            <v>1987</v>
          </cell>
          <cell r="C489">
            <v>336.1</v>
          </cell>
          <cell r="D489">
            <v>1.054</v>
          </cell>
          <cell r="E489">
            <v>41.48</v>
          </cell>
          <cell r="F489">
            <v>0.24154444777012873</v>
          </cell>
          <cell r="G489">
            <v>80.2</v>
          </cell>
          <cell r="H489">
            <v>0.15395683453237408</v>
          </cell>
          <cell r="I489">
            <v>74.94</v>
          </cell>
          <cell r="J489">
            <v>2.9537024316526939E-2</v>
          </cell>
          <cell r="K489">
            <v>6.2469999999999999</v>
          </cell>
          <cell r="L489">
            <v>5.634256278171268E-3</v>
          </cell>
          <cell r="M489">
            <v>1.7538092256313924</v>
          </cell>
          <cell r="N489">
            <v>1.0748898678414096</v>
          </cell>
          <cell r="O489">
            <v>0.61288870655497685</v>
          </cell>
          <cell r="P489">
            <v>1.8526576019777501</v>
          </cell>
          <cell r="Q489">
            <v>2.6956521739130435</v>
          </cell>
          <cell r="R489">
            <v>0.68727620718529436</v>
          </cell>
          <cell r="S489">
            <v>3.3812877263581491</v>
          </cell>
          <cell r="T489">
            <v>0.94963369963369959</v>
          </cell>
          <cell r="U489">
            <v>0.28084971658312924</v>
          </cell>
          <cell r="V489">
            <v>0</v>
          </cell>
        </row>
        <row r="490">
          <cell r="A490" t="str">
            <v>1987:6</v>
          </cell>
          <cell r="B490">
            <v>1987</v>
          </cell>
          <cell r="C490">
            <v>349.58</v>
          </cell>
          <cell r="D490">
            <v>1.0549999999999999</v>
          </cell>
          <cell r="E490">
            <v>42.73</v>
          </cell>
          <cell r="F490">
            <v>0.36039477873288761</v>
          </cell>
          <cell r="G490">
            <v>79.7</v>
          </cell>
          <cell r="H490">
            <v>0.25511811023622055</v>
          </cell>
          <cell r="I490">
            <v>76.67</v>
          </cell>
          <cell r="J490">
            <v>7.3959938366717992E-2</v>
          </cell>
          <cell r="K490">
            <v>6.6559999999999997</v>
          </cell>
          <cell r="L490">
            <v>0.10804061927750963</v>
          </cell>
          <cell r="M490">
            <v>1.8241494468795658</v>
          </cell>
          <cell r="N490">
            <v>1.1072816791915001</v>
          </cell>
          <cell r="O490">
            <v>0.60701258939372704</v>
          </cell>
          <cell r="P490">
            <v>1.895426452410383</v>
          </cell>
          <cell r="Q490">
            <v>2.6982097186700766</v>
          </cell>
          <cell r="R490">
            <v>0.70247558568005664</v>
          </cell>
          <cell r="S490">
            <v>3.5169014084507038</v>
          </cell>
          <cell r="T490">
            <v>0.97825091575091572</v>
          </cell>
          <cell r="U490">
            <v>0.27815704853149792</v>
          </cell>
          <cell r="V490">
            <v>0</v>
          </cell>
        </row>
        <row r="491">
          <cell r="A491" t="str">
            <v>1987:7</v>
          </cell>
          <cell r="B491">
            <v>1987</v>
          </cell>
          <cell r="C491">
            <v>362.36</v>
          </cell>
          <cell r="D491">
            <v>1.06</v>
          </cell>
          <cell r="E491">
            <v>51.43</v>
          </cell>
          <cell r="F491">
            <v>1.1313717364276834</v>
          </cell>
          <cell r="G491">
            <v>77.3</v>
          </cell>
          <cell r="H491">
            <v>0.3057432432432432</v>
          </cell>
          <cell r="I491">
            <v>78.290000000000006</v>
          </cell>
          <cell r="J491">
            <v>8.4799778301233308E-2</v>
          </cell>
          <cell r="K491">
            <v>6.2949999999999999</v>
          </cell>
          <cell r="L491">
            <v>8.2545141874462491E-2</v>
          </cell>
          <cell r="M491">
            <v>1.8908369860154459</v>
          </cell>
          <cell r="N491">
            <v>1.3327286861881316</v>
          </cell>
          <cell r="O491">
            <v>0.70483531687022161</v>
          </cell>
          <cell r="P491">
            <v>1.9354758961681089</v>
          </cell>
          <cell r="Q491">
            <v>2.710997442455243</v>
          </cell>
          <cell r="R491">
            <v>0.71393497679408546</v>
          </cell>
          <cell r="S491">
            <v>3.6454728370221328</v>
          </cell>
          <cell r="T491">
            <v>1.17742673992674</v>
          </cell>
          <cell r="U491">
            <v>0.32298327063891696</v>
          </cell>
          <cell r="V491">
            <v>0</v>
          </cell>
        </row>
        <row r="492">
          <cell r="A492" t="str">
            <v>1987:8</v>
          </cell>
          <cell r="B492">
            <v>1987</v>
          </cell>
          <cell r="C492">
            <v>384.94</v>
          </cell>
          <cell r="D492">
            <v>1.0589999999999999</v>
          </cell>
          <cell r="E492">
            <v>50.28</v>
          </cell>
          <cell r="F492">
            <v>0.82570806100217875</v>
          </cell>
          <cell r="G492">
            <v>79.099999999999994</v>
          </cell>
          <cell r="H492">
            <v>0.49810606060606055</v>
          </cell>
          <cell r="I492">
            <v>82.73</v>
          </cell>
          <cell r="J492">
            <v>8.8982493089377446E-2</v>
          </cell>
          <cell r="K492">
            <v>6.3639999999999999</v>
          </cell>
          <cell r="L492">
            <v>0.18642803877703207</v>
          </cell>
          <cell r="M492">
            <v>2.00866207472344</v>
          </cell>
          <cell r="N492">
            <v>1.3029282197460481</v>
          </cell>
          <cell r="O492">
            <v>0.64865476186453119</v>
          </cell>
          <cell r="P492">
            <v>2.0452410383189124</v>
          </cell>
          <cell r="Q492">
            <v>2.7084398976982094</v>
          </cell>
          <cell r="R492">
            <v>0.75513620961538697</v>
          </cell>
          <cell r="S492">
            <v>3.8726358148893358</v>
          </cell>
          <cell r="T492">
            <v>1.1510989010989012</v>
          </cell>
          <cell r="U492">
            <v>0.29723913017413306</v>
          </cell>
          <cell r="V492">
            <v>0</v>
          </cell>
        </row>
        <row r="493">
          <cell r="A493" t="str">
            <v>1987:9</v>
          </cell>
          <cell r="B493">
            <v>1987</v>
          </cell>
          <cell r="C493">
            <v>372.49</v>
          </cell>
          <cell r="D493">
            <v>1.0569999999999999</v>
          </cell>
          <cell r="E493">
            <v>50.63</v>
          </cell>
          <cell r="F493">
            <v>0.64918566775244302</v>
          </cell>
          <cell r="G493">
            <v>83.9</v>
          </cell>
          <cell r="H493">
            <v>0.54511970534069998</v>
          </cell>
          <cell r="I493">
            <v>91.35</v>
          </cell>
          <cell r="J493">
            <v>0.22207357859531762</v>
          </cell>
          <cell r="K493">
            <v>6.726</v>
          </cell>
          <cell r="L493">
            <v>0.19935805991440803</v>
          </cell>
          <cell r="M493">
            <v>1.9436965142976417</v>
          </cell>
          <cell r="N493">
            <v>1.3119979269240736</v>
          </cell>
          <cell r="O493">
            <v>0.67500143014773395</v>
          </cell>
          <cell r="P493">
            <v>2.2583436341161924</v>
          </cell>
          <cell r="Q493">
            <v>2.703324808184143</v>
          </cell>
          <cell r="R493">
            <v>0.83539485424733329</v>
          </cell>
          <cell r="S493">
            <v>3.74738430583501</v>
          </cell>
          <cell r="T493">
            <v>1.1591117216117217</v>
          </cell>
          <cell r="U493">
            <v>0.30931221006793508</v>
          </cell>
          <cell r="V493">
            <v>0</v>
          </cell>
        </row>
        <row r="494">
          <cell r="A494" t="str">
            <v>1987:10</v>
          </cell>
          <cell r="B494">
            <v>1987</v>
          </cell>
          <cell r="C494">
            <v>323.13</v>
          </cell>
          <cell r="D494">
            <v>1.0620000000000001</v>
          </cell>
          <cell r="E494">
            <v>28.62</v>
          </cell>
          <cell r="F494">
            <v>-0.11911357340720219</v>
          </cell>
          <cell r="G494">
            <v>84.4</v>
          </cell>
          <cell r="H494">
            <v>0.48591549295774672</v>
          </cell>
          <cell r="I494">
            <v>109.9</v>
          </cell>
          <cell r="J494">
            <v>0.48333108381697931</v>
          </cell>
          <cell r="K494">
            <v>7.077</v>
          </cell>
          <cell r="L494">
            <v>0.19483369913894988</v>
          </cell>
          <cell r="M494">
            <v>1.6861302442078898</v>
          </cell>
          <cell r="N494">
            <v>0.74164291267167659</v>
          </cell>
          <cell r="O494">
            <v>0.43984912507164331</v>
          </cell>
          <cell r="P494">
            <v>2.7169344870210135</v>
          </cell>
          <cell r="Q494">
            <v>2.7161125319693094</v>
          </cell>
          <cell r="R494">
            <v>1.0003026218693185</v>
          </cell>
          <cell r="S494">
            <v>3.2508048289738429</v>
          </cell>
          <cell r="T494">
            <v>0.65521978021978022</v>
          </cell>
          <cell r="U494">
            <v>0.20155617291444977</v>
          </cell>
          <cell r="V494">
            <v>0</v>
          </cell>
        </row>
        <row r="495">
          <cell r="A495" t="str">
            <v>1987:11</v>
          </cell>
          <cell r="B495">
            <v>1987</v>
          </cell>
          <cell r="C495">
            <v>280.11</v>
          </cell>
          <cell r="D495">
            <v>1.0629999999999999</v>
          </cell>
          <cell r="E495">
            <v>39.31</v>
          </cell>
          <cell r="F495">
            <v>0.40896057347670256</v>
          </cell>
          <cell r="G495">
            <v>85.2</v>
          </cell>
          <cell r="H495">
            <v>0.50796460176991154</v>
          </cell>
          <cell r="I495">
            <v>109.69</v>
          </cell>
          <cell r="J495">
            <v>0.46000266205244245</v>
          </cell>
          <cell r="K495">
            <v>6.6059999999999999</v>
          </cell>
          <cell r="L495">
            <v>0.34843845682792396</v>
          </cell>
          <cell r="M495">
            <v>1.4616468378209144</v>
          </cell>
          <cell r="N495">
            <v>1.0186576833376522</v>
          </cell>
          <cell r="O495">
            <v>0.69692463116214209</v>
          </cell>
          <cell r="P495">
            <v>2.7117428924598266</v>
          </cell>
          <cell r="Q495">
            <v>2.7186700767263425</v>
          </cell>
          <cell r="R495">
            <v>0.99745199525098049</v>
          </cell>
          <cell r="S495">
            <v>2.8180080482897383</v>
          </cell>
          <cell r="T495">
            <v>0.89995421245421248</v>
          </cell>
          <cell r="U495">
            <v>0.31935828323854459</v>
          </cell>
          <cell r="V495">
            <v>0</v>
          </cell>
        </row>
        <row r="496">
          <cell r="A496" t="str">
            <v>1987:12</v>
          </cell>
          <cell r="B496">
            <v>1987</v>
          </cell>
          <cell r="C496">
            <v>277.68</v>
          </cell>
          <cell r="D496">
            <v>1.0580000000000001</v>
          </cell>
          <cell r="E496">
            <v>44.24</v>
          </cell>
          <cell r="F496">
            <v>0.56990773598296673</v>
          </cell>
          <cell r="G496">
            <v>82.8</v>
          </cell>
          <cell r="H496">
            <v>0.50819672131147531</v>
          </cell>
          <cell r="I496">
            <v>101.37</v>
          </cell>
          <cell r="J496">
            <v>0.3392786365437972</v>
          </cell>
          <cell r="K496">
            <v>6.9770000000000003</v>
          </cell>
          <cell r="L496">
            <v>0.3419888440084633</v>
          </cell>
          <cell r="M496">
            <v>1.4489668127739512</v>
          </cell>
          <cell r="N496">
            <v>1.14641098730241</v>
          </cell>
          <cell r="O496">
            <v>0.79119202537681443</v>
          </cell>
          <cell r="P496">
            <v>2.5060568603213844</v>
          </cell>
          <cell r="Q496">
            <v>2.7058823529411766</v>
          </cell>
          <cell r="R496">
            <v>0.92615144837964203</v>
          </cell>
          <cell r="S496">
            <v>2.7935613682092555</v>
          </cell>
          <cell r="T496">
            <v>1.0128205128205128</v>
          </cell>
          <cell r="U496">
            <v>0.36255531177743794</v>
          </cell>
          <cell r="V496">
            <v>0</v>
          </cell>
        </row>
        <row r="497">
          <cell r="A497" t="str">
            <v>1988:1</v>
          </cell>
          <cell r="B497">
            <v>1988</v>
          </cell>
          <cell r="C497">
            <v>288.36</v>
          </cell>
          <cell r="D497">
            <v>1.0629999999999999</v>
          </cell>
          <cell r="E497">
            <v>40.840000000000003</v>
          </cell>
          <cell r="F497">
            <v>0.30437559885020771</v>
          </cell>
          <cell r="G497">
            <v>88.1</v>
          </cell>
          <cell r="H497">
            <v>0.34503816793893116</v>
          </cell>
          <cell r="I497">
            <v>99.72</v>
          </cell>
          <cell r="J497">
            <v>0.28125401516124882</v>
          </cell>
          <cell r="K497">
            <v>6.6079999999999997</v>
          </cell>
          <cell r="L497">
            <v>0.16666666666666674</v>
          </cell>
          <cell r="M497">
            <v>1.5046963055729494</v>
          </cell>
          <cell r="N497">
            <v>1.0583052604301633</v>
          </cell>
          <cell r="O497">
            <v>0.70333479022345846</v>
          </cell>
          <cell r="P497">
            <v>2.465265760197775</v>
          </cell>
          <cell r="Q497">
            <v>2.7186700767263425</v>
          </cell>
          <cell r="R497">
            <v>0.90679107454123242</v>
          </cell>
          <cell r="S497">
            <v>2.9010060362173036</v>
          </cell>
          <cell r="T497">
            <v>0.9349816849816851</v>
          </cell>
          <cell r="U497">
            <v>0.32229567029816725</v>
          </cell>
          <cell r="V497">
            <v>0</v>
          </cell>
        </row>
        <row r="498">
          <cell r="A498" t="str">
            <v>1988:2</v>
          </cell>
          <cell r="B498">
            <v>1988</v>
          </cell>
          <cell r="C498">
            <v>296.45999999999998</v>
          </cell>
          <cell r="D498">
            <v>1.0609999999999999</v>
          </cell>
          <cell r="E498">
            <v>47.39</v>
          </cell>
          <cell r="F498">
            <v>0.45278969957081561</v>
          </cell>
          <cell r="G498">
            <v>89.7</v>
          </cell>
          <cell r="H498">
            <v>0.2906474820143885</v>
          </cell>
          <cell r="I498">
            <v>114.55</v>
          </cell>
          <cell r="J498">
            <v>0.47577943828910052</v>
          </cell>
          <cell r="K498">
            <v>6.8479999999999999</v>
          </cell>
          <cell r="L498">
            <v>0.23900850370906457</v>
          </cell>
          <cell r="M498">
            <v>1.5469630557294929</v>
          </cell>
          <cell r="N498">
            <v>1.2280383519046385</v>
          </cell>
          <cell r="O498">
            <v>0.7938381898367568</v>
          </cell>
          <cell r="P498">
            <v>2.8318912237330034</v>
          </cell>
          <cell r="Q498">
            <v>2.7135549872122762</v>
          </cell>
          <cell r="R498">
            <v>1.0436093011117855</v>
          </cell>
          <cell r="S498">
            <v>2.9824949698189132</v>
          </cell>
          <cell r="T498">
            <v>1.0849358974358974</v>
          </cell>
          <cell r="U498">
            <v>0.36376788843394797</v>
          </cell>
          <cell r="V498">
            <v>0</v>
          </cell>
        </row>
        <row r="499">
          <cell r="A499" t="str">
            <v>1988:3</v>
          </cell>
          <cell r="B499">
            <v>1988</v>
          </cell>
          <cell r="C499">
            <v>308.04000000000002</v>
          </cell>
          <cell r="D499">
            <v>1.0629999999999999</v>
          </cell>
          <cell r="E499">
            <v>47.44</v>
          </cell>
          <cell r="F499">
            <v>0.30580787228186068</v>
          </cell>
          <cell r="G499">
            <v>92.2</v>
          </cell>
          <cell r="H499">
            <v>0.19275549805950853</v>
          </cell>
          <cell r="I499">
            <v>113.93</v>
          </cell>
          <cell r="J499">
            <v>0.51967453648125939</v>
          </cell>
          <cell r="K499">
            <v>7.6929999999999996</v>
          </cell>
          <cell r="L499">
            <v>0.23403914019890926</v>
          </cell>
          <cell r="M499">
            <v>1.6073888541014405</v>
          </cell>
          <cell r="N499">
            <v>1.2293340243586419</v>
          </cell>
          <cell r="O499">
            <v>0.76480188426207663</v>
          </cell>
          <cell r="P499">
            <v>2.8165636588380716</v>
          </cell>
          <cell r="Q499">
            <v>2.7186700767263425</v>
          </cell>
          <cell r="R499">
            <v>1.0360078933261392</v>
          </cell>
          <cell r="S499">
            <v>3.0989939637826964</v>
          </cell>
          <cell r="T499">
            <v>1.086080586080586</v>
          </cell>
          <cell r="U499">
            <v>0.35046231092199143</v>
          </cell>
          <cell r="V499">
            <v>0</v>
          </cell>
        </row>
        <row r="500">
          <cell r="A500" t="str">
            <v>1988:4</v>
          </cell>
          <cell r="B500">
            <v>1988</v>
          </cell>
          <cell r="C500">
            <v>305.77999999999997</v>
          </cell>
          <cell r="D500">
            <v>1.07</v>
          </cell>
          <cell r="E500">
            <v>48.53</v>
          </cell>
          <cell r="F500">
            <v>0.2595380223202699</v>
          </cell>
          <cell r="G500">
            <v>91.4</v>
          </cell>
          <cell r="H500">
            <v>0.13823163138231642</v>
          </cell>
          <cell r="I500">
            <v>109.6</v>
          </cell>
          <cell r="J500">
            <v>0.48670645686380887</v>
          </cell>
          <cell r="K500">
            <v>7.0819999999999999</v>
          </cell>
          <cell r="L500">
            <v>0.12198986058301631</v>
          </cell>
          <cell r="M500">
            <v>1.5955959089960341</v>
          </cell>
          <cell r="N500">
            <v>1.2575796838559212</v>
          </cell>
          <cell r="O500">
            <v>0.78815674868908614</v>
          </cell>
          <cell r="P500">
            <v>2.7095179233621751</v>
          </cell>
          <cell r="Q500">
            <v>2.7365728900255757</v>
          </cell>
          <cell r="R500">
            <v>0.99011355891085084</v>
          </cell>
          <cell r="S500">
            <v>3.0762575452716292</v>
          </cell>
          <cell r="T500">
            <v>1.1110347985347986</v>
          </cell>
          <cell r="U500">
            <v>0.3611644285903558</v>
          </cell>
          <cell r="V500">
            <v>0</v>
          </cell>
        </row>
        <row r="501">
          <cell r="A501" t="str">
            <v>1988:5</v>
          </cell>
          <cell r="B501">
            <v>1988</v>
          </cell>
          <cell r="C501">
            <v>297.39</v>
          </cell>
          <cell r="D501">
            <v>1.075</v>
          </cell>
          <cell r="E501">
            <v>43.3</v>
          </cell>
          <cell r="F501">
            <v>4.3876567020250778E-2</v>
          </cell>
          <cell r="G501">
            <v>93.1</v>
          </cell>
          <cell r="H501">
            <v>0.16084788029925168</v>
          </cell>
          <cell r="I501">
            <v>104.63</v>
          </cell>
          <cell r="J501">
            <v>0.39618361355751275</v>
          </cell>
          <cell r="K501">
            <v>7.1870000000000003</v>
          </cell>
          <cell r="L501">
            <v>0.150472226668801</v>
          </cell>
          <cell r="M501">
            <v>1.5518159048215405</v>
          </cell>
          <cell r="N501">
            <v>1.1220523451671416</v>
          </cell>
          <cell r="O501">
            <v>0.72305763955691515</v>
          </cell>
          <cell r="P501">
            <v>2.5866501854140913</v>
          </cell>
          <cell r="Q501">
            <v>2.7493606138107416</v>
          </cell>
          <cell r="R501">
            <v>0.94081881162503234</v>
          </cell>
          <cell r="S501">
            <v>2.9918511066398388</v>
          </cell>
          <cell r="T501">
            <v>0.99130036630036622</v>
          </cell>
          <cell r="U501">
            <v>0.33133345576601908</v>
          </cell>
          <cell r="V501">
            <v>0</v>
          </cell>
        </row>
        <row r="502">
          <cell r="A502" t="str">
            <v>1988:6</v>
          </cell>
          <cell r="B502">
            <v>1988</v>
          </cell>
          <cell r="C502">
            <v>312.77999999999997</v>
          </cell>
          <cell r="D502">
            <v>1.077</v>
          </cell>
          <cell r="E502">
            <v>50.29</v>
          </cell>
          <cell r="F502">
            <v>0.17692487713550209</v>
          </cell>
          <cell r="G502">
            <v>87.4</v>
          </cell>
          <cell r="H502">
            <v>9.6612296110414109E-2</v>
          </cell>
          <cell r="I502">
            <v>102.52</v>
          </cell>
          <cell r="J502">
            <v>0.33715925394548063</v>
          </cell>
          <cell r="K502">
            <v>7.4219999999999997</v>
          </cell>
          <cell r="L502">
            <v>0.11508413461538458</v>
          </cell>
          <cell r="M502">
            <v>1.6321227301189731</v>
          </cell>
          <cell r="N502">
            <v>1.3031873542368488</v>
          </cell>
          <cell r="O502">
            <v>0.79846161700220508</v>
          </cell>
          <cell r="P502">
            <v>2.5344870210135966</v>
          </cell>
          <cell r="Q502">
            <v>2.754475703324808</v>
          </cell>
          <cell r="R502">
            <v>0.9201340995508972</v>
          </cell>
          <cell r="S502">
            <v>3.1466800804828967</v>
          </cell>
          <cell r="T502">
            <v>1.1513278388278387</v>
          </cell>
          <cell r="U502">
            <v>0.36588652464827415</v>
          </cell>
          <cell r="V502">
            <v>0</v>
          </cell>
        </row>
        <row r="503">
          <cell r="A503" t="str">
            <v>1988:7</v>
          </cell>
          <cell r="B503">
            <v>1988</v>
          </cell>
          <cell r="C503">
            <v>310.87</v>
          </cell>
          <cell r="D503">
            <v>1.0860000000000001</v>
          </cell>
          <cell r="E503">
            <v>53.3</v>
          </cell>
          <cell r="F503">
            <v>3.6360101108302567E-2</v>
          </cell>
          <cell r="G503">
            <v>88</v>
          </cell>
          <cell r="H503">
            <v>0.13842173350582154</v>
          </cell>
          <cell r="I503">
            <v>111.67</v>
          </cell>
          <cell r="J503">
            <v>0.42636352024524204</v>
          </cell>
          <cell r="K503">
            <v>6.3250000000000002</v>
          </cell>
          <cell r="L503">
            <v>4.7656870532168938E-3</v>
          </cell>
          <cell r="M503">
            <v>1.6221561260697142</v>
          </cell>
          <cell r="N503">
            <v>1.3811868359678672</v>
          </cell>
          <cell r="O503">
            <v>0.85145123442236958</v>
          </cell>
          <cell r="P503">
            <v>2.7606922126081579</v>
          </cell>
          <cell r="Q503">
            <v>2.7774936061381075</v>
          </cell>
          <cell r="R503">
            <v>0.99395087949336069</v>
          </cell>
          <cell r="S503">
            <v>3.1274647887323943</v>
          </cell>
          <cell r="T503">
            <v>1.2202380952380951</v>
          </cell>
          <cell r="U503">
            <v>0.39016845197885502</v>
          </cell>
          <cell r="V503">
            <v>0</v>
          </cell>
        </row>
        <row r="504">
          <cell r="A504" t="str">
            <v>1988:8</v>
          </cell>
          <cell r="B504">
            <v>1988</v>
          </cell>
          <cell r="C504">
            <v>303.12</v>
          </cell>
          <cell r="D504">
            <v>1.087</v>
          </cell>
          <cell r="E504">
            <v>49.42</v>
          </cell>
          <cell r="F504">
            <v>-1.7104216388225901E-2</v>
          </cell>
          <cell r="G504">
            <v>86.6</v>
          </cell>
          <cell r="H504">
            <v>9.4816687737041772E-2</v>
          </cell>
          <cell r="I504">
            <v>113.26</v>
          </cell>
          <cell r="J504">
            <v>0.36903179016076382</v>
          </cell>
          <cell r="K504">
            <v>7.0350000000000001</v>
          </cell>
          <cell r="L504">
            <v>0.10543683218101818</v>
          </cell>
          <cell r="M504">
            <v>1.5817157169693177</v>
          </cell>
          <cell r="N504">
            <v>1.2806426535371858</v>
          </cell>
          <cell r="O504">
            <v>0.80965412418799898</v>
          </cell>
          <cell r="P504">
            <v>2.8</v>
          </cell>
          <cell r="Q504">
            <v>2.7800511508951407</v>
          </cell>
          <cell r="R504">
            <v>1.0071757129714811</v>
          </cell>
          <cell r="S504">
            <v>3.0494969818913478</v>
          </cell>
          <cell r="T504">
            <v>1.1314102564102564</v>
          </cell>
          <cell r="U504">
            <v>0.37101537175765209</v>
          </cell>
          <cell r="V504">
            <v>0</v>
          </cell>
        </row>
        <row r="505">
          <cell r="A505" t="str">
            <v>1988:9</v>
          </cell>
          <cell r="B505">
            <v>1988</v>
          </cell>
          <cell r="C505">
            <v>307.39999999999998</v>
          </cell>
          <cell r="D505">
            <v>1.0860000000000001</v>
          </cell>
          <cell r="E505">
            <v>48.43</v>
          </cell>
          <cell r="F505">
            <v>-4.3452498518664839E-2</v>
          </cell>
          <cell r="G505">
            <v>90.1</v>
          </cell>
          <cell r="H505">
            <v>7.3897497020262159E-2</v>
          </cell>
          <cell r="I505">
            <v>110.67</v>
          </cell>
          <cell r="J505">
            <v>0.21149425287356327</v>
          </cell>
          <cell r="K505">
            <v>6.9219999999999997</v>
          </cell>
          <cell r="L505">
            <v>2.9140648230746358E-2</v>
          </cell>
          <cell r="M505">
            <v>1.604049259027343</v>
          </cell>
          <cell r="N505">
            <v>1.254988338947914</v>
          </cell>
          <cell r="O505">
            <v>0.78238765541957778</v>
          </cell>
          <cell r="P505">
            <v>2.7359703337453647</v>
          </cell>
          <cell r="Q505">
            <v>2.7774936061381075</v>
          </cell>
          <cell r="R505">
            <v>0.98505009253631448</v>
          </cell>
          <cell r="S505">
            <v>3.0925553319919512</v>
          </cell>
          <cell r="T505">
            <v>1.1087454212454213</v>
          </cell>
          <cell r="U505">
            <v>0.35852080309627488</v>
          </cell>
          <cell r="V505">
            <v>0</v>
          </cell>
        </row>
        <row r="506">
          <cell r="A506" t="str">
            <v>1988:10</v>
          </cell>
          <cell r="B506">
            <v>1988</v>
          </cell>
          <cell r="C506">
            <v>319.05</v>
          </cell>
          <cell r="D506">
            <v>1.0940000000000001</v>
          </cell>
          <cell r="E506">
            <v>51.09</v>
          </cell>
          <cell r="F506">
            <v>0.7851153039832286</v>
          </cell>
          <cell r="G506">
            <v>87.7</v>
          </cell>
          <cell r="H506">
            <v>3.9099526066350698E-2</v>
          </cell>
          <cell r="I506">
            <v>110.81</v>
          </cell>
          <cell r="J506">
            <v>8.2802547770699508E-3</v>
          </cell>
          <cell r="K506">
            <v>6.9119999999999999</v>
          </cell>
          <cell r="L506">
            <v>-2.3314963967782987E-2</v>
          </cell>
          <cell r="M506">
            <v>1.66484032561052</v>
          </cell>
          <cell r="N506">
            <v>1.323918113500907</v>
          </cell>
          <cell r="O506">
            <v>0.79522227635578679</v>
          </cell>
          <cell r="P506">
            <v>2.7394313967861557</v>
          </cell>
          <cell r="Q506">
            <v>2.7979539641943734</v>
          </cell>
          <cell r="R506">
            <v>0.97908379903417453</v>
          </cell>
          <cell r="S506">
            <v>3.2097585513078468</v>
          </cell>
          <cell r="T506">
            <v>1.1696428571428572</v>
          </cell>
          <cell r="U506">
            <v>0.3644021313273782</v>
          </cell>
          <cell r="V506">
            <v>0</v>
          </cell>
        </row>
        <row r="507">
          <cell r="A507" t="str">
            <v>1988:11</v>
          </cell>
          <cell r="B507">
            <v>1988</v>
          </cell>
          <cell r="C507">
            <v>311.83999999999997</v>
          </cell>
          <cell r="D507">
            <v>1.0980000000000001</v>
          </cell>
          <cell r="E507">
            <v>49.69</v>
          </cell>
          <cell r="F507">
            <v>0.26405494785041972</v>
          </cell>
          <cell r="G507">
            <v>85.8</v>
          </cell>
          <cell r="H507">
            <v>7.0422535211267512E-3</v>
          </cell>
          <cell r="I507">
            <v>109.17</v>
          </cell>
          <cell r="J507">
            <v>-4.7406326921323183E-3</v>
          </cell>
          <cell r="K507">
            <v>6.7119999999999997</v>
          </cell>
          <cell r="L507">
            <v>1.6046018770814463E-2</v>
          </cell>
          <cell r="M507">
            <v>1.6272176998538928</v>
          </cell>
          <cell r="N507">
            <v>1.2876392847888052</v>
          </cell>
          <cell r="O507">
            <v>0.79131347016715825</v>
          </cell>
          <cell r="P507">
            <v>2.6988875154511742</v>
          </cell>
          <cell r="Q507">
            <v>2.8081841432225065</v>
          </cell>
          <cell r="R507">
            <v>0.96107925185920684</v>
          </cell>
          <cell r="S507">
            <v>3.1372233400402409</v>
          </cell>
          <cell r="T507">
            <v>1.137591575091575</v>
          </cell>
          <cell r="U507">
            <v>0.36261096255805086</v>
          </cell>
          <cell r="V507">
            <v>0</v>
          </cell>
        </row>
        <row r="508">
          <cell r="A508" t="str">
            <v>1988:12</v>
          </cell>
          <cell r="B508">
            <v>1988</v>
          </cell>
          <cell r="C508">
            <v>319.07</v>
          </cell>
          <cell r="D508">
            <v>1.1000000000000001</v>
          </cell>
          <cell r="E508">
            <v>52.85</v>
          </cell>
          <cell r="F508">
            <v>0.19462025316455689</v>
          </cell>
          <cell r="G508">
            <v>83.8</v>
          </cell>
          <cell r="H508">
            <v>1.2077294685990392E-2</v>
          </cell>
          <cell r="I508">
            <v>107.28</v>
          </cell>
          <cell r="J508">
            <v>5.8301272565847828E-2</v>
          </cell>
          <cell r="K508">
            <v>6.7380000000000004</v>
          </cell>
          <cell r="L508">
            <v>-3.4255410634943417E-2</v>
          </cell>
          <cell r="M508">
            <v>1.6649446879565855</v>
          </cell>
          <cell r="N508">
            <v>1.3695257838818347</v>
          </cell>
          <cell r="O508">
            <v>0.82256533432511603</v>
          </cell>
          <cell r="P508">
            <v>2.6521631644004944</v>
          </cell>
          <cell r="Q508">
            <v>2.8132992327365729</v>
          </cell>
          <cell r="R508">
            <v>0.94272345207326669</v>
          </cell>
          <cell r="S508">
            <v>3.2099597585513076</v>
          </cell>
          <cell r="T508">
            <v>1.2099358974358976</v>
          </cell>
          <cell r="U508">
            <v>0.37693179617365541</v>
          </cell>
          <cell r="V508">
            <v>0</v>
          </cell>
        </row>
        <row r="509">
          <cell r="A509" t="str">
            <v>1989:1</v>
          </cell>
          <cell r="B509">
            <v>1989</v>
          </cell>
          <cell r="C509">
            <v>330.17</v>
          </cell>
          <cell r="D509">
            <v>1.111</v>
          </cell>
          <cell r="E509">
            <v>56.52</v>
          </cell>
          <cell r="F509">
            <v>0.38393731635651318</v>
          </cell>
          <cell r="G509">
            <v>88.3</v>
          </cell>
          <cell r="H509">
            <v>2.2701475595914289E-3</v>
          </cell>
          <cell r="I509">
            <v>113.9</v>
          </cell>
          <cell r="J509">
            <v>0.14219815483353404</v>
          </cell>
          <cell r="K509">
            <v>7.2779999999999996</v>
          </cell>
          <cell r="L509">
            <v>0.10139225181598066</v>
          </cell>
          <cell r="M509">
            <v>1.72286579002296</v>
          </cell>
          <cell r="N509">
            <v>1.464628142005701</v>
          </cell>
          <cell r="O509">
            <v>0.85011157020314532</v>
          </cell>
          <cell r="P509">
            <v>2.8158220024721876</v>
          </cell>
          <cell r="Q509">
            <v>2.8414322250639383</v>
          </cell>
          <cell r="R509">
            <v>0.99098686135609848</v>
          </cell>
          <cell r="S509">
            <v>3.3216297786720324</v>
          </cell>
          <cell r="T509">
            <v>1.293956043956044</v>
          </cell>
          <cell r="U509">
            <v>0.38955456513078346</v>
          </cell>
          <cell r="V509">
            <v>0</v>
          </cell>
        </row>
        <row r="510">
          <cell r="A510" t="str">
            <v>1989:2</v>
          </cell>
          <cell r="B510">
            <v>1989</v>
          </cell>
          <cell r="C510">
            <v>339.7</v>
          </cell>
          <cell r="D510">
            <v>1.117</v>
          </cell>
          <cell r="E510">
            <v>56.74</v>
          </cell>
          <cell r="F510">
            <v>0.19729900822958424</v>
          </cell>
          <cell r="G510">
            <v>89.8</v>
          </cell>
          <cell r="H510">
            <v>1.1148272017835748E-3</v>
          </cell>
          <cell r="I510">
            <v>116.07</v>
          </cell>
          <cell r="J510">
            <v>1.3269314709733804E-2</v>
          </cell>
          <cell r="K510">
            <v>6.8319999999999999</v>
          </cell>
          <cell r="L510">
            <v>-2.3364485981308691E-3</v>
          </cell>
          <cell r="M510">
            <v>1.7725944479231894</v>
          </cell>
          <cell r="N510">
            <v>1.4703291008033168</v>
          </cell>
          <cell r="O510">
            <v>0.82947856602280723</v>
          </cell>
          <cell r="P510">
            <v>2.8694684796044494</v>
          </cell>
          <cell r="Q510">
            <v>2.8567774936061379</v>
          </cell>
          <cell r="R510">
            <v>1.0044424131829364</v>
          </cell>
          <cell r="S510">
            <v>3.4175050301810863</v>
          </cell>
          <cell r="T510">
            <v>1.298992673992674</v>
          </cell>
          <cell r="U510">
            <v>0.38009971090630501</v>
          </cell>
          <cell r="V510">
            <v>0</v>
          </cell>
        </row>
        <row r="511">
          <cell r="A511" t="str">
            <v>1989:3</v>
          </cell>
          <cell r="B511">
            <v>1989</v>
          </cell>
          <cell r="C511">
            <v>337.74</v>
          </cell>
          <cell r="D511">
            <v>1.121</v>
          </cell>
          <cell r="E511">
            <v>52.89</v>
          </cell>
          <cell r="F511">
            <v>0.11488195615514329</v>
          </cell>
          <cell r="G511">
            <v>90.9</v>
          </cell>
          <cell r="H511">
            <v>-1.4099783080260275E-2</v>
          </cell>
          <cell r="I511">
            <v>112.52</v>
          </cell>
          <cell r="J511">
            <v>-1.2376020363381146E-2</v>
          </cell>
          <cell r="K511">
            <v>7.8239999999999998</v>
          </cell>
          <cell r="L511">
            <v>1.7028467437930628E-2</v>
          </cell>
          <cell r="M511">
            <v>1.7623669380087665</v>
          </cell>
          <cell r="N511">
            <v>1.3705623218450376</v>
          </cell>
          <cell r="O511">
            <v>0.77768272445781661</v>
          </cell>
          <cell r="P511">
            <v>2.7817058096415326</v>
          </cell>
          <cell r="Q511">
            <v>2.867007672634271</v>
          </cell>
          <cell r="R511">
            <v>0.97024707544142663</v>
          </cell>
          <cell r="S511">
            <v>3.3977867203219314</v>
          </cell>
          <cell r="T511">
            <v>1.2108516483516483</v>
          </cell>
          <cell r="U511">
            <v>0.35636481863609237</v>
          </cell>
          <cell r="V511">
            <v>0</v>
          </cell>
        </row>
        <row r="512">
          <cell r="A512" t="str">
            <v>1989:4</v>
          </cell>
          <cell r="B512">
            <v>1989</v>
          </cell>
          <cell r="C512">
            <v>348.47</v>
          </cell>
          <cell r="D512">
            <v>1.1299999999999999</v>
          </cell>
          <cell r="E512">
            <v>52.09</v>
          </cell>
          <cell r="F512">
            <v>7.3356686585617226E-2</v>
          </cell>
          <cell r="G512">
            <v>92.2</v>
          </cell>
          <cell r="H512">
            <v>8.7527352297591676E-3</v>
          </cell>
          <cell r="I512">
            <v>112.2</v>
          </cell>
          <cell r="J512">
            <v>2.3722627737226443E-2</v>
          </cell>
          <cell r="K512">
            <v>7.1639999999999997</v>
          </cell>
          <cell r="L512">
            <v>1.157865009884218E-2</v>
          </cell>
          <cell r="M512">
            <v>1.8183573366729286</v>
          </cell>
          <cell r="N512">
            <v>1.3498315625809796</v>
          </cell>
          <cell r="O512">
            <v>0.7423356979166611</v>
          </cell>
          <cell r="P512">
            <v>2.7737948084054387</v>
          </cell>
          <cell r="Q512">
            <v>2.8900255754475701</v>
          </cell>
          <cell r="R512">
            <v>0.95978209742170495</v>
          </cell>
          <cell r="S512">
            <v>3.505734406438632</v>
          </cell>
          <cell r="T512">
            <v>1.19253663003663</v>
          </cell>
          <cell r="U512">
            <v>0.34016742051149601</v>
          </cell>
          <cell r="V512">
            <v>0</v>
          </cell>
        </row>
        <row r="513">
          <cell r="A513" t="str">
            <v>1989:5</v>
          </cell>
          <cell r="B513">
            <v>1989</v>
          </cell>
          <cell r="C513">
            <v>360.88</v>
          </cell>
          <cell r="D513">
            <v>1.1419999999999999</v>
          </cell>
          <cell r="E513">
            <v>55.55</v>
          </cell>
          <cell r="F513">
            <v>0.28290993071593529</v>
          </cell>
          <cell r="G513">
            <v>88.1</v>
          </cell>
          <cell r="H513">
            <v>-5.3705692803437177E-2</v>
          </cell>
          <cell r="I513">
            <v>113.09</v>
          </cell>
          <cell r="J513">
            <v>8.0856350950970102E-2</v>
          </cell>
          <cell r="K513">
            <v>7.4459999999999997</v>
          </cell>
          <cell r="L513">
            <v>3.6037289550577389E-2</v>
          </cell>
          <cell r="M513">
            <v>1.8831141724065958</v>
          </cell>
          <cell r="N513">
            <v>1.4394920963980304</v>
          </cell>
          <cell r="O513">
            <v>0.76442104121513665</v>
          </cell>
          <cell r="P513">
            <v>2.7957972805933249</v>
          </cell>
          <cell r="Q513">
            <v>2.9207161125319692</v>
          </cell>
          <cell r="R513">
            <v>0.95723006717337134</v>
          </cell>
          <cell r="S513">
            <v>3.6305835010060359</v>
          </cell>
          <cell r="T513">
            <v>1.2717490842490842</v>
          </cell>
          <cell r="U513">
            <v>0.35028779365539509</v>
          </cell>
          <cell r="V513">
            <v>0</v>
          </cell>
        </row>
        <row r="514">
          <cell r="A514" t="str">
            <v>1989:6</v>
          </cell>
          <cell r="B514">
            <v>1989</v>
          </cell>
          <cell r="C514">
            <v>370.36</v>
          </cell>
          <cell r="D514">
            <v>1.143</v>
          </cell>
          <cell r="E514">
            <v>54.4</v>
          </cell>
          <cell r="F514">
            <v>8.1725989262278809E-2</v>
          </cell>
          <cell r="G514">
            <v>86.2</v>
          </cell>
          <cell r="H514">
            <v>-1.3729977116704872E-2</v>
          </cell>
          <cell r="I514">
            <v>111.67</v>
          </cell>
          <cell r="J514">
            <v>8.9250877877487422E-2</v>
          </cell>
          <cell r="K514">
            <v>7.3310000000000004</v>
          </cell>
          <cell r="L514">
            <v>-1.226084613311762E-2</v>
          </cell>
          <cell r="M514">
            <v>1.9325819244416615</v>
          </cell>
          <cell r="N514">
            <v>1.409691629955947</v>
          </cell>
          <cell r="O514">
            <v>0.72943434486650194</v>
          </cell>
          <cell r="P514">
            <v>2.7606922126081579</v>
          </cell>
          <cell r="Q514">
            <v>2.9232736572890023</v>
          </cell>
          <cell r="R514">
            <v>0.94438377526665773</v>
          </cell>
          <cell r="S514">
            <v>3.7259557344064387</v>
          </cell>
          <cell r="T514">
            <v>1.2454212454212454</v>
          </cell>
          <cell r="U514">
            <v>0.33425551300051787</v>
          </cell>
          <cell r="V514">
            <v>0</v>
          </cell>
        </row>
        <row r="515">
          <cell r="A515" t="str">
            <v>1989:7</v>
          </cell>
          <cell r="B515">
            <v>1989</v>
          </cell>
          <cell r="C515">
            <v>379.45</v>
          </cell>
          <cell r="D515">
            <v>1.141</v>
          </cell>
          <cell r="E515">
            <v>56.7</v>
          </cell>
          <cell r="F515">
            <v>6.3789868667917471E-2</v>
          </cell>
          <cell r="G515">
            <v>80.8</v>
          </cell>
          <cell r="H515">
            <v>-8.1818181818181901E-2</v>
          </cell>
          <cell r="I515">
            <v>107.33</v>
          </cell>
          <cell r="J515">
            <v>-3.8864511507119226E-2</v>
          </cell>
          <cell r="K515">
            <v>6.3869999999999996</v>
          </cell>
          <cell r="L515">
            <v>9.8023715415018753E-3</v>
          </cell>
          <cell r="M515">
            <v>1.9800146107284493</v>
          </cell>
          <cell r="N515">
            <v>1.4692925628401139</v>
          </cell>
          <cell r="O515">
            <v>0.74206147514212517</v>
          </cell>
          <cell r="P515">
            <v>2.6533992583436339</v>
          </cell>
          <cell r="Q515">
            <v>2.918158567774936</v>
          </cell>
          <cell r="R515">
            <v>0.90927178791617957</v>
          </cell>
          <cell r="S515">
            <v>3.8174044265593556</v>
          </cell>
          <cell r="T515">
            <v>1.2980769230769231</v>
          </cell>
          <cell r="U515">
            <v>0.34004176084819127</v>
          </cell>
          <cell r="V515">
            <v>0</v>
          </cell>
        </row>
        <row r="516">
          <cell r="A516" t="str">
            <v>1989:8</v>
          </cell>
          <cell r="B516">
            <v>1989</v>
          </cell>
          <cell r="C516">
            <v>396.63</v>
          </cell>
          <cell r="D516">
            <v>1.1339999999999999</v>
          </cell>
          <cell r="E516">
            <v>59.52</v>
          </cell>
          <cell r="F516">
            <v>0.20437070012140834</v>
          </cell>
          <cell r="G516">
            <v>79.2</v>
          </cell>
          <cell r="H516">
            <v>-8.5450346420323231E-2</v>
          </cell>
          <cell r="I516">
            <v>104.86</v>
          </cell>
          <cell r="J516">
            <v>-7.4165636588380712E-2</v>
          </cell>
          <cell r="K516">
            <v>7.2240000000000002</v>
          </cell>
          <cell r="L516">
            <v>2.6865671641790989E-2</v>
          </cell>
          <cell r="M516">
            <v>2.0696618659987478</v>
          </cell>
          <cell r="N516">
            <v>1.5423684892459186</v>
          </cell>
          <cell r="O516">
            <v>0.74522728305747887</v>
          </cell>
          <cell r="P516">
            <v>2.5923362175525337</v>
          </cell>
          <cell r="Q516">
            <v>2.9002557544757028</v>
          </cell>
          <cell r="R516">
            <v>0.8938302125776374</v>
          </cell>
          <cell r="S516">
            <v>3.9902414486921525</v>
          </cell>
          <cell r="T516">
            <v>1.3626373626373627</v>
          </cell>
          <cell r="U516">
            <v>0.34149245857891197</v>
          </cell>
          <cell r="V516">
            <v>0</v>
          </cell>
        </row>
        <row r="517">
          <cell r="A517" t="str">
            <v>1989:9</v>
          </cell>
          <cell r="B517">
            <v>1989</v>
          </cell>
          <cell r="C517">
            <v>397.08</v>
          </cell>
          <cell r="D517">
            <v>1.1359999999999999</v>
          </cell>
          <cell r="E517">
            <v>55.07</v>
          </cell>
          <cell r="F517">
            <v>0.13710510014453847</v>
          </cell>
          <cell r="G517">
            <v>80</v>
          </cell>
          <cell r="H517">
            <v>-0.11209766925638176</v>
          </cell>
          <cell r="I517">
            <v>102.62</v>
          </cell>
          <cell r="J517">
            <v>-7.2738772928526263E-2</v>
          </cell>
          <cell r="K517">
            <v>6.7789999999999999</v>
          </cell>
          <cell r="L517">
            <v>-2.0658769141866484E-2</v>
          </cell>
          <cell r="M517">
            <v>2.0720100187852224</v>
          </cell>
          <cell r="N517">
            <v>1.4270536408395957</v>
          </cell>
          <cell r="O517">
            <v>0.68872912191623881</v>
          </cell>
          <cell r="P517">
            <v>2.5369592088998765</v>
          </cell>
          <cell r="Q517">
            <v>2.9053708439897696</v>
          </cell>
          <cell r="R517">
            <v>0.87319634742944696</v>
          </cell>
          <cell r="S517">
            <v>3.9947686116700196</v>
          </cell>
          <cell r="T517">
            <v>1.2607600732600732</v>
          </cell>
          <cell r="U517">
            <v>0.31560277848809132</v>
          </cell>
          <cell r="V517">
            <v>0</v>
          </cell>
        </row>
        <row r="518">
          <cell r="A518" t="str">
            <v>1989:10</v>
          </cell>
          <cell r="B518">
            <v>1989</v>
          </cell>
          <cell r="C518">
            <v>396.34</v>
          </cell>
          <cell r="D518">
            <v>1.149</v>
          </cell>
          <cell r="E518">
            <v>50.05</v>
          </cell>
          <cell r="F518">
            <v>-2.0356234096692183E-2</v>
          </cell>
          <cell r="G518">
            <v>83</v>
          </cell>
          <cell r="H518">
            <v>-5.3591790193842637E-2</v>
          </cell>
          <cell r="I518">
            <v>99.58</v>
          </cell>
          <cell r="J518">
            <v>-0.10134464398519993</v>
          </cell>
          <cell r="K518">
            <v>7.1740000000000004</v>
          </cell>
          <cell r="L518">
            <v>3.790509259259256E-2</v>
          </cell>
          <cell r="M518">
            <v>2.0681486119807975</v>
          </cell>
          <cell r="N518">
            <v>1.2969681264576314</v>
          </cell>
          <cell r="O518">
            <v>0.6271155365452401</v>
          </cell>
          <cell r="P518">
            <v>2.4618046971569836</v>
          </cell>
          <cell r="Q518">
            <v>2.9386189258312019</v>
          </cell>
          <cell r="R518">
            <v>0.83774206839719811</v>
          </cell>
          <cell r="S518">
            <v>3.9873239436619712</v>
          </cell>
          <cell r="T518">
            <v>1.1458333333333333</v>
          </cell>
          <cell r="U518">
            <v>0.28736900977275404</v>
          </cell>
          <cell r="V518">
            <v>0</v>
          </cell>
        </row>
        <row r="519">
          <cell r="A519" t="str">
            <v>1989:11</v>
          </cell>
          <cell r="B519">
            <v>1989</v>
          </cell>
          <cell r="C519">
            <v>388.11</v>
          </cell>
          <cell r="D519">
            <v>1.149</v>
          </cell>
          <cell r="E519">
            <v>50.01</v>
          </cell>
          <cell r="F519">
            <v>6.4399275508151277E-3</v>
          </cell>
          <cell r="G519">
            <v>77.400000000000006</v>
          </cell>
          <cell r="H519">
            <v>-9.7902097902097807E-2</v>
          </cell>
          <cell r="I519">
            <v>96.67</v>
          </cell>
          <cell r="J519">
            <v>-0.11450032060089765</v>
          </cell>
          <cell r="K519">
            <v>6.6520000000000001</v>
          </cell>
          <cell r="L519">
            <v>-8.9392133492252057E-3</v>
          </cell>
          <cell r="M519">
            <v>2.0252035065748282</v>
          </cell>
          <cell r="N519">
            <v>1.2959315884944285</v>
          </cell>
          <cell r="O519">
            <v>0.6399019082710371</v>
          </cell>
          <cell r="P519">
            <v>2.3898640296662546</v>
          </cell>
          <cell r="Q519">
            <v>2.9386189258312019</v>
          </cell>
          <cell r="R519">
            <v>0.81326095352437389</v>
          </cell>
          <cell r="S519">
            <v>3.9045271629778671</v>
          </cell>
          <cell r="T519">
            <v>1.1449175824175823</v>
          </cell>
          <cell r="U519">
            <v>0.29322822831750711</v>
          </cell>
          <cell r="V519">
            <v>0</v>
          </cell>
        </row>
        <row r="520">
          <cell r="A520" t="str">
            <v>1989:12</v>
          </cell>
          <cell r="B520">
            <v>1989</v>
          </cell>
          <cell r="C520">
            <v>398.43</v>
          </cell>
          <cell r="D520">
            <v>1.1539999999999999</v>
          </cell>
          <cell r="E520">
            <v>49.72</v>
          </cell>
          <cell r="F520">
            <v>-5.9224219489120156E-2</v>
          </cell>
          <cell r="G520">
            <v>73.3</v>
          </cell>
          <cell r="H520">
            <v>-0.12529832935560858</v>
          </cell>
          <cell r="I520">
            <v>97.05</v>
          </cell>
          <cell r="J520">
            <v>-9.5357941834451898E-2</v>
          </cell>
          <cell r="K520">
            <v>6.0529999999999999</v>
          </cell>
          <cell r="L520">
            <v>-0.10166221430691602</v>
          </cell>
          <cell r="M520">
            <v>2.0790544771446462</v>
          </cell>
          <cell r="N520">
            <v>1.2884166882612074</v>
          </cell>
          <cell r="O520">
            <v>0.61971280811780682</v>
          </cell>
          <cell r="P520">
            <v>2.3992583436341159</v>
          </cell>
          <cell r="Q520">
            <v>2.9514066496163678</v>
          </cell>
          <cell r="R520">
            <v>0.81292028800774652</v>
          </cell>
          <cell r="S520">
            <v>4.0083501006036215</v>
          </cell>
          <cell r="T520">
            <v>1.1382783882783882</v>
          </cell>
          <cell r="U520">
            <v>0.28397678838157719</v>
          </cell>
          <cell r="V520">
            <v>0</v>
          </cell>
        </row>
        <row r="521">
          <cell r="A521" t="str">
            <v>1990:1</v>
          </cell>
          <cell r="B521">
            <v>1990</v>
          </cell>
          <cell r="C521">
            <v>390.58</v>
          </cell>
          <cell r="D521">
            <v>1.1759999999999999</v>
          </cell>
          <cell r="E521">
            <v>46.72</v>
          </cell>
          <cell r="F521">
            <v>-0.17338995046001426</v>
          </cell>
          <cell r="G521">
            <v>83.1</v>
          </cell>
          <cell r="H521">
            <v>-5.8890147225368117E-2</v>
          </cell>
          <cell r="I521">
            <v>102.74</v>
          </cell>
          <cell r="J521">
            <v>-9.7980684811238006E-2</v>
          </cell>
          <cell r="K521">
            <v>6.8630000000000004</v>
          </cell>
          <cell r="L521">
            <v>-5.7021159659246923E-2</v>
          </cell>
          <cell r="M521">
            <v>2.0380922563139219</v>
          </cell>
          <cell r="N521">
            <v>1.2106763410209898</v>
          </cell>
          <cell r="O521">
            <v>0.59402430742296708</v>
          </cell>
          <cell r="P521">
            <v>2.5399258343634115</v>
          </cell>
          <cell r="Q521">
            <v>3.0076726342710995</v>
          </cell>
          <cell r="R521">
            <v>0.84448214390824317</v>
          </cell>
          <cell r="S521">
            <v>3.9293762575452713</v>
          </cell>
          <cell r="T521">
            <v>1.0695970695970696</v>
          </cell>
          <cell r="U521">
            <v>0.27220530676928856</v>
          </cell>
          <cell r="V521">
            <v>0</v>
          </cell>
        </row>
        <row r="522">
          <cell r="A522" t="str">
            <v>1990:2</v>
          </cell>
          <cell r="B522">
            <v>1990</v>
          </cell>
          <cell r="C522">
            <v>381.11</v>
          </cell>
          <cell r="D522">
            <v>1.1739999999999999</v>
          </cell>
          <cell r="E522">
            <v>47.19</v>
          </cell>
          <cell r="F522">
            <v>-0.16831159675713792</v>
          </cell>
          <cell r="G522">
            <v>85.1</v>
          </cell>
          <cell r="H522">
            <v>-5.2338530066815214E-2</v>
          </cell>
          <cell r="I522">
            <v>102.96</v>
          </cell>
          <cell r="J522">
            <v>-0.1129490824502456</v>
          </cell>
          <cell r="K522">
            <v>6.5019999999999998</v>
          </cell>
          <cell r="L522">
            <v>-4.8302107728337207E-2</v>
          </cell>
          <cell r="M522">
            <v>1.9886766854518891</v>
          </cell>
          <cell r="N522">
            <v>1.2228556620886237</v>
          </cell>
          <cell r="O522">
            <v>0.61490923639543393</v>
          </cell>
          <cell r="P522">
            <v>2.5453646477132259</v>
          </cell>
          <cell r="Q522">
            <v>3.0025575447570332</v>
          </cell>
          <cell r="R522">
            <v>0.84773217824179847</v>
          </cell>
          <cell r="S522">
            <v>3.8341046277665995</v>
          </cell>
          <cell r="T522">
            <v>1.0803571428571428</v>
          </cell>
          <cell r="U522">
            <v>0.28177560284432313</v>
          </cell>
          <cell r="V522">
            <v>0</v>
          </cell>
        </row>
        <row r="523">
          <cell r="A523" t="str">
            <v>1990:3</v>
          </cell>
          <cell r="B523">
            <v>1990</v>
          </cell>
          <cell r="C523">
            <v>391.71</v>
          </cell>
          <cell r="D523">
            <v>1.1719999999999999</v>
          </cell>
          <cell r="E523">
            <v>52.61</v>
          </cell>
          <cell r="F523">
            <v>-5.2940064284363597E-3</v>
          </cell>
          <cell r="G523">
            <v>85.7</v>
          </cell>
          <cell r="H523">
            <v>-5.7205720572057195E-2</v>
          </cell>
          <cell r="I523">
            <v>100.02</v>
          </cell>
          <cell r="J523">
            <v>-0.11109136153572696</v>
          </cell>
          <cell r="K523">
            <v>7.569</v>
          </cell>
          <cell r="L523">
            <v>-3.2592024539877307E-2</v>
          </cell>
          <cell r="M523">
            <v>2.043988728866625</v>
          </cell>
          <cell r="N523">
            <v>1.3633065561026172</v>
          </cell>
          <cell r="O523">
            <v>0.66698340203595918</v>
          </cell>
          <cell r="P523">
            <v>2.4726823238566129</v>
          </cell>
          <cell r="Q523">
            <v>2.9974424552429664</v>
          </cell>
          <cell r="R523">
            <v>0.82493070702042304</v>
          </cell>
          <cell r="S523">
            <v>3.9407444668008043</v>
          </cell>
          <cell r="T523">
            <v>1.2044413919413919</v>
          </cell>
          <cell r="U523">
            <v>0.30563803415530461</v>
          </cell>
          <cell r="V523">
            <v>0</v>
          </cell>
        </row>
        <row r="524">
          <cell r="A524" t="str">
            <v>1990:4</v>
          </cell>
          <cell r="B524">
            <v>1990</v>
          </cell>
          <cell r="C524">
            <v>393.17</v>
          </cell>
          <cell r="D524">
            <v>1.1719999999999999</v>
          </cell>
          <cell r="E524">
            <v>47</v>
          </cell>
          <cell r="F524">
            <v>-9.771549241697064E-2</v>
          </cell>
          <cell r="G524">
            <v>85.2</v>
          </cell>
          <cell r="H524">
            <v>-7.5921908893709311E-2</v>
          </cell>
          <cell r="I524">
            <v>106.05</v>
          </cell>
          <cell r="J524">
            <v>-5.4812834224598928E-2</v>
          </cell>
          <cell r="K524">
            <v>7.0229999999999997</v>
          </cell>
          <cell r="L524">
            <v>-1.9681742043551109E-2</v>
          </cell>
          <cell r="M524">
            <v>2.0516071801294093</v>
          </cell>
          <cell r="N524">
            <v>1.2179321067634101</v>
          </cell>
          <cell r="O524">
            <v>0.59364780868362266</v>
          </cell>
          <cell r="P524">
            <v>2.6217552533992583</v>
          </cell>
          <cell r="Q524">
            <v>2.9974424552429664</v>
          </cell>
          <cell r="R524">
            <v>0.87466408197876289</v>
          </cell>
          <cell r="S524">
            <v>3.9554325955734404</v>
          </cell>
          <cell r="T524">
            <v>1.076007326007326</v>
          </cell>
          <cell r="U524">
            <v>0.27203278023533894</v>
          </cell>
          <cell r="V524">
            <v>0</v>
          </cell>
        </row>
        <row r="525">
          <cell r="A525" t="str">
            <v>1990:5</v>
          </cell>
          <cell r="B525">
            <v>1990</v>
          </cell>
          <cell r="C525">
            <v>408.1</v>
          </cell>
          <cell r="D525">
            <v>1.177</v>
          </cell>
          <cell r="E525">
            <v>50.37</v>
          </cell>
          <cell r="F525">
            <v>-9.3249324932493272E-2</v>
          </cell>
          <cell r="G525">
            <v>85.7</v>
          </cell>
          <cell r="H525">
            <v>-2.7241770715096369E-2</v>
          </cell>
          <cell r="I525">
            <v>110.93</v>
          </cell>
          <cell r="J525">
            <v>-1.9099831992218541E-2</v>
          </cell>
          <cell r="K525">
            <v>7.5229999999999997</v>
          </cell>
          <cell r="L525">
            <v>1.0341122750469944E-2</v>
          </cell>
          <cell r="M525">
            <v>2.1295136714673348</v>
          </cell>
          <cell r="N525">
            <v>1.3052604301632544</v>
          </cell>
          <cell r="O525">
            <v>0.61293827208156348</v>
          </cell>
          <cell r="P525">
            <v>2.7423980222496911</v>
          </cell>
          <cell r="Q525">
            <v>3.0102301790281332</v>
          </cell>
          <cell r="R525">
            <v>0.91102602098524144</v>
          </cell>
          <cell r="S525">
            <v>4.105633802816901</v>
          </cell>
          <cell r="T525">
            <v>1.1531593406593406</v>
          </cell>
          <cell r="U525">
            <v>0.28087242945733509</v>
          </cell>
          <cell r="V525">
            <v>0</v>
          </cell>
        </row>
        <row r="526">
          <cell r="A526" t="str">
            <v>1990:6</v>
          </cell>
          <cell r="B526">
            <v>1990</v>
          </cell>
          <cell r="C526">
            <v>421.49</v>
          </cell>
          <cell r="D526">
            <v>1.1779999999999999</v>
          </cell>
          <cell r="E526">
            <v>47.46</v>
          </cell>
          <cell r="F526">
            <v>-0.1275735294117647</v>
          </cell>
          <cell r="G526">
            <v>84.5</v>
          </cell>
          <cell r="H526">
            <v>-1.9721577726218076E-2</v>
          </cell>
          <cell r="I526">
            <v>107.65</v>
          </cell>
          <cell r="J526">
            <v>-3.5998925405211768E-2</v>
          </cell>
          <cell r="K526">
            <v>7.4930000000000003</v>
          </cell>
          <cell r="L526">
            <v>2.2097940253717141E-2</v>
          </cell>
          <cell r="M526">
            <v>2.1993842621582136</v>
          </cell>
          <cell r="N526">
            <v>1.2298522933402436</v>
          </cell>
          <cell r="O526">
            <v>0.5591802735432021</v>
          </cell>
          <cell r="P526">
            <v>2.6613102595797282</v>
          </cell>
          <cell r="Q526">
            <v>3.0127877237851659</v>
          </cell>
          <cell r="R526">
            <v>0.88333812520855171</v>
          </cell>
          <cell r="S526">
            <v>4.2403420523138831</v>
          </cell>
          <cell r="T526">
            <v>1.0865384615384617</v>
          </cell>
          <cell r="U526">
            <v>0.25623839967003509</v>
          </cell>
          <cell r="V526">
            <v>0</v>
          </cell>
        </row>
        <row r="527">
          <cell r="A527" t="str">
            <v>1990:7</v>
          </cell>
          <cell r="B527">
            <v>1990</v>
          </cell>
          <cell r="C527">
            <v>425.76</v>
          </cell>
          <cell r="D527">
            <v>1.1819999999999999</v>
          </cell>
          <cell r="E527">
            <v>49.38</v>
          </cell>
          <cell r="F527">
            <v>-0.12910052910052905</v>
          </cell>
          <cell r="G527">
            <v>82</v>
          </cell>
          <cell r="H527">
            <v>1.4851485148514865E-2</v>
          </cell>
          <cell r="I527">
            <v>105.7</v>
          </cell>
          <cell r="J527">
            <v>-1.5186807043697015E-2</v>
          </cell>
          <cell r="K527">
            <v>6.89</v>
          </cell>
          <cell r="L527">
            <v>7.8753718490684133E-2</v>
          </cell>
          <cell r="M527">
            <v>2.2216656230432061</v>
          </cell>
          <cell r="N527">
            <v>1.2796061155739828</v>
          </cell>
          <cell r="O527">
            <v>0.57596701425356556</v>
          </cell>
          <cell r="P527">
            <v>2.6131025957972804</v>
          </cell>
          <cell r="Q527">
            <v>3.0230179028132991</v>
          </cell>
          <cell r="R527">
            <v>0.86440195850823753</v>
          </cell>
          <cell r="S527">
            <v>4.2832997987927559</v>
          </cell>
          <cell r="T527">
            <v>1.1304945054945055</v>
          </cell>
          <cell r="U527">
            <v>0.2639307446593242</v>
          </cell>
          <cell r="V527">
            <v>0</v>
          </cell>
        </row>
        <row r="528">
          <cell r="A528" t="str">
            <v>1990:8</v>
          </cell>
          <cell r="B528">
            <v>1990</v>
          </cell>
          <cell r="C528">
            <v>390.78</v>
          </cell>
          <cell r="D528">
            <v>1.1930000000000001</v>
          </cell>
          <cell r="E528">
            <v>41.56</v>
          </cell>
          <cell r="F528">
            <v>-0.301747311827957</v>
          </cell>
          <cell r="G528">
            <v>85.5</v>
          </cell>
          <cell r="H528">
            <v>7.9545454545454586E-2</v>
          </cell>
          <cell r="I528">
            <v>114.33</v>
          </cell>
          <cell r="J528">
            <v>9.0310890711424729E-2</v>
          </cell>
          <cell r="K528">
            <v>7.3659999999999997</v>
          </cell>
          <cell r="L528">
            <v>1.9656699889258E-2</v>
          </cell>
          <cell r="M528">
            <v>2.0391358797745776</v>
          </cell>
          <cell r="N528">
            <v>1.0769629437678154</v>
          </cell>
          <cell r="O528">
            <v>0.52814672844993127</v>
          </cell>
          <cell r="P528">
            <v>2.826452410383189</v>
          </cell>
          <cell r="Q528">
            <v>3.051150895140665</v>
          </cell>
          <cell r="R528">
            <v>0.92635615461846343</v>
          </cell>
          <cell r="S528">
            <v>3.9313883299798786</v>
          </cell>
          <cell r="T528">
            <v>0.95146520146520153</v>
          </cell>
          <cell r="U528">
            <v>0.24201760843861264</v>
          </cell>
          <cell r="V528">
            <v>0</v>
          </cell>
        </row>
        <row r="529">
          <cell r="A529" t="str">
            <v>1990:9</v>
          </cell>
          <cell r="B529">
            <v>1990</v>
          </cell>
          <cell r="C529">
            <v>372.81</v>
          </cell>
          <cell r="D529">
            <v>1.204</v>
          </cell>
          <cell r="E529">
            <v>37.9</v>
          </cell>
          <cell r="F529">
            <v>-0.31178500090793537</v>
          </cell>
          <cell r="G529">
            <v>84.6</v>
          </cell>
          <cell r="H529">
            <v>5.7499999999999885E-2</v>
          </cell>
          <cell r="I529">
            <v>112.59</v>
          </cell>
          <cell r="J529">
            <v>9.7154550769830372E-2</v>
          </cell>
          <cell r="K529">
            <v>6.8940000000000001</v>
          </cell>
          <cell r="L529">
            <v>1.6964154005015608E-2</v>
          </cell>
          <cell r="M529">
            <v>1.9453663118346902</v>
          </cell>
          <cell r="N529">
            <v>0.9821197201347498</v>
          </cell>
          <cell r="O529">
            <v>0.50485079039356084</v>
          </cell>
          <cell r="P529">
            <v>2.7834363411619281</v>
          </cell>
          <cell r="Q529">
            <v>3.0792838874680304</v>
          </cell>
          <cell r="R529">
            <v>0.90392326361653985</v>
          </cell>
          <cell r="S529">
            <v>3.7506036217303822</v>
          </cell>
          <cell r="T529">
            <v>0.8676739926739927</v>
          </cell>
          <cell r="U529">
            <v>0.23134249315145752</v>
          </cell>
          <cell r="V529">
            <v>0</v>
          </cell>
        </row>
        <row r="530">
          <cell r="A530" t="str">
            <v>1990:10</v>
          </cell>
          <cell r="B530">
            <v>1990</v>
          </cell>
          <cell r="C530">
            <v>361</v>
          </cell>
          <cell r="D530">
            <v>1.2230000000000001</v>
          </cell>
          <cell r="E530">
            <v>37.369999999999997</v>
          </cell>
          <cell r="F530">
            <v>-0.25334665334665341</v>
          </cell>
          <cell r="G530">
            <v>85.1</v>
          </cell>
          <cell r="H530">
            <v>2.5301204819277112E-2</v>
          </cell>
          <cell r="I530">
            <v>110.63</v>
          </cell>
          <cell r="J530">
            <v>0.11096605744125321</v>
          </cell>
          <cell r="K530">
            <v>7.6429999999999998</v>
          </cell>
          <cell r="L530">
            <v>6.5374965151937525E-2</v>
          </cell>
          <cell r="M530">
            <v>1.8837403464829892</v>
          </cell>
          <cell r="N530">
            <v>0.96838559212231134</v>
          </cell>
          <cell r="O530">
            <v>0.51407594148011004</v>
          </cell>
          <cell r="P530">
            <v>2.7349814585908527</v>
          </cell>
          <cell r="Q530">
            <v>3.1278772378516626</v>
          </cell>
          <cell r="R530">
            <v>0.874389002705661</v>
          </cell>
          <cell r="S530">
            <v>3.6317907444668007</v>
          </cell>
          <cell r="T530">
            <v>0.855540293040293</v>
          </cell>
          <cell r="U530">
            <v>0.23556982029973719</v>
          </cell>
          <cell r="V530">
            <v>0</v>
          </cell>
        </row>
        <row r="531">
          <cell r="A531" t="str">
            <v>1990:11</v>
          </cell>
          <cell r="B531">
            <v>1990</v>
          </cell>
          <cell r="C531">
            <v>369.35</v>
          </cell>
          <cell r="D531">
            <v>1.2290000000000001</v>
          </cell>
          <cell r="E531">
            <v>37</v>
          </cell>
          <cell r="F531">
            <v>-0.26014797040591875</v>
          </cell>
          <cell r="G531">
            <v>83.8</v>
          </cell>
          <cell r="H531">
            <v>8.268733850129184E-2</v>
          </cell>
          <cell r="I531">
            <v>107.33</v>
          </cell>
          <cell r="J531">
            <v>0.1102720595841522</v>
          </cell>
          <cell r="K531">
            <v>6.9370000000000003</v>
          </cell>
          <cell r="L531">
            <v>4.2844257366205563E-2</v>
          </cell>
          <cell r="M531">
            <v>1.927311625965352</v>
          </cell>
          <cell r="N531">
            <v>0.95879761596268454</v>
          </cell>
          <cell r="O531">
            <v>0.49747928827152793</v>
          </cell>
          <cell r="P531">
            <v>2.6533992583436339</v>
          </cell>
          <cell r="Q531">
            <v>3.1432225063938621</v>
          </cell>
          <cell r="R531">
            <v>0.84416526445269391</v>
          </cell>
          <cell r="S531">
            <v>3.7157947686116701</v>
          </cell>
          <cell r="T531">
            <v>0.84706959706959706</v>
          </cell>
          <cell r="U531">
            <v>0.227964580881868</v>
          </cell>
          <cell r="V531">
            <v>0</v>
          </cell>
        </row>
        <row r="532">
          <cell r="A532" t="str">
            <v>1990:12</v>
          </cell>
          <cell r="B532">
            <v>1990</v>
          </cell>
          <cell r="C532">
            <v>384.75</v>
          </cell>
          <cell r="D532">
            <v>1.22</v>
          </cell>
          <cell r="E532">
            <v>40.94</v>
          </cell>
          <cell r="F532">
            <v>-0.17658889782783593</v>
          </cell>
          <cell r="G532">
            <v>75</v>
          </cell>
          <cell r="H532">
            <v>2.3192360163710735E-2</v>
          </cell>
          <cell r="I532">
            <v>104.83</v>
          </cell>
          <cell r="J532">
            <v>8.0164863472437009E-2</v>
          </cell>
          <cell r="K532">
            <v>6.1870000000000003</v>
          </cell>
          <cell r="L532">
            <v>2.2137782917561522E-2</v>
          </cell>
          <cell r="M532">
            <v>2.0076706324358171</v>
          </cell>
          <cell r="N532">
            <v>1.0608966053381703</v>
          </cell>
          <cell r="O532">
            <v>0.52842163858871205</v>
          </cell>
          <cell r="P532">
            <v>2.5915945611866498</v>
          </cell>
          <cell r="Q532">
            <v>3.1202046035805626</v>
          </cell>
          <cell r="R532">
            <v>0.83058481428195086</v>
          </cell>
          <cell r="S532">
            <v>3.8707243460764587</v>
          </cell>
          <cell r="T532">
            <v>0.93727106227106227</v>
          </cell>
          <cell r="U532">
            <v>0.2421435830792556</v>
          </cell>
          <cell r="V532">
            <v>0</v>
          </cell>
        </row>
        <row r="533">
          <cell r="A533" t="str">
            <v>1991:1</v>
          </cell>
          <cell r="B533">
            <v>1991</v>
          </cell>
          <cell r="C533">
            <v>382.78</v>
          </cell>
          <cell r="D533">
            <v>1.2230000000000001</v>
          </cell>
          <cell r="E533">
            <v>40.520000000000003</v>
          </cell>
          <cell r="F533">
            <v>-0.13270547945205469</v>
          </cell>
          <cell r="G533">
            <v>74.599999999999994</v>
          </cell>
          <cell r="H533">
            <v>-0.10228640192539107</v>
          </cell>
          <cell r="I533">
            <v>104.71</v>
          </cell>
          <cell r="J533">
            <v>1.9174615534358619E-2</v>
          </cell>
          <cell r="K533">
            <v>6.7869999999999999</v>
          </cell>
          <cell r="L533">
            <v>-1.1073874398951022E-2</v>
          </cell>
          <cell r="M533">
            <v>1.9973909413483615</v>
          </cell>
          <cell r="N533">
            <v>1.05001295672454</v>
          </cell>
          <cell r="O533">
            <v>0.52569225933092334</v>
          </cell>
          <cell r="P533">
            <v>2.5886279357231148</v>
          </cell>
          <cell r="Q533">
            <v>3.1278772378516626</v>
          </cell>
          <cell r="R533">
            <v>0.82759895573813391</v>
          </cell>
          <cell r="S533">
            <v>3.8509054325955732</v>
          </cell>
          <cell r="T533">
            <v>0.92765567765567769</v>
          </cell>
          <cell r="U533">
            <v>0.24089287412867541</v>
          </cell>
          <cell r="V533">
            <v>0</v>
          </cell>
        </row>
        <row r="534">
          <cell r="A534" t="str">
            <v>1991:2</v>
          </cell>
          <cell r="B534">
            <v>1991</v>
          </cell>
          <cell r="C534">
            <v>427.94</v>
          </cell>
          <cell r="D534">
            <v>1.214</v>
          </cell>
          <cell r="E534">
            <v>43.27</v>
          </cell>
          <cell r="F534">
            <v>-8.3068446704810284E-2</v>
          </cell>
          <cell r="G534">
            <v>73.099999999999994</v>
          </cell>
          <cell r="H534">
            <v>-0.14101057579318454</v>
          </cell>
          <cell r="I534">
            <v>102.36</v>
          </cell>
          <cell r="J534">
            <v>-5.8275058275057967E-3</v>
          </cell>
          <cell r="K534">
            <v>6.0389999999999997</v>
          </cell>
          <cell r="L534">
            <v>-7.1208858812673026E-2</v>
          </cell>
          <cell r="M534">
            <v>2.23304111876435</v>
          </cell>
          <cell r="N534">
            <v>1.1212749416947396</v>
          </cell>
          <cell r="O534">
            <v>0.50212910647843134</v>
          </cell>
          <cell r="P534">
            <v>2.5305315203955501</v>
          </cell>
          <cell r="Q534">
            <v>3.1048593350383631</v>
          </cell>
          <cell r="R534">
            <v>0.81502291966611207</v>
          </cell>
          <cell r="S534">
            <v>4.3052313883299798</v>
          </cell>
          <cell r="T534">
            <v>0.99061355311355315</v>
          </cell>
          <cell r="U534">
            <v>0.23009531050962095</v>
          </cell>
          <cell r="V534">
            <v>0</v>
          </cell>
        </row>
        <row r="535">
          <cell r="A535" t="str">
            <v>1991:3</v>
          </cell>
          <cell r="B535">
            <v>1991</v>
          </cell>
          <cell r="C535">
            <v>441.87</v>
          </cell>
          <cell r="D535">
            <v>1.2090000000000001</v>
          </cell>
          <cell r="E535">
            <v>43.32</v>
          </cell>
          <cell r="F535">
            <v>-0.17658239878350124</v>
          </cell>
          <cell r="G535">
            <v>71.7</v>
          </cell>
          <cell r="H535">
            <v>-0.16336056009334887</v>
          </cell>
          <cell r="I535">
            <v>98.79</v>
          </cell>
          <cell r="J535">
            <v>-1.2297540491901571E-2</v>
          </cell>
          <cell r="K535">
            <v>5.9660000000000002</v>
          </cell>
          <cell r="L535">
            <v>-0.21178491214163031</v>
          </cell>
          <cell r="M535">
            <v>2.3057294927989984</v>
          </cell>
          <cell r="N535">
            <v>1.122570614148743</v>
          </cell>
          <cell r="O535">
            <v>0.48686136758654147</v>
          </cell>
          <cell r="P535">
            <v>2.4422744128553768</v>
          </cell>
          <cell r="Q535">
            <v>3.0920716112531972</v>
          </cell>
          <cell r="R535">
            <v>0.78985053385149073</v>
          </cell>
          <cell r="S535">
            <v>4.445372233400402</v>
          </cell>
          <cell r="T535">
            <v>0.99175824175824179</v>
          </cell>
          <cell r="U535">
            <v>0.22309903191157862</v>
          </cell>
          <cell r="V535">
            <v>0</v>
          </cell>
        </row>
        <row r="536">
          <cell r="A536" t="str">
            <v>1991:4</v>
          </cell>
          <cell r="B536">
            <v>1991</v>
          </cell>
          <cell r="C536">
            <v>450.17</v>
          </cell>
          <cell r="D536">
            <v>1.2110000000000001</v>
          </cell>
          <cell r="E536">
            <v>44</v>
          </cell>
          <cell r="F536">
            <v>-6.3829787234042534E-2</v>
          </cell>
          <cell r="G536">
            <v>72.5</v>
          </cell>
          <cell r="H536">
            <v>-0.14906103286384975</v>
          </cell>
          <cell r="I536">
            <v>97.78</v>
          </cell>
          <cell r="J536">
            <v>-7.7982083922677914E-2</v>
          </cell>
          <cell r="K536">
            <v>6.45</v>
          </cell>
          <cell r="L536">
            <v>-8.1589064502349373E-2</v>
          </cell>
          <cell r="M536">
            <v>2.3490398664161973</v>
          </cell>
          <cell r="N536">
            <v>1.1401917595231925</v>
          </cell>
          <cell r="O536">
            <v>0.48538629583274007</v>
          </cell>
          <cell r="P536">
            <v>2.4173053152039552</v>
          </cell>
          <cell r="Q536">
            <v>3.0971867007672635</v>
          </cell>
          <cell r="R536">
            <v>0.780484209946116</v>
          </cell>
          <cell r="S536">
            <v>4.5288732394366198</v>
          </cell>
          <cell r="T536">
            <v>1.0073260073260073</v>
          </cell>
          <cell r="U536">
            <v>0.22242309600418758</v>
          </cell>
          <cell r="V536">
            <v>0</v>
          </cell>
        </row>
        <row r="537">
          <cell r="A537" t="str">
            <v>1991:5</v>
          </cell>
          <cell r="B537">
            <v>1991</v>
          </cell>
          <cell r="C537">
            <v>450.05</v>
          </cell>
          <cell r="D537">
            <v>1.218</v>
          </cell>
          <cell r="E537">
            <v>44.1</v>
          </cell>
          <cell r="F537">
            <v>-0.12447885646217982</v>
          </cell>
          <cell r="G537">
            <v>70</v>
          </cell>
          <cell r="H537">
            <v>-0.18319719953325553</v>
          </cell>
          <cell r="I537">
            <v>94.78</v>
          </cell>
          <cell r="J537">
            <v>-0.14558730731091685</v>
          </cell>
          <cell r="K537">
            <v>6.7619999999999996</v>
          </cell>
          <cell r="L537">
            <v>-0.10115645354246983</v>
          </cell>
          <cell r="M537">
            <v>2.348413692339804</v>
          </cell>
          <cell r="N537">
            <v>1.1427831044311998</v>
          </cell>
          <cell r="O537">
            <v>0.48661916261125454</v>
          </cell>
          <cell r="P537">
            <v>2.3431396786155747</v>
          </cell>
          <cell r="Q537">
            <v>3.1150895140664958</v>
          </cell>
          <cell r="R537">
            <v>0.75219015955557456</v>
          </cell>
          <cell r="S537">
            <v>4.5276659959758554</v>
          </cell>
          <cell r="T537">
            <v>1.0096153846153846</v>
          </cell>
          <cell r="U537">
            <v>0.22298804406348011</v>
          </cell>
          <cell r="V537">
            <v>0</v>
          </cell>
        </row>
        <row r="538">
          <cell r="A538" t="str">
            <v>1991:6</v>
          </cell>
          <cell r="B538">
            <v>1991</v>
          </cell>
          <cell r="C538">
            <v>450.87</v>
          </cell>
          <cell r="D538">
            <v>1.2190000000000001</v>
          </cell>
          <cell r="E538">
            <v>44.32</v>
          </cell>
          <cell r="F538">
            <v>-6.616097766540241E-2</v>
          </cell>
          <cell r="G538">
            <v>69</v>
          </cell>
          <cell r="H538">
            <v>-0.18343195266272194</v>
          </cell>
          <cell r="I538">
            <v>88.97</v>
          </cell>
          <cell r="J538">
            <v>-0.17352531351602418</v>
          </cell>
          <cell r="K538">
            <v>6.6230000000000002</v>
          </cell>
          <cell r="L538">
            <v>-0.11610836780995593</v>
          </cell>
          <cell r="M538">
            <v>2.3526925485284913</v>
          </cell>
          <cell r="N538">
            <v>1.1484840632288156</v>
          </cell>
          <cell r="O538">
            <v>0.4881573089297806</v>
          </cell>
          <cell r="P538">
            <v>2.1995055624227438</v>
          </cell>
          <cell r="Q538">
            <v>3.1176470588235294</v>
          </cell>
          <cell r="R538">
            <v>0.70550178417333287</v>
          </cell>
          <cell r="S538">
            <v>4.5359154929577459</v>
          </cell>
          <cell r="T538">
            <v>1.0146520146520146</v>
          </cell>
          <cell r="U538">
            <v>0.22369288321780173</v>
          </cell>
          <cell r="V538">
            <v>0</v>
          </cell>
        </row>
        <row r="539">
          <cell r="A539" t="str">
            <v>1991:7</v>
          </cell>
          <cell r="B539">
            <v>1991</v>
          </cell>
          <cell r="C539">
            <v>453.38</v>
          </cell>
          <cell r="D539">
            <v>1.216</v>
          </cell>
          <cell r="E539">
            <v>47.29</v>
          </cell>
          <cell r="F539">
            <v>-4.232482786553271E-2</v>
          </cell>
          <cell r="G539">
            <v>72.7</v>
          </cell>
          <cell r="H539">
            <v>-0.11341463414634145</v>
          </cell>
          <cell r="I539">
            <v>87.19</v>
          </cell>
          <cell r="J539">
            <v>-0.17511825922421953</v>
          </cell>
          <cell r="K539">
            <v>6.42</v>
          </cell>
          <cell r="L539">
            <v>-6.8214804063860601E-2</v>
          </cell>
          <cell r="M539">
            <v>2.3657900229597164</v>
          </cell>
          <cell r="N539">
            <v>1.2254470069966312</v>
          </cell>
          <cell r="O539">
            <v>0.51798637880108156</v>
          </cell>
          <cell r="P539">
            <v>2.1555006180469714</v>
          </cell>
          <cell r="Q539">
            <v>3.1099744245524295</v>
          </cell>
          <cell r="R539">
            <v>0.69309271517793247</v>
          </cell>
          <cell r="S539">
            <v>4.5611670020120725</v>
          </cell>
          <cell r="T539">
            <v>1.0826465201465201</v>
          </cell>
          <cell r="U539">
            <v>0.23736173651807335</v>
          </cell>
          <cell r="V539">
            <v>0</v>
          </cell>
        </row>
        <row r="540">
          <cell r="A540" t="str">
            <v>1991:8</v>
          </cell>
          <cell r="B540">
            <v>1991</v>
          </cell>
          <cell r="C540">
            <v>463.26</v>
          </cell>
          <cell r="D540">
            <v>1.2170000000000001</v>
          </cell>
          <cell r="E540">
            <v>50.03</v>
          </cell>
          <cell r="F540">
            <v>0.20380173243503363</v>
          </cell>
          <cell r="G540">
            <v>72.599999999999994</v>
          </cell>
          <cell r="H540">
            <v>-0.15087719298245617</v>
          </cell>
          <cell r="I540">
            <v>90.21</v>
          </cell>
          <cell r="J540">
            <v>-0.21096824980320128</v>
          </cell>
          <cell r="K540">
            <v>6.95</v>
          </cell>
          <cell r="L540">
            <v>-5.6475699158294757E-2</v>
          </cell>
          <cell r="M540">
            <v>2.417345021916093</v>
          </cell>
          <cell r="N540">
            <v>1.2964498574760299</v>
          </cell>
          <cell r="O540">
            <v>0.53631146804538776</v>
          </cell>
          <cell r="P540">
            <v>2.2301606922126078</v>
          </cell>
          <cell r="Q540">
            <v>3.1125319693094631</v>
          </cell>
          <cell r="R540">
            <v>0.71651013200914515</v>
          </cell>
          <cell r="S540">
            <v>4.6605633802816895</v>
          </cell>
          <cell r="T540">
            <v>1.1453754578754578</v>
          </cell>
          <cell r="U540">
            <v>0.24575901332474318</v>
          </cell>
          <cell r="V540">
            <v>0</v>
          </cell>
        </row>
        <row r="541">
          <cell r="A541" t="str">
            <v>1991:9</v>
          </cell>
          <cell r="B541">
            <v>1991</v>
          </cell>
          <cell r="C541">
            <v>459.11</v>
          </cell>
          <cell r="D541">
            <v>1.2130000000000001</v>
          </cell>
          <cell r="E541">
            <v>47.67</v>
          </cell>
          <cell r="F541">
            <v>0.25778364116094998</v>
          </cell>
          <cell r="G541">
            <v>78.5</v>
          </cell>
          <cell r="H541">
            <v>-7.2104018912529488E-2</v>
          </cell>
          <cell r="I541">
            <v>91.67</v>
          </cell>
          <cell r="J541">
            <v>-0.18580691002753358</v>
          </cell>
          <cell r="K541">
            <v>6.75</v>
          </cell>
          <cell r="L541">
            <v>-2.0887728459530019E-2</v>
          </cell>
          <cell r="M541">
            <v>2.3956898351074933</v>
          </cell>
          <cell r="N541">
            <v>1.2352941176470587</v>
          </cell>
          <cell r="O541">
            <v>0.51563190674540371</v>
          </cell>
          <cell r="P541">
            <v>2.2662546353522868</v>
          </cell>
          <cell r="Q541">
            <v>3.1023017902813299</v>
          </cell>
          <cell r="R541">
            <v>0.73050747108222924</v>
          </cell>
          <cell r="S541">
            <v>4.618812877263581</v>
          </cell>
          <cell r="T541">
            <v>1.091346153846154</v>
          </cell>
          <cell r="U541">
            <v>0.23628282479647081</v>
          </cell>
          <cell r="V541">
            <v>0</v>
          </cell>
        </row>
        <row r="542">
          <cell r="A542" t="str">
            <v>1991:10</v>
          </cell>
          <cell r="B542">
            <v>1991</v>
          </cell>
          <cell r="C542">
            <v>457.39</v>
          </cell>
          <cell r="D542">
            <v>1.2230000000000001</v>
          </cell>
          <cell r="E542">
            <v>47.67</v>
          </cell>
          <cell r="F542">
            <v>0.27562215681027569</v>
          </cell>
          <cell r="G542">
            <v>78</v>
          </cell>
          <cell r="H542">
            <v>-8.3431257344300791E-2</v>
          </cell>
          <cell r="I542">
            <v>90.55</v>
          </cell>
          <cell r="J542">
            <v>-0.1815059206363554</v>
          </cell>
          <cell r="K542">
            <v>7.5</v>
          </cell>
          <cell r="L542">
            <v>-1.870993065550175E-2</v>
          </cell>
          <cell r="M542">
            <v>2.3867146733458569</v>
          </cell>
          <cell r="N542">
            <v>1.2352941176470587</v>
          </cell>
          <cell r="O542">
            <v>0.51757092351359302</v>
          </cell>
          <cell r="P542">
            <v>2.2385661310259577</v>
          </cell>
          <cell r="Q542">
            <v>3.1278772378516626</v>
          </cell>
          <cell r="R542">
            <v>0.7156822217752653</v>
          </cell>
          <cell r="S542">
            <v>4.6015090543259554</v>
          </cell>
          <cell r="T542">
            <v>1.091346153846154</v>
          </cell>
          <cell r="U542">
            <v>0.23717135856120097</v>
          </cell>
          <cell r="V542">
            <v>0</v>
          </cell>
        </row>
        <row r="543">
          <cell r="A543" t="str">
            <v>1991:11</v>
          </cell>
          <cell r="B543">
            <v>1991</v>
          </cell>
          <cell r="C543">
            <v>454.97</v>
          </cell>
          <cell r="D543">
            <v>1.2230000000000001</v>
          </cell>
          <cell r="E543">
            <v>44.9</v>
          </cell>
          <cell r="F543">
            <v>0.21351351351351355</v>
          </cell>
          <cell r="G543">
            <v>78.2</v>
          </cell>
          <cell r="H543">
            <v>-6.6825775656324526E-2</v>
          </cell>
          <cell r="I543">
            <v>86.16</v>
          </cell>
          <cell r="J543">
            <v>-0.19724215037734094</v>
          </cell>
          <cell r="K543">
            <v>6.43</v>
          </cell>
          <cell r="L543">
            <v>-6.9000000000000006E-2</v>
          </cell>
          <cell r="M543">
            <v>2.3740868294719268</v>
          </cell>
          <cell r="N543">
            <v>1.1635138636952578</v>
          </cell>
          <cell r="O543">
            <v>0.49008900990957466</v>
          </cell>
          <cell r="P543">
            <v>2.1300370828182937</v>
          </cell>
          <cell r="Q543">
            <v>3.1278772378516626</v>
          </cell>
          <cell r="R543">
            <v>0.68098487275711594</v>
          </cell>
          <cell r="S543">
            <v>4.5771629778672036</v>
          </cell>
          <cell r="T543">
            <v>1.0279304029304028</v>
          </cell>
          <cell r="U543">
            <v>0.22457806460048363</v>
          </cell>
          <cell r="V543">
            <v>0</v>
          </cell>
        </row>
        <row r="544">
          <cell r="A544" t="str">
            <v>1991:12</v>
          </cell>
          <cell r="B544">
            <v>1991</v>
          </cell>
          <cell r="C544">
            <v>458</v>
          </cell>
          <cell r="D544">
            <v>1.2190000000000001</v>
          </cell>
          <cell r="E544">
            <v>44.81</v>
          </cell>
          <cell r="F544">
            <v>9.4528578407425679E-2</v>
          </cell>
          <cell r="G544">
            <v>74.599999999999994</v>
          </cell>
          <cell r="H544">
            <v>-5.3333333333334121E-3</v>
          </cell>
          <cell r="I544">
            <v>85.67</v>
          </cell>
          <cell r="J544">
            <v>-0.18277210722121529</v>
          </cell>
          <cell r="K544">
            <v>6.12</v>
          </cell>
          <cell r="L544">
            <v>-1.0829157911750431E-2</v>
          </cell>
          <cell r="M544">
            <v>2.3898977249008557</v>
          </cell>
          <cell r="N544">
            <v>1.1611816532780512</v>
          </cell>
          <cell r="O544">
            <v>0.48587085596988155</v>
          </cell>
          <cell r="P544">
            <v>2.1179233621755253</v>
          </cell>
          <cell r="Q544">
            <v>3.1176470588235294</v>
          </cell>
          <cell r="R544">
            <v>0.67933390862233833</v>
          </cell>
          <cell r="S544">
            <v>4.6076458752515084</v>
          </cell>
          <cell r="T544">
            <v>1.0258699633699635</v>
          </cell>
          <cell r="U544">
            <v>0.22264514052177814</v>
          </cell>
          <cell r="V544">
            <v>0</v>
          </cell>
        </row>
        <row r="545">
          <cell r="A545" t="str">
            <v>1992:1</v>
          </cell>
          <cell r="B545">
            <v>1992</v>
          </cell>
          <cell r="C545">
            <v>493.37</v>
          </cell>
          <cell r="D545">
            <v>1.2170000000000001</v>
          </cell>
          <cell r="E545">
            <v>50.52</v>
          </cell>
          <cell r="F545">
            <v>0.24679170779861792</v>
          </cell>
          <cell r="G545">
            <v>79.7</v>
          </cell>
          <cell r="H545">
            <v>6.8364611260053776E-2</v>
          </cell>
          <cell r="I545">
            <v>85.67</v>
          </cell>
          <cell r="J545">
            <v>-0.18183554579314287</v>
          </cell>
          <cell r="K545">
            <v>6.8673409999999997</v>
          </cell>
          <cell r="L545">
            <v>1.1837483424193218E-2</v>
          </cell>
          <cell r="M545">
            <v>2.5744625339177625</v>
          </cell>
          <cell r="N545">
            <v>1.3091474475252656</v>
          </cell>
          <cell r="O545">
            <v>0.50851291493958262</v>
          </cell>
          <cell r="P545">
            <v>2.1179233621755253</v>
          </cell>
          <cell r="Q545">
            <v>3.1125319693094631</v>
          </cell>
          <cell r="R545">
            <v>0.68045031603174233</v>
          </cell>
          <cell r="S545">
            <v>4.9634808853118706</v>
          </cell>
          <cell r="T545">
            <v>1.1565934065934067</v>
          </cell>
          <cell r="U545">
            <v>0.23302062268760695</v>
          </cell>
          <cell r="V545">
            <v>0</v>
          </cell>
        </row>
        <row r="546">
          <cell r="A546" t="str">
            <v>1992:2</v>
          </cell>
          <cell r="B546">
            <v>1992</v>
          </cell>
          <cell r="C546">
            <v>490.89</v>
          </cell>
          <cell r="D546">
            <v>1.2190000000000001</v>
          </cell>
          <cell r="E546">
            <v>51.96</v>
          </cell>
          <cell r="F546">
            <v>0.2008319852091518</v>
          </cell>
          <cell r="G546">
            <v>81.2</v>
          </cell>
          <cell r="H546">
            <v>0.1108071135430917</v>
          </cell>
          <cell r="I546">
            <v>86.51</v>
          </cell>
          <cell r="J546">
            <v>-0.15484564282923008</v>
          </cell>
          <cell r="K546">
            <v>6.4716230000000001</v>
          </cell>
          <cell r="L546">
            <v>7.1638185129988541E-2</v>
          </cell>
          <cell r="M546">
            <v>2.5615216030056356</v>
          </cell>
          <cell r="N546">
            <v>1.3464628142005699</v>
          </cell>
          <cell r="O546">
            <v>0.52564960319704457</v>
          </cell>
          <cell r="P546">
            <v>2.138689740420272</v>
          </cell>
          <cell r="Q546">
            <v>3.1176470588235294</v>
          </cell>
          <cell r="R546">
            <v>0.68599482239895515</v>
          </cell>
          <cell r="S546">
            <v>4.9385311871227362</v>
          </cell>
          <cell r="T546">
            <v>1.1895604395604396</v>
          </cell>
          <cell r="U546">
            <v>0.24087332741002607</v>
          </cell>
          <cell r="V546">
            <v>0</v>
          </cell>
        </row>
        <row r="547">
          <cell r="A547" t="str">
            <v>1992:3</v>
          </cell>
          <cell r="B547">
            <v>1992</v>
          </cell>
          <cell r="C547">
            <v>484.86</v>
          </cell>
          <cell r="D547">
            <v>1.22</v>
          </cell>
          <cell r="E547">
            <v>51.21</v>
          </cell>
          <cell r="F547">
            <v>0.18213296398891976</v>
          </cell>
          <cell r="G547">
            <v>83.5</v>
          </cell>
          <cell r="H547">
            <v>0.16457461645746152</v>
          </cell>
          <cell r="I547">
            <v>88</v>
          </cell>
          <cell r="J547">
            <v>-0.10922158113169356</v>
          </cell>
          <cell r="K547">
            <v>7.1</v>
          </cell>
          <cell r="L547">
            <v>0.19007710358699281</v>
          </cell>
          <cell r="M547">
            <v>2.5300563556668756</v>
          </cell>
          <cell r="N547">
            <v>1.3270277273905156</v>
          </cell>
          <cell r="O547">
            <v>0.52450520496043884</v>
          </cell>
          <cell r="P547">
            <v>2.1755253399258341</v>
          </cell>
          <cell r="Q547">
            <v>3.1202046035805626</v>
          </cell>
          <cell r="R547">
            <v>0.69723803927131245</v>
          </cell>
          <cell r="S547">
            <v>4.8778672032193153</v>
          </cell>
          <cell r="T547">
            <v>1.1723901098901099</v>
          </cell>
          <cell r="U547">
            <v>0.24034891911701717</v>
          </cell>
          <cell r="V547">
            <v>0</v>
          </cell>
        </row>
        <row r="548">
          <cell r="A548" t="str">
            <v>1992:4</v>
          </cell>
          <cell r="B548">
            <v>1992</v>
          </cell>
          <cell r="C548">
            <v>484.53</v>
          </cell>
          <cell r="D548">
            <v>1.22</v>
          </cell>
          <cell r="E548">
            <v>49.41</v>
          </cell>
          <cell r="F548">
            <v>0.12295454545454532</v>
          </cell>
          <cell r="G548">
            <v>85.3</v>
          </cell>
          <cell r="H548">
            <v>0.17655172413793108</v>
          </cell>
          <cell r="I548">
            <v>88.64</v>
          </cell>
          <cell r="J548">
            <v>-9.3475148292084254E-2</v>
          </cell>
          <cell r="K548">
            <v>6.95</v>
          </cell>
          <cell r="L548">
            <v>7.7519379844961156E-2</v>
          </cell>
          <cell r="M548">
            <v>2.5283343769567939</v>
          </cell>
          <cell r="N548">
            <v>1.2803835190463848</v>
          </cell>
          <cell r="O548">
            <v>0.50641383937021278</v>
          </cell>
          <cell r="P548">
            <v>2.1913473423980223</v>
          </cell>
          <cell r="Q548">
            <v>3.1202046035805626</v>
          </cell>
          <cell r="R548">
            <v>0.70230886137510384</v>
          </cell>
          <cell r="S548">
            <v>4.8745472837022126</v>
          </cell>
          <cell r="T548">
            <v>1.1311813186813187</v>
          </cell>
          <cell r="U548">
            <v>0.23205874368341092</v>
          </cell>
          <cell r="V548">
            <v>0</v>
          </cell>
        </row>
        <row r="549">
          <cell r="A549" t="str">
            <v>1992:5</v>
          </cell>
          <cell r="B549">
            <v>1992</v>
          </cell>
          <cell r="C549">
            <v>490.72</v>
          </cell>
          <cell r="D549">
            <v>1.2310000000000001</v>
          </cell>
          <cell r="E549">
            <v>51.74</v>
          </cell>
          <cell r="F549">
            <v>0.17324263038548748</v>
          </cell>
          <cell r="G549">
            <v>83.5</v>
          </cell>
          <cell r="H549">
            <v>0.19285714285714284</v>
          </cell>
          <cell r="I549">
            <v>87.42</v>
          </cell>
          <cell r="J549">
            <v>-7.7653513399451368E-2</v>
          </cell>
          <cell r="K549">
            <v>6.7511340000000004</v>
          </cell>
          <cell r="L549">
            <v>-1.606921029281172E-3</v>
          </cell>
          <cell r="M549">
            <v>2.560634523064079</v>
          </cell>
          <cell r="N549">
            <v>1.3407618554029541</v>
          </cell>
          <cell r="O549">
            <v>0.5236053186530446</v>
          </cell>
          <cell r="P549">
            <v>2.1611866501854138</v>
          </cell>
          <cell r="Q549">
            <v>3.1483375959079285</v>
          </cell>
          <cell r="R549">
            <v>0.68645327394191447</v>
          </cell>
          <cell r="S549">
            <v>4.9368209255533202</v>
          </cell>
          <cell r="T549">
            <v>1.1845238095238095</v>
          </cell>
          <cell r="U549">
            <v>0.23993655580915116</v>
          </cell>
          <cell r="V549">
            <v>0</v>
          </cell>
        </row>
        <row r="550">
          <cell r="A550" t="str">
            <v>1992:6</v>
          </cell>
          <cell r="B550">
            <v>1992</v>
          </cell>
          <cell r="C550">
            <v>481.96</v>
          </cell>
          <cell r="D550">
            <v>1.2370000000000001</v>
          </cell>
          <cell r="E550">
            <v>54.34</v>
          </cell>
          <cell r="F550">
            <v>0.22608303249097483</v>
          </cell>
          <cell r="G550">
            <v>82.1</v>
          </cell>
          <cell r="H550">
            <v>0.18985507246376798</v>
          </cell>
          <cell r="I550">
            <v>85.06</v>
          </cell>
          <cell r="J550">
            <v>-4.3947397999325566E-2</v>
          </cell>
          <cell r="K550">
            <v>7.1</v>
          </cell>
          <cell r="L550">
            <v>7.2021742412803791E-2</v>
          </cell>
          <cell r="M550">
            <v>2.5149238154873723</v>
          </cell>
          <cell r="N550">
            <v>1.4081368230111428</v>
          </cell>
          <cell r="O550">
            <v>0.55991231795554697</v>
          </cell>
          <cell r="P550">
            <v>2.1028430160692211</v>
          </cell>
          <cell r="Q550">
            <v>3.163682864450128</v>
          </cell>
          <cell r="R550">
            <v>0.66468198810272061</v>
          </cell>
          <cell r="S550">
            <v>4.8486921529175042</v>
          </cell>
          <cell r="T550">
            <v>1.2440476190476191</v>
          </cell>
          <cell r="U550">
            <v>0.25657385121863507</v>
          </cell>
          <cell r="V550">
            <v>0</v>
          </cell>
        </row>
        <row r="551">
          <cell r="A551" t="str">
            <v>1992:7</v>
          </cell>
          <cell r="B551">
            <v>1992</v>
          </cell>
          <cell r="C551">
            <v>487.16</v>
          </cell>
          <cell r="D551">
            <v>1.2370000000000001</v>
          </cell>
          <cell r="E551">
            <v>54.66</v>
          </cell>
          <cell r="F551">
            <v>0.15584690209346586</v>
          </cell>
          <cell r="G551">
            <v>81</v>
          </cell>
          <cell r="H551">
            <v>0.11416781292984868</v>
          </cell>
          <cell r="I551">
            <v>85</v>
          </cell>
          <cell r="J551">
            <v>-2.5117559353136754E-2</v>
          </cell>
          <cell r="K551">
            <v>6.69</v>
          </cell>
          <cell r="L551">
            <v>4.20560747663552E-2</v>
          </cell>
          <cell r="M551">
            <v>2.5420580254644127</v>
          </cell>
          <cell r="N551">
            <v>1.4164291267167657</v>
          </cell>
          <cell r="O551">
            <v>0.55719779506527822</v>
          </cell>
          <cell r="P551">
            <v>2.1013597033374536</v>
          </cell>
          <cell r="Q551">
            <v>3.163682864450128</v>
          </cell>
          <cell r="R551">
            <v>0.66421313177440933</v>
          </cell>
          <cell r="S551">
            <v>4.9010060362173036</v>
          </cell>
          <cell r="T551">
            <v>1.2513736263736264</v>
          </cell>
          <cell r="U551">
            <v>0.25532995004010689</v>
          </cell>
          <cell r="V551">
            <v>0</v>
          </cell>
        </row>
        <row r="552">
          <cell r="A552" t="str">
            <v>1992:8</v>
          </cell>
          <cell r="B552">
            <v>1992</v>
          </cell>
          <cell r="C552">
            <v>490.88</v>
          </cell>
          <cell r="D552">
            <v>1.2350000000000001</v>
          </cell>
          <cell r="E552">
            <v>52.42</v>
          </cell>
          <cell r="F552">
            <v>4.7771337197681341E-2</v>
          </cell>
          <cell r="G552">
            <v>78.7</v>
          </cell>
          <cell r="H552">
            <v>8.402203856749324E-2</v>
          </cell>
          <cell r="I552">
            <v>85.26</v>
          </cell>
          <cell r="J552">
            <v>-5.487196541403383E-2</v>
          </cell>
          <cell r="K552">
            <v>6.79</v>
          </cell>
          <cell r="L552">
            <v>-2.302158273381294E-2</v>
          </cell>
          <cell r="M552">
            <v>2.5614694218326028</v>
          </cell>
          <cell r="N552">
            <v>1.3583830007774034</v>
          </cell>
          <cell r="O552">
            <v>0.53031396322722779</v>
          </cell>
          <cell r="P552">
            <v>2.10778739184178</v>
          </cell>
          <cell r="Q552">
            <v>3.1585677749360617</v>
          </cell>
          <cell r="R552">
            <v>0.66732378154666872</v>
          </cell>
          <cell r="S552">
            <v>4.9384305835010061</v>
          </cell>
          <cell r="T552">
            <v>1.200091575091575</v>
          </cell>
          <cell r="U552">
            <v>0.24301072067328586</v>
          </cell>
          <cell r="V552">
            <v>0</v>
          </cell>
        </row>
        <row r="553">
          <cell r="A553" t="str">
            <v>1992:9</v>
          </cell>
          <cell r="B553">
            <v>1992</v>
          </cell>
          <cell r="C553">
            <v>493.56</v>
          </cell>
          <cell r="D553">
            <v>1.2330000000000001</v>
          </cell>
          <cell r="E553">
            <v>49.37</v>
          </cell>
          <cell r="F553">
            <v>3.5661841829242702E-2</v>
          </cell>
          <cell r="G553">
            <v>78.400000000000006</v>
          </cell>
          <cell r="H553">
            <v>-1.27388535031836E-3</v>
          </cell>
          <cell r="I553">
            <v>85.67</v>
          </cell>
          <cell r="J553">
            <v>-6.5452165375804561E-2</v>
          </cell>
          <cell r="K553">
            <v>6.93</v>
          </cell>
          <cell r="L553">
            <v>2.6666666666666616E-2</v>
          </cell>
          <cell r="M553">
            <v>2.5754539762053854</v>
          </cell>
          <cell r="N553">
            <v>1.2793469810831819</v>
          </cell>
          <cell r="O553">
            <v>0.49674620199120867</v>
          </cell>
          <cell r="P553">
            <v>2.1179233621755253</v>
          </cell>
          <cell r="Q553">
            <v>3.1534526854219949</v>
          </cell>
          <cell r="R553">
            <v>0.6716204660264643</v>
          </cell>
          <cell r="S553">
            <v>4.9653923541247487</v>
          </cell>
          <cell r="T553">
            <v>1.1302655677655677</v>
          </cell>
          <cell r="U553">
            <v>0.22762865190837472</v>
          </cell>
          <cell r="V553">
            <v>0</v>
          </cell>
        </row>
        <row r="554">
          <cell r="A554" t="str">
            <v>1992:10</v>
          </cell>
          <cell r="B554">
            <v>1992</v>
          </cell>
          <cell r="C554">
            <v>483.33</v>
          </cell>
          <cell r="D554">
            <v>1.2430000000000001</v>
          </cell>
          <cell r="E554">
            <v>48.2</v>
          </cell>
          <cell r="F554">
            <v>1.1118103629116804E-2</v>
          </cell>
          <cell r="G554">
            <v>78.7</v>
          </cell>
          <cell r="H554">
            <v>8.9743589743589425E-3</v>
          </cell>
          <cell r="I554">
            <v>84.33</v>
          </cell>
          <cell r="J554">
            <v>-6.8691330756488145E-2</v>
          </cell>
          <cell r="K554">
            <v>7.09</v>
          </cell>
          <cell r="L554">
            <v>-5.4666666666666641E-2</v>
          </cell>
          <cell r="M554">
            <v>2.5220726361928616</v>
          </cell>
          <cell r="N554">
            <v>1.2490282456594972</v>
          </cell>
          <cell r="O554">
            <v>0.49523880785009422</v>
          </cell>
          <cell r="P554">
            <v>2.0847960444993818</v>
          </cell>
          <cell r="Q554">
            <v>3.1790281329923276</v>
          </cell>
          <cell r="R554">
            <v>0.65579666403801951</v>
          </cell>
          <cell r="S554">
            <v>4.8624748490945668</v>
          </cell>
          <cell r="T554">
            <v>1.1034798534798536</v>
          </cell>
          <cell r="U554">
            <v>0.22693790461154378</v>
          </cell>
          <cell r="V554">
            <v>0</v>
          </cell>
        </row>
        <row r="555">
          <cell r="A555" t="str">
            <v>1992:11</v>
          </cell>
          <cell r="B555">
            <v>1992</v>
          </cell>
          <cell r="C555">
            <v>496.09</v>
          </cell>
          <cell r="D555">
            <v>1.2390000000000001</v>
          </cell>
          <cell r="E555">
            <v>56.18</v>
          </cell>
          <cell r="F555">
            <v>0.25122494432071263</v>
          </cell>
          <cell r="G555">
            <v>80.400000000000006</v>
          </cell>
          <cell r="H555">
            <v>2.8132992327365658E-2</v>
          </cell>
          <cell r="I555">
            <v>84</v>
          </cell>
          <cell r="J555">
            <v>-2.5069637883008311E-2</v>
          </cell>
          <cell r="K555">
            <v>6.51</v>
          </cell>
          <cell r="L555">
            <v>1.2441679626749691E-2</v>
          </cell>
          <cell r="M555">
            <v>2.588655812982676</v>
          </cell>
          <cell r="N555">
            <v>1.4558175693184761</v>
          </cell>
          <cell r="O555">
            <v>0.56238359770241841</v>
          </cell>
          <cell r="P555">
            <v>2.0766378244746599</v>
          </cell>
          <cell r="Q555">
            <v>3.1687979539641944</v>
          </cell>
          <cell r="R555">
            <v>0.65533929731201934</v>
          </cell>
          <cell r="S555">
            <v>4.9908450704225347</v>
          </cell>
          <cell r="T555">
            <v>1.2861721611721613</v>
          </cell>
          <cell r="U555">
            <v>0.2577062888195949</v>
          </cell>
          <cell r="V555">
            <v>0</v>
          </cell>
        </row>
        <row r="556">
          <cell r="A556" t="str">
            <v>1992:12</v>
          </cell>
          <cell r="B556">
            <v>1992</v>
          </cell>
          <cell r="C556">
            <v>509.5</v>
          </cell>
          <cell r="D556">
            <v>1.238</v>
          </cell>
          <cell r="E556">
            <v>61.25</v>
          </cell>
          <cell r="F556">
            <v>0.36688239232314213</v>
          </cell>
          <cell r="G556">
            <v>77.7</v>
          </cell>
          <cell r="H556">
            <v>4.1554959785522927E-2</v>
          </cell>
          <cell r="I556">
            <v>86.86</v>
          </cell>
          <cell r="J556">
            <v>1.3890510096883357E-2</v>
          </cell>
          <cell r="K556">
            <v>6.57</v>
          </cell>
          <cell r="L556">
            <v>7.3529411764705843E-2</v>
          </cell>
          <cell r="M556">
            <v>2.6586307660196202</v>
          </cell>
          <cell r="N556">
            <v>1.5871987561544441</v>
          </cell>
          <cell r="O556">
            <v>0.59699856649546157</v>
          </cell>
          <cell r="P556">
            <v>2.1473423980222495</v>
          </cell>
          <cell r="Q556">
            <v>3.1662404092071608</v>
          </cell>
          <cell r="R556">
            <v>0.67819941649975735</v>
          </cell>
          <cell r="S556">
            <v>5.1257545271629779</v>
          </cell>
          <cell r="T556">
            <v>1.4022435897435896</v>
          </cell>
          <cell r="U556">
            <v>0.27356822928461788</v>
          </cell>
          <cell r="V556">
            <v>0</v>
          </cell>
        </row>
      </sheetData>
      <sheetData sheetId="3" refreshError="1">
        <row r="290">
          <cell r="D290">
            <v>5.6417489421720868E-2</v>
          </cell>
        </row>
        <row r="291">
          <cell r="D291">
            <v>0.11674347158218112</v>
          </cell>
        </row>
        <row r="292">
          <cell r="D292">
            <v>0.12328767123287654</v>
          </cell>
        </row>
        <row r="293">
          <cell r="D293">
            <v>1.0028653295128809E-2</v>
          </cell>
        </row>
        <row r="294">
          <cell r="D294">
            <v>3.9301310043668103E-2</v>
          </cell>
        </row>
        <row r="295">
          <cell r="D295">
            <v>7.7313054499366318E-2</v>
          </cell>
        </row>
        <row r="296">
          <cell r="D296">
            <v>6.4032697547683926E-2</v>
          </cell>
        </row>
        <row r="297">
          <cell r="D297">
            <v>9.9999999999999867E-2</v>
          </cell>
        </row>
        <row r="298">
          <cell r="D298">
            <v>7.0603337612323402E-2</v>
          </cell>
        </row>
        <row r="299">
          <cell r="D299">
            <v>5.0505050505050608E-2</v>
          </cell>
        </row>
        <row r="300">
          <cell r="D300">
            <v>0.13575268817204278</v>
          </cell>
        </row>
        <row r="301">
          <cell r="D301">
            <v>0.10040160642570295</v>
          </cell>
        </row>
        <row r="302">
          <cell r="D302">
            <v>6.2750333778371026E-2</v>
          </cell>
        </row>
        <row r="303">
          <cell r="D303">
            <v>0.10591471801925723</v>
          </cell>
        </row>
        <row r="304">
          <cell r="D304">
            <v>0.12737127371273727</v>
          </cell>
        </row>
        <row r="305">
          <cell r="D305">
            <v>0.15304964539007093</v>
          </cell>
        </row>
        <row r="306">
          <cell r="D306">
            <v>9.2296918767507119E-2</v>
          </cell>
        </row>
        <row r="307">
          <cell r="D307">
            <v>5.2941176470588047E-2</v>
          </cell>
        </row>
        <row r="308">
          <cell r="D308">
            <v>-2.5608194622278591E-3</v>
          </cell>
        </row>
        <row r="309">
          <cell r="D309">
            <v>5.1058530510585287E-2</v>
          </cell>
        </row>
        <row r="310">
          <cell r="D310">
            <v>-2.3980815347721673E-3</v>
          </cell>
        </row>
        <row r="311">
          <cell r="D311">
            <v>1.3736263736263687E-3</v>
          </cell>
        </row>
        <row r="312">
          <cell r="D312">
            <v>8.2840236686390067E-3</v>
          </cell>
        </row>
        <row r="313">
          <cell r="D313">
            <v>-4.8661800486619056E-3</v>
          </cell>
        </row>
        <row r="314">
          <cell r="D314">
            <v>8.5427135678391997E-2</v>
          </cell>
        </row>
        <row r="315">
          <cell r="D315">
            <v>7.8871890547265178E-3</v>
          </cell>
        </row>
        <row r="316">
          <cell r="D316">
            <v>-9.9326923076923146E-2</v>
          </cell>
        </row>
        <row r="317">
          <cell r="D317">
            <v>6.1508180588019101E-3</v>
          </cell>
        </row>
        <row r="318">
          <cell r="D318">
            <v>5.9083215796897015E-2</v>
          </cell>
        </row>
        <row r="319">
          <cell r="D319">
            <v>-5.8324022346368576E-2</v>
          </cell>
        </row>
        <row r="320">
          <cell r="D320">
            <v>9.5976636713735575E-2</v>
          </cell>
        </row>
        <row r="321">
          <cell r="D321">
            <v>4.4657109004739404E-2</v>
          </cell>
        </row>
        <row r="322">
          <cell r="D322">
            <v>1.8028846153845812E-3</v>
          </cell>
        </row>
        <row r="323">
          <cell r="D323">
            <v>0.11075829903978063</v>
          </cell>
        </row>
        <row r="324">
          <cell r="D324">
            <v>-1.3281924882629026E-2</v>
          </cell>
        </row>
        <row r="325">
          <cell r="D325">
            <v>1.5568459657701705E-2</v>
          </cell>
        </row>
        <row r="326">
          <cell r="D326">
            <v>1.9896759259259378E-2</v>
          </cell>
        </row>
        <row r="327">
          <cell r="D327">
            <v>-2.4361710306509132E-2</v>
          </cell>
        </row>
        <row r="328">
          <cell r="D328">
            <v>7.331589623145085E-2</v>
          </cell>
        </row>
        <row r="329">
          <cell r="D329">
            <v>5.5131189631984379E-2</v>
          </cell>
        </row>
        <row r="330">
          <cell r="D330">
            <v>-2.0435144234902003E-2</v>
          </cell>
        </row>
        <row r="331">
          <cell r="D331">
            <v>1.1959302325581289E-2</v>
          </cell>
        </row>
        <row r="332">
          <cell r="D332">
            <v>4.337009048617313E-2</v>
          </cell>
        </row>
        <row r="333">
          <cell r="D333">
            <v>-5.4913821242961181E-3</v>
          </cell>
        </row>
        <row r="334">
          <cell r="D334">
            <v>7.6007318536292834E-2</v>
          </cell>
        </row>
        <row r="335">
          <cell r="D335">
            <v>8.4933882709423036E-2</v>
          </cell>
        </row>
        <row r="336">
          <cell r="D336">
            <v>3.1065425550010461E-2</v>
          </cell>
        </row>
        <row r="337">
          <cell r="D337">
            <v>9.208303490282721E-2</v>
          </cell>
        </row>
        <row r="338">
          <cell r="D338">
            <v>6.9414138232037681E-2</v>
          </cell>
        </row>
        <row r="339">
          <cell r="D339">
            <v>7.0917910447761301E-2</v>
          </cell>
        </row>
        <row r="340">
          <cell r="D340">
            <v>7.5206887977123049E-2</v>
          </cell>
        </row>
        <row r="341">
          <cell r="D341">
            <v>5.2582423147010227E-2</v>
          </cell>
        </row>
        <row r="342">
          <cell r="D342">
            <v>8.6333086145099713E-2</v>
          </cell>
        </row>
        <row r="343">
          <cell r="D343">
            <v>0.10768311530130936</v>
          </cell>
        </row>
        <row r="344">
          <cell r="D344">
            <v>4.0657225124066221E-2</v>
          </cell>
        </row>
        <row r="345">
          <cell r="D345">
            <v>1.8108593168104647E-2</v>
          </cell>
        </row>
        <row r="346">
          <cell r="D346">
            <v>4.2439550512283208E-3</v>
          </cell>
        </row>
        <row r="347">
          <cell r="D347">
            <v>-7.1029099708212917E-2</v>
          </cell>
        </row>
        <row r="348">
          <cell r="D348">
            <v>-1.7706852791878114E-2</v>
          </cell>
        </row>
        <row r="349">
          <cell r="D349">
            <v>-9.3105994103380052E-2</v>
          </cell>
        </row>
        <row r="350">
          <cell r="D350">
            <v>-0.12381728852700236</v>
          </cell>
        </row>
        <row r="351">
          <cell r="D351">
            <v>-0.12807019802456154</v>
          </cell>
        </row>
        <row r="352">
          <cell r="D352">
            <v>-0.14892836853016955</v>
          </cell>
        </row>
        <row r="353">
          <cell r="D353">
            <v>-0.17655801050232844</v>
          </cell>
        </row>
        <row r="354">
          <cell r="D354">
            <v>-0.11741037992855363</v>
          </cell>
        </row>
        <row r="355">
          <cell r="D355">
            <v>-6.7649779828944046E-2</v>
          </cell>
        </row>
        <row r="356">
          <cell r="D356">
            <v>-0.10138003771045201</v>
          </cell>
        </row>
        <row r="357">
          <cell r="D357">
            <v>-6.6875061748972953E-2</v>
          </cell>
        </row>
        <row r="358">
          <cell r="D358">
            <v>-4.8925324953981164E-3</v>
          </cell>
        </row>
        <row r="359">
          <cell r="D359">
            <v>1.4671423990503252E-2</v>
          </cell>
        </row>
        <row r="360">
          <cell r="D360">
            <v>9.2521161212080427E-2</v>
          </cell>
        </row>
        <row r="361">
          <cell r="D361">
            <v>0.12157026039944197</v>
          </cell>
        </row>
        <row r="362">
          <cell r="D362">
            <v>0.1233807089618626</v>
          </cell>
        </row>
        <row r="363">
          <cell r="D363">
            <v>0.21874165238485088</v>
          </cell>
        </row>
      </sheetData>
      <sheetData sheetId="4" refreshError="1"/>
      <sheetData sheetId="5" refreshError="1">
        <row r="1">
          <cell r="C1" t="str">
            <v>steel service center</v>
          </cell>
          <cell r="D1">
            <v>0</v>
          </cell>
          <cell r="E1">
            <v>0</v>
          </cell>
          <cell r="F1">
            <v>0</v>
          </cell>
          <cell r="G1" t="str">
            <v>(actual days)</v>
          </cell>
          <cell r="H1">
            <v>0</v>
          </cell>
          <cell r="I1">
            <v>0</v>
          </cell>
          <cell r="J1">
            <v>0</v>
          </cell>
          <cell r="K1">
            <v>0</v>
          </cell>
          <cell r="L1" t="str">
            <v>steel service center</v>
          </cell>
        </row>
        <row r="2">
          <cell r="D2" t="str">
            <v>(MIL)</v>
          </cell>
          <cell r="E2">
            <v>0</v>
          </cell>
          <cell r="F2">
            <v>0</v>
          </cell>
          <cell r="G2" t="str">
            <v>AVG</v>
          </cell>
        </row>
        <row r="3">
          <cell r="C3" t="str">
            <v>MONTHS'</v>
          </cell>
          <cell r="D3" t="str">
            <v>TOTAL</v>
          </cell>
          <cell r="E3">
            <v>0</v>
          </cell>
          <cell r="F3" t="str">
            <v>SHIP</v>
          </cell>
          <cell r="G3" t="str">
            <v>DAILY</v>
          </cell>
          <cell r="H3" t="str">
            <v>YR/YR</v>
          </cell>
          <cell r="I3" t="str">
            <v>SEQU.</v>
          </cell>
          <cell r="J3" t="str">
            <v>TOTAL</v>
          </cell>
          <cell r="K3" t="str">
            <v>AVG (21)</v>
          </cell>
          <cell r="L3" t="str">
            <v>YR/YR</v>
          </cell>
          <cell r="M3" t="str">
            <v>adj to</v>
          </cell>
          <cell r="N3">
            <v>0</v>
          </cell>
          <cell r="O3" t="str">
            <v>Months Supply</v>
          </cell>
        </row>
        <row r="4">
          <cell r="B4" t="str">
            <v>year</v>
          </cell>
          <cell r="C4" t="str">
            <v>SUPPLY</v>
          </cell>
          <cell r="D4" t="str">
            <v>INVEN</v>
          </cell>
          <cell r="E4">
            <v>0</v>
          </cell>
          <cell r="F4" t="str">
            <v>DAYS</v>
          </cell>
          <cell r="G4" t="str">
            <v>SHIP</v>
          </cell>
          <cell r="H4" t="str">
            <v>ROC</v>
          </cell>
          <cell r="I4" t="str">
            <v>ROC</v>
          </cell>
          <cell r="J4" t="str">
            <v>VOLUME</v>
          </cell>
          <cell r="K4" t="str">
            <v>SHIPMENTS</v>
          </cell>
          <cell r="L4" t="str">
            <v>ROC</v>
          </cell>
          <cell r="M4" t="str">
            <v>000s</v>
          </cell>
          <cell r="N4">
            <v>0</v>
          </cell>
          <cell r="O4" t="str">
            <v>3-mth avg.</v>
          </cell>
        </row>
        <row r="5">
          <cell r="B5">
            <v>1979</v>
          </cell>
          <cell r="C5">
            <v>3.9032258064516134</v>
          </cell>
          <cell r="D5">
            <v>5.5519999999999996</v>
          </cell>
          <cell r="E5">
            <v>0</v>
          </cell>
          <cell r="F5">
            <v>22</v>
          </cell>
          <cell r="G5">
            <v>64655.146506386161</v>
          </cell>
          <cell r="H5">
            <v>0</v>
          </cell>
          <cell r="I5">
            <v>0</v>
          </cell>
          <cell r="J5">
            <v>1422413.2231404956</v>
          </cell>
          <cell r="K5">
            <v>67733.963006690261</v>
          </cell>
          <cell r="L5">
            <v>0</v>
          </cell>
          <cell r="M5">
            <v>1422.4132231404956</v>
          </cell>
        </row>
        <row r="6">
          <cell r="B6">
            <v>1979</v>
          </cell>
          <cell r="C6">
            <v>3.47011385199241</v>
          </cell>
          <cell r="D6">
            <v>5.6020000000000003</v>
          </cell>
          <cell r="E6">
            <v>0</v>
          </cell>
          <cell r="F6">
            <v>19</v>
          </cell>
          <cell r="G6">
            <v>84966.118645897033</v>
          </cell>
          <cell r="H6">
            <v>0</v>
          </cell>
          <cell r="I6">
            <v>0.31414316163531852</v>
          </cell>
          <cell r="J6">
            <v>1614356.2542720437</v>
          </cell>
          <cell r="K6">
            <v>76874.107346287798</v>
          </cell>
          <cell r="L6">
            <v>0</v>
          </cell>
          <cell r="M6">
            <v>1614.3562542720438</v>
          </cell>
        </row>
        <row r="7">
          <cell r="B7">
            <v>1979</v>
          </cell>
          <cell r="C7">
            <v>3.0578747628083494</v>
          </cell>
          <cell r="D7">
            <v>5.5579999999999998</v>
          </cell>
          <cell r="E7">
            <v>0</v>
          </cell>
          <cell r="F7">
            <v>22</v>
          </cell>
          <cell r="G7">
            <v>82618.283361069582</v>
          </cell>
          <cell r="H7">
            <v>0</v>
          </cell>
          <cell r="I7">
            <v>-2.7632606058095255E-2</v>
          </cell>
          <cell r="J7">
            <v>1817602.2339435308</v>
          </cell>
          <cell r="K7">
            <v>86552.487330644319</v>
          </cell>
          <cell r="L7">
            <v>0</v>
          </cell>
          <cell r="M7">
            <v>1817.6022339435308</v>
          </cell>
          <cell r="N7">
            <v>0</v>
          </cell>
          <cell r="O7">
            <v>3.4770714737507906</v>
          </cell>
        </row>
        <row r="8">
          <cell r="B8">
            <v>1979</v>
          </cell>
          <cell r="C8">
            <v>3.7381404174573056</v>
          </cell>
          <cell r="D8">
            <v>5.6120000000000001</v>
          </cell>
          <cell r="E8">
            <v>0</v>
          </cell>
          <cell r="F8">
            <v>20</v>
          </cell>
          <cell r="G8">
            <v>75064.060913705587</v>
          </cell>
          <cell r="H8">
            <v>0</v>
          </cell>
          <cell r="I8">
            <v>-9.1435238545801156E-2</v>
          </cell>
          <cell r="J8">
            <v>1501281.2182741119</v>
          </cell>
          <cell r="K8">
            <v>71489.581822576758</v>
          </cell>
          <cell r="L8">
            <v>0</v>
          </cell>
          <cell r="M8">
            <v>1501.2812182741118</v>
          </cell>
          <cell r="N8">
            <v>0</v>
          </cell>
          <cell r="O8">
            <v>3.422043010752688</v>
          </cell>
        </row>
        <row r="9">
          <cell r="B9">
            <v>1979</v>
          </cell>
          <cell r="C9">
            <v>3.6944971537001905</v>
          </cell>
          <cell r="D9">
            <v>5.7610000000000001</v>
          </cell>
          <cell r="E9">
            <v>0</v>
          </cell>
          <cell r="F9">
            <v>22</v>
          </cell>
          <cell r="G9">
            <v>70879.371527291383</v>
          </cell>
          <cell r="H9">
            <v>0</v>
          </cell>
          <cell r="I9">
            <v>-5.5748241375123131E-2</v>
          </cell>
          <cell r="J9">
            <v>1559346.1736004103</v>
          </cell>
          <cell r="K9">
            <v>74254.579695257635</v>
          </cell>
          <cell r="L9">
            <v>0</v>
          </cell>
          <cell r="M9">
            <v>1559.3461736004103</v>
          </cell>
          <cell r="N9">
            <v>0</v>
          </cell>
          <cell r="O9">
            <v>3.4968374446552821</v>
          </cell>
        </row>
        <row r="10">
          <cell r="B10">
            <v>1979</v>
          </cell>
          <cell r="C10">
            <v>3.895161290322581</v>
          </cell>
          <cell r="D10">
            <v>5.8940000000000001</v>
          </cell>
          <cell r="E10">
            <v>0</v>
          </cell>
          <cell r="F10">
            <v>21</v>
          </cell>
          <cell r="G10">
            <v>72055.2104899931</v>
          </cell>
          <cell r="H10">
            <v>0</v>
          </cell>
          <cell r="I10">
            <v>1.6589297243542411E-2</v>
          </cell>
          <cell r="J10">
            <v>1513159.420289855</v>
          </cell>
          <cell r="K10">
            <v>72055.2104899931</v>
          </cell>
          <cell r="L10">
            <v>0</v>
          </cell>
          <cell r="M10">
            <v>1513.159420289855</v>
          </cell>
          <cell r="N10">
            <v>0</v>
          </cell>
          <cell r="O10">
            <v>3.7759329538266919</v>
          </cell>
        </row>
        <row r="11">
          <cell r="B11">
            <v>1979</v>
          </cell>
          <cell r="C11">
            <v>4.2936432637571151</v>
          </cell>
          <cell r="D11">
            <v>6.0190000000000001</v>
          </cell>
          <cell r="E11">
            <v>0</v>
          </cell>
          <cell r="F11">
            <v>21</v>
          </cell>
          <cell r="G11">
            <v>66754.276033692688</v>
          </cell>
          <cell r="H11">
            <v>0</v>
          </cell>
          <cell r="I11">
            <v>-7.3567677066693093E-2</v>
          </cell>
          <cell r="J11">
            <v>1401839.7967075463</v>
          </cell>
          <cell r="K11">
            <v>66754.276033692688</v>
          </cell>
          <cell r="L11">
            <v>0</v>
          </cell>
          <cell r="M11">
            <v>1401.8397967075464</v>
          </cell>
          <cell r="N11">
            <v>0</v>
          </cell>
          <cell r="O11">
            <v>3.9611005692599619</v>
          </cell>
        </row>
        <row r="12">
          <cell r="B12">
            <v>1979</v>
          </cell>
          <cell r="C12">
            <v>4.4407020872865282</v>
          </cell>
          <cell r="D12">
            <v>6.1980000000000004</v>
          </cell>
          <cell r="E12">
            <v>0</v>
          </cell>
          <cell r="F12">
            <v>23</v>
          </cell>
          <cell r="G12">
            <v>60683.706218677857</v>
          </cell>
          <cell r="H12">
            <v>0</v>
          </cell>
          <cell r="I12">
            <v>-9.0939040548516314E-2</v>
          </cell>
          <cell r="J12">
            <v>1395725.2430295907</v>
          </cell>
          <cell r="K12">
            <v>66463.106810932892</v>
          </cell>
          <cell r="L12">
            <v>0</v>
          </cell>
          <cell r="M12">
            <v>1395.7252430295907</v>
          </cell>
          <cell r="N12">
            <v>0</v>
          </cell>
          <cell r="O12">
            <v>4.2098355471220748</v>
          </cell>
        </row>
        <row r="13">
          <cell r="B13">
            <v>1979</v>
          </cell>
          <cell r="C13">
            <v>3.8576850094876662</v>
          </cell>
          <cell r="D13">
            <v>5.9489999999999998</v>
          </cell>
          <cell r="E13">
            <v>0</v>
          </cell>
          <cell r="F13">
            <v>19</v>
          </cell>
          <cell r="G13">
            <v>81164.030341470978</v>
          </cell>
          <cell r="H13">
            <v>0</v>
          </cell>
          <cell r="I13">
            <v>0.33749296802985107</v>
          </cell>
          <cell r="J13">
            <v>1542116.5764879487</v>
          </cell>
          <cell r="K13">
            <v>73434.122689902317</v>
          </cell>
          <cell r="L13">
            <v>0</v>
          </cell>
          <cell r="M13">
            <v>1542.1165764879486</v>
          </cell>
          <cell r="N13">
            <v>0</v>
          </cell>
          <cell r="O13">
            <v>4.1973434535104364</v>
          </cell>
        </row>
        <row r="14">
          <cell r="B14">
            <v>1979</v>
          </cell>
          <cell r="C14">
            <v>4.0697343453510442</v>
          </cell>
          <cell r="D14">
            <v>5.8140000000000001</v>
          </cell>
          <cell r="E14">
            <v>0</v>
          </cell>
          <cell r="F14">
            <v>23</v>
          </cell>
          <cell r="G14">
            <v>62112.803255674873</v>
          </cell>
          <cell r="H14">
            <v>0</v>
          </cell>
          <cell r="I14">
            <v>-0.23472500078722469</v>
          </cell>
          <cell r="J14">
            <v>1428594.4748805221</v>
          </cell>
          <cell r="K14">
            <v>68028.308327643914</v>
          </cell>
          <cell r="L14">
            <v>0</v>
          </cell>
          <cell r="M14">
            <v>1428.5944748805221</v>
          </cell>
          <cell r="N14">
            <v>0</v>
          </cell>
          <cell r="O14">
            <v>4.1227071473750794</v>
          </cell>
        </row>
        <row r="15">
          <cell r="B15">
            <v>1979</v>
          </cell>
          <cell r="C15">
            <v>3.9658444022770398</v>
          </cell>
          <cell r="D15">
            <v>5.7610000000000001</v>
          </cell>
          <cell r="E15">
            <v>0</v>
          </cell>
          <cell r="F15">
            <v>20</v>
          </cell>
          <cell r="G15">
            <v>72632.703349282296</v>
          </cell>
          <cell r="H15">
            <v>0</v>
          </cell>
          <cell r="I15">
            <v>0.16936765919748242</v>
          </cell>
          <cell r="J15">
            <v>1452654.0669856458</v>
          </cell>
          <cell r="K15">
            <v>69174.003189792653</v>
          </cell>
          <cell r="L15">
            <v>0</v>
          </cell>
          <cell r="M15">
            <v>1452.6540669856458</v>
          </cell>
          <cell r="N15">
            <v>0</v>
          </cell>
          <cell r="O15">
            <v>3.9644212523719169</v>
          </cell>
        </row>
        <row r="16">
          <cell r="B16">
            <v>1979</v>
          </cell>
          <cell r="C16">
            <v>3.774193548387097</v>
          </cell>
          <cell r="D16">
            <v>5.4390000000000001</v>
          </cell>
          <cell r="E16">
            <v>0</v>
          </cell>
          <cell r="F16">
            <v>18</v>
          </cell>
          <cell r="G16">
            <v>80061.253561253558</v>
          </cell>
          <cell r="H16">
            <v>0</v>
          </cell>
          <cell r="I16">
            <v>0.10227555728234727</v>
          </cell>
          <cell r="J16">
            <v>1441102.564102564</v>
          </cell>
          <cell r="K16">
            <v>68623.931623931625</v>
          </cell>
          <cell r="L16">
            <v>0</v>
          </cell>
          <cell r="M16">
            <v>1441.102564102564</v>
          </cell>
          <cell r="N16">
            <v>0</v>
          </cell>
          <cell r="O16">
            <v>3.9365907653383929</v>
          </cell>
        </row>
        <row r="17">
          <cell r="B17">
            <v>1980</v>
          </cell>
          <cell r="C17">
            <v>4.0180265654648961</v>
          </cell>
          <cell r="D17">
            <v>5.6669999999999998</v>
          </cell>
          <cell r="E17">
            <v>2.07132564841499E-2</v>
          </cell>
          <cell r="F17">
            <v>22</v>
          </cell>
          <cell r="G17">
            <v>64108.811849307713</v>
          </cell>
          <cell r="H17">
            <v>-8.4499794153971575E-3</v>
          </cell>
          <cell r="I17">
            <v>-0.19925295948234056</v>
          </cell>
          <cell r="J17">
            <v>1410393.8606847697</v>
          </cell>
          <cell r="K17">
            <v>67161.612413560462</v>
          </cell>
          <cell r="L17">
            <v>-8.4499794153970464E-3</v>
          </cell>
          <cell r="M17">
            <v>1410.3938606847696</v>
          </cell>
          <cell r="N17">
            <v>0</v>
          </cell>
          <cell r="O17">
            <v>3.9193548387096775</v>
          </cell>
        </row>
        <row r="18">
          <cell r="B18">
            <v>1980</v>
          </cell>
          <cell r="C18">
            <v>3.8235294117647074</v>
          </cell>
          <cell r="D18">
            <v>5.7069999999999999</v>
          </cell>
          <cell r="E18">
            <v>1.8743305962156231E-2</v>
          </cell>
          <cell r="F18">
            <v>20</v>
          </cell>
          <cell r="G18">
            <v>74629.999999999971</v>
          </cell>
          <cell r="H18">
            <v>-0.12164988598542026</v>
          </cell>
          <cell r="I18">
            <v>0.1641145397519308</v>
          </cell>
          <cell r="J18">
            <v>1492599.9999999995</v>
          </cell>
          <cell r="K18">
            <v>71076.190476190459</v>
          </cell>
          <cell r="L18">
            <v>-7.5420932616231728E-2</v>
          </cell>
          <cell r="M18">
            <v>1492.5999999999995</v>
          </cell>
          <cell r="N18">
            <v>0</v>
          </cell>
          <cell r="O18">
            <v>3.8719165085389</v>
          </cell>
        </row>
        <row r="19">
          <cell r="B19">
            <v>1980</v>
          </cell>
          <cell r="C19">
            <v>4.0047438330170779</v>
          </cell>
          <cell r="D19">
            <v>5.7930000000000001</v>
          </cell>
          <cell r="E19">
            <v>4.2281396185678277E-2</v>
          </cell>
          <cell r="F19">
            <v>21</v>
          </cell>
          <cell r="G19">
            <v>68882.593833553314</v>
          </cell>
          <cell r="H19">
            <v>-0.16625484055976691</v>
          </cell>
          <cell r="I19">
            <v>-7.7012008126043918E-2</v>
          </cell>
          <cell r="J19">
            <v>1446534.4705046196</v>
          </cell>
          <cell r="K19">
            <v>68882.593833553314</v>
          </cell>
          <cell r="L19">
            <v>-0.20415234780705016</v>
          </cell>
          <cell r="M19">
            <v>1446.5344705046195</v>
          </cell>
          <cell r="N19">
            <v>0</v>
          </cell>
          <cell r="O19">
            <v>3.9487666034155602</v>
          </cell>
        </row>
        <row r="20">
          <cell r="B20">
            <v>1980</v>
          </cell>
          <cell r="C20">
            <v>4.4530360531309299</v>
          </cell>
          <cell r="D20">
            <v>5.8230000000000004</v>
          </cell>
          <cell r="E20">
            <v>3.7598004276550245E-2</v>
          </cell>
          <cell r="F20">
            <v>21</v>
          </cell>
          <cell r="G20">
            <v>62268.912934301232</v>
          </cell>
          <cell r="H20">
            <v>-0.17045637850733641</v>
          </cell>
          <cell r="I20">
            <v>-9.6013819038714865E-2</v>
          </cell>
          <cell r="J20">
            <v>1307647.1716203259</v>
          </cell>
          <cell r="K20">
            <v>62268.912934301232</v>
          </cell>
          <cell r="L20">
            <v>-0.12897919743270336</v>
          </cell>
          <cell r="M20">
            <v>1307.6471716203259</v>
          </cell>
          <cell r="N20">
            <v>0</v>
          </cell>
          <cell r="O20">
            <v>4.0937697659709054</v>
          </cell>
        </row>
        <row r="21">
          <cell r="B21">
            <v>1980</v>
          </cell>
          <cell r="C21">
            <v>4.7518975332068303</v>
          </cell>
          <cell r="D21">
            <v>5.7169999999999996</v>
          </cell>
          <cell r="E21">
            <v>-7.6375629231036912E-3</v>
          </cell>
          <cell r="F21">
            <v>21</v>
          </cell>
          <cell r="G21">
            <v>57290.396801627721</v>
          </cell>
          <cell r="H21">
            <v>-0.1917197406361224</v>
          </cell>
          <cell r="I21">
            <v>-7.9951871617322867E-2</v>
          </cell>
          <cell r="J21">
            <v>1203098.3328341821</v>
          </cell>
          <cell r="K21">
            <v>57290.396801627721</v>
          </cell>
          <cell r="L21">
            <v>-0.22845975242538952</v>
          </cell>
          <cell r="M21">
            <v>1203.098332834182</v>
          </cell>
          <cell r="N21">
            <v>0</v>
          </cell>
          <cell r="O21">
            <v>4.4032258064516121</v>
          </cell>
        </row>
        <row r="22">
          <cell r="B22">
            <v>1980</v>
          </cell>
          <cell r="C22">
            <v>4.8017077798861481</v>
          </cell>
          <cell r="D22">
            <v>5.4969999999999999</v>
          </cell>
          <cell r="E22">
            <v>-6.7356633864947391E-2</v>
          </cell>
          <cell r="F22">
            <v>21</v>
          </cell>
          <cell r="G22">
            <v>54514.334641187044</v>
          </cell>
          <cell r="H22">
            <v>-0.24343660547965651</v>
          </cell>
          <cell r="I22">
            <v>-4.8455977186770083E-2</v>
          </cell>
          <cell r="J22">
            <v>1144801.0274649279</v>
          </cell>
          <cell r="K22">
            <v>54514.334641187044</v>
          </cell>
          <cell r="L22">
            <v>-0.24343660547965651</v>
          </cell>
          <cell r="M22">
            <v>1144.801027464928</v>
          </cell>
          <cell r="N22">
            <v>0</v>
          </cell>
          <cell r="O22">
            <v>4.6688804554079688</v>
          </cell>
        </row>
        <row r="23">
          <cell r="B23">
            <v>1980</v>
          </cell>
          <cell r="C23">
            <v>5.0616698292220113</v>
          </cell>
          <cell r="D23">
            <v>5.25</v>
          </cell>
          <cell r="E23">
            <v>-0.12776208672536971</v>
          </cell>
          <cell r="F23">
            <v>22</v>
          </cell>
          <cell r="G23">
            <v>47145.778307915141</v>
          </cell>
          <cell r="H23">
            <v>-0.2937414483512728</v>
          </cell>
          <cell r="I23">
            <v>-0.13516731666582171</v>
          </cell>
          <cell r="J23">
            <v>1037207.1227741331</v>
          </cell>
          <cell r="K23">
            <v>49390.815370196811</v>
          </cell>
          <cell r="L23">
            <v>-0.26011008874895247</v>
          </cell>
          <cell r="M23">
            <v>1037.207122774133</v>
          </cell>
          <cell r="N23">
            <v>0</v>
          </cell>
          <cell r="O23">
            <v>4.8717583807716629</v>
          </cell>
        </row>
        <row r="24">
          <cell r="B24">
            <v>1980</v>
          </cell>
          <cell r="C24">
            <v>4.403225806451613</v>
          </cell>
          <cell r="D24">
            <v>5.1829999999999998</v>
          </cell>
          <cell r="E24">
            <v>-0.1637625040335593</v>
          </cell>
          <cell r="F24">
            <v>21</v>
          </cell>
          <cell r="G24">
            <v>56051.979766265475</v>
          </cell>
          <cell r="H24">
            <v>-7.6325701593136785E-2</v>
          </cell>
          <cell r="I24">
            <v>0.18890771937590656</v>
          </cell>
          <cell r="J24">
            <v>1177091.575091575</v>
          </cell>
          <cell r="K24">
            <v>56051.979766265475</v>
          </cell>
          <cell r="L24">
            <v>-0.15664520580242924</v>
          </cell>
          <cell r="M24">
            <v>1177.0915750915751</v>
          </cell>
          <cell r="N24">
            <v>0</v>
          </cell>
          <cell r="O24">
            <v>4.7555344718532568</v>
          </cell>
        </row>
        <row r="25">
          <cell r="B25">
            <v>1980</v>
          </cell>
          <cell r="C25">
            <v>3.8553130929791277</v>
          </cell>
          <cell r="D25">
            <v>5.04</v>
          </cell>
          <cell r="E25">
            <v>-0.15279878971255667</v>
          </cell>
          <cell r="F25">
            <v>21</v>
          </cell>
          <cell r="G25">
            <v>62251.753414544102</v>
          </cell>
          <cell r="H25">
            <v>-0.23301303357361247</v>
          </cell>
          <cell r="I25">
            <v>0.11060757664816556</v>
          </cell>
          <cell r="J25">
            <v>1307286.8217054261</v>
          </cell>
          <cell r="K25">
            <v>62251.753414544102</v>
          </cell>
          <cell r="L25">
            <v>-0.15227756342346643</v>
          </cell>
          <cell r="M25">
            <v>1307.2868217054261</v>
          </cell>
          <cell r="N25">
            <v>0</v>
          </cell>
          <cell r="O25">
            <v>4.4400695762175841</v>
          </cell>
        </row>
        <row r="26">
          <cell r="B26">
            <v>1980</v>
          </cell>
          <cell r="C26">
            <v>3.6442125237191649</v>
          </cell>
          <cell r="D26">
            <v>4.96</v>
          </cell>
          <cell r="E26">
            <v>-0.14688682490540073</v>
          </cell>
          <cell r="F26">
            <v>23</v>
          </cell>
          <cell r="G26">
            <v>59176.618407796886</v>
          </cell>
          <cell r="H26">
            <v>-4.7271813442258837E-2</v>
          </cell>
          <cell r="I26">
            <v>-4.9398367725795866E-2</v>
          </cell>
          <cell r="J26">
            <v>1361062.2233793284</v>
          </cell>
          <cell r="K26">
            <v>64812.486827587069</v>
          </cell>
          <cell r="L26">
            <v>-4.7271813442258837E-2</v>
          </cell>
          <cell r="M26">
            <v>1361.0622233793283</v>
          </cell>
          <cell r="N26">
            <v>0</v>
          </cell>
          <cell r="O26">
            <v>3.9675838077166357</v>
          </cell>
        </row>
        <row r="27">
          <cell r="B27">
            <v>1980</v>
          </cell>
          <cell r="C27">
            <v>3.5151802656546489</v>
          </cell>
          <cell r="D27">
            <v>4.827</v>
          </cell>
          <cell r="E27">
            <v>-0.16212463114042708</v>
          </cell>
          <cell r="F27">
            <v>19</v>
          </cell>
          <cell r="G27">
            <v>72273.002343916465</v>
          </cell>
          <cell r="H27">
            <v>-4.9523284798593803E-3</v>
          </cell>
          <cell r="I27">
            <v>0.22131011011595847</v>
          </cell>
          <cell r="J27">
            <v>1373187.0445344129</v>
          </cell>
          <cell r="K27">
            <v>65389.859263543469</v>
          </cell>
          <cell r="L27">
            <v>-5.4704712055866245E-2</v>
          </cell>
          <cell r="M27">
            <v>1373.187044534413</v>
          </cell>
          <cell r="N27">
            <v>0</v>
          </cell>
          <cell r="O27">
            <v>3.6715686274509807</v>
          </cell>
        </row>
        <row r="28">
          <cell r="B28">
            <v>1980</v>
          </cell>
          <cell r="C28">
            <v>3.9848197343453506</v>
          </cell>
          <cell r="D28">
            <v>5.3369999999999997</v>
          </cell>
          <cell r="E28">
            <v>-1.8753447324875938E-2</v>
          </cell>
          <cell r="F28">
            <v>20</v>
          </cell>
          <cell r="G28">
            <v>66966.64285714287</v>
          </cell>
          <cell r="H28">
            <v>-0.16355740288393328</v>
          </cell>
          <cell r="I28">
            <v>-7.3421046790375311E-2</v>
          </cell>
          <cell r="J28">
            <v>1339332.8571428573</v>
          </cell>
          <cell r="K28">
            <v>63777.755102040821</v>
          </cell>
          <cell r="L28">
            <v>-7.0619336537703803E-2</v>
          </cell>
          <cell r="M28">
            <v>1339.3328571428572</v>
          </cell>
          <cell r="N28">
            <v>0</v>
          </cell>
          <cell r="O28">
            <v>3.7147375079063885</v>
          </cell>
        </row>
        <row r="29">
          <cell r="B29">
            <v>1981</v>
          </cell>
          <cell r="C29">
            <v>3.7656546489563567</v>
          </cell>
          <cell r="D29">
            <v>5.4130000000000003</v>
          </cell>
          <cell r="E29">
            <v>-4.4820892888653541E-2</v>
          </cell>
          <cell r="F29">
            <v>21</v>
          </cell>
          <cell r="G29">
            <v>68450.755258011501</v>
          </cell>
          <cell r="H29">
            <v>6.7727716104142299E-2</v>
          </cell>
          <cell r="I29">
            <v>2.2161965085133906E-2</v>
          </cell>
          <cell r="J29">
            <v>1437465.8604182415</v>
          </cell>
          <cell r="K29">
            <v>68450.755258011501</v>
          </cell>
          <cell r="L29">
            <v>1.9194638099408579E-2</v>
          </cell>
          <cell r="M29">
            <v>1437.4658604182414</v>
          </cell>
          <cell r="N29">
            <v>0</v>
          </cell>
          <cell r="O29">
            <v>3.7552182163187857</v>
          </cell>
        </row>
        <row r="30">
          <cell r="B30">
            <v>1981</v>
          </cell>
          <cell r="C30">
            <v>3.6337760910815948</v>
          </cell>
          <cell r="D30">
            <v>5.3730000000000002</v>
          </cell>
          <cell r="E30">
            <v>-5.8524618889083557E-2</v>
          </cell>
          <cell r="F30">
            <v>20</v>
          </cell>
          <cell r="G30">
            <v>73931.357702349851</v>
          </cell>
          <cell r="H30">
            <v>-9.3614136091400013E-3</v>
          </cell>
          <cell r="I30">
            <v>8.0066354617714719E-2</v>
          </cell>
          <cell r="J30">
            <v>1478627.154046997</v>
          </cell>
          <cell r="K30">
            <v>70410.816859380808</v>
          </cell>
          <cell r="L30">
            <v>-9.3614136091402234E-3</v>
          </cell>
          <cell r="M30">
            <v>1478.627154046997</v>
          </cell>
          <cell r="N30">
            <v>0</v>
          </cell>
          <cell r="O30">
            <v>3.7947501581277674</v>
          </cell>
        </row>
        <row r="31">
          <cell r="B31">
            <v>1981</v>
          </cell>
          <cell r="C31">
            <v>3.5692599620493364</v>
          </cell>
          <cell r="D31">
            <v>5.3769999999999998</v>
          </cell>
          <cell r="E31">
            <v>-7.181080614534785E-2</v>
          </cell>
          <cell r="F31">
            <v>22</v>
          </cell>
          <cell r="G31">
            <v>68476.124885215788</v>
          </cell>
          <cell r="H31">
            <v>-5.9008949244813147E-3</v>
          </cell>
          <cell r="I31">
            <v>-7.3787807862220167E-2</v>
          </cell>
          <cell r="J31">
            <v>1506474.7474747472</v>
          </cell>
          <cell r="K31">
            <v>71736.892736892725</v>
          </cell>
          <cell r="L31">
            <v>4.1437157698162252E-2</v>
          </cell>
          <cell r="M31">
            <v>1506.4747474747473</v>
          </cell>
          <cell r="N31">
            <v>0</v>
          </cell>
          <cell r="O31">
            <v>3.656230234029096</v>
          </cell>
        </row>
        <row r="32">
          <cell r="B32">
            <v>1981</v>
          </cell>
          <cell r="C32">
            <v>3.5365275142314991</v>
          </cell>
          <cell r="D32">
            <v>5.2869999999999999</v>
          </cell>
          <cell r="E32">
            <v>-9.2048772110596033E-2</v>
          </cell>
          <cell r="F32">
            <v>21</v>
          </cell>
          <cell r="G32">
            <v>71189.013445753881</v>
          </cell>
          <cell r="H32">
            <v>0.14325126441285518</v>
          </cell>
          <cell r="I32">
            <v>3.9618021099844913E-2</v>
          </cell>
          <cell r="J32">
            <v>1494969.2823608315</v>
          </cell>
          <cell r="K32">
            <v>71189.013445753881</v>
          </cell>
          <cell r="L32">
            <v>0.14325126441285518</v>
          </cell>
          <cell r="M32">
            <v>1494.9692823608316</v>
          </cell>
          <cell r="N32">
            <v>0</v>
          </cell>
          <cell r="O32">
            <v>3.5798545224541436</v>
          </cell>
        </row>
        <row r="33">
          <cell r="B33">
            <v>1981</v>
          </cell>
          <cell r="C33">
            <v>3.7955407969639472</v>
          </cell>
          <cell r="D33">
            <v>5.3470000000000004</v>
          </cell>
          <cell r="E33">
            <v>-6.4719258352282538E-2</v>
          </cell>
          <cell r="F33">
            <v>21</v>
          </cell>
          <cell r="G33">
            <v>67083.733580921427</v>
          </cell>
          <cell r="H33">
            <v>0.1709420308817875</v>
          </cell>
          <cell r="I33">
            <v>-5.7667323455194097E-2</v>
          </cell>
          <cell r="J33">
            <v>1408758.4051993499</v>
          </cell>
          <cell r="K33">
            <v>67083.733580921427</v>
          </cell>
          <cell r="L33">
            <v>0.1709420308817875</v>
          </cell>
          <cell r="M33">
            <v>1408.7584051993499</v>
          </cell>
          <cell r="N33">
            <v>0</v>
          </cell>
          <cell r="O33">
            <v>3.6337760910815944</v>
          </cell>
        </row>
        <row r="34">
          <cell r="B34">
            <v>1981</v>
          </cell>
          <cell r="C34">
            <v>3.7675521821631888</v>
          </cell>
          <cell r="D34">
            <v>5.3330000000000002</v>
          </cell>
          <cell r="E34">
            <v>-2.9834455157358497E-2</v>
          </cell>
          <cell r="F34">
            <v>22</v>
          </cell>
          <cell r="G34">
            <v>64341.269659577374</v>
          </cell>
          <cell r="H34">
            <v>0.18026332125432964</v>
          </cell>
          <cell r="I34">
            <v>-4.0881205844571666E-2</v>
          </cell>
          <cell r="J34">
            <v>1415507.9325107022</v>
          </cell>
          <cell r="K34">
            <v>67405.139643366769</v>
          </cell>
          <cell r="L34">
            <v>0.23646633655215465</v>
          </cell>
          <cell r="M34">
            <v>1415.5079325107022</v>
          </cell>
          <cell r="N34">
            <v>0</v>
          </cell>
          <cell r="O34">
            <v>3.699873497786212</v>
          </cell>
        </row>
        <row r="35">
          <cell r="B35">
            <v>1981</v>
          </cell>
          <cell r="C35">
            <v>4.0388994307400381</v>
          </cell>
          <cell r="D35">
            <v>5.3529999999999998</v>
          </cell>
          <cell r="E35">
            <v>1.9619047619047647E-2</v>
          </cell>
          <cell r="F35">
            <v>22</v>
          </cell>
          <cell r="G35">
            <v>60243.684199286734</v>
          </cell>
          <cell r="H35">
            <v>0.27781715270087348</v>
          </cell>
          <cell r="I35">
            <v>-6.3685181874254537E-2</v>
          </cell>
          <cell r="J35">
            <v>1325361.0523843081</v>
          </cell>
          <cell r="K35">
            <v>63112.431065919431</v>
          </cell>
          <cell r="L35">
            <v>0.27781715270087348</v>
          </cell>
          <cell r="M35">
            <v>1325.3610523843081</v>
          </cell>
          <cell r="N35">
            <v>0</v>
          </cell>
          <cell r="O35">
            <v>3.8673308032890579</v>
          </cell>
        </row>
        <row r="36">
          <cell r="B36">
            <v>1981</v>
          </cell>
          <cell r="C36">
            <v>3.7656546489563572</v>
          </cell>
          <cell r="D36">
            <v>5.2729999999999997</v>
          </cell>
          <cell r="E36">
            <v>1.7364460737024912E-2</v>
          </cell>
          <cell r="F36">
            <v>21</v>
          </cell>
          <cell r="G36">
            <v>66680.368090798918</v>
          </cell>
          <cell r="H36">
            <v>0.18961664456551586</v>
          </cell>
          <cell r="I36">
            <v>0.10684412776316221</v>
          </cell>
          <cell r="J36">
            <v>1400287.7299067774</v>
          </cell>
          <cell r="K36">
            <v>66680.368090798918</v>
          </cell>
          <cell r="L36">
            <v>0.18961664456551586</v>
          </cell>
          <cell r="M36">
            <v>1400.2877299067775</v>
          </cell>
          <cell r="N36">
            <v>0</v>
          </cell>
          <cell r="O36">
            <v>3.8573687539531947</v>
          </cell>
        </row>
        <row r="37">
          <cell r="B37">
            <v>1981</v>
          </cell>
          <cell r="C37">
            <v>3.7955407969639476</v>
          </cell>
          <cell r="D37">
            <v>5.2629999999999999</v>
          </cell>
          <cell r="E37">
            <v>4.4246031746031811E-2</v>
          </cell>
          <cell r="F37">
            <v>21</v>
          </cell>
          <cell r="G37">
            <v>66029.865314454728</v>
          </cell>
          <cell r="H37">
            <v>6.0690851143607061E-2</v>
          </cell>
          <cell r="I37">
            <v>-9.7555366739787708E-3</v>
          </cell>
          <cell r="J37">
            <v>1386627.1716035493</v>
          </cell>
          <cell r="K37">
            <v>66029.865314454728</v>
          </cell>
          <cell r="L37">
            <v>6.0690851143607061E-2</v>
          </cell>
          <cell r="M37">
            <v>1386.6271716035492</v>
          </cell>
          <cell r="N37">
            <v>0</v>
          </cell>
          <cell r="O37">
            <v>3.8666982922201143</v>
          </cell>
        </row>
        <row r="38">
          <cell r="B38">
            <v>1981</v>
          </cell>
          <cell r="C38">
            <v>3.8614800759013286</v>
          </cell>
          <cell r="D38">
            <v>5.3230000000000004</v>
          </cell>
          <cell r="E38">
            <v>7.3185483870967794E-2</v>
          </cell>
          <cell r="F38">
            <v>22</v>
          </cell>
          <cell r="G38">
            <v>62658.498994862632</v>
          </cell>
          <cell r="H38">
            <v>5.8838789385893486E-2</v>
          </cell>
          <cell r="I38">
            <v>-5.1058203792126555E-2</v>
          </cell>
          <cell r="J38">
            <v>1378486.9778869778</v>
          </cell>
          <cell r="K38">
            <v>65642.237042237044</v>
          </cell>
          <cell r="L38">
            <v>1.2802320282158997E-2</v>
          </cell>
          <cell r="M38">
            <v>1378.4869778869779</v>
          </cell>
          <cell r="N38">
            <v>0</v>
          </cell>
          <cell r="O38">
            <v>3.8075585072738778</v>
          </cell>
        </row>
        <row r="39">
          <cell r="B39">
            <v>1981</v>
          </cell>
          <cell r="C39">
            <v>4.0830170777988615</v>
          </cell>
          <cell r="D39">
            <v>5.5330000000000004</v>
          </cell>
          <cell r="E39">
            <v>0.14626061736067952</v>
          </cell>
          <cell r="F39">
            <v>19</v>
          </cell>
          <cell r="G39">
            <v>71322.387530345557</v>
          </cell>
          <cell r="H39">
            <v>-1.3153110881534147E-2</v>
          </cell>
          <cell r="I39">
            <v>0.13827156210992664</v>
          </cell>
          <cell r="J39">
            <v>1355125.3630765656</v>
          </cell>
          <cell r="K39">
            <v>64529.779194122166</v>
          </cell>
          <cell r="L39">
            <v>-1.3153110881534147E-2</v>
          </cell>
          <cell r="M39">
            <v>1355.1253630765655</v>
          </cell>
          <cell r="N39">
            <v>0</v>
          </cell>
          <cell r="O39">
            <v>3.9133459835547129</v>
          </cell>
        </row>
        <row r="40">
          <cell r="B40">
            <v>1981</v>
          </cell>
          <cell r="C40">
            <v>4.6299810246679316</v>
          </cell>
          <cell r="D40">
            <v>5.3810000000000002</v>
          </cell>
          <cell r="E40">
            <v>8.2443320217351346E-3</v>
          </cell>
          <cell r="F40">
            <v>20</v>
          </cell>
          <cell r="G40">
            <v>58110.389344262294</v>
          </cell>
          <cell r="H40">
            <v>-0.13224873063703146</v>
          </cell>
          <cell r="I40">
            <v>-0.18524335266345293</v>
          </cell>
          <cell r="J40">
            <v>1162207.7868852459</v>
          </cell>
          <cell r="K40">
            <v>55343.227946916471</v>
          </cell>
          <cell r="L40">
            <v>-0.13224873063703135</v>
          </cell>
          <cell r="M40">
            <v>1162.2077868852459</v>
          </cell>
          <cell r="N40">
            <v>0</v>
          </cell>
          <cell r="O40">
            <v>4.1914927261227071</v>
          </cell>
        </row>
        <row r="41">
          <cell r="B41">
            <v>1982</v>
          </cell>
          <cell r="C41">
            <v>4.2409867172675524</v>
          </cell>
          <cell r="D41">
            <v>5.2439999999999998</v>
          </cell>
          <cell r="E41">
            <v>-3.1221134306299692E-2</v>
          </cell>
          <cell r="F41">
            <v>20</v>
          </cell>
          <cell r="G41">
            <v>61825.234899328862</v>
          </cell>
          <cell r="H41">
            <v>-9.6792509209124966E-2</v>
          </cell>
          <cell r="I41">
            <v>6.3927390557629415E-2</v>
          </cell>
          <cell r="J41">
            <v>1236504.6979865772</v>
          </cell>
          <cell r="K41">
            <v>58881.176094598915</v>
          </cell>
          <cell r="L41">
            <v>-0.13980238972297621</v>
          </cell>
          <cell r="M41">
            <v>1236.5046979865772</v>
          </cell>
          <cell r="N41">
            <v>0</v>
          </cell>
          <cell r="O41">
            <v>4.3179949399114479</v>
          </cell>
        </row>
        <row r="42">
          <cell r="B42">
            <v>1982</v>
          </cell>
          <cell r="C42">
            <v>4.2125237191650857</v>
          </cell>
          <cell r="D42">
            <v>5.2329999999999997</v>
          </cell>
          <cell r="E42">
            <v>-2.6056206960729633E-2</v>
          </cell>
          <cell r="F42">
            <v>20</v>
          </cell>
          <cell r="G42">
            <v>62112.409909909904</v>
          </cell>
          <cell r="H42">
            <v>-0.15986380014855717</v>
          </cell>
          <cell r="I42">
            <v>4.6449481518129332E-3</v>
          </cell>
          <cell r="J42">
            <v>1242248.1981981981</v>
          </cell>
          <cell r="K42">
            <v>59154.676104676102</v>
          </cell>
          <cell r="L42">
            <v>-0.15986380014855706</v>
          </cell>
          <cell r="M42">
            <v>1242.248198198198</v>
          </cell>
          <cell r="N42">
            <v>0</v>
          </cell>
          <cell r="O42">
            <v>4.3611638203668566</v>
          </cell>
        </row>
        <row r="43">
          <cell r="B43">
            <v>1982</v>
          </cell>
          <cell r="C43">
            <v>4.1788425047438329</v>
          </cell>
          <cell r="D43">
            <v>5.1719999999999997</v>
          </cell>
          <cell r="E43">
            <v>-3.8125348707457651E-2</v>
          </cell>
          <cell r="F43">
            <v>23</v>
          </cell>
          <cell r="G43">
            <v>53811.447778211026</v>
          </cell>
          <cell r="H43">
            <v>-0.21415752032678048</v>
          </cell>
          <cell r="I43">
            <v>-0.13364418066758144</v>
          </cell>
          <cell r="J43">
            <v>1237663.2988988536</v>
          </cell>
          <cell r="K43">
            <v>58936.347566612079</v>
          </cell>
          <cell r="L43">
            <v>-0.17843740761436133</v>
          </cell>
          <cell r="M43">
            <v>1237.6632988988536</v>
          </cell>
          <cell r="N43">
            <v>0</v>
          </cell>
          <cell r="O43">
            <v>4.2107843137254903</v>
          </cell>
        </row>
        <row r="44">
          <cell r="B44">
            <v>1982</v>
          </cell>
          <cell r="C44">
            <v>4.0744781783681221</v>
          </cell>
          <cell r="D44">
            <v>5.0830000000000002</v>
          </cell>
          <cell r="E44">
            <v>-3.8585209003215382E-2</v>
          </cell>
          <cell r="F44">
            <v>21</v>
          </cell>
          <cell r="G44">
            <v>59405.795896190575</v>
          </cell>
          <cell r="H44">
            <v>-0.16552016918372003</v>
          </cell>
          <cell r="I44">
            <v>0.10396204430397749</v>
          </cell>
          <cell r="J44">
            <v>1247521.713820002</v>
          </cell>
          <cell r="K44">
            <v>59405.795896190575</v>
          </cell>
          <cell r="L44">
            <v>-0.16552016918372003</v>
          </cell>
          <cell r="M44">
            <v>1247.5217138200021</v>
          </cell>
          <cell r="N44">
            <v>0</v>
          </cell>
          <cell r="O44">
            <v>4.1552814674256799</v>
          </cell>
        </row>
        <row r="45">
          <cell r="B45">
            <v>1982</v>
          </cell>
          <cell r="C45">
            <v>4.2599620493358632</v>
          </cell>
          <cell r="D45">
            <v>5.0220000000000002</v>
          </cell>
          <cell r="E45">
            <v>-6.078174677389192E-2</v>
          </cell>
          <cell r="F45">
            <v>20</v>
          </cell>
          <cell r="G45">
            <v>58944.187082405355</v>
          </cell>
          <cell r="H45">
            <v>-0.12133413070543464</v>
          </cell>
          <cell r="I45">
            <v>-7.7704339588660076E-3</v>
          </cell>
          <cell r="J45">
            <v>1178883.7416481071</v>
          </cell>
          <cell r="K45">
            <v>56137.321030862244</v>
          </cell>
          <cell r="L45">
            <v>-0.16317536257660437</v>
          </cell>
          <cell r="M45">
            <v>1178.8837416481072</v>
          </cell>
          <cell r="N45">
            <v>0</v>
          </cell>
          <cell r="O45">
            <v>4.1710942441492724</v>
          </cell>
        </row>
        <row r="46">
          <cell r="B46">
            <v>1982</v>
          </cell>
          <cell r="C46">
            <v>4.6129032258064511</v>
          </cell>
          <cell r="D46">
            <v>5.0709999999999997</v>
          </cell>
          <cell r="E46">
            <v>-4.9128070504406596E-2</v>
          </cell>
          <cell r="F46">
            <v>22</v>
          </cell>
          <cell r="G46">
            <v>49968.531468531473</v>
          </cell>
          <cell r="H46">
            <v>-0.22338288111332727</v>
          </cell>
          <cell r="I46">
            <v>-0.15227380439271654</v>
          </cell>
          <cell r="J46">
            <v>1099307.6923076925</v>
          </cell>
          <cell r="K46">
            <v>52347.985347985355</v>
          </cell>
          <cell r="L46">
            <v>-0.22338288111332716</v>
          </cell>
          <cell r="M46">
            <v>1099.3076923076924</v>
          </cell>
          <cell r="N46">
            <v>0</v>
          </cell>
          <cell r="O46">
            <v>4.315781151170146</v>
          </cell>
        </row>
        <row r="47">
          <cell r="B47">
            <v>1982</v>
          </cell>
          <cell r="C47">
            <v>4.8614800759013281</v>
          </cell>
          <cell r="D47">
            <v>5.032</v>
          </cell>
          <cell r="E47">
            <v>-5.996637399589011E-2</v>
          </cell>
          <cell r="F47">
            <v>21</v>
          </cell>
          <cell r="G47">
            <v>49289.32009962455</v>
          </cell>
          <cell r="H47">
            <v>-0.18183423283717237</v>
          </cell>
          <cell r="I47">
            <v>-1.3592782276074411E-2</v>
          </cell>
          <cell r="J47">
            <v>1035075.7220921156</v>
          </cell>
          <cell r="K47">
            <v>49289.32009962455</v>
          </cell>
          <cell r="L47">
            <v>-0.21902358589002802</v>
          </cell>
          <cell r="M47">
            <v>1035.0757220921155</v>
          </cell>
          <cell r="N47">
            <v>0</v>
          </cell>
          <cell r="O47">
            <v>4.5781151170145469</v>
          </cell>
        </row>
        <row r="48">
          <cell r="B48">
            <v>1982</v>
          </cell>
          <cell r="C48">
            <v>4.6650853889943074</v>
          </cell>
          <cell r="D48">
            <v>4.9649999999999999</v>
          </cell>
          <cell r="E48">
            <v>-5.841077185662813E-2</v>
          </cell>
          <cell r="F48">
            <v>22</v>
          </cell>
          <cell r="G48">
            <v>48376.781851461536</v>
          </cell>
          <cell r="H48">
            <v>-0.27449737851496736</v>
          </cell>
          <cell r="I48">
            <v>-1.8513914298646683E-2</v>
          </cell>
          <cell r="J48">
            <v>1064289.2007321538</v>
          </cell>
          <cell r="K48">
            <v>50680.438130102564</v>
          </cell>
          <cell r="L48">
            <v>-0.23994963463472763</v>
          </cell>
          <cell r="M48">
            <v>1064.2892007321539</v>
          </cell>
          <cell r="N48">
            <v>0</v>
          </cell>
          <cell r="O48">
            <v>4.713156230234028</v>
          </cell>
        </row>
        <row r="49">
          <cell r="B49">
            <v>1982</v>
          </cell>
          <cell r="C49">
            <v>4.1840607210626191</v>
          </cell>
          <cell r="D49">
            <v>4.7530000000000001</v>
          </cell>
          <cell r="E49">
            <v>-9.6902907087212609E-2</v>
          </cell>
          <cell r="F49">
            <v>21</v>
          </cell>
          <cell r="G49">
            <v>54094.179894179892</v>
          </cell>
          <cell r="H49">
            <v>-0.18076192285768566</v>
          </cell>
          <cell r="I49">
            <v>0.11818475359260838</v>
          </cell>
          <cell r="J49">
            <v>1135977.7777777778</v>
          </cell>
          <cell r="K49">
            <v>54094.179894179892</v>
          </cell>
          <cell r="L49">
            <v>-0.18076192285768566</v>
          </cell>
          <cell r="M49">
            <v>1135.9777777777776</v>
          </cell>
          <cell r="N49">
            <v>0</v>
          </cell>
          <cell r="O49">
            <v>4.5702087286527515</v>
          </cell>
        </row>
        <row r="50">
          <cell r="B50">
            <v>1982</v>
          </cell>
          <cell r="C50">
            <v>4.353415559772297</v>
          </cell>
          <cell r="D50">
            <v>4.6840000000000002</v>
          </cell>
          <cell r="E50">
            <v>-0.12004508735675379</v>
          </cell>
          <cell r="F50">
            <v>21</v>
          </cell>
          <cell r="G50">
            <v>51235.085643715902</v>
          </cell>
          <cell r="H50">
            <v>-0.18231227262694782</v>
          </cell>
          <cell r="I50">
            <v>-5.2854008620835113E-2</v>
          </cell>
          <cell r="J50">
            <v>1075936.7985180339</v>
          </cell>
          <cell r="K50">
            <v>51235.085643715902</v>
          </cell>
          <cell r="L50">
            <v>-0.21947989659845013</v>
          </cell>
          <cell r="M50">
            <v>1075.936798518034</v>
          </cell>
          <cell r="N50">
            <v>0</v>
          </cell>
          <cell r="O50">
            <v>4.4008538899430745</v>
          </cell>
        </row>
        <row r="51">
          <cell r="B51">
            <v>1982</v>
          </cell>
          <cell r="C51">
            <v>4.3074003795066416</v>
          </cell>
          <cell r="D51">
            <v>4.7169999999999996</v>
          </cell>
          <cell r="E51">
            <v>-0.14747876378095082</v>
          </cell>
          <cell r="F51">
            <v>20</v>
          </cell>
          <cell r="G51">
            <v>54754.603524229067</v>
          </cell>
          <cell r="H51">
            <v>-0.23229429888430742</v>
          </cell>
          <cell r="I51">
            <v>6.8693510243889699E-2</v>
          </cell>
          <cell r="J51">
            <v>1095092.0704845814</v>
          </cell>
          <cell r="K51">
            <v>52147.241451646732</v>
          </cell>
          <cell r="L51">
            <v>-0.19188873566769193</v>
          </cell>
          <cell r="M51">
            <v>1095.0920704845814</v>
          </cell>
          <cell r="N51">
            <v>0</v>
          </cell>
          <cell r="O51">
            <v>4.2816255534471859</v>
          </cell>
        </row>
        <row r="52">
          <cell r="B52">
            <v>1982</v>
          </cell>
          <cell r="C52">
            <v>4.1669829222011385</v>
          </cell>
          <cell r="D52">
            <v>4.681</v>
          </cell>
          <cell r="E52">
            <v>-0.13008734435978442</v>
          </cell>
          <cell r="F52">
            <v>18</v>
          </cell>
          <cell r="G52">
            <v>62408.596437968015</v>
          </cell>
          <cell r="H52">
            <v>7.3966241531130184E-2</v>
          </cell>
          <cell r="I52">
            <v>0.13978720365223785</v>
          </cell>
          <cell r="J52">
            <v>1123354.7358834243</v>
          </cell>
          <cell r="K52">
            <v>53493.082661115441</v>
          </cell>
          <cell r="L52">
            <v>-3.3430382621982835E-2</v>
          </cell>
          <cell r="M52">
            <v>1123.3547358834244</v>
          </cell>
          <cell r="N52">
            <v>0</v>
          </cell>
          <cell r="O52">
            <v>4.2759329538266924</v>
          </cell>
        </row>
        <row r="53">
          <cell r="B53">
            <v>1983</v>
          </cell>
          <cell r="C53">
            <v>3.9947817836812143</v>
          </cell>
          <cell r="D53">
            <v>4.6509999999999998</v>
          </cell>
          <cell r="E53">
            <v>-0.1130816170861938</v>
          </cell>
          <cell r="F53">
            <v>21</v>
          </cell>
          <cell r="G53">
            <v>55441.373889539194</v>
          </cell>
          <cell r="H53">
            <v>-0.10325655891456975</v>
          </cell>
          <cell r="I53">
            <v>-0.11163882775915335</v>
          </cell>
          <cell r="J53">
            <v>1164268.851680323</v>
          </cell>
          <cell r="K53">
            <v>55441.373889539194</v>
          </cell>
          <cell r="L53">
            <v>-5.8419386860298239E-2</v>
          </cell>
          <cell r="M53">
            <v>1164.268851680323</v>
          </cell>
          <cell r="N53">
            <v>0</v>
          </cell>
          <cell r="O53">
            <v>4.1563883617963313</v>
          </cell>
        </row>
        <row r="54">
          <cell r="B54">
            <v>1983</v>
          </cell>
          <cell r="C54">
            <v>3.9943074003795069</v>
          </cell>
          <cell r="D54">
            <v>4.6660000000000004</v>
          </cell>
          <cell r="E54">
            <v>-0.10835085037263503</v>
          </cell>
          <cell r="F54">
            <v>20</v>
          </cell>
          <cell r="G54">
            <v>58408.123515439431</v>
          </cell>
          <cell r="H54">
            <v>-5.9638426521258836E-2</v>
          </cell>
          <cell r="I54">
            <v>5.351147379231902E-2</v>
          </cell>
          <cell r="J54">
            <v>1168162.4703087886</v>
          </cell>
          <cell r="K54">
            <v>55626.784300418505</v>
          </cell>
          <cell r="L54">
            <v>-5.9638426521258947E-2</v>
          </cell>
          <cell r="M54">
            <v>1168.1624703087887</v>
          </cell>
          <cell r="N54">
            <v>0</v>
          </cell>
          <cell r="O54">
            <v>4.0520240354206196</v>
          </cell>
        </row>
        <row r="55">
          <cell r="B55">
            <v>1983</v>
          </cell>
          <cell r="C55">
            <v>3.8515180265654649</v>
          </cell>
          <cell r="D55">
            <v>4.8049999999999997</v>
          </cell>
          <cell r="E55">
            <v>-7.0959010054137628E-2</v>
          </cell>
          <cell r="F55">
            <v>23</v>
          </cell>
          <cell r="G55">
            <v>54241.741058279833</v>
          </cell>
          <cell r="H55">
            <v>7.9963148704398357E-3</v>
          </cell>
          <cell r="I55">
            <v>-7.1332242955181924E-2</v>
          </cell>
          <cell r="J55">
            <v>1247560.0443404361</v>
          </cell>
          <cell r="K55">
            <v>59407.621159068389</v>
          </cell>
          <cell r="L55">
            <v>7.9963148704398357E-3</v>
          </cell>
          <cell r="M55">
            <v>1247.5600443404362</v>
          </cell>
          <cell r="N55">
            <v>0</v>
          </cell>
          <cell r="O55">
            <v>3.9468690702087286</v>
          </cell>
        </row>
        <row r="56">
          <cell r="B56">
            <v>1983</v>
          </cell>
          <cell r="C56">
            <v>3.586337760910816</v>
          </cell>
          <cell r="D56">
            <v>4.7489999999999997</v>
          </cell>
          <cell r="E56">
            <v>-6.5709226834546608E-2</v>
          </cell>
          <cell r="F56">
            <v>20</v>
          </cell>
          <cell r="G56">
            <v>66209.603174603166</v>
          </cell>
          <cell r="H56">
            <v>0.1145310348219557</v>
          </cell>
          <cell r="I56">
            <v>0.22063934311150724</v>
          </cell>
          <cell r="J56">
            <v>1324192.0634920634</v>
          </cell>
          <cell r="K56">
            <v>63056.764928193494</v>
          </cell>
          <cell r="L56">
            <v>6.1458128401862488E-2</v>
          </cell>
          <cell r="M56">
            <v>1324.1920634920634</v>
          </cell>
          <cell r="N56">
            <v>0</v>
          </cell>
          <cell r="O56">
            <v>3.8107210626185957</v>
          </cell>
        </row>
        <row r="57">
          <cell r="B57">
            <v>1983</v>
          </cell>
          <cell r="C57">
            <v>3.8851992409867173</v>
          </cell>
          <cell r="D57">
            <v>5.0709999999999997</v>
          </cell>
          <cell r="E57">
            <v>9.7570688968537933E-3</v>
          </cell>
          <cell r="F57">
            <v>21</v>
          </cell>
          <cell r="G57">
            <v>62152.846095703244</v>
          </cell>
          <cell r="H57">
            <v>5.4435546100790377E-2</v>
          </cell>
          <cell r="I57">
            <v>-6.1271430191202625E-2</v>
          </cell>
          <cell r="J57">
            <v>1305209.7680097681</v>
          </cell>
          <cell r="K57">
            <v>62152.846095703244</v>
          </cell>
          <cell r="L57">
            <v>0.10715732340582984</v>
          </cell>
          <cell r="M57">
            <v>1305.2097680097681</v>
          </cell>
          <cell r="N57">
            <v>0</v>
          </cell>
          <cell r="O57">
            <v>3.7743516761543323</v>
          </cell>
        </row>
        <row r="58">
          <cell r="B58">
            <v>1983</v>
          </cell>
          <cell r="C58">
            <v>3.8614800759013286</v>
          </cell>
          <cell r="D58">
            <v>5.1470000000000002</v>
          </cell>
          <cell r="E58">
            <v>1.4987182015381739E-2</v>
          </cell>
          <cell r="F58">
            <v>22</v>
          </cell>
          <cell r="G58">
            <v>60586.75452311815</v>
          </cell>
          <cell r="H58">
            <v>0.21249820121837448</v>
          </cell>
          <cell r="I58">
            <v>-2.5197423303409461E-2</v>
          </cell>
          <cell r="J58">
            <v>1332908.5995085994</v>
          </cell>
          <cell r="K58">
            <v>63471.838071838065</v>
          </cell>
          <cell r="L58">
            <v>0.21249820121837448</v>
          </cell>
          <cell r="M58">
            <v>1332.9085995085993</v>
          </cell>
          <cell r="N58">
            <v>0</v>
          </cell>
          <cell r="O58">
            <v>3.7776723592662873</v>
          </cell>
        </row>
        <row r="59">
          <cell r="B59">
            <v>1983</v>
          </cell>
          <cell r="C59">
            <v>3.9848197343453515</v>
          </cell>
          <cell r="D59">
            <v>5.2709999999999999</v>
          </cell>
          <cell r="E59">
            <v>4.7496025437201883E-2</v>
          </cell>
          <cell r="F59">
            <v>20</v>
          </cell>
          <cell r="G59">
            <v>66138.499999999985</v>
          </cell>
          <cell r="H59">
            <v>0.34184240858505532</v>
          </cell>
          <cell r="I59">
            <v>9.1632990091315314E-2</v>
          </cell>
          <cell r="J59">
            <v>1322769.9999999998</v>
          </cell>
          <cell r="K59">
            <v>62989.047619047611</v>
          </cell>
          <cell r="L59">
            <v>0.27794515103338613</v>
          </cell>
          <cell r="M59">
            <v>1322.7699999999998</v>
          </cell>
          <cell r="N59">
            <v>0</v>
          </cell>
          <cell r="O59">
            <v>3.9104996837444657</v>
          </cell>
        </row>
        <row r="60">
          <cell r="B60">
            <v>1983</v>
          </cell>
          <cell r="C60">
            <v>3.9278937381404169</v>
          </cell>
          <cell r="D60">
            <v>5.45</v>
          </cell>
          <cell r="E60">
            <v>9.7683786505538883E-2</v>
          </cell>
          <cell r="F60">
            <v>23</v>
          </cell>
          <cell r="G60">
            <v>60326.612056290702</v>
          </cell>
          <cell r="H60">
            <v>0.24701581518011095</v>
          </cell>
          <cell r="I60">
            <v>-8.7874504920874896E-2</v>
          </cell>
          <cell r="J60">
            <v>1387512.0772946861</v>
          </cell>
          <cell r="K60">
            <v>66072.003680699345</v>
          </cell>
          <cell r="L60">
            <v>0.30369835223375241</v>
          </cell>
          <cell r="M60">
            <v>1387.5120772946862</v>
          </cell>
          <cell r="N60">
            <v>0</v>
          </cell>
          <cell r="O60">
            <v>3.9247311827956994</v>
          </cell>
        </row>
        <row r="61">
          <cell r="B61">
            <v>1983</v>
          </cell>
          <cell r="C61">
            <v>3.6162239089184061</v>
          </cell>
          <cell r="D61">
            <v>5.3840000000000003</v>
          </cell>
          <cell r="E61">
            <v>0.1327582579423523</v>
          </cell>
          <cell r="F61">
            <v>21</v>
          </cell>
          <cell r="G61">
            <v>70897.421962357024</v>
          </cell>
          <cell r="H61">
            <v>0.31062938935478757</v>
          </cell>
          <cell r="I61">
            <v>0.17522631465202632</v>
          </cell>
          <cell r="J61">
            <v>1488845.8612094976</v>
          </cell>
          <cell r="K61">
            <v>70897.421962357024</v>
          </cell>
          <cell r="L61">
            <v>0.31062938935478757</v>
          </cell>
          <cell r="M61">
            <v>1488.8458612094976</v>
          </cell>
          <cell r="N61">
            <v>0</v>
          </cell>
          <cell r="O61">
            <v>3.8429791271347242</v>
          </cell>
        </row>
        <row r="62">
          <cell r="B62">
            <v>1983</v>
          </cell>
          <cell r="C62">
            <v>3.5166034155597723</v>
          </cell>
          <cell r="D62">
            <v>5.4909999999999997</v>
          </cell>
          <cell r="E62">
            <v>0.17228864218616557</v>
          </cell>
          <cell r="F62">
            <v>21</v>
          </cell>
          <cell r="G62">
            <v>74354.756444598621</v>
          </cell>
          <cell r="H62">
            <v>0.45124684599250586</v>
          </cell>
          <cell r="I62">
            <v>4.8765306079497028E-2</v>
          </cell>
          <cell r="J62">
            <v>1561449.8853365711</v>
          </cell>
          <cell r="K62">
            <v>74354.756444598621</v>
          </cell>
          <cell r="L62">
            <v>0.45124684599250586</v>
          </cell>
          <cell r="M62">
            <v>1561.4498853365712</v>
          </cell>
          <cell r="N62">
            <v>0</v>
          </cell>
          <cell r="O62">
            <v>3.6869070208728645</v>
          </cell>
        </row>
        <row r="63">
          <cell r="B63">
            <v>1983</v>
          </cell>
          <cell r="C63">
            <v>3.5104364326375719</v>
          </cell>
          <cell r="D63">
            <v>5.5810000000000004</v>
          </cell>
          <cell r="E63">
            <v>0.18316726733093081</v>
          </cell>
          <cell r="F63">
            <v>20</v>
          </cell>
          <cell r="G63">
            <v>79491.540540540518</v>
          </cell>
          <cell r="H63">
            <v>0.45177821450876343</v>
          </cell>
          <cell r="I63">
            <v>6.9084808310404311E-2</v>
          </cell>
          <cell r="J63">
            <v>1589830.8108108104</v>
          </cell>
          <cell r="K63">
            <v>75706.229086229068</v>
          </cell>
          <cell r="L63">
            <v>0.45177821450876343</v>
          </cell>
          <cell r="M63">
            <v>1589.8308108108104</v>
          </cell>
          <cell r="N63">
            <v>0</v>
          </cell>
          <cell r="O63">
            <v>3.5477545857052504</v>
          </cell>
        </row>
        <row r="64">
          <cell r="B64">
            <v>1983</v>
          </cell>
          <cell r="C64">
            <v>3.4411764705882359</v>
          </cell>
          <cell r="D64">
            <v>5.6859999999999999</v>
          </cell>
          <cell r="E64">
            <v>0.21469771416364014</v>
          </cell>
          <cell r="F64">
            <v>18</v>
          </cell>
          <cell r="G64">
            <v>91796.771130104447</v>
          </cell>
          <cell r="H64">
            <v>0.47089946528996629</v>
          </cell>
          <cell r="I64">
            <v>0.15479924663541134</v>
          </cell>
          <cell r="J64">
            <v>1652341.88034188</v>
          </cell>
          <cell r="K64">
            <v>78682.946682946669</v>
          </cell>
          <cell r="L64">
            <v>0.47089946528996629</v>
          </cell>
          <cell r="M64">
            <v>1652.3418803418799</v>
          </cell>
          <cell r="N64">
            <v>0</v>
          </cell>
          <cell r="O64">
            <v>3.4894054395951932</v>
          </cell>
        </row>
        <row r="65">
          <cell r="B65">
            <v>1984</v>
          </cell>
          <cell r="C65">
            <v>3.5962998102466792</v>
          </cell>
          <cell r="D65">
            <v>5.758</v>
          </cell>
          <cell r="E65">
            <v>0.23801333046656636</v>
          </cell>
          <cell r="F65">
            <v>21</v>
          </cell>
          <cell r="G65">
            <v>76242.38541215194</v>
          </cell>
          <cell r="H65">
            <v>0.37518932276203065</v>
          </cell>
          <cell r="I65">
            <v>-0.16944371274134606</v>
          </cell>
          <cell r="J65">
            <v>1601090.0936551907</v>
          </cell>
          <cell r="K65">
            <v>76242.38541215194</v>
          </cell>
          <cell r="L65">
            <v>0.37518932276203065</v>
          </cell>
          <cell r="M65">
            <v>1601.0900936551907</v>
          </cell>
          <cell r="N65">
            <v>0</v>
          </cell>
          <cell r="O65">
            <v>3.5159709044908287</v>
          </cell>
        </row>
        <row r="66">
          <cell r="B66">
            <v>1984</v>
          </cell>
          <cell r="C66">
            <v>3.6461100569259965</v>
          </cell>
          <cell r="D66">
            <v>5.9610000000000003</v>
          </cell>
          <cell r="E66">
            <v>0.27753964852121737</v>
          </cell>
          <cell r="F66">
            <v>21</v>
          </cell>
          <cell r="G66">
            <v>77852.050109661344</v>
          </cell>
          <cell r="H66">
            <v>0.33289764203916206</v>
          </cell>
          <cell r="I66">
            <v>2.1112465052186558E-2</v>
          </cell>
          <cell r="J66">
            <v>1634893.0523028881</v>
          </cell>
          <cell r="K66">
            <v>77852.050109661344</v>
          </cell>
          <cell r="L66">
            <v>0.39954252414112013</v>
          </cell>
          <cell r="M66">
            <v>1634.8930523028882</v>
          </cell>
          <cell r="N66">
            <v>0</v>
          </cell>
          <cell r="O66">
            <v>3.5611954459203035</v>
          </cell>
        </row>
        <row r="67">
          <cell r="B67">
            <v>1984</v>
          </cell>
          <cell r="C67">
            <v>3.6423149905123346</v>
          </cell>
          <cell r="D67">
            <v>6.2190000000000003</v>
          </cell>
          <cell r="E67">
            <v>0.29427679500520298</v>
          </cell>
          <cell r="F67">
            <v>22</v>
          </cell>
          <cell r="G67">
            <v>77610.480949110788</v>
          </cell>
          <cell r="H67">
            <v>0.43082577061312444</v>
          </cell>
          <cell r="I67">
            <v>-3.1029261298871624E-3</v>
          </cell>
          <cell r="J67">
            <v>1707430.5808804373</v>
          </cell>
          <cell r="K67">
            <v>81306.218137163683</v>
          </cell>
          <cell r="L67">
            <v>0.36861595449951023</v>
          </cell>
          <cell r="M67">
            <v>1707.4305808804372</v>
          </cell>
          <cell r="N67">
            <v>0</v>
          </cell>
          <cell r="O67">
            <v>3.6282416192283367</v>
          </cell>
        </row>
        <row r="68">
          <cell r="B68">
            <v>1984</v>
          </cell>
          <cell r="C68">
            <v>3.8553130929791277</v>
          </cell>
          <cell r="D68">
            <v>6.4260000000000002</v>
          </cell>
          <cell r="E68">
            <v>0.35312697409981064</v>
          </cell>
          <cell r="F68">
            <v>21</v>
          </cell>
          <cell r="G68">
            <v>79370.985603543726</v>
          </cell>
          <cell r="H68">
            <v>0.1987835872423569</v>
          </cell>
          <cell r="I68">
            <v>2.2683851883192219E-2</v>
          </cell>
          <cell r="J68">
            <v>1666790.6976744183</v>
          </cell>
          <cell r="K68">
            <v>79370.985603543726</v>
          </cell>
          <cell r="L68">
            <v>0.25872276660447469</v>
          </cell>
          <cell r="M68">
            <v>1666.7906976744184</v>
          </cell>
          <cell r="N68">
            <v>0</v>
          </cell>
          <cell r="O68">
            <v>3.7145793801391527</v>
          </cell>
        </row>
        <row r="69">
          <cell r="B69">
            <v>1984</v>
          </cell>
          <cell r="C69">
            <v>4.0075901328273247</v>
          </cell>
          <cell r="D69">
            <v>6.5730000000000004</v>
          </cell>
          <cell r="E69">
            <v>0.29619404456714671</v>
          </cell>
          <cell r="F69">
            <v>22</v>
          </cell>
          <cell r="G69">
            <v>74551.717458677682</v>
          </cell>
          <cell r="H69">
            <v>0.1994900015340022</v>
          </cell>
          <cell r="I69">
            <v>-6.0718260057121887E-2</v>
          </cell>
          <cell r="J69">
            <v>1640137.7840909089</v>
          </cell>
          <cell r="K69">
            <v>78101.79924242424</v>
          </cell>
          <cell r="L69">
            <v>0.25660857303562135</v>
          </cell>
          <cell r="M69">
            <v>1640.137784090909</v>
          </cell>
          <cell r="N69">
            <v>0</v>
          </cell>
          <cell r="O69">
            <v>3.8350727387729293</v>
          </cell>
        </row>
        <row r="70">
          <cell r="B70">
            <v>1984</v>
          </cell>
          <cell r="C70">
            <v>3.9748576850094888</v>
          </cell>
          <cell r="D70">
            <v>6.5549999999999997</v>
          </cell>
          <cell r="E70">
            <v>0.27355741208470952</v>
          </cell>
          <cell r="F70">
            <v>21</v>
          </cell>
          <cell r="G70">
            <v>78529.316488500146</v>
          </cell>
          <cell r="H70">
            <v>0.2961466100405763</v>
          </cell>
          <cell r="I70">
            <v>5.3353553283693955E-2</v>
          </cell>
          <cell r="J70">
            <v>1649115.646258503</v>
          </cell>
          <cell r="K70">
            <v>78529.316488500146</v>
          </cell>
          <cell r="L70">
            <v>0.23723085503873187</v>
          </cell>
          <cell r="M70">
            <v>1649.1156462585029</v>
          </cell>
          <cell r="N70">
            <v>0</v>
          </cell>
          <cell r="O70">
            <v>3.9459203036053139</v>
          </cell>
        </row>
        <row r="71">
          <cell r="B71">
            <v>1984</v>
          </cell>
          <cell r="C71">
            <v>4.2338709677419359</v>
          </cell>
          <cell r="D71">
            <v>6.4969999999999999</v>
          </cell>
          <cell r="E71">
            <v>0.2325934357806867</v>
          </cell>
          <cell r="F71">
            <v>21</v>
          </cell>
          <cell r="G71">
            <v>73072.834467120163</v>
          </cell>
          <cell r="H71">
            <v>0.10484565672218427</v>
          </cell>
          <cell r="I71">
            <v>-6.9483375959079274E-2</v>
          </cell>
          <cell r="J71">
            <v>1534529.5238095233</v>
          </cell>
          <cell r="K71">
            <v>73072.834467120163</v>
          </cell>
          <cell r="L71">
            <v>0.16008793955829326</v>
          </cell>
          <cell r="M71">
            <v>1534.5295238095234</v>
          </cell>
          <cell r="N71">
            <v>0</v>
          </cell>
          <cell r="O71">
            <v>4.0721062618595836</v>
          </cell>
        </row>
        <row r="72">
          <cell r="B72">
            <v>1984</v>
          </cell>
          <cell r="C72">
            <v>4.2006641366223922</v>
          </cell>
          <cell r="D72">
            <v>6.3970000000000002</v>
          </cell>
          <cell r="E72">
            <v>0.17376146788990821</v>
          </cell>
          <cell r="F72">
            <v>23</v>
          </cell>
          <cell r="G72">
            <v>66211.062283652049</v>
          </cell>
          <cell r="H72">
            <v>9.754319075419926E-2</v>
          </cell>
          <cell r="I72">
            <v>-9.3903188969022944E-2</v>
          </cell>
          <cell r="J72">
            <v>1522854.432523997</v>
          </cell>
          <cell r="K72">
            <v>72516.877739237956</v>
          </cell>
          <cell r="L72">
            <v>9.754319075419926E-2</v>
          </cell>
          <cell r="M72">
            <v>1522.854432523997</v>
          </cell>
          <cell r="N72">
            <v>0</v>
          </cell>
          <cell r="O72">
            <v>4.1364642631246058</v>
          </cell>
        </row>
        <row r="73">
          <cell r="B73">
            <v>1984</v>
          </cell>
          <cell r="C73">
            <v>3.7224857685009489</v>
          </cell>
          <cell r="D73">
            <v>6.17</v>
          </cell>
          <cell r="E73">
            <v>0.1459881129271916</v>
          </cell>
          <cell r="F73">
            <v>19</v>
          </cell>
          <cell r="G73">
            <v>87236.557048285293</v>
          </cell>
          <cell r="H73">
            <v>0.23046162517169577</v>
          </cell>
          <cell r="I73">
            <v>0.31755259679355086</v>
          </cell>
          <cell r="J73">
            <v>1657494.5839174206</v>
          </cell>
          <cell r="K73">
            <v>78928.313519877178</v>
          </cell>
          <cell r="L73">
            <v>0.11327480372677234</v>
          </cell>
          <cell r="M73">
            <v>1657.4945839174206</v>
          </cell>
          <cell r="N73">
            <v>0</v>
          </cell>
          <cell r="O73">
            <v>4.052340290955093</v>
          </cell>
        </row>
        <row r="74">
          <cell r="B74">
            <v>1984</v>
          </cell>
          <cell r="C74">
            <v>3.9169829222011385</v>
          </cell>
          <cell r="D74">
            <v>6.3040000000000003</v>
          </cell>
          <cell r="E74">
            <v>0.14806046257512295</v>
          </cell>
          <cell r="F74">
            <v>23</v>
          </cell>
          <cell r="G74">
            <v>69973.998346593929</v>
          </cell>
          <cell r="H74">
            <v>-5.8916985374954156E-2</v>
          </cell>
          <cell r="I74">
            <v>-0.19788216414979065</v>
          </cell>
          <cell r="J74">
            <v>1609401.9619716604</v>
          </cell>
          <cell r="K74">
            <v>76638.188665317168</v>
          </cell>
          <cell r="L74">
            <v>3.0709968398859866E-2</v>
          </cell>
          <cell r="M74">
            <v>1609.4019619716603</v>
          </cell>
          <cell r="N74">
            <v>0</v>
          </cell>
          <cell r="O74">
            <v>3.9467109424414932</v>
          </cell>
        </row>
        <row r="75">
          <cell r="B75">
            <v>1984</v>
          </cell>
          <cell r="C75">
            <v>3.6053130929791273</v>
          </cell>
          <cell r="D75">
            <v>5.9989999999999997</v>
          </cell>
          <cell r="E75">
            <v>7.4896971868840589E-2</v>
          </cell>
          <cell r="F75">
            <v>20</v>
          </cell>
          <cell r="G75">
            <v>83196.65789473684</v>
          </cell>
          <cell r="H75">
            <v>4.6610209451239948E-2</v>
          </cell>
          <cell r="I75">
            <v>0.18896532798724275</v>
          </cell>
          <cell r="J75">
            <v>1663933.1578947369</v>
          </cell>
          <cell r="K75">
            <v>79234.912280701756</v>
          </cell>
          <cell r="L75">
            <v>4.6610209451239948E-2</v>
          </cell>
          <cell r="M75">
            <v>1663.933157894737</v>
          </cell>
          <cell r="N75">
            <v>0</v>
          </cell>
          <cell r="O75">
            <v>3.7482605945604051</v>
          </cell>
        </row>
        <row r="76">
          <cell r="B76">
            <v>1984</v>
          </cell>
          <cell r="C76">
            <v>3.6631878557874766</v>
          </cell>
          <cell r="D76">
            <v>5.9989999999999997</v>
          </cell>
          <cell r="E76">
            <v>5.5047485051002321E-2</v>
          </cell>
          <cell r="F76">
            <v>18</v>
          </cell>
          <cell r="G76">
            <v>90980.258424702857</v>
          </cell>
          <cell r="H76">
            <v>-8.8947867702703354E-3</v>
          </cell>
          <cell r="I76">
            <v>9.3556649112204626E-2</v>
          </cell>
          <cell r="J76">
            <v>1637644.6516446513</v>
          </cell>
          <cell r="K76">
            <v>77983.078649745294</v>
          </cell>
          <cell r="L76">
            <v>-8.8947867702705574E-3</v>
          </cell>
          <cell r="M76">
            <v>1637.6446516446513</v>
          </cell>
          <cell r="N76">
            <v>0</v>
          </cell>
          <cell r="O76">
            <v>3.728494623655914</v>
          </cell>
        </row>
        <row r="77">
          <cell r="B77">
            <v>1985</v>
          </cell>
          <cell r="C77">
            <v>3.5588235294117654</v>
          </cell>
          <cell r="D77">
            <v>5.8840000000000003</v>
          </cell>
          <cell r="E77">
            <v>2.1882598124348895E-2</v>
          </cell>
          <cell r="F77">
            <v>22</v>
          </cell>
          <cell r="G77">
            <v>75152.516904583012</v>
          </cell>
          <cell r="H77">
            <v>-1.4294785002820998E-2</v>
          </cell>
          <cell r="I77">
            <v>-0.17396896639087056</v>
          </cell>
          <cell r="J77">
            <v>1653355.3719008262</v>
          </cell>
          <cell r="K77">
            <v>78731.208185753625</v>
          </cell>
          <cell r="L77">
            <v>3.264355856847323E-2</v>
          </cell>
          <cell r="M77">
            <v>1653.3553719008262</v>
          </cell>
          <cell r="N77">
            <v>0</v>
          </cell>
          <cell r="O77">
            <v>3.6091081593927896</v>
          </cell>
        </row>
        <row r="78">
          <cell r="B78">
            <v>1985</v>
          </cell>
          <cell r="C78">
            <v>3.4345351043643269</v>
          </cell>
          <cell r="D78">
            <v>5.9009999999999998</v>
          </cell>
          <cell r="E78">
            <v>-1.0065425264217498E-2</v>
          </cell>
          <cell r="F78">
            <v>20</v>
          </cell>
          <cell r="G78">
            <v>85906.823204419881</v>
          </cell>
          <cell r="H78">
            <v>0.1034625688522357</v>
          </cell>
          <cell r="I78">
            <v>0.14309974892113075</v>
          </cell>
          <cell r="J78">
            <v>1718136.4640883976</v>
          </cell>
          <cell r="K78">
            <v>81816.022099447509</v>
          </cell>
          <cell r="L78">
            <v>5.0916732240224416E-2</v>
          </cell>
          <cell r="M78">
            <v>1718.1364640883976</v>
          </cell>
          <cell r="N78">
            <v>0</v>
          </cell>
          <cell r="O78">
            <v>3.5521821631878563</v>
          </cell>
        </row>
        <row r="79">
          <cell r="B79">
            <v>1985</v>
          </cell>
          <cell r="C79">
            <v>3.3970588235294121</v>
          </cell>
          <cell r="D79">
            <v>5.8840000000000003</v>
          </cell>
          <cell r="E79">
            <v>-5.3867181218845483E-2</v>
          </cell>
          <cell r="F79">
            <v>21</v>
          </cell>
          <cell r="G79">
            <v>82480.313337456188</v>
          </cell>
          <cell r="H79">
            <v>6.2747097154810083E-2</v>
          </cell>
          <cell r="I79">
            <v>-3.9886352901330469E-2</v>
          </cell>
          <cell r="J79">
            <v>1732086.58008658</v>
          </cell>
          <cell r="K79">
            <v>82480.313337456188</v>
          </cell>
          <cell r="L79">
            <v>1.4440410920500524E-2</v>
          </cell>
          <cell r="M79">
            <v>1732.0865800865799</v>
          </cell>
          <cell r="N79">
            <v>0</v>
          </cell>
          <cell r="O79">
            <v>3.4634724857685009</v>
          </cell>
        </row>
        <row r="80">
          <cell r="B80">
            <v>1985</v>
          </cell>
          <cell r="C80">
            <v>3.537950664136623</v>
          </cell>
          <cell r="D80">
            <v>5.9550000000000001</v>
          </cell>
          <cell r="E80">
            <v>-7.3295985060690905E-2</v>
          </cell>
          <cell r="F80">
            <v>22</v>
          </cell>
          <cell r="G80">
            <v>76508.081620712343</v>
          </cell>
          <cell r="H80">
            <v>-3.6069905911607636E-2</v>
          </cell>
          <cell r="I80">
            <v>-7.2407965914354944E-2</v>
          </cell>
          <cell r="J80">
            <v>1683177.7956556715</v>
          </cell>
          <cell r="K80">
            <v>80151.323602651028</v>
          </cell>
          <cell r="L80">
            <v>9.8315271402207305E-3</v>
          </cell>
          <cell r="M80">
            <v>1683.1777956556716</v>
          </cell>
          <cell r="N80">
            <v>0</v>
          </cell>
          <cell r="O80">
            <v>3.4565148640101206</v>
          </cell>
        </row>
        <row r="81">
          <cell r="B81">
            <v>1985</v>
          </cell>
          <cell r="C81">
            <v>3.5170777988614805</v>
          </cell>
          <cell r="D81">
            <v>5.976</v>
          </cell>
          <cell r="E81">
            <v>-9.0826106800547701E-2</v>
          </cell>
          <cell r="F81">
            <v>22</v>
          </cell>
          <cell r="G81">
            <v>77233.538514358574</v>
          </cell>
          <cell r="H81">
            <v>3.597262607890106E-2</v>
          </cell>
          <cell r="I81">
            <v>9.4820949405407529E-3</v>
          </cell>
          <cell r="J81">
            <v>1699137.8473158886</v>
          </cell>
          <cell r="K81">
            <v>80911.326062661363</v>
          </cell>
          <cell r="L81">
            <v>3.597262607890106E-2</v>
          </cell>
          <cell r="M81">
            <v>1699.1378473158886</v>
          </cell>
          <cell r="N81">
            <v>0</v>
          </cell>
          <cell r="O81">
            <v>3.4840290955091717</v>
          </cell>
        </row>
        <row r="82">
          <cell r="B82">
            <v>1985</v>
          </cell>
          <cell r="C82">
            <v>3.4155597722960156</v>
          </cell>
          <cell r="D82">
            <v>5.9660000000000002</v>
          </cell>
          <cell r="E82">
            <v>-8.9855072463768004E-2</v>
          </cell>
          <cell r="F82">
            <v>20</v>
          </cell>
          <cell r="G82">
            <v>87335.611111111095</v>
          </cell>
          <cell r="H82">
            <v>0.11214021739130442</v>
          </cell>
          <cell r="I82">
            <v>0.13079903874758281</v>
          </cell>
          <cell r="J82">
            <v>1746712.222222222</v>
          </cell>
          <cell r="K82">
            <v>83176.772486772476</v>
          </cell>
          <cell r="L82">
            <v>5.9181159420290008E-2</v>
          </cell>
          <cell r="M82">
            <v>1746.712222222222</v>
          </cell>
          <cell r="N82">
            <v>0</v>
          </cell>
          <cell r="O82">
            <v>3.490196078431373</v>
          </cell>
        </row>
        <row r="83">
          <cell r="B83">
            <v>1985</v>
          </cell>
          <cell r="C83">
            <v>3.8197343453510437</v>
          </cell>
          <cell r="D83">
            <v>6.06</v>
          </cell>
          <cell r="E83">
            <v>-6.7261813144528282E-2</v>
          </cell>
          <cell r="F83">
            <v>22</v>
          </cell>
          <cell r="G83">
            <v>72113.534751388695</v>
          </cell>
          <cell r="H83">
            <v>-1.3127993771243629E-2</v>
          </cell>
          <cell r="I83">
            <v>-0.17429403843475022</v>
          </cell>
          <cell r="J83">
            <v>1586497.7645305514</v>
          </cell>
          <cell r="K83">
            <v>75547.512596692919</v>
          </cell>
          <cell r="L83">
            <v>3.3865911287268569E-2</v>
          </cell>
          <cell r="M83">
            <v>1586.4977645305514</v>
          </cell>
          <cell r="N83">
            <v>0</v>
          </cell>
          <cell r="O83">
            <v>3.5841239721695133</v>
          </cell>
        </row>
        <row r="84">
          <cell r="B84">
            <v>1985</v>
          </cell>
          <cell r="C84">
            <v>3.5901328273244788</v>
          </cell>
          <cell r="D84">
            <v>5.97</v>
          </cell>
          <cell r="E84">
            <v>-6.6750039080819223E-2</v>
          </cell>
          <cell r="F84">
            <v>22</v>
          </cell>
          <cell r="G84">
            <v>75585.960023063599</v>
          </cell>
          <cell r="H84">
            <v>0.14159110903928629</v>
          </cell>
          <cell r="I84">
            <v>4.8152198940824231E-2</v>
          </cell>
          <cell r="J84">
            <v>1662891.1205073991</v>
          </cell>
          <cell r="K84">
            <v>79185.29145273329</v>
          </cell>
          <cell r="L84">
            <v>9.195671299409991E-2</v>
          </cell>
          <cell r="M84">
            <v>1662.8911205073991</v>
          </cell>
          <cell r="N84">
            <v>0</v>
          </cell>
          <cell r="O84">
            <v>3.6084756483238465</v>
          </cell>
        </row>
        <row r="85">
          <cell r="B85">
            <v>1985</v>
          </cell>
          <cell r="C85">
            <v>3.2827324478178364</v>
          </cell>
          <cell r="D85">
            <v>5.7969999999999997</v>
          </cell>
          <cell r="E85">
            <v>-6.0453808752025995E-2</v>
          </cell>
          <cell r="F85">
            <v>20</v>
          </cell>
          <cell r="G85">
            <v>88295.346820809267</v>
          </cell>
          <cell r="H85">
            <v>1.2136996327559491E-2</v>
          </cell>
          <cell r="I85">
            <v>0.16814480882253324</v>
          </cell>
          <cell r="J85">
            <v>1765906.9364161855</v>
          </cell>
          <cell r="K85">
            <v>84090.806496008838</v>
          </cell>
          <cell r="L85">
            <v>6.540736455532592E-2</v>
          </cell>
          <cell r="M85">
            <v>1765.9069364161855</v>
          </cell>
          <cell r="N85">
            <v>0</v>
          </cell>
          <cell r="O85">
            <v>3.564199873497786</v>
          </cell>
        </row>
        <row r="86">
          <cell r="B86">
            <v>1985</v>
          </cell>
          <cell r="C86">
            <v>3.3059772296015182</v>
          </cell>
          <cell r="D86">
            <v>5.6529999999999996</v>
          </cell>
          <cell r="E86">
            <v>-0.10326776649746205</v>
          </cell>
          <cell r="F86">
            <v>23</v>
          </cell>
          <cell r="G86">
            <v>74344.918801899083</v>
          </cell>
          <cell r="H86">
            <v>6.2464923522808968E-2</v>
          </cell>
          <cell r="I86">
            <v>-0.15799731833232211</v>
          </cell>
          <cell r="J86">
            <v>1709933.1324436788</v>
          </cell>
          <cell r="K86">
            <v>81425.3872592228</v>
          </cell>
          <cell r="L86">
            <v>6.2464923522808746E-2</v>
          </cell>
          <cell r="M86">
            <v>1709.9331324436787</v>
          </cell>
          <cell r="N86">
            <v>0</v>
          </cell>
          <cell r="O86">
            <v>3.3929475015812778</v>
          </cell>
        </row>
        <row r="87">
          <cell r="B87">
            <v>1985</v>
          </cell>
          <cell r="C87">
            <v>3.1546489563567364</v>
          </cell>
          <cell r="D87">
            <v>5.6260000000000003</v>
          </cell>
          <cell r="E87">
            <v>-6.2177029504917325E-2</v>
          </cell>
          <cell r="F87">
            <v>19</v>
          </cell>
          <cell r="G87">
            <v>93863.142065690539</v>
          </cell>
          <cell r="H87">
            <v>0.12820808480611423</v>
          </cell>
          <cell r="I87">
            <v>0.26253607614798935</v>
          </cell>
          <cell r="J87">
            <v>1783399.6992481202</v>
          </cell>
          <cell r="K87">
            <v>84923.79520229144</v>
          </cell>
          <cell r="L87">
            <v>7.1797680565808486E-2</v>
          </cell>
          <cell r="M87">
            <v>1783.3996992481202</v>
          </cell>
          <cell r="N87">
            <v>0</v>
          </cell>
          <cell r="O87">
            <v>3.2477862112586968</v>
          </cell>
        </row>
        <row r="88">
          <cell r="B88">
            <v>1985</v>
          </cell>
          <cell r="C88">
            <v>3.4881404174573061</v>
          </cell>
          <cell r="D88">
            <v>5.7889999999999997</v>
          </cell>
          <cell r="E88">
            <v>-3.5005834305717576E-2</v>
          </cell>
          <cell r="F88">
            <v>19</v>
          </cell>
          <cell r="G88">
            <v>87348.60815850315</v>
          </cell>
          <cell r="H88">
            <v>-3.9916904272209064E-2</v>
          </cell>
          <cell r="I88">
            <v>-6.9404600824338081E-2</v>
          </cell>
          <cell r="J88">
            <v>1659623.5550115597</v>
          </cell>
          <cell r="K88">
            <v>79029.693095788563</v>
          </cell>
          <cell r="L88">
            <v>1.3421045490446204E-2</v>
          </cell>
          <cell r="M88">
            <v>1659.6235550115598</v>
          </cell>
          <cell r="N88">
            <v>0</v>
          </cell>
          <cell r="O88">
            <v>3.3162555344718534</v>
          </cell>
        </row>
        <row r="89">
          <cell r="B89">
            <v>1986</v>
          </cell>
          <cell r="C89">
            <v>3.402277039848197</v>
          </cell>
          <cell r="D89">
            <v>5.9950000000000001</v>
          </cell>
          <cell r="E89">
            <v>1.8864717878993797E-2</v>
          </cell>
          <cell r="F89">
            <v>22</v>
          </cell>
          <cell r="G89">
            <v>80093.418851087568</v>
          </cell>
          <cell r="H89">
            <v>6.5744996309009096E-2</v>
          </cell>
          <cell r="I89">
            <v>-8.3060159290120339E-2</v>
          </cell>
          <cell r="J89">
            <v>1762055.2147239265</v>
          </cell>
          <cell r="K89">
            <v>83907.391177329831</v>
          </cell>
          <cell r="L89">
            <v>6.5744996309009096E-2</v>
          </cell>
          <cell r="M89">
            <v>1762.0552147239266</v>
          </cell>
          <cell r="N89">
            <v>0</v>
          </cell>
          <cell r="O89">
            <v>3.3483554712207462</v>
          </cell>
        </row>
        <row r="90">
          <cell r="B90">
            <v>1986</v>
          </cell>
          <cell r="C90">
            <v>3.4155597722960152</v>
          </cell>
          <cell r="D90">
            <v>6.0049999999999999</v>
          </cell>
          <cell r="E90">
            <v>1.7624131503135132E-2</v>
          </cell>
          <cell r="F90">
            <v>20</v>
          </cell>
          <cell r="G90">
            <v>87906.527777777781</v>
          </cell>
          <cell r="H90">
            <v>2.3277598900374841E-2</v>
          </cell>
          <cell r="I90">
            <v>9.7549949031600303E-2</v>
          </cell>
          <cell r="J90">
            <v>1758130.5555555555</v>
          </cell>
          <cell r="K90">
            <v>83720.502645502638</v>
          </cell>
          <cell r="L90">
            <v>2.3277598900374619E-2</v>
          </cell>
          <cell r="M90">
            <v>1758.1305555555555</v>
          </cell>
          <cell r="N90">
            <v>0</v>
          </cell>
          <cell r="O90">
            <v>3.4353257432005062</v>
          </cell>
        </row>
        <row r="91">
          <cell r="B91">
            <v>1986</v>
          </cell>
          <cell r="C91">
            <v>3.4369070208728654</v>
          </cell>
          <cell r="D91">
            <v>5.94</v>
          </cell>
          <cell r="E91">
            <v>9.517335146159045E-3</v>
          </cell>
          <cell r="F91">
            <v>21</v>
          </cell>
          <cell r="G91">
            <v>82299.911268855372</v>
          </cell>
          <cell r="H91">
            <v>-2.187213667129595E-3</v>
          </cell>
          <cell r="I91">
            <v>-6.3779296608046931E-2</v>
          </cell>
          <cell r="J91">
            <v>1728298.1366459627</v>
          </cell>
          <cell r="K91">
            <v>82299.911268855372</v>
          </cell>
          <cell r="L91">
            <v>-2.187213667129595E-3</v>
          </cell>
          <cell r="M91">
            <v>1728.2981366459628</v>
          </cell>
          <cell r="N91">
            <v>0</v>
          </cell>
          <cell r="O91">
            <v>3.4182479443390257</v>
          </cell>
        </row>
        <row r="92">
          <cell r="B92">
            <v>1986</v>
          </cell>
          <cell r="C92">
            <v>3.391840607210626</v>
          </cell>
          <cell r="D92">
            <v>5.8890000000000002</v>
          </cell>
          <cell r="E92">
            <v>-1.108312342569262E-2</v>
          </cell>
          <cell r="F92">
            <v>22</v>
          </cell>
          <cell r="G92">
            <v>78919.338842975209</v>
          </cell>
          <cell r="H92">
            <v>3.1516372795969971E-2</v>
          </cell>
          <cell r="I92">
            <v>-4.107625845229157E-2</v>
          </cell>
          <cell r="J92">
            <v>1736225.4545454546</v>
          </cell>
          <cell r="K92">
            <v>82677.402597402601</v>
          </cell>
          <cell r="L92">
            <v>3.1516372795969971E-2</v>
          </cell>
          <cell r="M92">
            <v>1736.2254545454546</v>
          </cell>
          <cell r="N92">
            <v>0</v>
          </cell>
          <cell r="O92">
            <v>3.4147691334598353</v>
          </cell>
        </row>
        <row r="93">
          <cell r="B93">
            <v>1986</v>
          </cell>
          <cell r="C93">
            <v>3.4667931688804554</v>
          </cell>
          <cell r="D93">
            <v>5.9989999999999997</v>
          </cell>
          <cell r="E93">
            <v>3.8487282463186556E-3</v>
          </cell>
          <cell r="F93">
            <v>21</v>
          </cell>
          <cell r="G93">
            <v>82400.839262908223</v>
          </cell>
          <cell r="H93">
            <v>6.6904881583135012E-2</v>
          </cell>
          <cell r="I93">
            <v>4.4114667849158185E-2</v>
          </cell>
          <cell r="J93">
            <v>1730417.6245210727</v>
          </cell>
          <cell r="K93">
            <v>82400.839262908223</v>
          </cell>
          <cell r="L93">
            <v>1.8409205147537966E-2</v>
          </cell>
          <cell r="M93">
            <v>1730.4176245210726</v>
          </cell>
          <cell r="N93">
            <v>0</v>
          </cell>
          <cell r="O93">
            <v>3.4318469323213154</v>
          </cell>
        </row>
        <row r="94">
          <cell r="B94">
            <v>1986</v>
          </cell>
          <cell r="C94">
            <v>3.5763757115749528</v>
          </cell>
          <cell r="D94">
            <v>6.0190000000000001</v>
          </cell>
          <cell r="E94">
            <v>8.8836741535367469E-3</v>
          </cell>
          <cell r="F94">
            <v>21</v>
          </cell>
          <cell r="G94">
            <v>80142.320252149133</v>
          </cell>
          <cell r="H94">
            <v>-8.2363777701291108E-2</v>
          </cell>
          <cell r="I94">
            <v>-2.74089321293568E-2</v>
          </cell>
          <cell r="J94">
            <v>1682988.7252951318</v>
          </cell>
          <cell r="K94">
            <v>80142.320252149133</v>
          </cell>
          <cell r="L94">
            <v>-3.6481966586355719E-2</v>
          </cell>
          <cell r="M94">
            <v>1682.9887252951319</v>
          </cell>
          <cell r="N94">
            <v>0</v>
          </cell>
          <cell r="O94">
            <v>3.4783364958886782</v>
          </cell>
        </row>
        <row r="95">
          <cell r="B95">
            <v>1986</v>
          </cell>
          <cell r="C95">
            <v>3.8301707779886147</v>
          </cell>
          <cell r="D95">
            <v>6.0990000000000002</v>
          </cell>
          <cell r="E95">
            <v>6.4356435643564414E-3</v>
          </cell>
          <cell r="F95">
            <v>22</v>
          </cell>
          <cell r="G95">
            <v>72379.872542617159</v>
          </cell>
          <cell r="H95">
            <v>3.6933121105027222E-3</v>
          </cell>
          <cell r="I95">
            <v>-9.6858285174539982E-2</v>
          </cell>
          <cell r="J95">
            <v>1592357.1959375774</v>
          </cell>
          <cell r="K95">
            <v>75826.533139884632</v>
          </cell>
          <cell r="L95">
            <v>3.6933121105025002E-3</v>
          </cell>
          <cell r="M95">
            <v>1592.3571959375774</v>
          </cell>
          <cell r="N95">
            <v>0</v>
          </cell>
          <cell r="O95">
            <v>3.6244465528146743</v>
          </cell>
        </row>
        <row r="96">
          <cell r="B96">
            <v>1986</v>
          </cell>
          <cell r="C96">
            <v>3.6261859582542701</v>
          </cell>
          <cell r="D96">
            <v>6.0460000000000003</v>
          </cell>
          <cell r="E96">
            <v>1.2730318257956563E-2</v>
          </cell>
          <cell r="F96">
            <v>21</v>
          </cell>
          <cell r="G96">
            <v>79396.0280082729</v>
          </cell>
          <cell r="H96">
            <v>5.0407085972669075E-2</v>
          </cell>
          <cell r="I96">
            <v>9.6935172986449158E-2</v>
          </cell>
          <cell r="J96">
            <v>1667316.588173731</v>
          </cell>
          <cell r="K96">
            <v>79396.0280082729</v>
          </cell>
          <cell r="L96">
            <v>2.6613093375478236E-3</v>
          </cell>
          <cell r="M96">
            <v>1667.3165881737309</v>
          </cell>
          <cell r="N96">
            <v>0</v>
          </cell>
          <cell r="O96">
            <v>3.6775774826059457</v>
          </cell>
        </row>
        <row r="97">
          <cell r="B97">
            <v>1986</v>
          </cell>
          <cell r="C97">
            <v>3.2775142314990515</v>
          </cell>
          <cell r="D97">
            <v>5.7149999999999999</v>
          </cell>
          <cell r="E97">
            <v>-1.4145247541831996E-2</v>
          </cell>
          <cell r="F97">
            <v>21</v>
          </cell>
          <cell r="G97">
            <v>83033.31058867315</v>
          </cell>
          <cell r="H97">
            <v>-5.9595849856223349E-2</v>
          </cell>
          <cell r="I97">
            <v>4.5811896031137112E-2</v>
          </cell>
          <cell r="J97">
            <v>1743699.522362136</v>
          </cell>
          <cell r="K97">
            <v>83033.31058867315</v>
          </cell>
          <cell r="L97">
            <v>-1.2575642349034633E-2</v>
          </cell>
          <cell r="M97">
            <v>1743.6995223621361</v>
          </cell>
          <cell r="N97">
            <v>0</v>
          </cell>
          <cell r="O97">
            <v>3.577956989247312</v>
          </cell>
        </row>
        <row r="98">
          <cell r="B98">
            <v>1986</v>
          </cell>
          <cell r="C98">
            <v>3.196869070208729</v>
          </cell>
          <cell r="D98">
            <v>5.5110000000000001</v>
          </cell>
          <cell r="E98">
            <v>-2.5119405625331548E-2</v>
          </cell>
          <cell r="F98">
            <v>23</v>
          </cell>
          <cell r="G98">
            <v>74951.050665496747</v>
          </cell>
          <cell r="H98">
            <v>8.152969609298788E-3</v>
          </cell>
          <cell r="I98">
            <v>-9.733756086414469E-2</v>
          </cell>
          <cell r="J98">
            <v>1723874.1653064252</v>
          </cell>
          <cell r="K98">
            <v>82089.245966972623</v>
          </cell>
          <cell r="L98">
            <v>8.152969609298788E-3</v>
          </cell>
          <cell r="M98">
            <v>1723.8741653064251</v>
          </cell>
          <cell r="N98">
            <v>0</v>
          </cell>
          <cell r="O98">
            <v>3.3668564199873501</v>
          </cell>
        </row>
        <row r="99">
          <cell r="B99">
            <v>1986</v>
          </cell>
          <cell r="C99">
            <v>3.1764705882352948</v>
          </cell>
          <cell r="D99">
            <v>5.4729999999999999</v>
          </cell>
          <cell r="E99">
            <v>-2.7195165303946056E-2</v>
          </cell>
          <cell r="F99">
            <v>18</v>
          </cell>
          <cell r="G99">
            <v>95721.193415637841</v>
          </cell>
          <cell r="H99">
            <v>1.979532443786014E-2</v>
          </cell>
          <cell r="I99">
            <v>0.27711609865000209</v>
          </cell>
          <cell r="J99">
            <v>1722981.4814814811</v>
          </cell>
          <cell r="K99">
            <v>82046.73721340386</v>
          </cell>
          <cell r="L99">
            <v>-3.3878113690448353E-2</v>
          </cell>
          <cell r="M99">
            <v>1722.9814814814811</v>
          </cell>
          <cell r="N99">
            <v>0</v>
          </cell>
          <cell r="O99">
            <v>3.2169512966476916</v>
          </cell>
        </row>
        <row r="100">
          <cell r="B100">
            <v>1986</v>
          </cell>
          <cell r="C100">
            <v>3.6242884250474381</v>
          </cell>
          <cell r="D100">
            <v>5.6550000000000002</v>
          </cell>
          <cell r="E100">
            <v>-2.3147348419416014E-2</v>
          </cell>
          <cell r="F100">
            <v>20</v>
          </cell>
          <cell r="G100">
            <v>78015.314136125657</v>
          </cell>
          <cell r="H100">
            <v>-0.10685109035099061</v>
          </cell>
          <cell r="I100">
            <v>-0.18497344890624401</v>
          </cell>
          <cell r="J100">
            <v>1560306.2827225132</v>
          </cell>
          <cell r="K100">
            <v>74300.299177262539</v>
          </cell>
          <cell r="L100">
            <v>-5.984325300104254E-2</v>
          </cell>
          <cell r="M100">
            <v>1560.3062827225133</v>
          </cell>
          <cell r="N100">
            <v>0</v>
          </cell>
          <cell r="O100">
            <v>3.3325426944971546</v>
          </cell>
        </row>
        <row r="101">
          <cell r="B101">
            <v>1987</v>
          </cell>
          <cell r="C101">
            <v>3.2874762808349152</v>
          </cell>
          <cell r="D101">
            <v>5.8230000000000004</v>
          </cell>
          <cell r="E101">
            <v>-2.8690575479566216E-2</v>
          </cell>
          <cell r="F101">
            <v>21</v>
          </cell>
          <cell r="G101">
            <v>84346.072974644398</v>
          </cell>
          <cell r="H101">
            <v>5.3096174249516181E-2</v>
          </cell>
          <cell r="I101">
            <v>8.1147642723997215E-2</v>
          </cell>
          <cell r="J101">
            <v>1771267.5324675324</v>
          </cell>
          <cell r="K101">
            <v>84346.072974644398</v>
          </cell>
          <cell r="L101">
            <v>5.2281663290836278E-3</v>
          </cell>
          <cell r="M101">
            <v>1771.2675324675324</v>
          </cell>
          <cell r="N101">
            <v>0</v>
          </cell>
          <cell r="O101">
            <v>3.3627450980392162</v>
          </cell>
        </row>
        <row r="102">
          <cell r="B102">
            <v>1987</v>
          </cell>
          <cell r="C102">
            <v>3.2352941176470593</v>
          </cell>
          <cell r="D102">
            <v>5.8940000000000001</v>
          </cell>
          <cell r="E102">
            <v>-1.8484596169858425E-2</v>
          </cell>
          <cell r="F102">
            <v>20</v>
          </cell>
          <cell r="G102">
            <v>91089.090909090897</v>
          </cell>
          <cell r="H102">
            <v>3.6203945392524695E-2</v>
          </cell>
          <cell r="I102">
            <v>7.9944657725482315E-2</v>
          </cell>
          <cell r="J102">
            <v>1821781.8181818179</v>
          </cell>
          <cell r="K102">
            <v>86751.515151515137</v>
          </cell>
          <cell r="L102">
            <v>3.6203945392524695E-2</v>
          </cell>
          <cell r="M102">
            <v>1821.7818181818179</v>
          </cell>
          <cell r="N102">
            <v>0</v>
          </cell>
          <cell r="O102">
            <v>3.382352941176471</v>
          </cell>
        </row>
        <row r="103">
          <cell r="B103">
            <v>1987</v>
          </cell>
          <cell r="C103">
            <v>3.0787476280834918</v>
          </cell>
          <cell r="D103">
            <v>5.8410000000000002</v>
          </cell>
          <cell r="E103">
            <v>-1.6666666666666718E-2</v>
          </cell>
          <cell r="F103">
            <v>22</v>
          </cell>
          <cell r="G103">
            <v>86236.363636363632</v>
          </cell>
          <cell r="H103">
            <v>4.7830578512396693E-2</v>
          </cell>
          <cell r="I103">
            <v>-5.3274516457414212E-2</v>
          </cell>
          <cell r="J103">
            <v>1897200</v>
          </cell>
          <cell r="K103">
            <v>90342.857142857145</v>
          </cell>
          <cell r="L103">
            <v>9.7727272727272663E-2</v>
          </cell>
          <cell r="M103">
            <v>1897.2</v>
          </cell>
          <cell r="N103">
            <v>0</v>
          </cell>
          <cell r="O103">
            <v>3.2005060088551551</v>
          </cell>
        </row>
        <row r="104">
          <cell r="B104">
            <v>1987</v>
          </cell>
          <cell r="C104">
            <v>3.1518026565464901</v>
          </cell>
          <cell r="D104">
            <v>5.7670000000000003</v>
          </cell>
          <cell r="E104">
            <v>-2.0716590253014089E-2</v>
          </cell>
          <cell r="F104">
            <v>22</v>
          </cell>
          <cell r="G104">
            <v>83170.297192271901</v>
          </cell>
          <cell r="H104">
            <v>5.3864596582021251E-2</v>
          </cell>
          <cell r="I104">
            <v>-3.5554217673423039E-2</v>
          </cell>
          <cell r="J104">
            <v>1829746.5382299819</v>
          </cell>
          <cell r="K104">
            <v>87130.787534761039</v>
          </cell>
          <cell r="L104">
            <v>5.3864596582021251E-2</v>
          </cell>
          <cell r="M104">
            <v>1829.746538229982</v>
          </cell>
          <cell r="N104">
            <v>0</v>
          </cell>
          <cell r="O104">
            <v>3.1552814674256804</v>
          </cell>
        </row>
        <row r="105">
          <cell r="B105">
            <v>1987</v>
          </cell>
          <cell r="C105">
            <v>3.1024667931688805</v>
          </cell>
          <cell r="D105">
            <v>5.8170000000000002</v>
          </cell>
          <cell r="E105">
            <v>-3.033838973162184E-2</v>
          </cell>
          <cell r="F105">
            <v>20</v>
          </cell>
          <cell r="G105">
            <v>93747.981651376147</v>
          </cell>
          <cell r="H105">
            <v>0.13770663612131084</v>
          </cell>
          <cell r="I105">
            <v>0.1271810347707536</v>
          </cell>
          <cell r="J105">
            <v>1874959.6330275228</v>
          </cell>
          <cell r="K105">
            <v>89283.792048929652</v>
          </cell>
          <cell r="L105">
            <v>8.3530129639343587E-2</v>
          </cell>
          <cell r="M105">
            <v>1874.9596330275228</v>
          </cell>
          <cell r="N105">
            <v>0</v>
          </cell>
          <cell r="O105">
            <v>3.1110056925996208</v>
          </cell>
        </row>
        <row r="106">
          <cell r="B106">
            <v>1987</v>
          </cell>
          <cell r="C106">
            <v>3.1726755218216325</v>
          </cell>
          <cell r="D106">
            <v>5.6829999999999998</v>
          </cell>
          <cell r="E106">
            <v>-5.582322644957638E-2</v>
          </cell>
          <cell r="F106">
            <v>22</v>
          </cell>
          <cell r="G106">
            <v>81419.666159199638</v>
          </cell>
          <cell r="H106">
            <v>1.5938469251097764E-2</v>
          </cell>
          <cell r="I106">
            <v>-0.1315048630915836</v>
          </cell>
          <cell r="J106">
            <v>1791232.655502392</v>
          </cell>
          <cell r="K106">
            <v>85296.793119161521</v>
          </cell>
          <cell r="L106">
            <v>6.4316491596388081E-2</v>
          </cell>
          <cell r="M106">
            <v>1791.2326555023919</v>
          </cell>
          <cell r="N106">
            <v>0</v>
          </cell>
          <cell r="O106">
            <v>3.1423149905123342</v>
          </cell>
        </row>
        <row r="107">
          <cell r="B107">
            <v>1987</v>
          </cell>
          <cell r="C107">
            <v>3.339658444022771</v>
          </cell>
          <cell r="D107">
            <v>5.78</v>
          </cell>
          <cell r="E107">
            <v>-5.2303656337104432E-2</v>
          </cell>
          <cell r="F107">
            <v>22</v>
          </cell>
          <cell r="G107">
            <v>78668.904958677667</v>
          </cell>
          <cell r="H107">
            <v>8.6889244138383059E-2</v>
          </cell>
          <cell r="I107">
            <v>-3.3784972725673157E-2</v>
          </cell>
          <cell r="J107">
            <v>1730715.9090909087</v>
          </cell>
          <cell r="K107">
            <v>82415.043290043279</v>
          </cell>
          <cell r="L107">
            <v>8.6889244138383281E-2</v>
          </cell>
          <cell r="M107">
            <v>1730.7159090909088</v>
          </cell>
          <cell r="N107">
            <v>0</v>
          </cell>
          <cell r="O107">
            <v>3.204933586337761</v>
          </cell>
        </row>
        <row r="108">
          <cell r="B108">
            <v>1987</v>
          </cell>
          <cell r="C108">
            <v>3.0882352941176476</v>
          </cell>
          <cell r="D108">
            <v>5.6890000000000001</v>
          </cell>
          <cell r="E108">
            <v>-5.9047304002646461E-2</v>
          </cell>
          <cell r="F108">
            <v>21</v>
          </cell>
          <cell r="G108">
            <v>87721.541950113358</v>
          </cell>
          <cell r="H108">
            <v>0.1048605849775377</v>
          </cell>
          <cell r="I108">
            <v>0.11507261981326367</v>
          </cell>
          <cell r="J108">
            <v>1842152.3809523806</v>
          </cell>
          <cell r="K108">
            <v>87721.541950113358</v>
          </cell>
          <cell r="L108">
            <v>0.1048605849775377</v>
          </cell>
          <cell r="M108">
            <v>1842.1523809523806</v>
          </cell>
          <cell r="N108">
            <v>0</v>
          </cell>
          <cell r="O108">
            <v>3.2001897533206836</v>
          </cell>
        </row>
        <row r="109">
          <cell r="B109">
            <v>1987</v>
          </cell>
          <cell r="C109">
            <v>3.018500948766603</v>
          </cell>
          <cell r="D109">
            <v>5.7119999999999997</v>
          </cell>
          <cell r="E109">
            <v>-5.2493438320211361E-4</v>
          </cell>
          <cell r="F109">
            <v>21</v>
          </cell>
          <cell r="G109">
            <v>90110.953952538126</v>
          </cell>
          <cell r="H109">
            <v>8.5238602600417934E-2</v>
          </cell>
          <cell r="I109">
            <v>2.7238600112428513E-2</v>
          </cell>
          <cell r="J109">
            <v>1892330.0330033007</v>
          </cell>
          <cell r="K109">
            <v>90110.953952538126</v>
          </cell>
          <cell r="L109">
            <v>8.5238602600417934E-2</v>
          </cell>
          <cell r="M109">
            <v>1892.3300330033007</v>
          </cell>
          <cell r="N109">
            <v>0</v>
          </cell>
          <cell r="O109">
            <v>3.1487982289690071</v>
          </cell>
        </row>
        <row r="110">
          <cell r="B110">
            <v>1987</v>
          </cell>
          <cell r="C110">
            <v>2.995256166982923</v>
          </cell>
          <cell r="D110">
            <v>5.7530000000000001</v>
          </cell>
          <cell r="E110">
            <v>4.3912175648702645E-2</v>
          </cell>
          <cell r="F110">
            <v>22</v>
          </cell>
          <cell r="G110">
            <v>87304.719670573308</v>
          </cell>
          <cell r="H110">
            <v>0.16482315985416185</v>
          </cell>
          <cell r="I110">
            <v>-3.1141988391809483E-2</v>
          </cell>
          <cell r="J110">
            <v>1920703.8327526129</v>
          </cell>
          <cell r="K110">
            <v>91462.087273933954</v>
          </cell>
          <cell r="L110">
            <v>0.11417867464311171</v>
          </cell>
          <cell r="M110">
            <v>1920.7038327526129</v>
          </cell>
          <cell r="N110">
            <v>0</v>
          </cell>
          <cell r="O110">
            <v>3.0339974699557248</v>
          </cell>
        </row>
        <row r="111">
          <cell r="B111">
            <v>1987</v>
          </cell>
          <cell r="C111">
            <v>3.0825426944971537</v>
          </cell>
          <cell r="D111">
            <v>5.9950000000000001</v>
          </cell>
          <cell r="E111">
            <v>9.5377306778732018E-2</v>
          </cell>
          <cell r="F111">
            <v>19</v>
          </cell>
          <cell r="G111">
            <v>102359.10644570799</v>
          </cell>
          <cell r="H111">
            <v>6.9346325439625378E-2</v>
          </cell>
          <cell r="I111">
            <v>0.17243497066297642</v>
          </cell>
          <cell r="J111">
            <v>1944823.0224684519</v>
          </cell>
          <cell r="K111">
            <v>92610.620117545332</v>
          </cell>
          <cell r="L111">
            <v>0.12875445463071578</v>
          </cell>
          <cell r="M111">
            <v>1944.8230224684519</v>
          </cell>
          <cell r="N111">
            <v>0</v>
          </cell>
          <cell r="O111">
            <v>3.0320999367488928</v>
          </cell>
        </row>
        <row r="112">
          <cell r="B112">
            <v>1987</v>
          </cell>
          <cell r="C112">
            <v>3.5199240986717273</v>
          </cell>
          <cell r="D112">
            <v>6.3680000000000003</v>
          </cell>
          <cell r="E112">
            <v>0.12608311229000879</v>
          </cell>
          <cell r="F112">
            <v>20</v>
          </cell>
          <cell r="G112">
            <v>90456.495956873303</v>
          </cell>
          <cell r="H112">
            <v>0.15947102127973944</v>
          </cell>
          <cell r="I112">
            <v>-0.11628286824824829</v>
          </cell>
          <cell r="J112">
            <v>1809129.919137466</v>
          </cell>
          <cell r="K112">
            <v>86149.043768450763</v>
          </cell>
          <cell r="L112">
            <v>0.15947102127973922</v>
          </cell>
          <cell r="M112">
            <v>1809.129919137466</v>
          </cell>
          <cell r="N112">
            <v>0</v>
          </cell>
          <cell r="O112">
            <v>3.1992409867172675</v>
          </cell>
        </row>
        <row r="113">
          <cell r="B113">
            <v>1988</v>
          </cell>
          <cell r="C113">
            <v>3.2922201138519926</v>
          </cell>
          <cell r="D113">
            <v>6.3979999999999997</v>
          </cell>
          <cell r="E113">
            <v>9.8746350678344363E-2</v>
          </cell>
          <cell r="F113">
            <v>20</v>
          </cell>
          <cell r="G113">
            <v>97168.472622478381</v>
          </cell>
          <cell r="H113">
            <v>0.15202129981426138</v>
          </cell>
          <cell r="I113">
            <v>7.4201157082241176E-2</v>
          </cell>
          <cell r="J113">
            <v>1943369.4524495676</v>
          </cell>
          <cell r="K113">
            <v>92541.402497598465</v>
          </cell>
          <cell r="L113">
            <v>9.7163142680249059E-2</v>
          </cell>
          <cell r="M113">
            <v>1943.3694524495677</v>
          </cell>
          <cell r="N113">
            <v>0</v>
          </cell>
          <cell r="O113">
            <v>3.2982289690069582</v>
          </cell>
        </row>
        <row r="114">
          <cell r="B114">
            <v>1988</v>
          </cell>
          <cell r="C114">
            <v>3.4269449715370017</v>
          </cell>
          <cell r="D114">
            <v>6.6619999999999999</v>
          </cell>
          <cell r="E114">
            <v>0.13030200203596864</v>
          </cell>
          <cell r="F114">
            <v>21</v>
          </cell>
          <cell r="G114">
            <v>92571.692242788587</v>
          </cell>
          <cell r="H114">
            <v>1.6276387423575844E-2</v>
          </cell>
          <cell r="I114">
            <v>-4.7307323616676888E-2</v>
          </cell>
          <cell r="J114">
            <v>1944005.5370985602</v>
          </cell>
          <cell r="K114">
            <v>92571.692242788587</v>
          </cell>
          <cell r="L114">
            <v>6.7090206794754748E-2</v>
          </cell>
          <cell r="M114">
            <v>1944.0055370985604</v>
          </cell>
          <cell r="N114">
            <v>0</v>
          </cell>
          <cell r="O114">
            <v>3.41302972802024</v>
          </cell>
        </row>
        <row r="115">
          <cell r="B115">
            <v>1988</v>
          </cell>
          <cell r="C115">
            <v>3.4478178368121442</v>
          </cell>
          <cell r="D115">
            <v>6.8170000000000002</v>
          </cell>
          <cell r="E115">
            <v>0.16709467556925173</v>
          </cell>
          <cell r="F115">
            <v>23</v>
          </cell>
          <cell r="G115">
            <v>85964.896748103652</v>
          </cell>
          <cell r="H115">
            <v>-3.1479398807292558E-3</v>
          </cell>
          <cell r="I115">
            <v>-7.1369501136019364E-2</v>
          </cell>
          <cell r="J115">
            <v>1977192.6252063841</v>
          </cell>
          <cell r="K115">
            <v>94152.029771732574</v>
          </cell>
          <cell r="L115">
            <v>4.2163517397419303E-2</v>
          </cell>
          <cell r="M115">
            <v>1977.192625206384</v>
          </cell>
          <cell r="N115">
            <v>0</v>
          </cell>
          <cell r="O115">
            <v>3.3889943074003792</v>
          </cell>
        </row>
        <row r="116">
          <cell r="B116">
            <v>1988</v>
          </cell>
          <cell r="C116">
            <v>3.5962998102466792</v>
          </cell>
          <cell r="D116">
            <v>6.8620000000000001</v>
          </cell>
          <cell r="E116">
            <v>0.18987341772151889</v>
          </cell>
          <cell r="F116">
            <v>21</v>
          </cell>
          <cell r="G116">
            <v>90860.585046576351</v>
          </cell>
          <cell r="H116">
            <v>9.2464354630429568E-2</v>
          </cell>
          <cell r="I116">
            <v>5.6949853762032099E-2</v>
          </cell>
          <cell r="J116">
            <v>1908072.2859781033</v>
          </cell>
          <cell r="K116">
            <v>90860.585046576351</v>
          </cell>
          <cell r="L116">
            <v>4.2806883965410103E-2</v>
          </cell>
          <cell r="M116">
            <v>1908.0722859781033</v>
          </cell>
          <cell r="N116">
            <v>0</v>
          </cell>
          <cell r="O116">
            <v>3.4903542061986084</v>
          </cell>
        </row>
        <row r="117">
          <cell r="B117">
            <v>1988</v>
          </cell>
          <cell r="C117">
            <v>3.6660341555977234</v>
          </cell>
          <cell r="D117">
            <v>6.9610000000000003</v>
          </cell>
          <cell r="E117">
            <v>0.19666494756747466</v>
          </cell>
          <cell r="F117">
            <v>21</v>
          </cell>
          <cell r="G117">
            <v>90418.194814157541</v>
          </cell>
          <cell r="H117">
            <v>-3.551849094310322E-2</v>
          </cell>
          <cell r="I117">
            <v>-4.8688904236312558E-3</v>
          </cell>
          <cell r="J117">
            <v>1898782.0910973083</v>
          </cell>
          <cell r="K117">
            <v>90418.194814157541</v>
          </cell>
          <cell r="L117">
            <v>1.2705584509741907E-2</v>
          </cell>
          <cell r="M117">
            <v>1898.7820910973082</v>
          </cell>
          <cell r="N117">
            <v>0</v>
          </cell>
          <cell r="O117">
            <v>3.5700506008855157</v>
          </cell>
        </row>
        <row r="118">
          <cell r="B118">
            <v>1988</v>
          </cell>
          <cell r="C118">
            <v>3.8719165085388996</v>
          </cell>
          <cell r="D118">
            <v>7.0620000000000003</v>
          </cell>
          <cell r="E118">
            <v>0.24265352806616236</v>
          </cell>
          <cell r="F118">
            <v>22</v>
          </cell>
          <cell r="G118">
            <v>82904.680225434931</v>
          </cell>
          <cell r="H118">
            <v>1.8239009520521154E-2</v>
          </cell>
          <cell r="I118">
            <v>-8.3097374418562908E-2</v>
          </cell>
          <cell r="J118">
            <v>1823902.9649595686</v>
          </cell>
          <cell r="K118">
            <v>86852.522140931833</v>
          </cell>
          <cell r="L118">
            <v>1.8239009520521154E-2</v>
          </cell>
          <cell r="M118">
            <v>1823.9029649595686</v>
          </cell>
          <cell r="N118">
            <v>0</v>
          </cell>
          <cell r="O118">
            <v>3.7114168247944339</v>
          </cell>
        </row>
        <row r="119">
          <cell r="B119">
            <v>1988</v>
          </cell>
          <cell r="C119">
            <v>4.117647058823529</v>
          </cell>
          <cell r="D119">
            <v>7.1310000000000002</v>
          </cell>
          <cell r="E119">
            <v>0.23373702422145337</v>
          </cell>
          <cell r="F119">
            <v>20</v>
          </cell>
          <cell r="G119">
            <v>86590.71428571429</v>
          </cell>
          <cell r="H119">
            <v>0.10069810087222786</v>
          </cell>
          <cell r="I119">
            <v>4.4461109436237711E-2</v>
          </cell>
          <cell r="J119">
            <v>1731814.2857142859</v>
          </cell>
          <cell r="K119">
            <v>82467.346938775518</v>
          </cell>
          <cell r="L119">
            <v>6.3463715657063879E-4</v>
          </cell>
          <cell r="M119">
            <v>1731.8142857142859</v>
          </cell>
          <cell r="N119">
            <v>0</v>
          </cell>
          <cell r="O119">
            <v>3.8851992409867173</v>
          </cell>
        </row>
        <row r="120">
          <cell r="B120">
            <v>1988</v>
          </cell>
          <cell r="C120">
            <v>4.0915559772296026</v>
          </cell>
          <cell r="D120">
            <v>7.1550000000000002</v>
          </cell>
          <cell r="E120">
            <v>0.25769027948672885</v>
          </cell>
          <cell r="F120">
            <v>23</v>
          </cell>
          <cell r="G120">
            <v>76031.455576559529</v>
          </cell>
          <cell r="H120">
            <v>-0.13326357601194361</v>
          </cell>
          <cell r="I120">
            <v>-0.12194446940711778</v>
          </cell>
          <cell r="J120">
            <v>1748723.4782608692</v>
          </cell>
          <cell r="K120">
            <v>83272.546583850912</v>
          </cell>
          <cell r="L120">
            <v>-5.0717249917842988E-2</v>
          </cell>
          <cell r="M120">
            <v>1748.7234782608691</v>
          </cell>
          <cell r="N120">
            <v>0</v>
          </cell>
          <cell r="O120">
            <v>4.0270398481973437</v>
          </cell>
        </row>
        <row r="121">
          <cell r="B121">
            <v>1988</v>
          </cell>
          <cell r="C121">
            <v>3.6660341555977234</v>
          </cell>
          <cell r="D121">
            <v>6.9039999999999999</v>
          </cell>
          <cell r="E121">
            <v>0.20868347338935589</v>
          </cell>
          <cell r="F121">
            <v>21</v>
          </cell>
          <cell r="G121">
            <v>89677.807354825985</v>
          </cell>
          <cell r="H121">
            <v>-4.8068140299599715E-3</v>
          </cell>
          <cell r="I121">
            <v>0.17948297418198611</v>
          </cell>
          <cell r="J121">
            <v>1883233.9544513456</v>
          </cell>
          <cell r="K121">
            <v>89677.807354825985</v>
          </cell>
          <cell r="L121">
            <v>-4.8068140299599715E-3</v>
          </cell>
          <cell r="M121">
            <v>1883.2339544513457</v>
          </cell>
          <cell r="N121">
            <v>0</v>
          </cell>
          <cell r="O121">
            <v>3.9584123972169518</v>
          </cell>
        </row>
        <row r="122">
          <cell r="B122">
            <v>1988</v>
          </cell>
          <cell r="C122">
            <v>3.7258064516129039</v>
          </cell>
          <cell r="D122">
            <v>6.7039999999999997</v>
          </cell>
          <cell r="E122">
            <v>0.16530505823048847</v>
          </cell>
          <cell r="F122">
            <v>21</v>
          </cell>
          <cell r="G122">
            <v>85682.951968666239</v>
          </cell>
          <cell r="H122">
            <v>-1.8575945355835066E-2</v>
          </cell>
          <cell r="I122">
            <v>-4.4546755813881567E-2</v>
          </cell>
          <cell r="J122">
            <v>1799341.9913419911</v>
          </cell>
          <cell r="K122">
            <v>85682.951968666239</v>
          </cell>
          <cell r="L122">
            <v>-6.3186129657842649E-2</v>
          </cell>
          <cell r="M122">
            <v>1799.3419913419912</v>
          </cell>
          <cell r="N122">
            <v>0</v>
          </cell>
          <cell r="O122">
            <v>3.8277988614800766</v>
          </cell>
        </row>
        <row r="123">
          <cell r="B123">
            <v>1988</v>
          </cell>
          <cell r="C123">
            <v>3.5450084961726236</v>
          </cell>
          <cell r="D123">
            <v>6.6159629999999998</v>
          </cell>
          <cell r="E123">
            <v>0.10358015012510413</v>
          </cell>
          <cell r="F123">
            <v>20</v>
          </cell>
          <cell r="G123">
            <v>88533</v>
          </cell>
          <cell r="H123">
            <v>-0.13507451291636141</v>
          </cell>
          <cell r="I123">
            <v>3.3262719897605875E-2</v>
          </cell>
          <cell r="J123">
            <v>1770660</v>
          </cell>
          <cell r="K123">
            <v>84317.142857142855</v>
          </cell>
          <cell r="L123">
            <v>-8.9552118859327789E-2</v>
          </cell>
          <cell r="M123">
            <v>1770.66</v>
          </cell>
          <cell r="N123">
            <v>0</v>
          </cell>
          <cell r="O123">
            <v>3.6456163677944171</v>
          </cell>
        </row>
        <row r="124">
          <cell r="B124">
            <v>1988</v>
          </cell>
          <cell r="C124">
            <v>3.7029238889828968</v>
          </cell>
          <cell r="D124">
            <v>6.5359999999999996</v>
          </cell>
          <cell r="E124">
            <v>2.6381909547738669E-2</v>
          </cell>
          <cell r="F124">
            <v>19</v>
          </cell>
          <cell r="G124">
            <v>83733</v>
          </cell>
          <cell r="H124">
            <v>-7.4328503284925462E-2</v>
          </cell>
          <cell r="I124">
            <v>-5.4217071600420219E-2</v>
          </cell>
          <cell r="J124">
            <v>1590927</v>
          </cell>
          <cell r="K124">
            <v>75758.428571428565</v>
          </cell>
          <cell r="L124">
            <v>-0.1206120781206792</v>
          </cell>
          <cell r="M124">
            <v>1590.9269999999999</v>
          </cell>
          <cell r="N124">
            <v>0</v>
          </cell>
          <cell r="O124">
            <v>3.6579129455894748</v>
          </cell>
        </row>
        <row r="125">
          <cell r="B125">
            <v>1989</v>
          </cell>
          <cell r="C125">
            <v>3.3748289466059505</v>
          </cell>
          <cell r="D125">
            <v>6.5926729999999996</v>
          </cell>
          <cell r="E125">
            <v>3.0427164738980883E-2</v>
          </cell>
          <cell r="F125">
            <v>21</v>
          </cell>
          <cell r="G125">
            <v>92670</v>
          </cell>
          <cell r="H125">
            <v>-4.6295598778792857E-2</v>
          </cell>
          <cell r="I125">
            <v>0.10673211278707329</v>
          </cell>
          <cell r="J125">
            <v>1946070</v>
          </cell>
          <cell r="K125">
            <v>92670</v>
          </cell>
          <cell r="L125">
            <v>1.3896212822674947E-3</v>
          </cell>
          <cell r="M125">
            <v>1946.07</v>
          </cell>
          <cell r="N125">
            <v>0</v>
          </cell>
          <cell r="O125">
            <v>3.54092044392049</v>
          </cell>
        </row>
        <row r="126">
          <cell r="B126">
            <v>1989</v>
          </cell>
          <cell r="C126">
            <v>3.4365773420123875</v>
          </cell>
          <cell r="D126">
            <v>6.7323500000000003</v>
          </cell>
          <cell r="E126">
            <v>1.0559891924347031E-2</v>
          </cell>
          <cell r="F126">
            <v>20</v>
          </cell>
          <cell r="G126">
            <v>92933</v>
          </cell>
          <cell r="H126">
            <v>3.9030047788670696E-3</v>
          </cell>
          <cell r="I126">
            <v>2.838027409086008E-3</v>
          </cell>
          <cell r="J126">
            <v>1858660</v>
          </cell>
          <cell r="K126">
            <v>88507.619047619053</v>
          </cell>
          <cell r="L126">
            <v>-4.3901900210602807E-2</v>
          </cell>
          <cell r="M126">
            <v>1858.66</v>
          </cell>
          <cell r="N126">
            <v>0</v>
          </cell>
          <cell r="O126">
            <v>3.5047767258670781</v>
          </cell>
        </row>
        <row r="127">
          <cell r="B127">
            <v>1989</v>
          </cell>
          <cell r="C127">
            <v>3.676383224827982</v>
          </cell>
          <cell r="D127">
            <v>6.8172030000000001</v>
          </cell>
          <cell r="E127">
            <v>2.9778494939014521E-5</v>
          </cell>
          <cell r="F127">
            <v>23</v>
          </cell>
          <cell r="G127">
            <v>87966</v>
          </cell>
          <cell r="H127">
            <v>2.3278144075017382E-2</v>
          </cell>
          <cell r="I127">
            <v>-5.3447107055620724E-2</v>
          </cell>
          <cell r="J127">
            <v>2023218</v>
          </cell>
          <cell r="K127">
            <v>96343.71428571429</v>
          </cell>
          <cell r="L127">
            <v>2.3278144075017382E-2</v>
          </cell>
          <cell r="M127">
            <v>2023.2180000000001</v>
          </cell>
          <cell r="N127">
            <v>0</v>
          </cell>
          <cell r="O127">
            <v>3.49592983781544</v>
          </cell>
        </row>
        <row r="128">
          <cell r="B128">
            <v>1989</v>
          </cell>
          <cell r="C128">
            <v>3.4884193186569328</v>
          </cell>
          <cell r="D128">
            <v>6.9417869999999997</v>
          </cell>
          <cell r="E128">
            <v>1.1627368114252246E-2</v>
          </cell>
          <cell r="F128">
            <v>20</v>
          </cell>
          <cell r="G128">
            <v>94400</v>
          </cell>
          <cell r="H128">
            <v>3.895434914500373E-2</v>
          </cell>
          <cell r="I128">
            <v>7.3141895732442119E-2</v>
          </cell>
          <cell r="J128">
            <v>1888000</v>
          </cell>
          <cell r="K128">
            <v>89904.761904761908</v>
          </cell>
          <cell r="L128">
            <v>-1.051966748094868E-2</v>
          </cell>
          <cell r="M128">
            <v>1888</v>
          </cell>
          <cell r="N128">
            <v>0</v>
          </cell>
          <cell r="O128">
            <v>3.5337932951657671</v>
          </cell>
        </row>
        <row r="129">
          <cell r="B129">
            <v>1989</v>
          </cell>
          <cell r="C129">
            <v>3.6302626507900149</v>
          </cell>
          <cell r="D129">
            <v>6.9587329999999996</v>
          </cell>
          <cell r="E129">
            <v>-3.2567159890828368E-4</v>
          </cell>
          <cell r="F129">
            <v>22</v>
          </cell>
          <cell r="G129">
            <v>90933</v>
          </cell>
          <cell r="H129">
            <v>5.6936016794029154E-3</v>
          </cell>
          <cell r="I129">
            <v>-3.6726694915254265E-2</v>
          </cell>
          <cell r="J129">
            <v>2000526</v>
          </cell>
          <cell r="K129">
            <v>95263.142857142855</v>
          </cell>
          <cell r="L129">
            <v>5.3583773187945827E-2</v>
          </cell>
          <cell r="M129">
            <v>2000.5260000000001</v>
          </cell>
          <cell r="N129">
            <v>0</v>
          </cell>
          <cell r="O129">
            <v>3.59835506475831</v>
          </cell>
        </row>
        <row r="130">
          <cell r="B130">
            <v>1989</v>
          </cell>
          <cell r="C130">
            <v>3.7884250474383308</v>
          </cell>
          <cell r="D130">
            <v>7.0521130000000003</v>
          </cell>
          <cell r="E130">
            <v>-1.4000283205890529E-3</v>
          </cell>
          <cell r="F130">
            <v>22</v>
          </cell>
          <cell r="G130">
            <v>84613.153723561671</v>
          </cell>
          <cell r="H130">
            <v>2.0607684553888284E-2</v>
          </cell>
          <cell r="I130">
            <v>-6.9500030532791524E-2</v>
          </cell>
          <cell r="J130">
            <v>1861489.3819183568</v>
          </cell>
          <cell r="K130">
            <v>88642.351519921751</v>
          </cell>
          <cell r="L130">
            <v>2.0607684553888284E-2</v>
          </cell>
          <cell r="M130">
            <v>1861.4893819183567</v>
          </cell>
          <cell r="N130">
            <v>0</v>
          </cell>
          <cell r="O130">
            <v>3.6357023389617598</v>
          </cell>
        </row>
        <row r="131">
          <cell r="B131">
            <v>1989</v>
          </cell>
          <cell r="C131">
            <v>3.9810486661457758</v>
          </cell>
          <cell r="D131">
            <v>7.1332430000000002</v>
          </cell>
          <cell r="E131">
            <v>3.1454213995241176E-4</v>
          </cell>
          <cell r="F131">
            <v>19</v>
          </cell>
          <cell r="G131">
            <v>85000</v>
          </cell>
          <cell r="H131">
            <v>-1.8370495021736155E-2</v>
          </cell>
          <cell r="I131">
            <v>4.5719401702268847E-3</v>
          </cell>
          <cell r="J131">
            <v>1615000</v>
          </cell>
          <cell r="K131">
            <v>76904.761904761908</v>
          </cell>
          <cell r="L131">
            <v>-6.7451970270649309E-2</v>
          </cell>
          <cell r="M131">
            <v>1615</v>
          </cell>
          <cell r="N131">
            <v>0</v>
          </cell>
          <cell r="O131">
            <v>3.7999121214580405</v>
          </cell>
        </row>
        <row r="132">
          <cell r="B132">
            <v>1989</v>
          </cell>
          <cell r="C132">
            <v>3.8624288425047442</v>
          </cell>
          <cell r="D132">
            <v>7.0234829999999997</v>
          </cell>
          <cell r="E132">
            <v>-1.8381132075471762E-2</v>
          </cell>
          <cell r="F132">
            <v>23</v>
          </cell>
          <cell r="G132">
            <v>79061.346768767413</v>
          </cell>
          <cell r="H132">
            <v>3.9850495682763221E-2</v>
          </cell>
          <cell r="I132">
            <v>-6.9866508602736355E-2</v>
          </cell>
          <cell r="J132">
            <v>1818410.9756816505</v>
          </cell>
          <cell r="K132">
            <v>86590.998841983353</v>
          </cell>
          <cell r="L132">
            <v>3.9850495682763221E-2</v>
          </cell>
          <cell r="M132">
            <v>1818.4109756816504</v>
          </cell>
          <cell r="N132">
            <v>0</v>
          </cell>
          <cell r="O132">
            <v>3.8773008520296171</v>
          </cell>
        </row>
        <row r="133">
          <cell r="B133">
            <v>1989</v>
          </cell>
          <cell r="C133">
            <v>3.5923528171546928</v>
          </cell>
          <cell r="D133">
            <v>6.9517199999999999</v>
          </cell>
          <cell r="E133">
            <v>6.9119351100810356E-3</v>
          </cell>
          <cell r="F133">
            <v>20</v>
          </cell>
          <cell r="G133">
            <v>91800</v>
          </cell>
          <cell r="H133">
            <v>2.3664635741786011E-2</v>
          </cell>
          <cell r="I133">
            <v>0.16112365589331068</v>
          </cell>
          <cell r="J133">
            <v>1836000</v>
          </cell>
          <cell r="K133">
            <v>87428.571428571435</v>
          </cell>
          <cell r="L133">
            <v>-2.5081299293537085E-2</v>
          </cell>
          <cell r="M133">
            <v>1836</v>
          </cell>
          <cell r="N133">
            <v>0</v>
          </cell>
          <cell r="O133">
            <v>3.8119434419350711</v>
          </cell>
        </row>
        <row r="134">
          <cell r="B134">
            <v>1989</v>
          </cell>
          <cell r="C134">
            <v>3.4684011001628527</v>
          </cell>
          <cell r="D134">
            <v>6.6703999999999999</v>
          </cell>
          <cell r="E134">
            <v>-5.0119331742243256E-3</v>
          </cell>
          <cell r="F134">
            <v>22</v>
          </cell>
          <cell r="G134">
            <v>91233</v>
          </cell>
          <cell r="H134">
            <v>6.4774239260143363E-2</v>
          </cell>
          <cell r="I134">
            <v>-6.1764705882353388E-3</v>
          </cell>
          <cell r="J134">
            <v>2007126</v>
          </cell>
          <cell r="K134">
            <v>95577.428571428565</v>
          </cell>
          <cell r="L134">
            <v>0.11547777446300733</v>
          </cell>
          <cell r="M134">
            <v>2007.126</v>
          </cell>
          <cell r="N134">
            <v>0</v>
          </cell>
          <cell r="O134">
            <v>3.6410609199407631</v>
          </cell>
        </row>
        <row r="135">
          <cell r="B135">
            <v>1989</v>
          </cell>
          <cell r="C135">
            <v>3.5076089824949426</v>
          </cell>
          <cell r="D135">
            <v>6.6989999999999998</v>
          </cell>
          <cell r="E135">
            <v>1.2551007313674534E-2</v>
          </cell>
          <cell r="F135">
            <v>20</v>
          </cell>
          <cell r="G135">
            <v>90600</v>
          </cell>
          <cell r="H135">
            <v>2.3347226457930859E-2</v>
          </cell>
          <cell r="I135">
            <v>-6.9382789122357513E-3</v>
          </cell>
          <cell r="J135">
            <v>1812000</v>
          </cell>
          <cell r="K135">
            <v>86285.71428571429</v>
          </cell>
          <cell r="L135">
            <v>2.3347226457931081E-2</v>
          </cell>
          <cell r="M135">
            <v>1812</v>
          </cell>
          <cell r="N135">
            <v>0</v>
          </cell>
          <cell r="O135">
            <v>3.5227876332708292</v>
          </cell>
        </row>
        <row r="136">
          <cell r="B136">
            <v>1989</v>
          </cell>
          <cell r="C136">
            <v>3.8915319175980319</v>
          </cell>
          <cell r="D136">
            <v>6.8579999999999997</v>
          </cell>
          <cell r="E136">
            <v>4.9265605875153051E-2</v>
          </cell>
          <cell r="F136">
            <v>20</v>
          </cell>
          <cell r="G136">
            <v>83600</v>
          </cell>
          <cell r="H136">
            <v>-1.5883821193555248E-3</v>
          </cell>
          <cell r="I136">
            <v>-7.7262693156732842E-2</v>
          </cell>
          <cell r="J136">
            <v>1672000</v>
          </cell>
          <cell r="K136">
            <v>79619.047619047618</v>
          </cell>
          <cell r="L136">
            <v>5.0959597769099529E-2</v>
          </cell>
          <cell r="M136">
            <v>1672</v>
          </cell>
          <cell r="N136">
            <v>0</v>
          </cell>
          <cell r="O136">
            <v>3.622514000085276</v>
          </cell>
        </row>
        <row r="137">
          <cell r="B137">
            <v>1990</v>
          </cell>
          <cell r="C137">
            <v>3.3679407156444072</v>
          </cell>
          <cell r="D137">
            <v>6.3920000000000003</v>
          </cell>
          <cell r="E137">
            <v>-3.0438791670692522E-2</v>
          </cell>
          <cell r="F137">
            <v>22</v>
          </cell>
          <cell r="G137">
            <v>90033</v>
          </cell>
          <cell r="H137">
            <v>-2.8455810942052406E-2</v>
          </cell>
          <cell r="I137">
            <v>7.6949760765550268E-2</v>
          </cell>
          <cell r="J137">
            <v>1980726</v>
          </cell>
          <cell r="K137">
            <v>94320.28571428571</v>
          </cell>
          <cell r="L137">
            <v>1.7808198060706992E-2</v>
          </cell>
          <cell r="M137">
            <v>1980.7260000000001</v>
          </cell>
          <cell r="N137">
            <v>0</v>
          </cell>
          <cell r="O137">
            <v>3.5890272052457939</v>
          </cell>
        </row>
        <row r="138">
          <cell r="B138">
            <v>1990</v>
          </cell>
          <cell r="C138">
            <v>3.3815853860145824</v>
          </cell>
          <cell r="D138">
            <v>6.7410969999999999</v>
          </cell>
          <cell r="E138">
            <v>1.2992491477714641E-3</v>
          </cell>
          <cell r="F138">
            <v>20</v>
          </cell>
          <cell r="G138">
            <v>94567</v>
          </cell>
          <cell r="H138">
            <v>1.758255947833387E-2</v>
          </cell>
          <cell r="I138">
            <v>5.035931269645566E-2</v>
          </cell>
          <cell r="J138">
            <v>1891340</v>
          </cell>
          <cell r="K138">
            <v>90063.809523809527</v>
          </cell>
          <cell r="L138">
            <v>1.758255947833387E-2</v>
          </cell>
          <cell r="M138">
            <v>1891.34</v>
          </cell>
          <cell r="N138">
            <v>0</v>
          </cell>
          <cell r="O138">
            <v>3.5470193397523402</v>
          </cell>
        </row>
        <row r="139">
          <cell r="B139">
            <v>1990</v>
          </cell>
          <cell r="C139">
            <v>3.1997920483543809</v>
          </cell>
          <cell r="D139">
            <v>6.2595099999999997</v>
          </cell>
          <cell r="E139">
            <v>-8.1806717505698567E-2</v>
          </cell>
          <cell r="F139">
            <v>22</v>
          </cell>
          <cell r="G139">
            <v>92800</v>
          </cell>
          <cell r="H139">
            <v>5.4953050042061635E-2</v>
          </cell>
          <cell r="I139">
            <v>-1.868516501528017E-2</v>
          </cell>
          <cell r="J139">
            <v>2041600</v>
          </cell>
          <cell r="K139">
            <v>97219.047619047618</v>
          </cell>
          <cell r="L139">
            <v>9.0855261271893806E-3</v>
          </cell>
          <cell r="M139">
            <v>2041.6</v>
          </cell>
          <cell r="N139">
            <v>0</v>
          </cell>
          <cell r="O139">
            <v>3.3164393833377903</v>
          </cell>
        </row>
        <row r="140">
          <cell r="B140">
            <v>1990</v>
          </cell>
          <cell r="C140">
            <v>3.2570724711474557</v>
          </cell>
          <cell r="D140">
            <v>6.3051700000000004</v>
          </cell>
          <cell r="E140">
            <v>-9.1707942061604486E-2</v>
          </cell>
          <cell r="F140">
            <v>21</v>
          </cell>
          <cell r="G140">
            <v>91833</v>
          </cell>
          <cell r="H140">
            <v>-2.719279661016949E-2</v>
          </cell>
          <cell r="I140">
            <v>-1.0420258620689626E-2</v>
          </cell>
          <cell r="J140">
            <v>1928493</v>
          </cell>
          <cell r="K140">
            <v>91833</v>
          </cell>
          <cell r="L140">
            <v>2.1447563559322091E-2</v>
          </cell>
          <cell r="M140">
            <v>1928.4929999999999</v>
          </cell>
          <cell r="N140">
            <v>0</v>
          </cell>
          <cell r="O140">
            <v>3.2794833018388068</v>
          </cell>
        </row>
        <row r="141">
          <cell r="B141">
            <v>1990</v>
          </cell>
          <cell r="C141">
            <v>3.185044581550438</v>
          </cell>
          <cell r="D141">
            <v>6.2060199999999996</v>
          </cell>
          <cell r="E141">
            <v>-0.10816811048792929</v>
          </cell>
          <cell r="F141">
            <v>22</v>
          </cell>
          <cell r="G141">
            <v>92433</v>
          </cell>
          <cell r="H141">
            <v>1.6495661640988368E-2</v>
          </cell>
          <cell r="I141">
            <v>6.5335990330273042E-3</v>
          </cell>
          <cell r="J141">
            <v>2033526</v>
          </cell>
          <cell r="K141">
            <v>96834.571428571435</v>
          </cell>
          <cell r="L141">
            <v>1.649566164098859E-2</v>
          </cell>
          <cell r="M141">
            <v>2033.5260000000001</v>
          </cell>
          <cell r="N141">
            <v>0</v>
          </cell>
          <cell r="O141">
            <v>3.2139697003507579</v>
          </cell>
        </row>
        <row r="142">
          <cell r="B142">
            <v>1990</v>
          </cell>
          <cell r="C142">
            <v>3.1442498385291944</v>
          </cell>
          <cell r="D142">
            <v>6.1950000000000003</v>
          </cell>
          <cell r="E142">
            <v>-0.12153988457076625</v>
          </cell>
          <cell r="F142">
            <v>21</v>
          </cell>
          <cell r="G142">
            <v>93466</v>
          </cell>
          <cell r="H142">
            <v>0.10462730541118148</v>
          </cell>
          <cell r="I142">
            <v>1.1175662371663897E-2</v>
          </cell>
          <cell r="J142">
            <v>1962786</v>
          </cell>
          <cell r="K142">
            <v>93466</v>
          </cell>
          <cell r="L142">
            <v>5.4416973347036768E-2</v>
          </cell>
          <cell r="M142">
            <v>1962.7860000000001</v>
          </cell>
          <cell r="N142">
            <v>0</v>
          </cell>
          <cell r="O142">
            <v>3.1954556304090294</v>
          </cell>
        </row>
        <row r="143">
          <cell r="B143">
            <v>1990</v>
          </cell>
          <cell r="C143">
            <v>3.3952014643144888</v>
          </cell>
          <cell r="D143">
            <v>6.1694069999999996</v>
          </cell>
          <cell r="E143">
            <v>-0.1351189073469109</v>
          </cell>
          <cell r="F143">
            <v>21</v>
          </cell>
          <cell r="G143">
            <v>86200</v>
          </cell>
          <cell r="H143">
            <v>1.4117647058823568E-2</v>
          </cell>
          <cell r="I143">
            <v>-7.7739498855198708E-2</v>
          </cell>
          <cell r="J143">
            <v>1810200</v>
          </cell>
          <cell r="K143">
            <v>86200</v>
          </cell>
          <cell r="L143">
            <v>0.12086687306501553</v>
          </cell>
          <cell r="M143">
            <v>1810.2</v>
          </cell>
          <cell r="N143">
            <v>0</v>
          </cell>
          <cell r="O143">
            <v>3.241498628131374</v>
          </cell>
        </row>
        <row r="144">
          <cell r="B144">
            <v>1990</v>
          </cell>
          <cell r="C144">
            <v>3.3218123488628124</v>
          </cell>
          <cell r="D144">
            <v>6.0803770000000004</v>
          </cell>
          <cell r="E144">
            <v>-0.13427896102261505</v>
          </cell>
          <cell r="F144">
            <v>23</v>
          </cell>
          <cell r="G144">
            <v>86833</v>
          </cell>
          <cell r="H144">
            <v>9.8299024097863175E-2</v>
          </cell>
          <cell r="I144">
            <v>7.3433874709976088E-3</v>
          </cell>
          <cell r="J144">
            <v>1997159</v>
          </cell>
          <cell r="K144">
            <v>95102.809523809527</v>
          </cell>
          <cell r="L144">
            <v>9.8299024097863175E-2</v>
          </cell>
          <cell r="M144">
            <v>1997.1590000000001</v>
          </cell>
          <cell r="N144">
            <v>0</v>
          </cell>
          <cell r="O144">
            <v>3.2870878839021653</v>
          </cell>
        </row>
        <row r="145">
          <cell r="B145">
            <v>1990</v>
          </cell>
          <cell r="C145">
            <v>3.2365133971559059</v>
          </cell>
          <cell r="D145">
            <v>6.4519000000000002</v>
          </cell>
          <cell r="E145">
            <v>-7.1898753114337133E-2</v>
          </cell>
          <cell r="F145">
            <v>19</v>
          </cell>
          <cell r="G145">
            <v>94567</v>
          </cell>
          <cell r="H145">
            <v>3.0141612200435652E-2</v>
          </cell>
          <cell r="I145">
            <v>8.9067520412746237E-2</v>
          </cell>
          <cell r="J145">
            <v>1796773</v>
          </cell>
          <cell r="K145">
            <v>85560.619047619053</v>
          </cell>
          <cell r="L145">
            <v>-2.1365468409586086E-2</v>
          </cell>
          <cell r="M145">
            <v>1796.7729999999999</v>
          </cell>
          <cell r="N145">
            <v>0</v>
          </cell>
          <cell r="O145">
            <v>3.3178424034444021</v>
          </cell>
        </row>
        <row r="146">
          <cell r="B146">
            <v>1990</v>
          </cell>
          <cell r="C146">
            <v>3.4373974550409421</v>
          </cell>
          <cell r="D146">
            <v>6.3861470000000002</v>
          </cell>
          <cell r="E146">
            <v>-4.2614086111777305E-2</v>
          </cell>
          <cell r="F146">
            <v>23</v>
          </cell>
          <cell r="G146">
            <v>88133</v>
          </cell>
          <cell r="H146">
            <v>-3.3978933061501904E-2</v>
          </cell>
          <cell r="I146">
            <v>-6.8036418623832806E-2</v>
          </cell>
          <cell r="J146">
            <v>2027059</v>
          </cell>
          <cell r="K146">
            <v>96526.619047619053</v>
          </cell>
          <cell r="L146">
            <v>9.9311154357026865E-3</v>
          </cell>
          <cell r="M146">
            <v>2027.059</v>
          </cell>
          <cell r="N146">
            <v>0</v>
          </cell>
          <cell r="O146">
            <v>3.3319077336865539</v>
          </cell>
        </row>
        <row r="147">
          <cell r="B147">
            <v>1990</v>
          </cell>
          <cell r="C147">
            <v>3.3587907782281516</v>
          </cell>
          <cell r="D147">
            <v>6.4950000000000001</v>
          </cell>
          <cell r="E147">
            <v>-3.0452306314375233E-2</v>
          </cell>
          <cell r="F147">
            <v>20</v>
          </cell>
          <cell r="G147">
            <v>91733</v>
          </cell>
          <cell r="H147">
            <v>1.2505518763797019E-2</v>
          </cell>
          <cell r="I147">
            <v>4.0847355701042698E-2</v>
          </cell>
          <cell r="J147">
            <v>1834660</v>
          </cell>
          <cell r="K147">
            <v>87364.761904761908</v>
          </cell>
          <cell r="L147">
            <v>1.2505518763796797E-2</v>
          </cell>
          <cell r="M147">
            <v>1834.66</v>
          </cell>
          <cell r="N147">
            <v>0</v>
          </cell>
          <cell r="O147">
            <v>3.3442338768083331</v>
          </cell>
        </row>
        <row r="148">
          <cell r="B148">
            <v>1990</v>
          </cell>
          <cell r="C148">
            <v>3.5504202671302925</v>
          </cell>
          <cell r="D148">
            <v>6.6559999999999997</v>
          </cell>
          <cell r="E148">
            <v>-2.9454651501895635E-2</v>
          </cell>
          <cell r="F148">
            <v>18</v>
          </cell>
          <cell r="G148">
            <v>88933</v>
          </cell>
          <cell r="H148">
            <v>6.3791866028708233E-2</v>
          </cell>
          <cell r="I148">
            <v>-3.052336672735001E-2</v>
          </cell>
          <cell r="J148">
            <v>1600794</v>
          </cell>
          <cell r="K148">
            <v>76228.28571428571</v>
          </cell>
          <cell r="L148">
            <v>-4.2587320574162701E-2</v>
          </cell>
          <cell r="M148">
            <v>1600.7940000000001</v>
          </cell>
          <cell r="N148">
            <v>0</v>
          </cell>
          <cell r="O148">
            <v>3.4488695001331284</v>
          </cell>
        </row>
        <row r="149">
          <cell r="B149">
            <v>1991</v>
          </cell>
          <cell r="C149">
            <v>3.6452858979179612</v>
          </cell>
          <cell r="D149">
            <v>6.6699400000000004</v>
          </cell>
          <cell r="E149">
            <v>4.3482478097621957E-2</v>
          </cell>
          <cell r="F149">
            <v>22</v>
          </cell>
          <cell r="G149">
            <v>86800</v>
          </cell>
          <cell r="H149">
            <v>-3.5909055568513759E-2</v>
          </cell>
          <cell r="I149">
            <v>-2.3984347767420422E-2</v>
          </cell>
          <cell r="J149">
            <v>1909600</v>
          </cell>
          <cell r="K149">
            <v>90933.333333333328</v>
          </cell>
          <cell r="L149">
            <v>-3.5909055568513759E-2</v>
          </cell>
          <cell r="M149">
            <v>1909.6</v>
          </cell>
          <cell r="N149">
            <v>0</v>
          </cell>
          <cell r="O149">
            <v>3.5181656477588015</v>
          </cell>
        </row>
        <row r="150">
          <cell r="B150">
            <v>1991</v>
          </cell>
          <cell r="C150">
            <v>4.1299702403729581</v>
          </cell>
          <cell r="D150">
            <v>6.9009669999999996</v>
          </cell>
          <cell r="E150">
            <v>2.3715724606840682E-2</v>
          </cell>
          <cell r="F150">
            <v>20</v>
          </cell>
          <cell r="G150">
            <v>79267</v>
          </cell>
          <cell r="H150">
            <v>-0.16179005361278243</v>
          </cell>
          <cell r="I150">
            <v>-8.6785714285714244E-2</v>
          </cell>
          <cell r="J150">
            <v>1585340</v>
          </cell>
          <cell r="K150">
            <v>75492.380952380947</v>
          </cell>
          <cell r="L150">
            <v>-0.16179005361278254</v>
          </cell>
          <cell r="M150">
            <v>1585.34</v>
          </cell>
          <cell r="N150">
            <v>0</v>
          </cell>
          <cell r="O150">
            <v>3.7752254684737374</v>
          </cell>
        </row>
        <row r="151">
          <cell r="B151">
            <v>1991</v>
          </cell>
          <cell r="C151">
            <v>3.8460380016357245</v>
          </cell>
          <cell r="D151">
            <v>6.64</v>
          </cell>
          <cell r="E151">
            <v>6.0785908162140467E-2</v>
          </cell>
          <cell r="F151">
            <v>21</v>
          </cell>
          <cell r="G151">
            <v>81900</v>
          </cell>
          <cell r="H151">
            <v>-0.11745689655172409</v>
          </cell>
          <cell r="I151">
            <v>3.321684938246694E-2</v>
          </cell>
          <cell r="J151">
            <v>1719900</v>
          </cell>
          <cell r="K151">
            <v>81900</v>
          </cell>
          <cell r="L151">
            <v>-0.15757249216300939</v>
          </cell>
          <cell r="M151">
            <v>1719.9</v>
          </cell>
          <cell r="N151">
            <v>0</v>
          </cell>
          <cell r="O151">
            <v>3.8737647133088813</v>
          </cell>
        </row>
        <row r="152">
          <cell r="B152">
            <v>1991</v>
          </cell>
          <cell r="C152">
            <v>3.6523518222940745</v>
          </cell>
          <cell r="D152">
            <v>6.3979999999999997</v>
          </cell>
          <cell r="E152">
            <v>1.4722838559467766E-2</v>
          </cell>
          <cell r="F152">
            <v>22</v>
          </cell>
          <cell r="G152">
            <v>83100</v>
          </cell>
          <cell r="H152">
            <v>-9.5096533925712934E-2</v>
          </cell>
          <cell r="I152">
            <v>1.46520146520146E-2</v>
          </cell>
          <cell r="J152">
            <v>1828200</v>
          </cell>
          <cell r="K152">
            <v>87057.142857142855</v>
          </cell>
          <cell r="L152">
            <v>-5.200589268408029E-2</v>
          </cell>
          <cell r="M152">
            <v>1828.2</v>
          </cell>
          <cell r="N152">
            <v>0</v>
          </cell>
          <cell r="O152">
            <v>3.8761200214342524</v>
          </cell>
        </row>
        <row r="153">
          <cell r="B153">
            <v>1991</v>
          </cell>
          <cell r="C153">
            <v>3.6322195258760885</v>
          </cell>
          <cell r="D153">
            <v>6.2138999999999998</v>
          </cell>
          <cell r="E153">
            <v>1.2697348703356592E-3</v>
          </cell>
          <cell r="F153">
            <v>22</v>
          </cell>
          <cell r="G153">
            <v>81156.173999999999</v>
          </cell>
          <cell r="H153">
            <v>-0.122</v>
          </cell>
          <cell r="I153">
            <v>-2.3391407942238263E-2</v>
          </cell>
          <cell r="J153">
            <v>1785435.828</v>
          </cell>
          <cell r="K153">
            <v>85020.753714285718</v>
          </cell>
          <cell r="L153">
            <v>-0.122</v>
          </cell>
          <cell r="M153">
            <v>1785.4358279999999</v>
          </cell>
          <cell r="N153">
            <v>0</v>
          </cell>
          <cell r="O153">
            <v>3.7102031166019622</v>
          </cell>
        </row>
        <row r="154">
          <cell r="B154">
            <v>1991</v>
          </cell>
          <cell r="C154">
            <v>3.4746971768201815</v>
          </cell>
          <cell r="D154">
            <v>6.1210000000000004</v>
          </cell>
          <cell r="E154">
            <v>-1.1945117029862784E-2</v>
          </cell>
          <cell r="F154">
            <v>20</v>
          </cell>
          <cell r="G154">
            <v>83567</v>
          </cell>
          <cell r="H154">
            <v>-0.10591017054329921</v>
          </cell>
          <cell r="I154">
            <v>2.9706008565657527E-2</v>
          </cell>
          <cell r="J154">
            <v>1671340</v>
          </cell>
          <cell r="K154">
            <v>79587.619047619053</v>
          </cell>
          <cell r="L154">
            <v>-0.14848587670790392</v>
          </cell>
          <cell r="M154">
            <v>1671.34</v>
          </cell>
          <cell r="N154">
            <v>0</v>
          </cell>
          <cell r="O154">
            <v>3.5864228416634476</v>
          </cell>
        </row>
        <row r="155">
          <cell r="B155">
            <v>1991</v>
          </cell>
          <cell r="C155">
            <v>3.5699763776478339</v>
          </cell>
          <cell r="D155">
            <v>5.9</v>
          </cell>
          <cell r="E155">
            <v>-4.3668216410426397E-2</v>
          </cell>
          <cell r="F155">
            <v>22</v>
          </cell>
          <cell r="G155">
            <v>78400</v>
          </cell>
          <cell r="H155">
            <v>-9.0487238979118367E-2</v>
          </cell>
          <cell r="I155">
            <v>-6.1830626922110388E-2</v>
          </cell>
          <cell r="J155">
            <v>1724800</v>
          </cell>
          <cell r="K155">
            <v>82133.333333333328</v>
          </cell>
          <cell r="L155">
            <v>-4.7177107501933491E-2</v>
          </cell>
          <cell r="M155">
            <v>1724.8</v>
          </cell>
          <cell r="N155">
            <v>-4.7177107501933491E-2</v>
          </cell>
          <cell r="O155">
            <v>3.5589643601147016</v>
          </cell>
        </row>
        <row r="156">
          <cell r="B156">
            <v>1991</v>
          </cell>
          <cell r="C156">
            <v>3.2936498912934598</v>
          </cell>
          <cell r="D156">
            <v>5.73</v>
          </cell>
          <cell r="E156">
            <v>-5.7624222971700556E-2</v>
          </cell>
          <cell r="F156">
            <v>22</v>
          </cell>
          <cell r="G156">
            <v>82529</v>
          </cell>
          <cell r="H156">
            <v>-4.9566409084103924E-2</v>
          </cell>
          <cell r="I156">
            <v>5.2665816326530557E-2</v>
          </cell>
          <cell r="J156">
            <v>1815638</v>
          </cell>
          <cell r="K156">
            <v>86458.952380952382</v>
          </cell>
          <cell r="L156">
            <v>-9.0889608689142976E-2</v>
          </cell>
          <cell r="M156">
            <v>1815.6379999999999</v>
          </cell>
          <cell r="N156">
            <v>-9.0889608689142976E-2</v>
          </cell>
          <cell r="O156">
            <v>3.4461078152538249</v>
          </cell>
        </row>
        <row r="157">
          <cell r="B157">
            <v>1991</v>
          </cell>
          <cell r="C157">
            <v>3.1152241611465561</v>
          </cell>
          <cell r="D157">
            <v>5.34</v>
          </cell>
          <cell r="E157">
            <v>-0.17233683101102004</v>
          </cell>
          <cell r="F157">
            <v>20</v>
          </cell>
          <cell r="G157">
            <v>81317</v>
          </cell>
          <cell r="H157">
            <v>-0.14011230133133123</v>
          </cell>
          <cell r="I157">
            <v>-1.4685746828387636E-2</v>
          </cell>
          <cell r="J157">
            <v>1626340</v>
          </cell>
          <cell r="K157">
            <v>77444.761904761908</v>
          </cell>
          <cell r="L157">
            <v>-9.4855054032980224E-2</v>
          </cell>
          <cell r="M157">
            <v>1626.34</v>
          </cell>
          <cell r="N157">
            <v>-9.4855054032980224E-2</v>
          </cell>
          <cell r="O157">
            <v>3.3262834766959499</v>
          </cell>
        </row>
        <row r="158">
          <cell r="B158">
            <v>1991</v>
          </cell>
          <cell r="C158">
            <v>3.1154983155467635</v>
          </cell>
          <cell r="D158">
            <v>5.5560799999999997</v>
          </cell>
          <cell r="E158">
            <v>-0.12997931303491772</v>
          </cell>
          <cell r="F158">
            <v>23</v>
          </cell>
          <cell r="G158">
            <v>84600</v>
          </cell>
          <cell r="H158">
            <v>-4.0087141025495598E-2</v>
          </cell>
          <cell r="I158">
            <v>4.0372861763222856E-2</v>
          </cell>
          <cell r="J158">
            <v>1945800</v>
          </cell>
          <cell r="K158">
            <v>92657.142857142855</v>
          </cell>
          <cell r="L158">
            <v>-4.0087141025495598E-2</v>
          </cell>
          <cell r="M158">
            <v>1945.8</v>
          </cell>
          <cell r="N158">
            <v>-4.0087141025495598E-2</v>
          </cell>
          <cell r="O158">
            <v>3.174790789328926</v>
          </cell>
        </row>
        <row r="159">
          <cell r="B159">
            <v>1991</v>
          </cell>
          <cell r="C159">
            <v>3.1591535818981247</v>
          </cell>
          <cell r="D159">
            <v>5.6340000000000003</v>
          </cell>
          <cell r="E159">
            <v>-0.13256351039260961</v>
          </cell>
          <cell r="F159">
            <v>19</v>
          </cell>
          <cell r="G159">
            <v>84601</v>
          </cell>
          <cell r="H159">
            <v>-7.7747375535521579E-2</v>
          </cell>
          <cell r="I159">
            <v>1.182033096935875E-5</v>
          </cell>
          <cell r="J159">
            <v>1607419</v>
          </cell>
          <cell r="K159">
            <v>76543.761904761908</v>
          </cell>
          <cell r="L159">
            <v>-0.12386000675874553</v>
          </cell>
          <cell r="M159">
            <v>1607.4190000000001</v>
          </cell>
          <cell r="N159">
            <v>-0.12386000675874553</v>
          </cell>
          <cell r="O159">
            <v>3.1299586861971478</v>
          </cell>
        </row>
        <row r="160">
          <cell r="B160">
            <v>1991</v>
          </cell>
          <cell r="C160">
            <v>3.5394007301286612</v>
          </cell>
          <cell r="D160">
            <v>5.9081869999999999</v>
          </cell>
          <cell r="E160">
            <v>-0.11235171274038458</v>
          </cell>
          <cell r="F160">
            <v>19</v>
          </cell>
          <cell r="G160">
            <v>79187</v>
          </cell>
          <cell r="H160">
            <v>-0.10958811689698988</v>
          </cell>
          <cell r="I160">
            <v>-6.3994515431259669E-2</v>
          </cell>
          <cell r="J160">
            <v>1504553</v>
          </cell>
          <cell r="K160">
            <v>71645.380952380947</v>
          </cell>
          <cell r="L160">
            <v>-6.0120790057933804E-2</v>
          </cell>
          <cell r="M160">
            <v>1504.5530000000001</v>
          </cell>
          <cell r="N160">
            <v>-6.0120790057933804E-2</v>
          </cell>
          <cell r="O160">
            <v>3.2713508758578498</v>
          </cell>
        </row>
        <row r="161">
          <cell r="B161">
            <v>1992</v>
          </cell>
          <cell r="C161">
            <v>3.4018627532510268</v>
          </cell>
          <cell r="D161">
            <v>5.9249999999999998</v>
          </cell>
          <cell r="E161">
            <v>-0.11168616209441173</v>
          </cell>
          <cell r="F161">
            <v>22</v>
          </cell>
          <cell r="G161">
            <v>82623</v>
          </cell>
          <cell r="H161">
            <v>-4.8122119815668163E-2</v>
          </cell>
          <cell r="I161">
            <v>4.3390960637478271E-2</v>
          </cell>
          <cell r="J161">
            <v>1817706</v>
          </cell>
          <cell r="K161">
            <v>86557.428571428565</v>
          </cell>
          <cell r="L161">
            <v>-4.8122119815668274E-2</v>
          </cell>
          <cell r="M161">
            <v>1817.7059999999999</v>
          </cell>
          <cell r="N161">
            <v>-4.8122119815668163E-2</v>
          </cell>
          <cell r="O161">
            <v>3.3668056884259379</v>
          </cell>
        </row>
        <row r="162">
          <cell r="B162">
            <v>1992</v>
          </cell>
          <cell r="C162">
            <v>3.3598130844248484</v>
          </cell>
          <cell r="D162">
            <v>6.0250000000000004</v>
          </cell>
          <cell r="E162">
            <v>-0.12693394998121266</v>
          </cell>
          <cell r="F162">
            <v>20</v>
          </cell>
          <cell r="G162">
            <v>85069</v>
          </cell>
          <cell r="H162">
            <v>7.3195655190684716E-2</v>
          </cell>
          <cell r="I162">
            <v>2.9604347457729663E-2</v>
          </cell>
          <cell r="J162">
            <v>1701380</v>
          </cell>
          <cell r="K162">
            <v>81018.095238095237</v>
          </cell>
          <cell r="L162">
            <v>7.3195655190684716E-2</v>
          </cell>
          <cell r="M162">
            <v>1701.38</v>
          </cell>
          <cell r="N162">
            <v>7.3195655190684716E-2</v>
          </cell>
          <cell r="O162">
            <v>3.4336921892681787</v>
          </cell>
        </row>
        <row r="163">
          <cell r="B163">
            <v>1992</v>
          </cell>
          <cell r="C163">
            <v>3.3222729785613612</v>
          </cell>
          <cell r="D163">
            <v>6.06</v>
          </cell>
          <cell r="E163">
            <v>-8.7349397590361422E-2</v>
          </cell>
          <cell r="F163">
            <v>22</v>
          </cell>
          <cell r="G163">
            <v>86530</v>
          </cell>
          <cell r="H163">
            <v>5.6532356532356554E-2</v>
          </cell>
          <cell r="I163">
            <v>1.7174293808555507E-2</v>
          </cell>
          <cell r="J163">
            <v>1903660</v>
          </cell>
          <cell r="K163">
            <v>90650.476190476184</v>
          </cell>
          <cell r="L163">
            <v>0.10684342112913536</v>
          </cell>
          <cell r="M163">
            <v>1903.66</v>
          </cell>
          <cell r="N163">
            <v>0.10684342112913536</v>
          </cell>
          <cell r="O163">
            <v>3.3613162720790792</v>
          </cell>
        </row>
        <row r="164">
          <cell r="B164">
            <v>1992</v>
          </cell>
          <cell r="C164">
            <v>3.3393294910560773</v>
          </cell>
          <cell r="D164">
            <v>5.8472</v>
          </cell>
          <cell r="E164">
            <v>-8.6089402938418269E-2</v>
          </cell>
          <cell r="F164">
            <v>22</v>
          </cell>
          <cell r="G164">
            <v>83065</v>
          </cell>
          <cell r="H164">
            <v>-4.2117930204577103E-4</v>
          </cell>
          <cell r="I164">
            <v>-4.0043915405061803E-2</v>
          </cell>
          <cell r="J164">
            <v>1827430</v>
          </cell>
          <cell r="K164">
            <v>87020.476190476184</v>
          </cell>
          <cell r="L164">
            <v>-4.2117930204577103E-4</v>
          </cell>
          <cell r="M164">
            <v>1827.43</v>
          </cell>
          <cell r="N164">
            <v>-4.2117930204577103E-4</v>
          </cell>
          <cell r="O164">
            <v>3.340471851347429</v>
          </cell>
        </row>
        <row r="165">
          <cell r="B165">
            <v>1992</v>
          </cell>
          <cell r="C165">
            <v>3.22499910044285</v>
          </cell>
          <cell r="D165">
            <v>5.8759730000000001</v>
          </cell>
          <cell r="E165">
            <v>-5.4382432932618796E-2</v>
          </cell>
          <cell r="F165">
            <v>20</v>
          </cell>
          <cell r="G165">
            <v>86433</v>
          </cell>
          <cell r="H165">
            <v>6.5020635398608029E-2</v>
          </cell>
          <cell r="I165">
            <v>4.0546559922951975E-2</v>
          </cell>
          <cell r="J165">
            <v>1728660</v>
          </cell>
          <cell r="K165">
            <v>82317.142857142855</v>
          </cell>
          <cell r="L165">
            <v>-3.1799422364901742E-2</v>
          </cell>
          <cell r="M165">
            <v>1728.66</v>
          </cell>
          <cell r="N165">
            <v>-3.1799422364901742E-2</v>
          </cell>
          <cell r="O165">
            <v>3.2955338566867631</v>
          </cell>
        </row>
        <row r="166">
          <cell r="B166">
            <v>1992</v>
          </cell>
          <cell r="C166">
            <v>3.1974634575181757</v>
          </cell>
          <cell r="D166">
            <v>5.829847</v>
          </cell>
          <cell r="E166">
            <v>-4.7566247345205093E-2</v>
          </cell>
          <cell r="F166">
            <v>22</v>
          </cell>
          <cell r="G166">
            <v>86493</v>
          </cell>
          <cell r="H166">
            <v>3.5013821245228449E-2</v>
          </cell>
          <cell r="I166">
            <v>6.9417930651494153E-4</v>
          </cell>
          <cell r="J166">
            <v>1902846</v>
          </cell>
          <cell r="K166">
            <v>90611.71428571429</v>
          </cell>
          <cell r="L166">
            <v>0.13851520336975121</v>
          </cell>
          <cell r="M166">
            <v>1902.846</v>
          </cell>
          <cell r="N166">
            <v>0.13851520336975121</v>
          </cell>
          <cell r="O166">
            <v>3.2539306830057009</v>
          </cell>
        </row>
        <row r="167">
          <cell r="B167">
            <v>1992</v>
          </cell>
          <cell r="C167">
            <v>3.2889082622710695</v>
          </cell>
          <cell r="D167">
            <v>5.992</v>
          </cell>
          <cell r="E167">
            <v>1.5593220338983027E-2</v>
          </cell>
          <cell r="F167">
            <v>22</v>
          </cell>
          <cell r="G167">
            <v>86427</v>
          </cell>
          <cell r="H167">
            <v>0.10238520408163265</v>
          </cell>
          <cell r="I167">
            <v>-7.6306753147659112E-4</v>
          </cell>
          <cell r="J167">
            <v>1901394</v>
          </cell>
          <cell r="K167">
            <v>90542.571428571435</v>
          </cell>
          <cell r="L167">
            <v>0.10238520408163287</v>
          </cell>
          <cell r="M167">
            <v>1901.394</v>
          </cell>
          <cell r="N167">
            <v>0.10238520408163265</v>
          </cell>
        </row>
        <row r="168">
          <cell r="B168">
            <v>1992</v>
          </cell>
          <cell r="C168">
            <v>3.2476456922097925</v>
          </cell>
          <cell r="D168">
            <v>5.8650000000000002</v>
          </cell>
          <cell r="E168">
            <v>2.3560209424083656E-2</v>
          </cell>
          <cell r="F168">
            <v>21</v>
          </cell>
          <cell r="G168">
            <v>85670</v>
          </cell>
          <cell r="H168">
            <v>3.8059348834954987E-2</v>
          </cell>
          <cell r="I168">
            <v>-8.7588369375311004E-3</v>
          </cell>
          <cell r="J168">
            <v>1799070</v>
          </cell>
          <cell r="K168">
            <v>85670</v>
          </cell>
          <cell r="L168">
            <v>-9.1251670211793812E-3</v>
          </cell>
          <cell r="M168">
            <v>1799.07</v>
          </cell>
          <cell r="N168">
            <v>-9.1251670211793812E-3</v>
          </cell>
        </row>
        <row r="169">
          <cell r="B169">
            <v>1992</v>
          </cell>
          <cell r="C169">
            <v>3.2392775041021808</v>
          </cell>
          <cell r="D169">
            <v>5.8490000000000002</v>
          </cell>
          <cell r="E169">
            <v>9.5318352059925227E-2</v>
          </cell>
          <cell r="F169">
            <v>21</v>
          </cell>
          <cell r="G169">
            <v>85657</v>
          </cell>
          <cell r="H169">
            <v>5.3371373759484531E-2</v>
          </cell>
          <cell r="I169">
            <v>-1.5174506828530276E-4</v>
          </cell>
          <cell r="J169">
            <v>1798797</v>
          </cell>
          <cell r="K169">
            <v>85657</v>
          </cell>
          <cell r="L169">
            <v>0.10603994244745873</v>
          </cell>
          <cell r="M169">
            <v>1798.797</v>
          </cell>
          <cell r="N169">
            <v>0.10603994244745873</v>
          </cell>
        </row>
        <row r="170">
          <cell r="B170">
            <v>1992</v>
          </cell>
          <cell r="C170">
            <v>3.1859040938998535</v>
          </cell>
          <cell r="D170">
            <v>5.84</v>
          </cell>
          <cell r="E170">
            <v>5.1100776086737465E-2</v>
          </cell>
          <cell r="F170">
            <v>22</v>
          </cell>
          <cell r="G170">
            <v>86958</v>
          </cell>
          <cell r="H170">
            <v>2.7872340425531883E-2</v>
          </cell>
          <cell r="I170">
            <v>1.5188484303676253E-2</v>
          </cell>
          <cell r="J170">
            <v>1913076</v>
          </cell>
          <cell r="K170">
            <v>91098.857142857145</v>
          </cell>
          <cell r="L170">
            <v>-1.681776133209989E-2</v>
          </cell>
          <cell r="M170">
            <v>1913.076</v>
          </cell>
          <cell r="N170">
            <v>-1.681776133209989E-2</v>
          </cell>
        </row>
        <row r="171">
          <cell r="B171">
            <v>1992</v>
          </cell>
          <cell r="C171">
            <v>3.2028111198590055</v>
          </cell>
          <cell r="D171">
            <v>5.8186</v>
          </cell>
          <cell r="E171">
            <v>3.2765353212637516E-2</v>
          </cell>
          <cell r="F171">
            <v>19</v>
          </cell>
          <cell r="G171">
            <v>86182</v>
          </cell>
          <cell r="H171">
            <v>1.8687722367347837E-2</v>
          </cell>
          <cell r="I171">
            <v>-8.9238482945790398E-3</v>
          </cell>
          <cell r="J171">
            <v>1637458</v>
          </cell>
          <cell r="K171">
            <v>77974.190476190473</v>
          </cell>
          <cell r="L171">
            <v>1.8687722367347837E-2</v>
          </cell>
          <cell r="M171">
            <v>1637.4580000000001</v>
          </cell>
          <cell r="N171">
            <v>1.8687722367347837E-2</v>
          </cell>
        </row>
        <row r="172">
          <cell r="B172">
            <v>1992</v>
          </cell>
          <cell r="C172">
            <v>3.4332452637742761</v>
          </cell>
          <cell r="D172">
            <v>5.8579999999999997</v>
          </cell>
          <cell r="E172">
            <v>-8.4944840100694696E-3</v>
          </cell>
          <cell r="F172">
            <v>20</v>
          </cell>
          <cell r="G172">
            <v>80942</v>
          </cell>
          <cell r="H172">
            <v>2.2162728730726E-2</v>
          </cell>
          <cell r="I172">
            <v>-6.0801559490380797E-2</v>
          </cell>
          <cell r="J172">
            <v>1618840</v>
          </cell>
          <cell r="K172">
            <v>77087.619047619053</v>
          </cell>
          <cell r="L172">
            <v>7.5960767084974901E-2</v>
          </cell>
          <cell r="M172">
            <v>1618.84</v>
          </cell>
          <cell r="N172">
            <v>7.5960767084974679E-2</v>
          </cell>
        </row>
        <row r="173">
          <cell r="B173">
            <v>1993</v>
          </cell>
          <cell r="C173">
            <v>2.9758287904357834</v>
          </cell>
          <cell r="D173">
            <v>5.92</v>
          </cell>
          <cell r="E173">
            <v>-8.4388185654005188E-4</v>
          </cell>
          <cell r="F173">
            <v>20</v>
          </cell>
          <cell r="G173">
            <v>94372</v>
          </cell>
          <cell r="H173">
            <v>0.14220011376977348</v>
          </cell>
          <cell r="I173">
            <v>0.16592127696375192</v>
          </cell>
          <cell r="J173">
            <v>1887440</v>
          </cell>
          <cell r="K173">
            <v>89878.095238095237</v>
          </cell>
          <cell r="L173">
            <v>3.8363739790703288E-2</v>
          </cell>
          <cell r="M173">
            <v>1887.44</v>
          </cell>
          <cell r="N173">
            <v>3.8363739790703288E-2</v>
          </cell>
        </row>
        <row r="174">
          <cell r="B174">
            <v>1993</v>
          </cell>
          <cell r="C174">
            <v>3.036213717246079</v>
          </cell>
          <cell r="D174">
            <v>5.899</v>
          </cell>
          <cell r="E174">
            <v>-2.0912863070539522E-2</v>
          </cell>
          <cell r="F174">
            <v>20</v>
          </cell>
          <cell r="G174">
            <v>92167</v>
          </cell>
          <cell r="H174">
            <v>8.3438150207478579E-2</v>
          </cell>
          <cell r="I174">
            <v>-2.3364981138473295E-2</v>
          </cell>
          <cell r="J174">
            <v>1843340</v>
          </cell>
          <cell r="K174">
            <v>87778.095238095237</v>
          </cell>
          <cell r="L174">
            <v>8.3438150207478579E-2</v>
          </cell>
          <cell r="M174">
            <v>1843.34</v>
          </cell>
          <cell r="N174">
            <v>8.3438150207478579E-2</v>
          </cell>
        </row>
        <row r="175">
          <cell r="B175">
            <v>1993</v>
          </cell>
          <cell r="C175">
            <v>2.9918721685896834</v>
          </cell>
          <cell r="D175">
            <v>5.7809999999999997</v>
          </cell>
          <cell r="E175">
            <v>-4.603960396039608E-2</v>
          </cell>
          <cell r="F175">
            <v>23</v>
          </cell>
          <cell r="G175">
            <v>91662</v>
          </cell>
          <cell r="H175">
            <v>5.9308910204553422E-2</v>
          </cell>
          <cell r="I175">
            <v>-5.4791845237449621E-3</v>
          </cell>
          <cell r="J175">
            <v>2108226</v>
          </cell>
          <cell r="K175">
            <v>100391.71428571429</v>
          </cell>
          <cell r="L175">
            <v>0.10745931521385144</v>
          </cell>
          <cell r="M175">
            <v>2108.2260000000001</v>
          </cell>
          <cell r="N175">
            <v>0.10745931521385121</v>
          </cell>
        </row>
        <row r="176">
          <cell r="B176">
            <v>1993</v>
          </cell>
          <cell r="C176">
            <v>3.0027839303426527</v>
          </cell>
          <cell r="D176">
            <v>5.84</v>
          </cell>
          <cell r="E176">
            <v>-1.2313585989875975E-3</v>
          </cell>
          <cell r="F176">
            <v>22</v>
          </cell>
          <cell r="G176">
            <v>92261</v>
          </cell>
          <cell r="H176">
            <v>0.11070848130981759</v>
          </cell>
          <cell r="I176">
            <v>6.5348781392506883E-3</v>
          </cell>
          <cell r="J176">
            <v>2029742</v>
          </cell>
          <cell r="K176">
            <v>96654.380952380947</v>
          </cell>
          <cell r="L176">
            <v>0.11070848130981759</v>
          </cell>
          <cell r="M176">
            <v>2029.742</v>
          </cell>
          <cell r="N176">
            <v>0.11070848130981759</v>
          </cell>
        </row>
        <row r="177">
          <cell r="B177">
            <v>1993</v>
          </cell>
          <cell r="C177">
            <v>2.995342663827385</v>
          </cell>
          <cell r="D177">
            <v>6.0380000000000003</v>
          </cell>
          <cell r="E177">
            <v>2.7574497023727051E-2</v>
          </cell>
          <cell r="F177">
            <v>20</v>
          </cell>
          <cell r="G177">
            <v>95626</v>
          </cell>
          <cell r="H177">
            <v>0.10635983941318705</v>
          </cell>
          <cell r="I177">
            <v>3.6472615731457436E-2</v>
          </cell>
          <cell r="J177">
            <v>1912520</v>
          </cell>
          <cell r="K177">
            <v>91072.380952380947</v>
          </cell>
          <cell r="L177">
            <v>0.10635983941318705</v>
          </cell>
          <cell r="M177">
            <v>1912.52</v>
          </cell>
          <cell r="N177">
            <v>0.10635983941318705</v>
          </cell>
        </row>
        <row r="178">
          <cell r="B178">
            <v>1993</v>
          </cell>
          <cell r="C178">
            <v>3.0722795202242836</v>
          </cell>
          <cell r="D178">
            <v>6.2119999999999997</v>
          </cell>
          <cell r="E178">
            <v>6.5551119952204528E-2</v>
          </cell>
          <cell r="F178">
            <v>22</v>
          </cell>
          <cell r="G178">
            <v>95918</v>
          </cell>
          <cell r="H178">
            <v>0.10896835582070219</v>
          </cell>
          <cell r="I178">
            <v>3.0535628385586211E-3</v>
          </cell>
          <cell r="J178">
            <v>2110196</v>
          </cell>
          <cell r="K178">
            <v>100485.52380952382</v>
          </cell>
          <cell r="L178">
            <v>0.10896835582070219</v>
          </cell>
          <cell r="M178">
            <v>2110.1959999999999</v>
          </cell>
          <cell r="N178">
            <v>0.10896835582070219</v>
          </cell>
        </row>
        <row r="179">
          <cell r="B179">
            <v>1993</v>
          </cell>
          <cell r="C179">
            <v>3.2129793329637919</v>
          </cell>
          <cell r="D179">
            <v>6.2190000000000003</v>
          </cell>
          <cell r="E179">
            <v>3.7883845126835736E-2</v>
          </cell>
          <cell r="F179">
            <v>21</v>
          </cell>
          <cell r="G179">
            <v>91821</v>
          </cell>
          <cell r="H179">
            <v>6.2411052101773778E-2</v>
          </cell>
          <cell r="I179">
            <v>-4.2713567839195998E-2</v>
          </cell>
          <cell r="J179">
            <v>1928241</v>
          </cell>
          <cell r="K179">
            <v>91821</v>
          </cell>
          <cell r="L179">
            <v>1.4119640642602072E-2</v>
          </cell>
          <cell r="M179">
            <v>1928.241</v>
          </cell>
          <cell r="N179">
            <v>1.4119640642602294E-2</v>
          </cell>
        </row>
        <row r="180">
          <cell r="B180">
            <v>1993</v>
          </cell>
          <cell r="C180">
            <v>3.1742525904850445</v>
          </cell>
          <cell r="D180">
            <v>6.35</v>
          </cell>
          <cell r="E180">
            <v>8.2693947144074853E-2</v>
          </cell>
          <cell r="F180">
            <v>22</v>
          </cell>
          <cell r="G180">
            <v>94899</v>
          </cell>
          <cell r="H180">
            <v>0.10772732578498889</v>
          </cell>
          <cell r="I180">
            <v>3.3521743392034509E-2</v>
          </cell>
          <cell r="J180">
            <v>2087778</v>
          </cell>
          <cell r="K180">
            <v>99418</v>
          </cell>
          <cell r="L180">
            <v>0.16047624606046451</v>
          </cell>
          <cell r="M180">
            <v>2087.7779999999998</v>
          </cell>
          <cell r="N180">
            <v>0.16047624606046451</v>
          </cell>
        </row>
        <row r="181">
          <cell r="B181">
            <v>1993</v>
          </cell>
          <cell r="C181">
            <v>2.9633323368986164</v>
          </cell>
          <cell r="D181">
            <v>6.1643730000000003</v>
          </cell>
          <cell r="E181">
            <v>5.3919131475465898E-2</v>
          </cell>
          <cell r="F181">
            <v>21</v>
          </cell>
          <cell r="G181">
            <v>98682</v>
          </cell>
          <cell r="H181">
            <v>0.15205996007331568</v>
          </cell>
          <cell r="I181">
            <v>3.9863433755887856E-2</v>
          </cell>
          <cell r="J181">
            <v>2072322</v>
          </cell>
          <cell r="K181">
            <v>98682</v>
          </cell>
          <cell r="L181">
            <v>0.15205996007331568</v>
          </cell>
          <cell r="M181">
            <v>2072.3220000000001</v>
          </cell>
          <cell r="N181">
            <v>0.15205996007331568</v>
          </cell>
        </row>
        <row r="182">
          <cell r="B182">
            <v>1993</v>
          </cell>
          <cell r="C182">
            <v>2.9886284641536354</v>
          </cell>
          <cell r="D182">
            <v>6.1245099999999999</v>
          </cell>
          <cell r="E182">
            <v>4.8717465753424616E-2</v>
          </cell>
          <cell r="F182">
            <v>21</v>
          </cell>
          <cell r="G182">
            <v>97214</v>
          </cell>
          <cell r="H182">
            <v>0.11794199498608515</v>
          </cell>
          <cell r="I182">
            <v>-1.4876066557224177E-2</v>
          </cell>
          <cell r="J182">
            <v>2041494</v>
          </cell>
          <cell r="K182">
            <v>97214</v>
          </cell>
          <cell r="L182">
            <v>6.7126449759445039E-2</v>
          </cell>
          <cell r="M182">
            <v>2041.4939999999999</v>
          </cell>
          <cell r="N182">
            <v>6.7126449759445039E-2</v>
          </cell>
        </row>
        <row r="183">
          <cell r="B183">
            <v>1993</v>
          </cell>
          <cell r="C183">
            <v>2.9500810832502218</v>
          </cell>
          <cell r="D183">
            <v>6.0929029999999997</v>
          </cell>
          <cell r="E183">
            <v>4.7142439762142052E-2</v>
          </cell>
          <cell r="F183">
            <v>20</v>
          </cell>
          <cell r="G183">
            <v>97976</v>
          </cell>
          <cell r="H183">
            <v>0.13684992225754788</v>
          </cell>
          <cell r="I183">
            <v>7.838377188470691E-3</v>
          </cell>
          <cell r="J183">
            <v>1959520</v>
          </cell>
          <cell r="K183">
            <v>93310.476190476184</v>
          </cell>
          <cell r="L183">
            <v>0.19668412869215568</v>
          </cell>
          <cell r="M183">
            <v>1959.52</v>
          </cell>
          <cell r="N183">
            <v>0.19668412869215568</v>
          </cell>
        </row>
        <row r="184">
          <cell r="B184">
            <v>1993</v>
          </cell>
          <cell r="C184">
            <v>3.0871814769882509</v>
          </cell>
          <cell r="D184">
            <v>6.2454499999999999</v>
          </cell>
          <cell r="E184">
            <v>6.6140320928644636E-2</v>
          </cell>
          <cell r="F184">
            <v>19</v>
          </cell>
          <cell r="G184">
            <v>95969</v>
          </cell>
          <cell r="H184">
            <v>0.18565145412764705</v>
          </cell>
          <cell r="I184">
            <v>-2.0484608475545008E-2</v>
          </cell>
          <cell r="J184">
            <v>1823411</v>
          </cell>
          <cell r="K184">
            <v>86829.095238095237</v>
          </cell>
          <cell r="L184">
            <v>0.12636888142126446</v>
          </cell>
          <cell r="M184">
            <v>1823.4110000000001</v>
          </cell>
          <cell r="N184">
            <v>0.12636888142126468</v>
          </cell>
        </row>
        <row r="185">
          <cell r="B185">
            <v>1994</v>
          </cell>
          <cell r="C185">
            <v>3</v>
          </cell>
          <cell r="D185">
            <v>6.28</v>
          </cell>
          <cell r="E185">
            <v>6.0810810810810967E-2</v>
          </cell>
          <cell r="F185">
            <v>21</v>
          </cell>
          <cell r="G185">
            <v>98731</v>
          </cell>
          <cell r="H185">
            <v>4.6189547747213178E-2</v>
          </cell>
          <cell r="I185">
            <v>2.8780126915983306E-2</v>
          </cell>
          <cell r="J185">
            <v>2073351</v>
          </cell>
          <cell r="K185">
            <v>98731</v>
          </cell>
          <cell r="L185">
            <v>9.849902513457387E-2</v>
          </cell>
          <cell r="M185">
            <v>2073.3510000000001</v>
          </cell>
          <cell r="N185">
            <v>9.849902513457387E-2</v>
          </cell>
        </row>
        <row r="186">
          <cell r="B186">
            <v>1994</v>
          </cell>
          <cell r="C186">
            <v>3</v>
          </cell>
          <cell r="D186">
            <v>6.359</v>
          </cell>
          <cell r="E186">
            <v>7.7979318528564212E-2</v>
          </cell>
          <cell r="F186">
            <v>20</v>
          </cell>
          <cell r="G186">
            <v>100927</v>
          </cell>
          <cell r="H186">
            <v>9.5044864213872593E-2</v>
          </cell>
          <cell r="I186">
            <v>2.2242254205872447E-2</v>
          </cell>
          <cell r="J186">
            <v>2018540</v>
          </cell>
          <cell r="K186">
            <v>96120.952380952382</v>
          </cell>
          <cell r="L186">
            <v>9.5044864213872593E-2</v>
          </cell>
          <cell r="M186">
            <v>2018.54</v>
          </cell>
          <cell r="N186">
            <v>9.5044864213872593E-2</v>
          </cell>
        </row>
        <row r="187">
          <cell r="B187">
            <v>1994</v>
          </cell>
          <cell r="C187">
            <v>3</v>
          </cell>
          <cell r="D187">
            <v>6.49</v>
          </cell>
          <cell r="E187">
            <v>0.1226431413250304</v>
          </cell>
          <cell r="F187">
            <v>23</v>
          </cell>
          <cell r="G187">
            <v>103222</v>
          </cell>
          <cell r="H187">
            <v>0.12611551133512244</v>
          </cell>
          <cell r="I187">
            <v>2.273920754604819E-2</v>
          </cell>
          <cell r="J187">
            <v>2374106</v>
          </cell>
          <cell r="K187">
            <v>113052.66666666667</v>
          </cell>
          <cell r="L187">
            <v>0.12611551133512244</v>
          </cell>
          <cell r="M187">
            <v>2374.1060000000002</v>
          </cell>
          <cell r="N187">
            <v>0.12611551133512244</v>
          </cell>
        </row>
        <row r="188">
          <cell r="B188">
            <v>1994</v>
          </cell>
          <cell r="C188">
            <v>3.1</v>
          </cell>
          <cell r="D188">
            <v>6.55</v>
          </cell>
          <cell r="E188">
            <v>0.12157534246575352</v>
          </cell>
          <cell r="F188">
            <v>21</v>
          </cell>
          <cell r="G188">
            <v>101139</v>
          </cell>
          <cell r="H188">
            <v>9.6227008161628325E-2</v>
          </cell>
          <cell r="I188">
            <v>-2.0179806630369446E-2</v>
          </cell>
          <cell r="J188">
            <v>2123919</v>
          </cell>
          <cell r="K188">
            <v>101139</v>
          </cell>
          <cell r="L188">
            <v>4.6398507790645471E-2</v>
          </cell>
          <cell r="M188">
            <v>2123.9189999999999</v>
          </cell>
          <cell r="N188">
            <v>4.6398507790645249E-2</v>
          </cell>
        </row>
        <row r="189">
          <cell r="B189">
            <v>1994</v>
          </cell>
          <cell r="C189">
            <v>3.1</v>
          </cell>
          <cell r="D189">
            <v>6.62</v>
          </cell>
          <cell r="E189">
            <v>9.6389532957932955E-2</v>
          </cell>
          <cell r="F189">
            <v>22</v>
          </cell>
          <cell r="G189">
            <v>101878</v>
          </cell>
          <cell r="H189">
            <v>6.5379708447493412E-2</v>
          </cell>
          <cell r="I189">
            <v>7.3067758233718028E-3</v>
          </cell>
          <cell r="J189">
            <v>2241316</v>
          </cell>
          <cell r="K189">
            <v>106729.33333333333</v>
          </cell>
          <cell r="L189">
            <v>0.17191767929224278</v>
          </cell>
          <cell r="M189">
            <v>2241.3159999999998</v>
          </cell>
          <cell r="N189">
            <v>0.17191767929224278</v>
          </cell>
        </row>
        <row r="190">
          <cell r="B190">
            <v>1994</v>
          </cell>
          <cell r="C190">
            <v>2.9</v>
          </cell>
          <cell r="D190">
            <v>6.66</v>
          </cell>
          <cell r="E190">
            <v>7.2118480360592541E-2</v>
          </cell>
          <cell r="F190">
            <v>22</v>
          </cell>
          <cell r="G190">
            <v>111597</v>
          </cell>
          <cell r="H190">
            <v>0.16346254092036938</v>
          </cell>
          <cell r="I190">
            <v>9.5398417715306438E-2</v>
          </cell>
          <cell r="J190">
            <v>2455134</v>
          </cell>
          <cell r="K190">
            <v>116911.14285714286</v>
          </cell>
          <cell r="L190">
            <v>0.16346254092036938</v>
          </cell>
          <cell r="M190">
            <v>2455.134</v>
          </cell>
          <cell r="N190">
            <v>0.16346254092036938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Model"/>
      <sheetName val="DCF"/>
      <sheetName val="format-report"/>
      <sheetName val="GOKAL-QTR"/>
      <sheetName val="GOKL-MOSL-QTR"/>
      <sheetName val="Comparative"/>
      <sheetName val="Productivity-sales break-up"/>
      <sheetName val="Sales data historical"/>
      <sheetName val="Header"/>
      <sheetName val="foundry "/>
      <sheetName val="#REF"/>
      <sheetName val="Old"/>
      <sheetName val="sheet2"/>
      <sheetName val="TB"/>
      <sheetName val="Database"/>
    </sheetNames>
    <sheetDataSet>
      <sheetData sheetId="0"/>
      <sheetData sheetId="1" refreshError="1">
        <row r="72">
          <cell r="A72" t="str">
            <v>Balance Sheet</v>
          </cell>
        </row>
        <row r="121">
          <cell r="A121" t="str">
            <v>Margins (%)</v>
          </cell>
        </row>
        <row r="150">
          <cell r="A150" t="str">
            <v>Ratio Analysis</v>
          </cell>
        </row>
      </sheetData>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refreshError="1"/>
      <sheetData sheetId="15"/>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vency "/>
      <sheetName val="Master Sheet "/>
      <sheetName val="ICICI Pru"/>
      <sheetName val="HDFC Std Life"/>
      <sheetName val="Max New York Life"/>
      <sheetName val="Bajaj Allianz"/>
      <sheetName val="Birla Sun Life"/>
      <sheetName val="TATA AIG"/>
      <sheetName val="Reliance"/>
      <sheetName val="SBILife"/>
      <sheetName val="ING Vysya"/>
      <sheetName val="Om Kotak"/>
      <sheetName val="MODEL"/>
      <sheetName val="Other details"/>
      <sheetName val="1q98"/>
      <sheetName val="Fin"/>
      <sheetName val="TB"/>
      <sheetName val="input_fs(q)"/>
      <sheetName val="Aardvark-Y"/>
      <sheetName val="Aardvark-Q"/>
      <sheetName val="database"/>
    </sheetNames>
    <sheetDataSet>
      <sheetData sheetId="0" refreshError="1"/>
      <sheetData sheetId="1" refreshError="1">
        <row r="1">
          <cell r="A1" t="str">
            <v>NBAP Margins</v>
          </cell>
          <cell r="B1">
            <v>2002</v>
          </cell>
          <cell r="C1">
            <v>2003</v>
          </cell>
          <cell r="D1">
            <v>2004</v>
          </cell>
          <cell r="E1">
            <v>2005</v>
          </cell>
          <cell r="F1">
            <v>2006</v>
          </cell>
          <cell r="G1" t="str">
            <v>YTD</v>
          </cell>
          <cell r="H1">
            <v>2007</v>
          </cell>
          <cell r="I1">
            <v>2008</v>
          </cell>
          <cell r="J1">
            <v>2009</v>
          </cell>
          <cell r="K1">
            <v>2010</v>
          </cell>
        </row>
        <row r="2">
          <cell r="A2" t="str">
            <v xml:space="preserve">ICICI Prudential </v>
          </cell>
          <cell r="B2">
            <v>0.12381540633548045</v>
          </cell>
          <cell r="C2">
            <v>0.32424097710977506</v>
          </cell>
          <cell r="D2">
            <v>0.31851153260495824</v>
          </cell>
          <cell r="E2">
            <v>0.21366615007367243</v>
          </cell>
          <cell r="F2">
            <v>0.22730580429460112</v>
          </cell>
          <cell r="H2">
            <v>0.19930019618938993</v>
          </cell>
          <cell r="I2">
            <v>0.19634189683823486</v>
          </cell>
          <cell r="J2">
            <v>0.19328908342383075</v>
          </cell>
          <cell r="K2">
            <v>0.19117054535573913</v>
          </cell>
        </row>
        <row r="3">
          <cell r="A3" t="str">
            <v xml:space="preserve">HDFC Std Life </v>
          </cell>
          <cell r="B3">
            <v>0</v>
          </cell>
          <cell r="C3">
            <v>0.34164559337185346</v>
          </cell>
          <cell r="D3">
            <v>0.31986621393713477</v>
          </cell>
          <cell r="E3">
            <v>0.26371305791437877</v>
          </cell>
          <cell r="F3">
            <v>0.23179445743626229</v>
          </cell>
          <cell r="H3">
            <v>0.20250402668673165</v>
          </cell>
          <cell r="I3">
            <v>0.19823390736114296</v>
          </cell>
          <cell r="J3">
            <v>0.1943509760585207</v>
          </cell>
          <cell r="K3">
            <v>0.1940368370158351</v>
          </cell>
        </row>
        <row r="4">
          <cell r="A4" t="str">
            <v>Max New york Life</v>
          </cell>
          <cell r="B4">
            <v>0.20263219507529101</v>
          </cell>
          <cell r="C4">
            <v>0.34267798676472955</v>
          </cell>
          <cell r="D4">
            <v>0.30104438149182305</v>
          </cell>
          <cell r="E4">
            <v>0.25044706142647866</v>
          </cell>
          <cell r="F4">
            <v>0.23013435441488791</v>
          </cell>
          <cell r="H4">
            <v>0.21584306469852441</v>
          </cell>
          <cell r="I4">
            <v>0.21343571148306351</v>
          </cell>
          <cell r="J4">
            <v>0.2108423424538084</v>
          </cell>
          <cell r="K4">
            <v>0.20828765078050321</v>
          </cell>
        </row>
        <row r="5">
          <cell r="A5" t="str">
            <v>Bajaj Allianz</v>
          </cell>
          <cell r="B5">
            <v>0.20302899268487196</v>
          </cell>
          <cell r="C5">
            <v>0.22709768230364974</v>
          </cell>
          <cell r="D5">
            <v>0.21265811775386706</v>
          </cell>
          <cell r="E5">
            <v>0.21445242601715089</v>
          </cell>
          <cell r="F5">
            <v>0.21000589557463428</v>
          </cell>
          <cell r="H5">
            <v>0.18981239517649784</v>
          </cell>
          <cell r="I5">
            <v>0.18347220970294473</v>
          </cell>
          <cell r="J5">
            <v>0.17737221176771209</v>
          </cell>
          <cell r="K5">
            <v>0.1771610036736431</v>
          </cell>
        </row>
        <row r="6">
          <cell r="A6" t="str">
            <v>Birla Sunlife</v>
          </cell>
          <cell r="B6">
            <v>0.21574079457440473</v>
          </cell>
          <cell r="C6">
            <v>0.22558614539282529</v>
          </cell>
          <cell r="D6">
            <v>0.20163288503217985</v>
          </cell>
          <cell r="E6">
            <v>0.20093901505366235</v>
          </cell>
          <cell r="F6">
            <v>0.20058199990688003</v>
          </cell>
          <cell r="H6">
            <v>0.1903311115496446</v>
          </cell>
          <cell r="I6">
            <v>0.18038917841002505</v>
          </cell>
          <cell r="J6">
            <v>0.18034449420288942</v>
          </cell>
          <cell r="K6">
            <v>0.18034449420288945</v>
          </cell>
        </row>
        <row r="7">
          <cell r="A7" t="str">
            <v xml:space="preserve">TATA AIG Life </v>
          </cell>
          <cell r="B7">
            <v>0.20013078922798264</v>
          </cell>
          <cell r="C7">
            <v>0.22102629243695482</v>
          </cell>
          <cell r="D7">
            <v>0.20082251201457552</v>
          </cell>
          <cell r="E7">
            <v>0.20036132603017542</v>
          </cell>
          <cell r="F7">
            <v>0.20073244489415767</v>
          </cell>
          <cell r="H7">
            <v>0.20058339209993684</v>
          </cell>
          <cell r="I7">
            <v>0.19566359298620001</v>
          </cell>
          <cell r="J7">
            <v>0.1956774398760428</v>
          </cell>
          <cell r="K7">
            <v>0.19076604716555892</v>
          </cell>
        </row>
        <row r="8">
          <cell r="A8" t="str">
            <v>SBI Life</v>
          </cell>
          <cell r="B8">
            <v>0.43419172473279188</v>
          </cell>
          <cell r="C8">
            <v>0.31420599005757133</v>
          </cell>
          <cell r="D8">
            <v>0.23688153392963038</v>
          </cell>
          <cell r="E8">
            <v>0.23078892636010884</v>
          </cell>
          <cell r="F8">
            <v>0.21673331394503417</v>
          </cell>
          <cell r="H8">
            <v>0.18093798325542135</v>
          </cell>
          <cell r="I8">
            <v>0.17354850837400615</v>
          </cell>
          <cell r="J8">
            <v>0.1660841823730651</v>
          </cell>
          <cell r="K8">
            <v>0.16593342982246403</v>
          </cell>
        </row>
        <row r="9">
          <cell r="A9" t="str">
            <v>Om Kotak</v>
          </cell>
          <cell r="B9">
            <v>0.16101583113456466</v>
          </cell>
          <cell r="C9">
            <v>0.23130651631790089</v>
          </cell>
          <cell r="D9">
            <v>0.23628221469189603</v>
          </cell>
          <cell r="E9">
            <v>0.23601886118658585</v>
          </cell>
          <cell r="F9">
            <v>0.21087957831473678</v>
          </cell>
          <cell r="H9">
            <v>0.19999999999999998</v>
          </cell>
          <cell r="I9">
            <v>0.19504277492930661</v>
          </cell>
          <cell r="J9">
            <v>0.1900729682858785</v>
          </cell>
          <cell r="K9">
            <v>0.19005684528686423</v>
          </cell>
        </row>
        <row r="188">
          <cell r="A188" t="str">
            <v>Valuation of The Insurance Companies (US$ mn)</v>
          </cell>
          <cell r="C188" t="str">
            <v>FY06</v>
          </cell>
          <cell r="D188" t="str">
            <v>FY07E</v>
          </cell>
          <cell r="E188" t="str">
            <v>FY08E</v>
          </cell>
        </row>
        <row r="189">
          <cell r="A189" t="str">
            <v xml:space="preserve">ICICI Prudential </v>
          </cell>
          <cell r="C189">
            <v>2307.696753816092</v>
          </cell>
          <cell r="D189">
            <v>3788.9071534883724</v>
          </cell>
          <cell r="E189">
            <v>5829.9551897142856</v>
          </cell>
        </row>
        <row r="190">
          <cell r="A190" t="str">
            <v xml:space="preserve">HDFC Std Life </v>
          </cell>
          <cell r="C190">
            <v>857.72663977011507</v>
          </cell>
          <cell r="D190">
            <v>1110.705235862069</v>
          </cell>
          <cell r="E190">
            <v>1599.6177076229885</v>
          </cell>
        </row>
        <row r="191">
          <cell r="A191" t="str">
            <v>Max New york Life</v>
          </cell>
          <cell r="C191">
            <v>540.86377011494267</v>
          </cell>
          <cell r="D191">
            <v>836.92220459770112</v>
          </cell>
          <cell r="E191">
            <v>1183.2902634482759</v>
          </cell>
        </row>
        <row r="192">
          <cell r="A192" t="str">
            <v>Bajaj Allianz</v>
          </cell>
          <cell r="C192">
            <v>1179.1758620689654</v>
          </cell>
          <cell r="D192">
            <v>2376.1813603448277</v>
          </cell>
          <cell r="E192">
            <v>3596.3824159657138</v>
          </cell>
        </row>
        <row r="193">
          <cell r="A193" t="str">
            <v>Birla Sunlife</v>
          </cell>
          <cell r="C193">
            <v>534.79034482758618</v>
          </cell>
          <cell r="D193">
            <v>622.82973197701165</v>
          </cell>
          <cell r="E193">
            <v>744.47007041379322</v>
          </cell>
        </row>
        <row r="194">
          <cell r="A194" t="str">
            <v xml:space="preserve">SBI Life </v>
          </cell>
          <cell r="C194">
            <v>459.91800000000001</v>
          </cell>
          <cell r="D194">
            <v>1321.505960952381</v>
          </cell>
          <cell r="E194">
            <v>2194.2654851071429</v>
          </cell>
        </row>
        <row r="207">
          <cell r="A207" t="str">
            <v>Reliance life</v>
          </cell>
        </row>
        <row r="208">
          <cell r="A208" t="str">
            <v xml:space="preserve">Tata AIG </v>
          </cell>
          <cell r="B208">
            <v>0</v>
          </cell>
          <cell r="C208">
            <v>0</v>
          </cell>
          <cell r="D208">
            <v>0</v>
          </cell>
          <cell r="E208">
            <v>0</v>
          </cell>
          <cell r="F208">
            <v>0</v>
          </cell>
        </row>
        <row r="210">
          <cell r="A210" t="str">
            <v xml:space="preserve">Valuations Table </v>
          </cell>
        </row>
        <row r="211">
          <cell r="A211" t="str">
            <v xml:space="preserve">Value of Co (FY08E) US$ mn </v>
          </cell>
          <cell r="C211" t="str">
            <v xml:space="preserve">Co. Value </v>
          </cell>
          <cell r="D211" t="str">
            <v xml:space="preserve">Majority </v>
          </cell>
          <cell r="E211" t="str">
            <v xml:space="preserve">Per Share </v>
          </cell>
          <cell r="F211" t="str">
            <v xml:space="preserve">Share price of the parent </v>
          </cell>
          <cell r="H211" t="str">
            <v>% contribution</v>
          </cell>
        </row>
        <row r="212">
          <cell r="A212" t="str">
            <v xml:space="preserve">ICICI Prudential </v>
          </cell>
          <cell r="B212" t="str">
            <v xml:space="preserve">ICICI Bank </v>
          </cell>
          <cell r="C212">
            <v>5829.9551897142856</v>
          </cell>
          <cell r="D212">
            <v>4314.1668403885715</v>
          </cell>
          <cell r="E212">
            <v>193.13341625147982</v>
          </cell>
          <cell r="F212">
            <v>592</v>
          </cell>
          <cell r="H212">
            <v>0.32623887880317537</v>
          </cell>
        </row>
        <row r="213">
          <cell r="A213" t="str">
            <v xml:space="preserve">HDFC Standard Life </v>
          </cell>
          <cell r="B213" t="str">
            <v xml:space="preserve">HDFC Ltd </v>
          </cell>
          <cell r="C213">
            <v>1599.6177076229885</v>
          </cell>
          <cell r="D213">
            <v>1999.5221345287355</v>
          </cell>
          <cell r="E213">
            <v>217.100115278592</v>
          </cell>
          <cell r="F213">
            <v>1315</v>
          </cell>
          <cell r="H213">
            <v>0.16509514469854905</v>
          </cell>
        </row>
        <row r="214">
          <cell r="A214" t="str">
            <v xml:space="preserve">Max New York Life </v>
          </cell>
          <cell r="B214" t="str">
            <v xml:space="preserve">Max India </v>
          </cell>
          <cell r="C214">
            <v>1183.2902634482759</v>
          </cell>
          <cell r="D214">
            <v>875.63479495172419</v>
          </cell>
          <cell r="E214">
            <v>142.98090683333334</v>
          </cell>
          <cell r="F214">
            <v>822</v>
          </cell>
          <cell r="H214">
            <v>0.17394270904298459</v>
          </cell>
        </row>
        <row r="215">
          <cell r="A215" t="str">
            <v xml:space="preserve">Bajaj Allianz </v>
          </cell>
          <cell r="B215" t="str">
            <v xml:space="preserve">Bajaj auto </v>
          </cell>
          <cell r="C215">
            <v>3596.3824159657138</v>
          </cell>
          <cell r="D215">
            <v>3596.3824159657138</v>
          </cell>
          <cell r="E215">
            <v>552.33814381826357</v>
          </cell>
          <cell r="F215">
            <v>2733</v>
          </cell>
          <cell r="H215">
            <v>0.20209957695509095</v>
          </cell>
        </row>
        <row r="216">
          <cell r="B216" t="str">
            <v xml:space="preserve">Indian Rayon </v>
          </cell>
          <cell r="C216">
            <v>744.47007041379322</v>
          </cell>
          <cell r="D216">
            <v>550.90785210620697</v>
          </cell>
          <cell r="E216">
            <v>256.84037904313817</v>
          </cell>
        </row>
        <row r="217">
          <cell r="B217" t="str">
            <v xml:space="preserve">SBI </v>
          </cell>
          <cell r="C217">
            <v>2194.2654851071429</v>
          </cell>
          <cell r="D217">
            <v>1623.7564589792858</v>
          </cell>
          <cell r="E217">
            <v>129.5796528161315</v>
          </cell>
        </row>
        <row r="218">
          <cell r="B218" t="str">
            <v xml:space="preserve">Kotak Bank </v>
          </cell>
          <cell r="C218">
            <v>687.24855724137933</v>
          </cell>
          <cell r="D218">
            <v>508.56393235862072</v>
          </cell>
          <cell r="E218">
            <v>67.875932136742691</v>
          </cell>
        </row>
        <row r="219">
          <cell r="B219" t="str">
            <v xml:space="preserve">Tata Sons </v>
          </cell>
          <cell r="C219">
            <v>752.63168035714307</v>
          </cell>
          <cell r="D219">
            <v>556.94744346428581</v>
          </cell>
          <cell r="E219" t="str">
            <v>NA</v>
          </cell>
        </row>
        <row r="220">
          <cell r="C220" t="str">
            <v xml:space="preserve">Co. Value </v>
          </cell>
          <cell r="D220" t="str">
            <v xml:space="preserve">Per Share </v>
          </cell>
          <cell r="E220" t="str">
            <v>% contribution</v>
          </cell>
        </row>
        <row r="221">
          <cell r="B221" t="str">
            <v xml:space="preserve">ICICI Bank </v>
          </cell>
          <cell r="C221">
            <v>2967.3907296551724</v>
          </cell>
          <cell r="D221">
            <v>107.83775120583262</v>
          </cell>
          <cell r="E221">
            <v>0.1821583635233659</v>
          </cell>
        </row>
        <row r="222">
          <cell r="B222" t="str">
            <v xml:space="preserve">HDFC Ltd </v>
          </cell>
          <cell r="C222">
            <v>1434.8082163516781</v>
          </cell>
          <cell r="D222">
            <v>205.01000609550437</v>
          </cell>
          <cell r="E222">
            <v>0.15590114531977517</v>
          </cell>
        </row>
        <row r="223">
          <cell r="B223" t="str">
            <v xml:space="preserve">Max India </v>
          </cell>
          <cell r="C223">
            <v>769.51040904827585</v>
          </cell>
          <cell r="D223">
            <v>688.07055742399996</v>
          </cell>
          <cell r="E223">
            <v>0.83706880465206812</v>
          </cell>
        </row>
        <row r="224">
          <cell r="B224" t="str">
            <v xml:space="preserve">Bajaj auto </v>
          </cell>
          <cell r="C224">
            <v>1421.5860916965516</v>
          </cell>
          <cell r="D224">
            <v>452.25387701328276</v>
          </cell>
          <cell r="E224">
            <v>0.16547891584825566</v>
          </cell>
        </row>
      </sheetData>
      <sheetData sheetId="2" refreshError="1">
        <row r="2">
          <cell r="A2" t="str">
            <v>Year to March (Rs mn)</v>
          </cell>
          <cell r="B2">
            <v>2001</v>
          </cell>
          <cell r="C2">
            <v>2002</v>
          </cell>
          <cell r="D2">
            <v>2003</v>
          </cell>
          <cell r="E2">
            <v>2004</v>
          </cell>
          <cell r="F2">
            <v>2005</v>
          </cell>
          <cell r="G2">
            <v>2006</v>
          </cell>
          <cell r="H2">
            <v>2007</v>
          </cell>
          <cell r="I2">
            <v>2008</v>
          </cell>
          <cell r="J2">
            <v>2009</v>
          </cell>
          <cell r="K2">
            <v>2010</v>
          </cell>
        </row>
        <row r="3">
          <cell r="A3" t="str">
            <v xml:space="preserve">No. of policies (mn) </v>
          </cell>
          <cell r="C3" t="e">
            <v>#REF!</v>
          </cell>
          <cell r="D3" t="e">
            <v>#REF!</v>
          </cell>
          <cell r="E3" t="e">
            <v>#REF!</v>
          </cell>
          <cell r="F3" t="e">
            <v>#REF!</v>
          </cell>
          <cell r="G3" t="e">
            <v>#REF!</v>
          </cell>
          <cell r="H3" t="e">
            <v>#REF!</v>
          </cell>
          <cell r="I3" t="e">
            <v>#REF!</v>
          </cell>
          <cell r="J3" t="e">
            <v>#REF!</v>
          </cell>
          <cell r="K3" t="e">
            <v>#REF!</v>
          </cell>
        </row>
        <row r="4">
          <cell r="A4" t="str">
            <v>yoy growth in no of Policies</v>
          </cell>
          <cell r="D4" t="e">
            <v>#REF!</v>
          </cell>
          <cell r="E4" t="e">
            <v>#REF!</v>
          </cell>
          <cell r="F4" t="e">
            <v>#REF!</v>
          </cell>
          <cell r="G4" t="e">
            <v>#REF!</v>
          </cell>
          <cell r="H4" t="e">
            <v>#REF!</v>
          </cell>
          <cell r="I4" t="e">
            <v>#REF!</v>
          </cell>
          <cell r="J4" t="e">
            <v>#REF!</v>
          </cell>
          <cell r="K4" t="e">
            <v>#REF!</v>
          </cell>
        </row>
        <row r="6">
          <cell r="A6" t="str">
            <v xml:space="preserve">FYP </v>
          </cell>
          <cell r="C6">
            <v>557.70000000000005</v>
          </cell>
          <cell r="D6">
            <v>2098.8200000000002</v>
          </cell>
          <cell r="E6">
            <v>6291.18</v>
          </cell>
          <cell r="F6">
            <v>14543.02</v>
          </cell>
          <cell r="G6">
            <v>22934.581999999999</v>
          </cell>
          <cell r="H6">
            <v>44623</v>
          </cell>
          <cell r="I6">
            <v>72289.260000000009</v>
          </cell>
          <cell r="J6">
            <v>101204.96400000001</v>
          </cell>
          <cell r="K6">
            <v>136626.70140000002</v>
          </cell>
        </row>
        <row r="7">
          <cell r="A7" t="str">
            <v xml:space="preserve">Renewal Premiums </v>
          </cell>
          <cell r="C7">
            <v>30.5</v>
          </cell>
          <cell r="D7">
            <v>535.17600000000004</v>
          </cell>
          <cell r="E7">
            <v>2384.328</v>
          </cell>
          <cell r="F7">
            <v>7794.75</v>
          </cell>
          <cell r="G7">
            <v>16585.448</v>
          </cell>
          <cell r="H7">
            <v>31616.024000000001</v>
          </cell>
          <cell r="I7">
            <v>60991.219200000007</v>
          </cell>
          <cell r="J7">
            <v>106624.38336000001</v>
          </cell>
          <cell r="K7">
            <v>166263.47788800002</v>
          </cell>
        </row>
        <row r="8">
          <cell r="A8" t="str">
            <v xml:space="preserve">Single Premiums </v>
          </cell>
          <cell r="C8">
            <v>575.6</v>
          </cell>
          <cell r="D8">
            <v>1542.2469999999998</v>
          </cell>
          <cell r="E8">
            <v>1217.25</v>
          </cell>
          <cell r="F8">
            <v>1300.4000000000001</v>
          </cell>
          <cell r="G8">
            <v>3090.4349999999999</v>
          </cell>
          <cell r="H8">
            <v>7923</v>
          </cell>
          <cell r="I8">
            <v>10696.050000000001</v>
          </cell>
          <cell r="J8">
            <v>13904.865000000002</v>
          </cell>
          <cell r="K8">
            <v>15295.351500000002</v>
          </cell>
        </row>
        <row r="9">
          <cell r="A9" t="str">
            <v xml:space="preserve">Total Premiums </v>
          </cell>
          <cell r="C9">
            <v>1163.8000000000002</v>
          </cell>
          <cell r="D9">
            <v>4176.2430000000004</v>
          </cell>
          <cell r="E9">
            <v>9892.7579999999998</v>
          </cell>
          <cell r="F9">
            <v>23638.170000000002</v>
          </cell>
          <cell r="G9">
            <v>42610.464999999997</v>
          </cell>
          <cell r="H9">
            <v>84162.024000000005</v>
          </cell>
          <cell r="I9">
            <v>143976.52919999999</v>
          </cell>
          <cell r="J9">
            <v>221734.21236</v>
          </cell>
          <cell r="K9">
            <v>318185.53078800003</v>
          </cell>
        </row>
        <row r="10">
          <cell r="A10" t="str">
            <v xml:space="preserve">New Business </v>
          </cell>
          <cell r="C10">
            <v>1133.3000000000002</v>
          </cell>
          <cell r="D10">
            <v>3641.067</v>
          </cell>
          <cell r="E10">
            <v>7508.43</v>
          </cell>
          <cell r="F10">
            <v>15843.42</v>
          </cell>
          <cell r="G10">
            <v>26025.017</v>
          </cell>
          <cell r="H10">
            <v>52546</v>
          </cell>
          <cell r="I10">
            <v>82985.310000000012</v>
          </cell>
          <cell r="J10">
            <v>115109.82900000001</v>
          </cell>
          <cell r="K10">
            <v>151922.05290000001</v>
          </cell>
        </row>
        <row r="11">
          <cell r="A11" t="str">
            <v>APE - New Business</v>
          </cell>
          <cell r="C11">
            <v>615.26</v>
          </cell>
          <cell r="D11">
            <v>2253.0447000000004</v>
          </cell>
          <cell r="E11">
            <v>6412.9050000000007</v>
          </cell>
          <cell r="F11">
            <v>14673.060000000001</v>
          </cell>
          <cell r="G11">
            <v>23243.625499999998</v>
          </cell>
          <cell r="H11">
            <v>45415.3</v>
          </cell>
          <cell r="I11">
            <v>73358.865000000005</v>
          </cell>
          <cell r="J11">
            <v>102595.45050000001</v>
          </cell>
          <cell r="K11">
            <v>138156.23655000003</v>
          </cell>
        </row>
        <row r="12">
          <cell r="A12" t="str">
            <v>APE - total Business</v>
          </cell>
          <cell r="C12">
            <v>645.76</v>
          </cell>
          <cell r="D12">
            <v>2788.2207000000003</v>
          </cell>
          <cell r="E12">
            <v>8797.2330000000002</v>
          </cell>
          <cell r="F12">
            <v>22467.81</v>
          </cell>
          <cell r="G12">
            <v>39829.073499999999</v>
          </cell>
          <cell r="H12">
            <v>77031.324000000008</v>
          </cell>
          <cell r="I12">
            <v>134350.08420000001</v>
          </cell>
          <cell r="J12">
            <v>209219.83386000001</v>
          </cell>
          <cell r="K12">
            <v>304419.71443800005</v>
          </cell>
        </row>
        <row r="13">
          <cell r="A13" t="str">
            <v xml:space="preserve">Reinsuranced Ceded </v>
          </cell>
          <cell r="C13">
            <v>-0.34100000000000003</v>
          </cell>
          <cell r="D13">
            <v>-2.83</v>
          </cell>
          <cell r="E13">
            <v>-19.079999999999998</v>
          </cell>
          <cell r="F13">
            <v>-38.170999999999999</v>
          </cell>
        </row>
        <row r="15">
          <cell r="A15" t="str">
            <v xml:space="preserve">Investment Returns </v>
          </cell>
        </row>
        <row r="16">
          <cell r="A16" t="str">
            <v xml:space="preserve"> - Interest &amp; dividend </v>
          </cell>
          <cell r="D16">
            <v>159.80000000000001</v>
          </cell>
          <cell r="E16">
            <v>265.57</v>
          </cell>
          <cell r="F16">
            <v>383.87</v>
          </cell>
        </row>
        <row r="17">
          <cell r="A17" t="str">
            <v xml:space="preserve"> - Profit / Loss on sale of invst </v>
          </cell>
          <cell r="D17">
            <v>62.64</v>
          </cell>
          <cell r="E17">
            <v>229.52</v>
          </cell>
          <cell r="F17">
            <v>88.02</v>
          </cell>
        </row>
        <row r="18">
          <cell r="A18" t="str">
            <v xml:space="preserve"> - Transfer / Gain on revaln. </v>
          </cell>
          <cell r="E18">
            <v>-11.54</v>
          </cell>
          <cell r="F18">
            <v>108.66</v>
          </cell>
        </row>
        <row r="19">
          <cell r="A19" t="str">
            <v xml:space="preserve">Total Investment Returns </v>
          </cell>
          <cell r="C19">
            <v>0</v>
          </cell>
          <cell r="D19">
            <v>222.44</v>
          </cell>
          <cell r="E19">
            <v>483.55</v>
          </cell>
          <cell r="F19">
            <v>580.54999999999995</v>
          </cell>
        </row>
        <row r="21">
          <cell r="A21" t="str">
            <v xml:space="preserve">Fees </v>
          </cell>
          <cell r="C21">
            <v>0.59</v>
          </cell>
          <cell r="D21">
            <v>1.73</v>
          </cell>
          <cell r="E21">
            <v>2.35</v>
          </cell>
          <cell r="F21">
            <v>23.63</v>
          </cell>
          <cell r="G21">
            <v>42.533999999999999</v>
          </cell>
          <cell r="H21">
            <v>72.3078</v>
          </cell>
          <cell r="I21">
            <v>108.46170000000001</v>
          </cell>
          <cell r="J21">
            <v>157.269465</v>
          </cell>
          <cell r="K21">
            <v>212.31377775000001</v>
          </cell>
        </row>
        <row r="22">
          <cell r="C22">
            <v>1.057916442531827E-3</v>
          </cell>
          <cell r="D22">
            <v>8.2427268655720825E-4</v>
          </cell>
          <cell r="E22">
            <v>3.7353882737419691E-4</v>
          </cell>
          <cell r="F22">
            <v>1.6248344566671844E-3</v>
          </cell>
          <cell r="G22">
            <v>1.8545792550306783E-3</v>
          </cell>
          <cell r="H22">
            <v>1.6204154808058624E-3</v>
          </cell>
          <cell r="I22">
            <v>1.5003847044498726E-3</v>
          </cell>
          <cell r="J22">
            <v>1.5539698724659394E-3</v>
          </cell>
          <cell r="K22">
            <v>1.5539698724659394E-3</v>
          </cell>
        </row>
        <row r="24">
          <cell r="A24" t="str">
            <v xml:space="preserve">Total Revenues </v>
          </cell>
          <cell r="C24">
            <v>1164.0490000000002</v>
          </cell>
          <cell r="D24">
            <v>4397.5829999999996</v>
          </cell>
          <cell r="E24">
            <v>10359.578</v>
          </cell>
          <cell r="F24">
            <v>24204.179000000004</v>
          </cell>
          <cell r="G24">
            <v>42652.998999999996</v>
          </cell>
          <cell r="H24">
            <v>84234.3318</v>
          </cell>
          <cell r="I24">
            <v>144084.9909</v>
          </cell>
          <cell r="J24">
            <v>221891.481825</v>
          </cell>
          <cell r="K24">
            <v>318397.84456575004</v>
          </cell>
        </row>
        <row r="26">
          <cell r="A26" t="str">
            <v xml:space="preserve">Growth Rate (yoy) </v>
          </cell>
        </row>
        <row r="27">
          <cell r="A27" t="str">
            <v xml:space="preserve">FYP </v>
          </cell>
          <cell r="D27">
            <v>2.7633494710417787</v>
          </cell>
          <cell r="E27">
            <v>1.9974843007022991</v>
          </cell>
          <cell r="F27">
            <v>1.3116521860763801</v>
          </cell>
          <cell r="G27">
            <v>0.57701646563093489</v>
          </cell>
          <cell r="H27">
            <v>0.94566441193478057</v>
          </cell>
          <cell r="I27">
            <v>0.62</v>
          </cell>
          <cell r="J27">
            <v>0.4</v>
          </cell>
          <cell r="K27">
            <v>0.35</v>
          </cell>
        </row>
        <row r="28">
          <cell r="A28" t="str">
            <v xml:space="preserve">Renewal Premiums </v>
          </cell>
          <cell r="D28">
            <v>16.546754098360658</v>
          </cell>
          <cell r="E28">
            <v>3.4552222072738683</v>
          </cell>
          <cell r="F28">
            <v>2.2691601155545715</v>
          </cell>
          <cell r="G28">
            <v>1.1277716411687355</v>
          </cell>
          <cell r="H28">
            <v>0.90625082904001153</v>
          </cell>
          <cell r="I28">
            <v>0.9291236367988589</v>
          </cell>
          <cell r="J28">
            <v>0.74819235881088919</v>
          </cell>
          <cell r="K28">
            <v>0.55933823623287227</v>
          </cell>
        </row>
        <row r="29">
          <cell r="A29" t="str">
            <v xml:space="preserve">Single Premiums </v>
          </cell>
          <cell r="D29">
            <v>1.6793728283530225</v>
          </cell>
          <cell r="E29">
            <v>-0.2107295394317511</v>
          </cell>
          <cell r="F29">
            <v>6.8309714520435438E-2</v>
          </cell>
          <cell r="G29">
            <v>1.3765264533989541</v>
          </cell>
          <cell r="H29">
            <v>1.5637167583204308</v>
          </cell>
          <cell r="I29">
            <v>0.35</v>
          </cell>
          <cell r="J29">
            <v>0.30000000000000004</v>
          </cell>
          <cell r="K29">
            <v>0.1</v>
          </cell>
        </row>
        <row r="30">
          <cell r="A30" t="str">
            <v xml:space="preserve">Total Premiums </v>
          </cell>
          <cell r="D30">
            <v>2.5884542017528784</v>
          </cell>
          <cell r="E30">
            <v>1.3688176190896937</v>
          </cell>
          <cell r="F30">
            <v>1.3894418523125709</v>
          </cell>
          <cell r="G30">
            <v>0.80261268110010175</v>
          </cell>
          <cell r="H30">
            <v>0.97514915643375422</v>
          </cell>
          <cell r="I30">
            <v>0.71070659137189929</v>
          </cell>
          <cell r="J30">
            <v>0.54007193805863762</v>
          </cell>
          <cell r="K30">
            <v>0.43498618188610871</v>
          </cell>
        </row>
        <row r="31">
          <cell r="A31" t="str">
            <v xml:space="preserve">New Business </v>
          </cell>
          <cell r="D31">
            <v>2.2128006706079586</v>
          </cell>
          <cell r="E31">
            <v>1.0621510123268814</v>
          </cell>
          <cell r="F31">
            <v>1.1100842652858187</v>
          </cell>
          <cell r="G31">
            <v>0.64263883681679834</v>
          </cell>
          <cell r="H31">
            <v>1.0190572786177237</v>
          </cell>
          <cell r="I31">
            <v>0.57928881361093154</v>
          </cell>
          <cell r="J31">
            <v>0.38711091155772026</v>
          </cell>
          <cell r="K31">
            <v>0.31980087382459743</v>
          </cell>
        </row>
        <row r="32">
          <cell r="A32" t="str">
            <v>APE - New Business</v>
          </cell>
          <cell r="D32">
            <v>2.661939180183988</v>
          </cell>
          <cell r="E32">
            <v>1.8463283484788384</v>
          </cell>
          <cell r="F32">
            <v>1.2880519826817953</v>
          </cell>
          <cell r="G32">
            <v>0.58410212321083654</v>
          </cell>
          <cell r="H32">
            <v>0.95388193636143415</v>
          </cell>
          <cell r="I32">
            <v>0.61528967110202948</v>
          </cell>
          <cell r="J32">
            <v>0.39854195535876946</v>
          </cell>
          <cell r="K32">
            <v>0.34661172475674262</v>
          </cell>
        </row>
        <row r="33">
          <cell r="A33" t="str">
            <v>APE - total Business</v>
          </cell>
          <cell r="D33">
            <v>3.3177352267096136</v>
          </cell>
          <cell r="E33">
            <v>2.1551422740674724</v>
          </cell>
          <cell r="F33">
            <v>1.553963274588726</v>
          </cell>
          <cell r="G33">
            <v>0.77271721186889142</v>
          </cell>
          <cell r="H33">
            <v>0.93404759967615147</v>
          </cell>
          <cell r="I33">
            <v>0.74409678068106411</v>
          </cell>
          <cell r="J33">
            <v>0.55727355963949599</v>
          </cell>
          <cell r="K33">
            <v>0.45502321085726161</v>
          </cell>
        </row>
        <row r="34">
          <cell r="A34" t="str">
            <v>Persistency Rate</v>
          </cell>
          <cell r="D34">
            <v>0.90985379122747367</v>
          </cell>
          <cell r="E34">
            <v>0.90521321976191305</v>
          </cell>
          <cell r="F34">
            <v>0.89847764534365027</v>
          </cell>
          <cell r="G34">
            <v>0.74248450046714598</v>
          </cell>
          <cell r="H34">
            <v>0.8</v>
          </cell>
          <cell r="I34">
            <v>0.8</v>
          </cell>
          <cell r="J34">
            <v>0.8</v>
          </cell>
          <cell r="K34">
            <v>0.8</v>
          </cell>
        </row>
        <row r="35">
          <cell r="A35" t="str">
            <v>Persistency Rate</v>
          </cell>
          <cell r="D35">
            <v>0.90985379122747367</v>
          </cell>
          <cell r="E35">
            <v>0.90521321976191305</v>
          </cell>
          <cell r="F35">
            <v>0.89847764534365027</v>
          </cell>
          <cell r="G35">
            <v>0.74248450046714598</v>
          </cell>
          <cell r="H35">
            <v>0.8</v>
          </cell>
          <cell r="I35">
            <v>0.8</v>
          </cell>
          <cell r="J35">
            <v>0.8</v>
          </cell>
          <cell r="K35">
            <v>0.8</v>
          </cell>
        </row>
        <row r="36">
          <cell r="A36" t="str">
            <v>Assets Under Management (Rs bn)</v>
          </cell>
          <cell r="D36">
            <v>8</v>
          </cell>
          <cell r="E36">
            <v>16.64</v>
          </cell>
          <cell r="F36">
            <v>38.31</v>
          </cell>
          <cell r="G36">
            <v>88.21</v>
          </cell>
          <cell r="H36">
            <v>171.16549873999998</v>
          </cell>
          <cell r="I36">
            <v>303.86974216499999</v>
          </cell>
          <cell r="J36">
            <v>509.54506142451999</v>
          </cell>
          <cell r="K36">
            <v>808.78873094249559</v>
          </cell>
        </row>
        <row r="37">
          <cell r="A37" t="str">
            <v>Assets Under Management (Rs bn)</v>
          </cell>
          <cell r="D37">
            <v>8</v>
          </cell>
          <cell r="E37">
            <v>16.64</v>
          </cell>
          <cell r="F37">
            <v>38.31</v>
          </cell>
          <cell r="G37">
            <v>88.21</v>
          </cell>
          <cell r="H37">
            <v>174.93966279999998</v>
          </cell>
          <cell r="I37">
            <v>318.68882432000004</v>
          </cell>
          <cell r="J37">
            <v>546.44160984400014</v>
          </cell>
          <cell r="K37">
            <v>883.32688041200026</v>
          </cell>
        </row>
        <row r="38">
          <cell r="A38" t="str">
            <v xml:space="preserve">yoy growth </v>
          </cell>
          <cell r="F38">
            <v>1.3022836538461537</v>
          </cell>
          <cell r="G38">
            <v>1.302531975985382</v>
          </cell>
          <cell r="H38">
            <v>0.98321803423648113</v>
          </cell>
          <cell r="I38">
            <v>0.82170709157214672</v>
          </cell>
          <cell r="J38">
            <v>0.7146557021883837</v>
          </cell>
          <cell r="K38">
            <v>0.61650735320865335</v>
          </cell>
        </row>
        <row r="39">
          <cell r="A39" t="str">
            <v>NBAP Calculation</v>
          </cell>
        </row>
        <row r="40">
          <cell r="A40" t="str">
            <v>NBAP Calculation</v>
          </cell>
          <cell r="C40">
            <v>0.2</v>
          </cell>
          <cell r="D40">
            <v>0.315</v>
          </cell>
          <cell r="E40">
            <v>0.315</v>
          </cell>
          <cell r="F40">
            <v>0.21199999999999999</v>
          </cell>
          <cell r="G40">
            <v>0.22700000000000001</v>
          </cell>
          <cell r="H40">
            <v>0.215</v>
          </cell>
          <cell r="I40">
            <v>0.21</v>
          </cell>
          <cell r="J40">
            <v>0.21</v>
          </cell>
          <cell r="K40">
            <v>0.21</v>
          </cell>
        </row>
        <row r="41">
          <cell r="A41" t="str">
            <v>NBAP Margin (FYP)</v>
          </cell>
          <cell r="C41">
            <v>0.2</v>
          </cell>
          <cell r="D41">
            <v>0.315</v>
          </cell>
          <cell r="E41">
            <v>0.315</v>
          </cell>
          <cell r="F41">
            <v>0.21199999999999999</v>
          </cell>
          <cell r="G41">
            <v>0.22700000000000001</v>
          </cell>
          <cell r="H41">
            <v>0.19839999999999999</v>
          </cell>
          <cell r="I41">
            <v>0.19539999999999999</v>
          </cell>
          <cell r="J41">
            <v>0.19239999999999999</v>
          </cell>
          <cell r="K41">
            <v>0.19039999999999999</v>
          </cell>
        </row>
        <row r="42">
          <cell r="A42" t="str">
            <v>NBAP Margin (Single Premium)</v>
          </cell>
          <cell r="C42">
            <v>0.05</v>
          </cell>
          <cell r="D42">
            <v>4.4999999999999998E-2</v>
          </cell>
          <cell r="E42">
            <v>0.05</v>
          </cell>
          <cell r="F42">
            <v>0.04</v>
          </cell>
          <cell r="G42">
            <v>2.5000000000000001E-2</v>
          </cell>
          <cell r="H42">
            <v>2.5000000000000001E-2</v>
          </cell>
          <cell r="I42">
            <v>2.5999999999999999E-2</v>
          </cell>
          <cell r="J42">
            <v>2.58E-2</v>
          </cell>
          <cell r="K42">
            <v>2.5999999999999999E-2</v>
          </cell>
        </row>
        <row r="43">
          <cell r="A43" t="str">
            <v>NBAP Margin (Total)</v>
          </cell>
          <cell r="C43">
            <v>0.12381540633548045</v>
          </cell>
          <cell r="D43">
            <v>0.32424097710977506</v>
          </cell>
          <cell r="E43">
            <v>0.31851153260495824</v>
          </cell>
          <cell r="F43">
            <v>0.21366615007367243</v>
          </cell>
          <cell r="G43">
            <v>0.22730580429460112</v>
          </cell>
          <cell r="H43">
            <v>0.19930019618938993</v>
          </cell>
          <cell r="I43">
            <v>0.19634189683823486</v>
          </cell>
          <cell r="J43">
            <v>0.19328908342383075</v>
          </cell>
          <cell r="K43">
            <v>0.19117054535573913</v>
          </cell>
        </row>
        <row r="44">
          <cell r="A44" t="str">
            <v xml:space="preserve">Total NBAP </v>
          </cell>
          <cell r="C44">
            <v>140.32000000000002</v>
          </cell>
          <cell r="D44">
            <v>730.52941500000009</v>
          </cell>
          <cell r="E44">
            <v>2042.5842</v>
          </cell>
          <cell r="F44">
            <v>3135.1362400000003</v>
          </cell>
          <cell r="G44">
            <v>5283.410989</v>
          </cell>
          <cell r="H44">
            <v>9049.056637499998</v>
          </cell>
          <cell r="I44">
            <v>13676.014984499998</v>
          </cell>
          <cell r="J44">
            <v>18851.422773446997</v>
          </cell>
          <cell r="K44">
            <v>25004.211871961517</v>
          </cell>
        </row>
        <row r="45">
          <cell r="A45" t="str">
            <v xml:space="preserve">Total NBAP </v>
          </cell>
          <cell r="C45">
            <v>140.32000000000002</v>
          </cell>
          <cell r="D45">
            <v>730.52941500000009</v>
          </cell>
          <cell r="E45">
            <v>2042.5842</v>
          </cell>
          <cell r="F45">
            <v>3135.1362400000003</v>
          </cell>
          <cell r="G45">
            <v>5283.410989</v>
          </cell>
          <cell r="H45">
            <v>9051.2782000000007</v>
          </cell>
          <cell r="I45">
            <v>14403.418704</v>
          </cell>
          <cell r="J45">
            <v>19830.580590599999</v>
          </cell>
          <cell r="K45">
            <v>26411.403085560003</v>
          </cell>
        </row>
        <row r="46">
          <cell r="A46" t="str">
            <v xml:space="preserve">% Increase </v>
          </cell>
          <cell r="C46">
            <v>140</v>
          </cell>
          <cell r="D46">
            <v>4.2061674387115167</v>
          </cell>
          <cell r="E46">
            <v>1.7960327921908523</v>
          </cell>
          <cell r="F46">
            <v>0.5348871493277978</v>
          </cell>
          <cell r="G46">
            <v>0.68522532500852318</v>
          </cell>
          <cell r="H46">
            <v>0.71315050425656001</v>
          </cell>
          <cell r="I46">
            <v>0.59131322513100959</v>
          </cell>
          <cell r="J46">
            <v>0.37679678679984585</v>
          </cell>
          <cell r="K46">
            <v>0.33185223523306306</v>
          </cell>
        </row>
        <row r="47">
          <cell r="A47" t="str">
            <v xml:space="preserve">NBAP (as per b/s) </v>
          </cell>
          <cell r="C47">
            <v>140</v>
          </cell>
          <cell r="D47">
            <v>924</v>
          </cell>
          <cell r="E47">
            <v>2042</v>
          </cell>
          <cell r="F47">
            <v>3122</v>
          </cell>
          <cell r="G47">
            <v>19</v>
          </cell>
          <cell r="H47">
            <v>18</v>
          </cell>
          <cell r="I47">
            <v>17</v>
          </cell>
          <cell r="J47">
            <v>16.5</v>
          </cell>
          <cell r="K47">
            <v>16</v>
          </cell>
        </row>
        <row r="48">
          <cell r="A48" t="str">
            <v xml:space="preserve">Multiple (16-20x) of NBAP </v>
          </cell>
          <cell r="C48">
            <v>20</v>
          </cell>
          <cell r="D48">
            <v>20</v>
          </cell>
          <cell r="E48">
            <v>20</v>
          </cell>
          <cell r="F48">
            <v>20</v>
          </cell>
          <cell r="G48">
            <v>19</v>
          </cell>
          <cell r="H48">
            <v>18</v>
          </cell>
          <cell r="I48">
            <v>17</v>
          </cell>
          <cell r="J48">
            <v>16.5</v>
          </cell>
          <cell r="K48">
            <v>16</v>
          </cell>
        </row>
        <row r="49">
          <cell r="A49" t="str">
            <v>Multiple (16-20x) = 18x NBAP</v>
          </cell>
          <cell r="C49">
            <v>2806.4000000000005</v>
          </cell>
          <cell r="D49">
            <v>14610.588300000001</v>
          </cell>
          <cell r="E49">
            <v>40851.684000000001</v>
          </cell>
          <cell r="F49">
            <v>62702.724800000004</v>
          </cell>
          <cell r="G49">
            <v>100384.808791</v>
          </cell>
          <cell r="H49">
            <v>162923.00760000001</v>
          </cell>
          <cell r="I49">
            <v>244858.11796800001</v>
          </cell>
          <cell r="J49">
            <v>327204.57974489999</v>
          </cell>
          <cell r="K49">
            <v>422582.44936896005</v>
          </cell>
        </row>
        <row r="50">
          <cell r="A50" t="str">
            <v xml:space="preserve">In US$ mn </v>
          </cell>
          <cell r="C50">
            <v>64.514942528735645</v>
          </cell>
          <cell r="D50">
            <v>335.8755931034483</v>
          </cell>
          <cell r="E50">
            <v>939.11917241379308</v>
          </cell>
          <cell r="F50">
            <v>1441.4419494252875</v>
          </cell>
          <cell r="G50">
            <v>2307.696753816092</v>
          </cell>
          <cell r="H50">
            <v>3788.9071534883724</v>
          </cell>
          <cell r="I50">
            <v>5829.9551897142856</v>
          </cell>
          <cell r="J50">
            <v>7790.5852320214281</v>
          </cell>
          <cell r="K50">
            <v>10061.486889737143</v>
          </cell>
        </row>
        <row r="124">
          <cell r="A124" t="str">
            <v>Valuation Table (Rs mn)</v>
          </cell>
          <cell r="F124" t="str">
            <v>FY05</v>
          </cell>
          <cell r="G124" t="str">
            <v>FY06</v>
          </cell>
          <cell r="H124" t="str">
            <v xml:space="preserve">FY07E </v>
          </cell>
          <cell r="I124" t="str">
            <v xml:space="preserve">FY08E </v>
          </cell>
        </row>
        <row r="125">
          <cell r="A125" t="str">
            <v xml:space="preserve">FYP </v>
          </cell>
          <cell r="F125">
            <v>14543.02</v>
          </cell>
          <cell r="G125">
            <v>22934.581999999999</v>
          </cell>
          <cell r="H125">
            <v>44623</v>
          </cell>
          <cell r="I125">
            <v>72289.260000000009</v>
          </cell>
        </row>
        <row r="126">
          <cell r="A126" t="str">
            <v xml:space="preserve">Single Premium </v>
          </cell>
          <cell r="F126">
            <v>1300.4000000000001</v>
          </cell>
          <cell r="G126">
            <v>3090.4349999999999</v>
          </cell>
          <cell r="H126">
            <v>7923</v>
          </cell>
          <cell r="I126">
            <v>10696.050000000001</v>
          </cell>
        </row>
        <row r="127">
          <cell r="A127" t="str">
            <v xml:space="preserve">Renewal Premium </v>
          </cell>
          <cell r="F127">
            <v>7794.75</v>
          </cell>
          <cell r="G127">
            <v>16585.448</v>
          </cell>
          <cell r="H127">
            <v>31616.024000000001</v>
          </cell>
          <cell r="I127">
            <v>60991.219200000007</v>
          </cell>
        </row>
        <row r="128">
          <cell r="A128" t="str">
            <v xml:space="preserve">Total Premium </v>
          </cell>
          <cell r="F128">
            <v>23638.17</v>
          </cell>
          <cell r="G128">
            <v>42610.464999999997</v>
          </cell>
          <cell r="H128">
            <v>84162.024000000005</v>
          </cell>
          <cell r="I128">
            <v>143976.52920000002</v>
          </cell>
        </row>
        <row r="129">
          <cell r="A129" t="str">
            <v xml:space="preserve">YoY Growth </v>
          </cell>
          <cell r="F129">
            <v>1.3894418523125709</v>
          </cell>
          <cell r="G129">
            <v>0.80261268110010198</v>
          </cell>
          <cell r="H129">
            <v>0.97514915643375422</v>
          </cell>
          <cell r="I129">
            <v>0.71070659137189973</v>
          </cell>
        </row>
        <row r="130">
          <cell r="A130" t="str">
            <v>NBAP margin (%)</v>
          </cell>
          <cell r="F130">
            <v>0.21366615007367243</v>
          </cell>
          <cell r="G130">
            <v>0.22730580429460112</v>
          </cell>
          <cell r="H130">
            <v>0.19930019618938993</v>
          </cell>
          <cell r="I130">
            <v>0.19634189683823486</v>
          </cell>
        </row>
        <row r="131">
          <cell r="A131" t="str">
            <v>NBAP (Rs mn)</v>
          </cell>
          <cell r="F131">
            <v>3135.1362400000003</v>
          </cell>
          <cell r="G131">
            <v>5283.410989</v>
          </cell>
          <cell r="H131">
            <v>9051.2782000000007</v>
          </cell>
          <cell r="I131">
            <v>14403.418704</v>
          </cell>
        </row>
        <row r="132">
          <cell r="A132" t="str">
            <v>Multiple (x)</v>
          </cell>
          <cell r="F132">
            <v>20</v>
          </cell>
          <cell r="G132">
            <v>19</v>
          </cell>
          <cell r="H132">
            <v>18</v>
          </cell>
          <cell r="I132">
            <v>17</v>
          </cell>
        </row>
        <row r="133">
          <cell r="A133" t="str">
            <v>Value of the Company (Rs mn)</v>
          </cell>
          <cell r="F133">
            <v>62702.724800000004</v>
          </cell>
          <cell r="G133">
            <v>100384.808791</v>
          </cell>
          <cell r="H133">
            <v>162923.00760000001</v>
          </cell>
          <cell r="I133">
            <v>244858.11796800001</v>
          </cell>
        </row>
        <row r="134">
          <cell r="A134" t="str">
            <v>Value of the Company (US$ mn)</v>
          </cell>
          <cell r="F134">
            <v>1441.4419494252875</v>
          </cell>
          <cell r="G134">
            <v>2307.696753816092</v>
          </cell>
          <cell r="H134">
            <v>3788.9071534883724</v>
          </cell>
          <cell r="I134">
            <v>5829.9551897142856</v>
          </cell>
        </row>
        <row r="135">
          <cell r="A135" t="str">
            <v>Value of ICICI's stake in the venture (US$ mn)</v>
          </cell>
          <cell r="F135">
            <v>1066.6670425747127</v>
          </cell>
          <cell r="G135">
            <v>1707.6955978239082</v>
          </cell>
          <cell r="H135">
            <v>2803.7912935813956</v>
          </cell>
          <cell r="I135">
            <v>4314.1668403885715</v>
          </cell>
        </row>
      </sheetData>
      <sheetData sheetId="3" refreshError="1">
        <row r="2">
          <cell r="A2" t="str">
            <v>Year to March (Rs mn)</v>
          </cell>
          <cell r="B2">
            <v>2001</v>
          </cell>
          <cell r="C2">
            <v>2002</v>
          </cell>
          <cell r="D2">
            <v>2003</v>
          </cell>
          <cell r="E2">
            <v>2004</v>
          </cell>
          <cell r="F2">
            <v>2005</v>
          </cell>
          <cell r="G2">
            <v>2006</v>
          </cell>
          <cell r="H2">
            <v>2007</v>
          </cell>
          <cell r="I2">
            <v>2008</v>
          </cell>
          <cell r="J2">
            <v>2009</v>
          </cell>
          <cell r="K2">
            <v>2010</v>
          </cell>
        </row>
        <row r="3">
          <cell r="A3" t="str">
            <v xml:space="preserve">No. of policies (mn) </v>
          </cell>
          <cell r="C3" t="e">
            <v>#REF!</v>
          </cell>
          <cell r="D3" t="e">
            <v>#REF!</v>
          </cell>
          <cell r="E3" t="e">
            <v>#REF!</v>
          </cell>
          <cell r="F3" t="e">
            <v>#REF!</v>
          </cell>
          <cell r="G3" t="e">
            <v>#REF!</v>
          </cell>
          <cell r="H3" t="e">
            <v>#REF!</v>
          </cell>
          <cell r="I3" t="e">
            <v>#REF!</v>
          </cell>
          <cell r="J3" t="e">
            <v>#REF!</v>
          </cell>
          <cell r="K3" t="e">
            <v>#REF!</v>
          </cell>
        </row>
        <row r="4">
          <cell r="D4" t="e">
            <v>#REF!</v>
          </cell>
          <cell r="E4" t="e">
            <v>#REF!</v>
          </cell>
          <cell r="F4" t="e">
            <v>#REF!</v>
          </cell>
          <cell r="G4" t="e">
            <v>#REF!</v>
          </cell>
          <cell r="H4" t="e">
            <v>#REF!</v>
          </cell>
          <cell r="I4" t="e">
            <v>#REF!</v>
          </cell>
          <cell r="J4" t="e">
            <v>#REF!</v>
          </cell>
          <cell r="K4" t="e">
            <v>#REF!</v>
          </cell>
        </row>
        <row r="6">
          <cell r="A6" t="str">
            <v xml:space="preserve">FYP </v>
          </cell>
          <cell r="C6">
            <v>222.35399999999998</v>
          </cell>
          <cell r="D6">
            <v>745.14700000000005</v>
          </cell>
          <cell r="E6">
            <v>1352.5260000000001</v>
          </cell>
          <cell r="F6">
            <v>3820.607</v>
          </cell>
          <cell r="G6">
            <v>8254.7350000000006</v>
          </cell>
          <cell r="H6">
            <v>12923.156000000001</v>
          </cell>
          <cell r="I6">
            <v>19643.197120000001</v>
          </cell>
          <cell r="J6">
            <v>28482.635824000001</v>
          </cell>
          <cell r="K6">
            <v>38451.558362400006</v>
          </cell>
        </row>
        <row r="7">
          <cell r="A7" t="str">
            <v xml:space="preserve">Renewal Premiums </v>
          </cell>
          <cell r="C7">
            <v>6.86</v>
          </cell>
          <cell r="D7">
            <v>195.13300000000001</v>
          </cell>
          <cell r="E7">
            <v>884.23299999999995</v>
          </cell>
          <cell r="F7">
            <v>2004.837</v>
          </cell>
          <cell r="G7">
            <v>5272.607</v>
          </cell>
          <cell r="H7">
            <v>12174.607800000002</v>
          </cell>
          <cell r="I7">
            <v>22587.987420000001</v>
          </cell>
          <cell r="J7">
            <v>38008.066086000006</v>
          </cell>
          <cell r="K7">
            <v>59841.631719000005</v>
          </cell>
        </row>
        <row r="8">
          <cell r="A8" t="str">
            <v xml:space="preserve">Single Premiums </v>
          </cell>
          <cell r="C8">
            <v>105.42</v>
          </cell>
          <cell r="D8">
            <v>547.99099999999999</v>
          </cell>
          <cell r="E8">
            <v>740.8</v>
          </cell>
          <cell r="F8">
            <v>1040.902</v>
          </cell>
          <cell r="G8">
            <v>2171.7840000000001</v>
          </cell>
          <cell r="H8">
            <v>3319.1040000000003</v>
          </cell>
          <cell r="I8">
            <v>4148.88</v>
          </cell>
          <cell r="J8">
            <v>4771.2119999999995</v>
          </cell>
          <cell r="K8">
            <v>5248.3332</v>
          </cell>
        </row>
        <row r="9">
          <cell r="A9" t="str">
            <v xml:space="preserve">Total Premiums </v>
          </cell>
          <cell r="C9">
            <v>334.63400000000001</v>
          </cell>
          <cell r="D9">
            <v>1488.2710000000002</v>
          </cell>
          <cell r="E9">
            <v>2977.5590000000002</v>
          </cell>
          <cell r="F9">
            <v>6866.3459999999995</v>
          </cell>
          <cell r="G9">
            <v>15699.126</v>
          </cell>
          <cell r="H9">
            <v>28416.8678</v>
          </cell>
          <cell r="I9">
            <v>46380.064539999999</v>
          </cell>
          <cell r="J9">
            <v>71261.913910000003</v>
          </cell>
          <cell r="K9">
            <v>103541.5232814</v>
          </cell>
        </row>
        <row r="10">
          <cell r="A10" t="str">
            <v xml:space="preserve">New Business </v>
          </cell>
          <cell r="C10">
            <v>327.774</v>
          </cell>
          <cell r="D10">
            <v>1293.1379999999999</v>
          </cell>
          <cell r="E10">
            <v>2093.326</v>
          </cell>
          <cell r="F10">
            <v>4861.509</v>
          </cell>
          <cell r="G10">
            <v>10426.519</v>
          </cell>
          <cell r="H10">
            <v>16242.260000000002</v>
          </cell>
          <cell r="I10">
            <v>23792.077120000002</v>
          </cell>
          <cell r="J10">
            <v>33253.847823999997</v>
          </cell>
          <cell r="K10">
            <v>43699.891562400007</v>
          </cell>
        </row>
        <row r="11">
          <cell r="A11" t="str">
            <v>APE - New Business</v>
          </cell>
          <cell r="C11">
            <v>232.89599999999999</v>
          </cell>
          <cell r="D11">
            <v>799.9461</v>
          </cell>
          <cell r="E11">
            <v>1426.606</v>
          </cell>
          <cell r="F11">
            <v>3924.6972000000001</v>
          </cell>
          <cell r="G11">
            <v>8471.9134000000013</v>
          </cell>
          <cell r="H11">
            <v>13255.066400000002</v>
          </cell>
          <cell r="I11">
            <v>20058.08512</v>
          </cell>
          <cell r="J11">
            <v>28959.757024000002</v>
          </cell>
          <cell r="K11">
            <v>38976.391682400004</v>
          </cell>
        </row>
        <row r="12">
          <cell r="A12" t="str">
            <v>APE - total Business</v>
          </cell>
          <cell r="C12">
            <v>239.756</v>
          </cell>
          <cell r="D12">
            <v>995.07910000000004</v>
          </cell>
          <cell r="E12">
            <v>2310.8389999999999</v>
          </cell>
          <cell r="F12">
            <v>5929.5342000000001</v>
          </cell>
          <cell r="G12">
            <v>13744.520400000001</v>
          </cell>
          <cell r="H12">
            <v>25429.674200000001</v>
          </cell>
          <cell r="I12">
            <v>42646.072540000001</v>
          </cell>
          <cell r="J12">
            <v>66967.823110000012</v>
          </cell>
          <cell r="K12">
            <v>98818.023401400016</v>
          </cell>
        </row>
        <row r="13">
          <cell r="A13" t="str">
            <v xml:space="preserve">Reinsuranced Ceded </v>
          </cell>
          <cell r="C13">
            <v>-0.34100000000000003</v>
          </cell>
          <cell r="E13">
            <v>-79.433000000000007</v>
          </cell>
          <cell r="F13">
            <v>-137.06299999999999</v>
          </cell>
        </row>
        <row r="15">
          <cell r="A15" t="str">
            <v xml:space="preserve">Investment Returns </v>
          </cell>
        </row>
        <row r="16">
          <cell r="A16" t="str">
            <v xml:space="preserve"> - Interest &amp; dividend </v>
          </cell>
          <cell r="E16">
            <v>142.429</v>
          </cell>
          <cell r="F16">
            <v>267.08800000000002</v>
          </cell>
        </row>
        <row r="17">
          <cell r="A17" t="str">
            <v xml:space="preserve"> - Profit / Loss on sale of invst </v>
          </cell>
          <cell r="E17">
            <v>141.697</v>
          </cell>
          <cell r="F17">
            <v>-5.1340000000000003</v>
          </cell>
        </row>
        <row r="18">
          <cell r="A18" t="str">
            <v xml:space="preserve"> - Transfer / Gain on revaln. </v>
          </cell>
          <cell r="E18">
            <v>-20.187000000000001</v>
          </cell>
          <cell r="F18">
            <v>-5.7180000000000035</v>
          </cell>
        </row>
        <row r="19">
          <cell r="A19" t="str">
            <v xml:space="preserve">Total Investment Returns </v>
          </cell>
          <cell r="C19">
            <v>0</v>
          </cell>
          <cell r="D19">
            <v>0</v>
          </cell>
          <cell r="E19">
            <v>263.93899999999996</v>
          </cell>
          <cell r="F19">
            <v>256.23599999999999</v>
          </cell>
        </row>
        <row r="21">
          <cell r="A21" t="str">
            <v xml:space="preserve">Fees </v>
          </cell>
          <cell r="G21">
            <v>0</v>
          </cell>
          <cell r="H21">
            <v>0</v>
          </cell>
          <cell r="I21">
            <v>0</v>
          </cell>
          <cell r="J21">
            <v>0</v>
          </cell>
          <cell r="K21">
            <v>0</v>
          </cell>
        </row>
        <row r="22">
          <cell r="C22">
            <v>0</v>
          </cell>
          <cell r="D22">
            <v>0</v>
          </cell>
          <cell r="E22">
            <v>0</v>
          </cell>
          <cell r="F22">
            <v>0</v>
          </cell>
          <cell r="G22">
            <v>0</v>
          </cell>
          <cell r="H22">
            <v>0</v>
          </cell>
          <cell r="I22">
            <v>0</v>
          </cell>
          <cell r="J22">
            <v>0</v>
          </cell>
          <cell r="K22">
            <v>0</v>
          </cell>
        </row>
        <row r="24">
          <cell r="A24" t="str">
            <v xml:space="preserve">Total Revenues </v>
          </cell>
          <cell r="C24">
            <v>334.29300000000001</v>
          </cell>
          <cell r="D24">
            <v>1488.2710000000002</v>
          </cell>
          <cell r="E24">
            <v>3162.0650000000001</v>
          </cell>
          <cell r="F24">
            <v>6985.5189999999993</v>
          </cell>
          <cell r="G24">
            <v>15699.126</v>
          </cell>
          <cell r="H24">
            <v>28416.8678</v>
          </cell>
          <cell r="I24">
            <v>46380.064539999999</v>
          </cell>
          <cell r="J24">
            <v>71261.913910000003</v>
          </cell>
          <cell r="K24">
            <v>103541.5232814</v>
          </cell>
        </row>
        <row r="26">
          <cell r="A26" t="str">
            <v xml:space="preserve">Growth Rate (yoy) </v>
          </cell>
        </row>
        <row r="27">
          <cell r="A27" t="str">
            <v xml:space="preserve">FYP </v>
          </cell>
          <cell r="D27">
            <v>2.3511742536675757</v>
          </cell>
          <cell r="E27">
            <v>0.81511299112792512</v>
          </cell>
          <cell r="F27">
            <v>1.8247937562752949</v>
          </cell>
          <cell r="G27">
            <v>1.1605820750472375</v>
          </cell>
          <cell r="H27">
            <v>0.56554462378259274</v>
          </cell>
          <cell r="I27">
            <v>0.52</v>
          </cell>
          <cell r="J27">
            <v>0.45</v>
          </cell>
          <cell r="K27">
            <v>0.35</v>
          </cell>
        </row>
        <row r="28">
          <cell r="A28" t="str">
            <v xml:space="preserve">Renewal Premiums </v>
          </cell>
          <cell r="D28">
            <v>27.445043731778426</v>
          </cell>
          <cell r="E28">
            <v>3.53143753234973</v>
          </cell>
          <cell r="F28">
            <v>1.2673175509170096</v>
          </cell>
          <cell r="G28">
            <v>1.6299429828958663</v>
          </cell>
          <cell r="H28">
            <v>1.3090300111500821</v>
          </cell>
          <cell r="I28">
            <v>0.85533594108879618</v>
          </cell>
          <cell r="J28">
            <v>0.68266722392215695</v>
          </cell>
          <cell r="K28">
            <v>0.5744455817246179</v>
          </cell>
        </row>
        <row r="29">
          <cell r="A29" t="str">
            <v xml:space="preserve">Single Premiums </v>
          </cell>
          <cell r="D29">
            <v>4.1981692278505029</v>
          </cell>
          <cell r="E29">
            <v>0.3518470193853549</v>
          </cell>
          <cell r="F29">
            <v>0.40510529157667396</v>
          </cell>
          <cell r="G29">
            <v>1.0864442570001787</v>
          </cell>
          <cell r="H29">
            <v>0.52828458078703955</v>
          </cell>
          <cell r="I29">
            <v>0.25</v>
          </cell>
          <cell r="J29">
            <v>0.15</v>
          </cell>
          <cell r="K29">
            <v>0.1</v>
          </cell>
        </row>
        <row r="30">
          <cell r="A30" t="str">
            <v xml:space="preserve">Total Premiums </v>
          </cell>
          <cell r="D30">
            <v>3.4474590149237674</v>
          </cell>
          <cell r="E30">
            <v>1.0006833432889572</v>
          </cell>
          <cell r="F30">
            <v>1.306031887193503</v>
          </cell>
          <cell r="G30">
            <v>1.2863872575020254</v>
          </cell>
          <cell r="H30">
            <v>0.81009234526813789</v>
          </cell>
          <cell r="I30">
            <v>0.63213148142949094</v>
          </cell>
          <cell r="J30">
            <v>0.53647724764464089</v>
          </cell>
          <cell r="K30">
            <v>0.45297140646780032</v>
          </cell>
        </row>
        <row r="31">
          <cell r="A31" t="str">
            <v xml:space="preserve">New Business </v>
          </cell>
          <cell r="D31">
            <v>2.9452122499038969</v>
          </cell>
          <cell r="E31">
            <v>0.61879551911706265</v>
          </cell>
          <cell r="F31">
            <v>1.322385046571819</v>
          </cell>
          <cell r="G31">
            <v>1.1447083611282012</v>
          </cell>
          <cell r="H31">
            <v>0.55778357091182595</v>
          </cell>
          <cell r="I31">
            <v>0.4648255304372666</v>
          </cell>
          <cell r="J31">
            <v>0.3976857781805978</v>
          </cell>
          <cell r="K31">
            <v>0.31413037654129394</v>
          </cell>
        </row>
        <row r="32">
          <cell r="A32" t="str">
            <v>APE - New Business</v>
          </cell>
          <cell r="D32">
            <v>2.4347781842539162</v>
          </cell>
          <cell r="E32">
            <v>0.7833776550695104</v>
          </cell>
          <cell r="F32">
            <v>1.75107296618688</v>
          </cell>
          <cell r="G32">
            <v>1.1586158035325633</v>
          </cell>
          <cell r="H32">
            <v>0.56458945862218091</v>
          </cell>
          <cell r="I32">
            <v>0.51323912794582438</v>
          </cell>
          <cell r="J32">
            <v>0.44379470177460312</v>
          </cell>
          <cell r="K32">
            <v>0.34588117055329071</v>
          </cell>
        </row>
        <row r="33">
          <cell r="A33" t="str">
            <v>APE - Total Business</v>
          </cell>
          <cell r="D33">
            <v>3.1503824721800502</v>
          </cell>
          <cell r="E33">
            <v>1.3222666419182154</v>
          </cell>
          <cell r="F33">
            <v>1.5659659543568374</v>
          </cell>
          <cell r="G33">
            <v>1.3179764103561458</v>
          </cell>
          <cell r="H33">
            <v>0.85016817320159088</v>
          </cell>
          <cell r="I33">
            <v>0.67702001231301656</v>
          </cell>
          <cell r="J33">
            <v>0.57031630631841557</v>
          </cell>
          <cell r="K33">
            <v>0.47560453382340806</v>
          </cell>
        </row>
        <row r="35">
          <cell r="A35" t="str">
            <v xml:space="preserve">Persistency Rate </v>
          </cell>
          <cell r="D35">
            <v>0.8513136195869363</v>
          </cell>
          <cell r="E35">
            <v>0.94039328710596815</v>
          </cell>
          <cell r="F35">
            <v>0.89631337126619359</v>
          </cell>
          <cell r="G35">
            <v>0.90509959412535768</v>
          </cell>
          <cell r="H35">
            <v>0.9</v>
          </cell>
          <cell r="I35">
            <v>0.9</v>
          </cell>
          <cell r="J35">
            <v>0.9</v>
          </cell>
          <cell r="K35">
            <v>0.9</v>
          </cell>
        </row>
        <row r="37">
          <cell r="A37" t="str">
            <v>Assets Under Management (Rs bn)</v>
          </cell>
          <cell r="E37">
            <v>4.1440929999999998</v>
          </cell>
          <cell r="F37">
            <v>8.9904609999999998</v>
          </cell>
          <cell r="G37">
            <v>22.364827080000001</v>
          </cell>
          <cell r="H37">
            <v>47.4521082296</v>
          </cell>
          <cell r="I37">
            <v>89.472258090272007</v>
          </cell>
          <cell r="J37">
            <v>155.55331409337106</v>
          </cell>
          <cell r="K37">
            <v>253.99677097225705</v>
          </cell>
        </row>
        <row r="38">
          <cell r="A38" t="str">
            <v xml:space="preserve">yoy growth </v>
          </cell>
          <cell r="F38">
            <v>1.1694641022776273</v>
          </cell>
          <cell r="G38">
            <v>1.4876173846925091</v>
          </cell>
          <cell r="H38">
            <v>1.1217292697976897</v>
          </cell>
          <cell r="I38">
            <v>0.88552756512639808</v>
          </cell>
          <cell r="J38">
            <v>0.73856475083513962</v>
          </cell>
          <cell r="K38">
            <v>0.63285991335289205</v>
          </cell>
        </row>
        <row r="40">
          <cell r="A40" t="str">
            <v>NBAP Calculation</v>
          </cell>
        </row>
        <row r="41">
          <cell r="A41" t="str">
            <v>NBAP Margin (FYP)</v>
          </cell>
          <cell r="C41">
            <v>0.2</v>
          </cell>
          <cell r="D41">
            <v>0.33</v>
          </cell>
          <cell r="E41">
            <v>0.31</v>
          </cell>
          <cell r="F41">
            <v>0.26</v>
          </cell>
          <cell r="G41">
            <v>0.23</v>
          </cell>
          <cell r="H41">
            <v>0.2</v>
          </cell>
          <cell r="I41">
            <v>0.19600000000000001</v>
          </cell>
          <cell r="J41">
            <v>0.193</v>
          </cell>
          <cell r="K41">
            <v>0.193</v>
          </cell>
        </row>
        <row r="42">
          <cell r="A42" t="str">
            <v>NBAP Margin (Single Premium)</v>
          </cell>
          <cell r="C42">
            <v>0.05</v>
          </cell>
          <cell r="D42">
            <v>0.05</v>
          </cell>
          <cell r="E42">
            <v>0.05</v>
          </cell>
          <cell r="F42">
            <v>0.04</v>
          </cell>
          <cell r="G42">
            <v>0.03</v>
          </cell>
          <cell r="H42">
            <v>0.03</v>
          </cell>
          <cell r="I42">
            <v>3.04E-2</v>
          </cell>
          <cell r="J42">
            <v>2.75E-2</v>
          </cell>
          <cell r="K42">
            <v>2.7E-2</v>
          </cell>
        </row>
        <row r="43">
          <cell r="A43" t="str">
            <v>NBAP Margin (Total)</v>
          </cell>
          <cell r="D43">
            <v>0.34164559337185346</v>
          </cell>
          <cell r="E43">
            <v>0.31986621393713477</v>
          </cell>
          <cell r="F43">
            <v>0.26371305791437877</v>
          </cell>
          <cell r="G43">
            <v>0.23179445743626229</v>
          </cell>
          <cell r="H43">
            <v>0.20250402668673165</v>
          </cell>
          <cell r="I43">
            <v>0.19823390736114296</v>
          </cell>
          <cell r="J43">
            <v>0.1943509760585207</v>
          </cell>
          <cell r="K43">
            <v>0.1940368370158351</v>
          </cell>
        </row>
        <row r="45">
          <cell r="A45" t="str">
            <v xml:space="preserve">Total NBAP </v>
          </cell>
          <cell r="C45">
            <v>49.741799999999998</v>
          </cell>
          <cell r="D45">
            <v>273.29806000000002</v>
          </cell>
          <cell r="E45">
            <v>456.32306000000005</v>
          </cell>
          <cell r="F45">
            <v>1034.9939000000002</v>
          </cell>
          <cell r="G45">
            <v>1963.7425700000003</v>
          </cell>
          <cell r="H45">
            <v>2684.2043200000003</v>
          </cell>
          <cell r="I45">
            <v>3976.19258752</v>
          </cell>
          <cell r="J45">
            <v>5628.3570440320009</v>
          </cell>
          <cell r="K45">
            <v>7562.8557603432009</v>
          </cell>
        </row>
        <row r="46">
          <cell r="A46" t="str">
            <v xml:space="preserve">% Increase </v>
          </cell>
        </row>
        <row r="47">
          <cell r="A47" t="str">
            <v xml:space="preserve">NBAP (as per b/s) </v>
          </cell>
        </row>
        <row r="48">
          <cell r="A48" t="str">
            <v xml:space="preserve">Multiple (16-20x) of NBAP </v>
          </cell>
          <cell r="D48">
            <v>20</v>
          </cell>
          <cell r="E48">
            <v>20</v>
          </cell>
          <cell r="F48">
            <v>20</v>
          </cell>
          <cell r="G48">
            <v>19</v>
          </cell>
          <cell r="H48">
            <v>18</v>
          </cell>
          <cell r="I48">
            <v>17.5</v>
          </cell>
          <cell r="J48">
            <v>16.5</v>
          </cell>
          <cell r="K48">
            <v>15.23</v>
          </cell>
        </row>
        <row r="49">
          <cell r="A49" t="str">
            <v>Multiple (16-20x) = 18x NBAP</v>
          </cell>
          <cell r="C49">
            <v>895.35239999999999</v>
          </cell>
          <cell r="D49">
            <v>5465.9612000000006</v>
          </cell>
          <cell r="E49">
            <v>9126.4612000000016</v>
          </cell>
          <cell r="F49">
            <v>20699.878000000004</v>
          </cell>
          <cell r="G49">
            <v>37311.108830000005</v>
          </cell>
          <cell r="H49">
            <v>48315.677760000006</v>
          </cell>
          <cell r="I49">
            <v>69583.3702816</v>
          </cell>
          <cell r="J49">
            <v>92867.891226528009</v>
          </cell>
          <cell r="K49">
            <v>115182.29323002696</v>
          </cell>
        </row>
        <row r="50">
          <cell r="A50" t="str">
            <v xml:space="preserve">In US$ mn </v>
          </cell>
          <cell r="C50">
            <v>20.582813793103448</v>
          </cell>
          <cell r="D50">
            <v>125.65428045977013</v>
          </cell>
          <cell r="E50">
            <v>209.80370574712649</v>
          </cell>
          <cell r="F50">
            <v>475.85926436781619</v>
          </cell>
          <cell r="G50">
            <v>857.72663977011507</v>
          </cell>
          <cell r="H50">
            <v>1110.705235862069</v>
          </cell>
          <cell r="I50">
            <v>1599.6177076229885</v>
          </cell>
          <cell r="J50">
            <v>2134.8940511845517</v>
          </cell>
          <cell r="K50">
            <v>2647.8688098856774</v>
          </cell>
        </row>
        <row r="51">
          <cell r="A51" t="str">
            <v>Equiv. in per HDFC Shr (Rs)- 78% stake</v>
          </cell>
          <cell r="C51">
            <v>2.8458118861313872</v>
          </cell>
          <cell r="D51">
            <v>17.373156482400653</v>
          </cell>
          <cell r="E51">
            <v>29.007787058231962</v>
          </cell>
          <cell r="F51">
            <v>65.793042888888905</v>
          </cell>
          <cell r="G51">
            <v>118.59062084733985</v>
          </cell>
          <cell r="H51">
            <v>153.56783547562048</v>
          </cell>
          <cell r="I51">
            <v>217.100115278592</v>
          </cell>
          <cell r="J51">
            <v>289.74782062676741</v>
          </cell>
          <cell r="K51">
            <v>359.36875487768413</v>
          </cell>
        </row>
        <row r="76">
          <cell r="A76" t="str">
            <v>Valuation Table (Rs mn)</v>
          </cell>
          <cell r="F76" t="str">
            <v>FY05</v>
          </cell>
          <cell r="G76" t="str">
            <v xml:space="preserve">FY06E </v>
          </cell>
          <cell r="H76" t="str">
            <v xml:space="preserve">FY07E </v>
          </cell>
          <cell r="I76" t="str">
            <v xml:space="preserve">FY08E </v>
          </cell>
        </row>
        <row r="77">
          <cell r="A77" t="str">
            <v xml:space="preserve">FYP </v>
          </cell>
          <cell r="F77">
            <v>3820.607</v>
          </cell>
          <cell r="G77">
            <v>8254.7350000000006</v>
          </cell>
          <cell r="H77">
            <v>12923.156000000001</v>
          </cell>
          <cell r="I77">
            <v>19643.197120000001</v>
          </cell>
        </row>
        <row r="78">
          <cell r="A78" t="str">
            <v xml:space="preserve">Single Premium </v>
          </cell>
          <cell r="F78">
            <v>1040.902</v>
          </cell>
          <cell r="G78">
            <v>2171.7840000000001</v>
          </cell>
          <cell r="H78">
            <v>3319.1040000000003</v>
          </cell>
          <cell r="I78">
            <v>4148.88</v>
          </cell>
        </row>
        <row r="79">
          <cell r="A79" t="str">
            <v xml:space="preserve">Renewal Premium </v>
          </cell>
          <cell r="F79">
            <v>2004.837</v>
          </cell>
          <cell r="G79">
            <v>5272.607</v>
          </cell>
          <cell r="H79">
            <v>12174.607800000002</v>
          </cell>
          <cell r="I79">
            <v>22587.987420000001</v>
          </cell>
        </row>
        <row r="80">
          <cell r="A80" t="str">
            <v xml:space="preserve">Total Premium </v>
          </cell>
          <cell r="F80">
            <v>6866.3459999999995</v>
          </cell>
          <cell r="G80">
            <v>15699.126</v>
          </cell>
          <cell r="H80">
            <v>28416.8678</v>
          </cell>
          <cell r="I80">
            <v>46380.064539999999</v>
          </cell>
        </row>
        <row r="81">
          <cell r="A81" t="str">
            <v xml:space="preserve">YoY Growth </v>
          </cell>
          <cell r="F81">
            <v>1.306031887193503</v>
          </cell>
          <cell r="G81">
            <v>1.2863872575020254</v>
          </cell>
          <cell r="H81">
            <v>0.81009234526813789</v>
          </cell>
          <cell r="I81">
            <v>0.63213148142949094</v>
          </cell>
        </row>
        <row r="82">
          <cell r="A82" t="str">
            <v>NBAP margin (%)</v>
          </cell>
          <cell r="F82">
            <v>0.26371305791437877</v>
          </cell>
          <cell r="G82">
            <v>0.23179445743626229</v>
          </cell>
          <cell r="H82">
            <v>0.20250402668673165</v>
          </cell>
          <cell r="I82">
            <v>0.19823390736114296</v>
          </cell>
        </row>
        <row r="83">
          <cell r="A83" t="str">
            <v>NBAP (Rs mn)</v>
          </cell>
          <cell r="F83">
            <v>1034.9939000000002</v>
          </cell>
          <cell r="G83">
            <v>1963.7425700000003</v>
          </cell>
          <cell r="H83">
            <v>2684.2043200000003</v>
          </cell>
          <cell r="I83">
            <v>3976.19258752</v>
          </cell>
        </row>
        <row r="84">
          <cell r="A84" t="str">
            <v>Multiple (x)</v>
          </cell>
          <cell r="F84">
            <v>20</v>
          </cell>
          <cell r="G84">
            <v>19</v>
          </cell>
          <cell r="H84">
            <v>18</v>
          </cell>
          <cell r="I84">
            <v>17.5</v>
          </cell>
        </row>
        <row r="85">
          <cell r="A85" t="str">
            <v>Value of the Company (Rs mn)</v>
          </cell>
          <cell r="F85">
            <v>20699.878000000004</v>
          </cell>
          <cell r="G85">
            <v>37311.108830000005</v>
          </cell>
          <cell r="H85">
            <v>48315.677760000006</v>
          </cell>
          <cell r="I85">
            <v>69583.3702816</v>
          </cell>
        </row>
        <row r="86">
          <cell r="A86" t="str">
            <v>Value of the Company (US$ mn)</v>
          </cell>
          <cell r="F86">
            <v>475.85926436781619</v>
          </cell>
          <cell r="G86">
            <v>857.72663977011507</v>
          </cell>
          <cell r="H86">
            <v>1110.705235862069</v>
          </cell>
          <cell r="I86">
            <v>1599.6177076229885</v>
          </cell>
        </row>
        <row r="87">
          <cell r="A87" t="str">
            <v>Value of HDFC's stake in the venture (US$ mn)</v>
          </cell>
          <cell r="F87">
            <v>594.82408045977024</v>
          </cell>
          <cell r="G87">
            <v>1072.1582997126438</v>
          </cell>
          <cell r="H87">
            <v>1388.3815448275861</v>
          </cell>
          <cell r="I87">
            <v>1999.5221345287355</v>
          </cell>
        </row>
        <row r="88">
          <cell r="A88" t="str">
            <v>Value per Share of HDFC (Rs)</v>
          </cell>
          <cell r="F88">
            <v>65.793042888888905</v>
          </cell>
          <cell r="G88">
            <v>118.59062084733985</v>
          </cell>
          <cell r="H88">
            <v>153.56783547562048</v>
          </cell>
          <cell r="I88">
            <v>217.100115278592</v>
          </cell>
        </row>
      </sheetData>
      <sheetData sheetId="4" refreshError="1">
        <row r="2">
          <cell r="A2" t="str">
            <v>Year to March (Rs mn)</v>
          </cell>
          <cell r="B2">
            <v>2001</v>
          </cell>
          <cell r="C2">
            <v>2002</v>
          </cell>
          <cell r="D2">
            <v>2003</v>
          </cell>
          <cell r="E2">
            <v>2004</v>
          </cell>
          <cell r="F2">
            <v>2005</v>
          </cell>
          <cell r="G2">
            <v>2006</v>
          </cell>
          <cell r="H2">
            <v>2007</v>
          </cell>
          <cell r="I2">
            <v>2008</v>
          </cell>
          <cell r="J2">
            <v>2009</v>
          </cell>
          <cell r="K2">
            <v>2010</v>
          </cell>
        </row>
        <row r="3">
          <cell r="A3" t="str">
            <v xml:space="preserve">No. of policies (mn) </v>
          </cell>
          <cell r="C3" t="e">
            <v>#REF!</v>
          </cell>
          <cell r="D3" t="e">
            <v>#REF!</v>
          </cell>
          <cell r="E3" t="e">
            <v>#REF!</v>
          </cell>
          <cell r="F3" t="e">
            <v>#REF!</v>
          </cell>
          <cell r="G3" t="e">
            <v>#REF!</v>
          </cell>
          <cell r="H3" t="e">
            <v>#REF!</v>
          </cell>
          <cell r="I3" t="e">
            <v>#REF!</v>
          </cell>
          <cell r="J3" t="e">
            <v>#REF!</v>
          </cell>
          <cell r="K3" t="e">
            <v>#REF!</v>
          </cell>
        </row>
        <row r="4">
          <cell r="D4" t="e">
            <v>#REF!</v>
          </cell>
          <cell r="E4" t="e">
            <v>#REF!</v>
          </cell>
          <cell r="F4" t="e">
            <v>#REF!</v>
          </cell>
          <cell r="G4" t="e">
            <v>#REF!</v>
          </cell>
          <cell r="H4" t="e">
            <v>#REF!</v>
          </cell>
          <cell r="I4" t="e">
            <v>#REF!</v>
          </cell>
          <cell r="J4" t="e">
            <v>#REF!</v>
          </cell>
          <cell r="K4" t="e">
            <v>#REF!</v>
          </cell>
        </row>
        <row r="6">
          <cell r="A6" t="str">
            <v xml:space="preserve">FYP </v>
          </cell>
          <cell r="C6">
            <v>356.47600000000006</v>
          </cell>
          <cell r="D6">
            <v>575.221</v>
          </cell>
          <cell r="E6">
            <v>1241.771</v>
          </cell>
          <cell r="F6">
            <v>2142.92</v>
          </cell>
          <cell r="G6">
            <v>4415.1000000000004</v>
          </cell>
          <cell r="H6">
            <v>7505.2</v>
          </cell>
          <cell r="I6">
            <v>11257.8</v>
          </cell>
          <cell r="J6">
            <v>15198.03</v>
          </cell>
          <cell r="K6">
            <v>19605.458700000003</v>
          </cell>
        </row>
        <row r="7">
          <cell r="A7" t="str">
            <v xml:space="preserve">Renewal Premiums </v>
          </cell>
          <cell r="C7">
            <v>1.4880000000000002</v>
          </cell>
          <cell r="D7">
            <v>292.79699999999997</v>
          </cell>
          <cell r="E7">
            <v>779.64300000000003</v>
          </cell>
          <cell r="F7">
            <v>1798.0170000000001</v>
          </cell>
          <cell r="G7">
            <v>3167.6</v>
          </cell>
          <cell r="H7">
            <v>5881.7</v>
          </cell>
          <cell r="I7">
            <v>10709.52</v>
          </cell>
          <cell r="J7">
            <v>17573.856</v>
          </cell>
          <cell r="K7">
            <v>26217.5088</v>
          </cell>
        </row>
        <row r="8">
          <cell r="A8" t="str">
            <v xml:space="preserve">Single Premiums </v>
          </cell>
          <cell r="C8">
            <v>31.554000000000002</v>
          </cell>
          <cell r="D8">
            <v>97.915999999999997</v>
          </cell>
          <cell r="E8">
            <v>131.05699999999999</v>
          </cell>
          <cell r="F8">
            <v>193.33199999999999</v>
          </cell>
          <cell r="G8">
            <v>298.60000000000002</v>
          </cell>
          <cell r="H8">
            <v>1615.9</v>
          </cell>
          <cell r="I8">
            <v>2262.2599999999998</v>
          </cell>
          <cell r="J8">
            <v>2714.7119999999995</v>
          </cell>
          <cell r="K8">
            <v>2986.1831999999999</v>
          </cell>
        </row>
        <row r="9">
          <cell r="A9" t="str">
            <v xml:space="preserve">Total Premiums </v>
          </cell>
          <cell r="C9">
            <v>389.51800000000003</v>
          </cell>
          <cell r="D9">
            <v>965.93399999999997</v>
          </cell>
          <cell r="E9">
            <v>2152.471</v>
          </cell>
          <cell r="F9">
            <v>4134.2690000000002</v>
          </cell>
          <cell r="G9">
            <v>7881.3000000000011</v>
          </cell>
          <cell r="H9">
            <v>15002.8</v>
          </cell>
          <cell r="I9">
            <v>24229.579999999998</v>
          </cell>
          <cell r="J9">
            <v>35486.597999999998</v>
          </cell>
          <cell r="K9">
            <v>48809.150699999998</v>
          </cell>
        </row>
        <row r="10">
          <cell r="A10" t="str">
            <v xml:space="preserve">New Business </v>
          </cell>
          <cell r="C10">
            <v>388.03000000000009</v>
          </cell>
          <cell r="D10">
            <v>673.13699999999994</v>
          </cell>
          <cell r="E10">
            <v>1372.828</v>
          </cell>
          <cell r="F10">
            <v>2336.252</v>
          </cell>
          <cell r="G10">
            <v>4713.7000000000007</v>
          </cell>
          <cell r="H10">
            <v>9121.1</v>
          </cell>
          <cell r="I10">
            <v>13520.06</v>
          </cell>
          <cell r="J10">
            <v>17912.741999999998</v>
          </cell>
          <cell r="K10">
            <v>22591.641900000002</v>
          </cell>
        </row>
        <row r="11">
          <cell r="A11" t="str">
            <v>APE - New Business</v>
          </cell>
          <cell r="C11">
            <v>359.63140000000004</v>
          </cell>
          <cell r="D11">
            <v>585.01260000000002</v>
          </cell>
          <cell r="E11">
            <v>1254.8767</v>
          </cell>
          <cell r="F11">
            <v>2162.2532000000001</v>
          </cell>
          <cell r="G11">
            <v>4444.96</v>
          </cell>
          <cell r="H11">
            <v>7666.79</v>
          </cell>
          <cell r="I11">
            <v>11484.026</v>
          </cell>
          <cell r="J11">
            <v>15469.501200000001</v>
          </cell>
          <cell r="K11">
            <v>19904.077020000004</v>
          </cell>
        </row>
        <row r="12">
          <cell r="A12" t="str">
            <v>APE - total Business</v>
          </cell>
          <cell r="C12">
            <v>361.11940000000004</v>
          </cell>
          <cell r="D12">
            <v>877.80960000000005</v>
          </cell>
          <cell r="E12">
            <v>2034.5197000000001</v>
          </cell>
          <cell r="F12">
            <v>3960.2701999999999</v>
          </cell>
          <cell r="G12">
            <v>7612.5599999999995</v>
          </cell>
          <cell r="H12">
            <v>13548.49</v>
          </cell>
          <cell r="I12">
            <v>22193.546000000002</v>
          </cell>
          <cell r="J12">
            <v>33043.357199999999</v>
          </cell>
          <cell r="K12">
            <v>46121.585820000008</v>
          </cell>
        </row>
        <row r="13">
          <cell r="A13" t="str">
            <v xml:space="preserve">Reinsuranced Ceded </v>
          </cell>
          <cell r="C13">
            <v>-0.34100000000000003</v>
          </cell>
          <cell r="D13">
            <v>-2.83</v>
          </cell>
          <cell r="E13">
            <v>-19.079999999999998</v>
          </cell>
          <cell r="F13">
            <v>-38.170999999999999</v>
          </cell>
          <cell r="G13">
            <v>-70</v>
          </cell>
          <cell r="H13">
            <v>-120</v>
          </cell>
          <cell r="I13">
            <v>-175</v>
          </cell>
          <cell r="J13">
            <v>-235</v>
          </cell>
          <cell r="K13">
            <v>-310</v>
          </cell>
        </row>
        <row r="14">
          <cell r="A14" t="str">
            <v xml:space="preserve">Net Premium </v>
          </cell>
          <cell r="C14">
            <v>360.77840000000003</v>
          </cell>
          <cell r="D14">
            <v>874.9796</v>
          </cell>
          <cell r="E14">
            <v>2015.4397000000001</v>
          </cell>
          <cell r="F14">
            <v>3922.0992000000001</v>
          </cell>
          <cell r="G14">
            <v>7542.5599999999995</v>
          </cell>
          <cell r="H14">
            <v>13428.49</v>
          </cell>
          <cell r="I14">
            <v>22018.546000000002</v>
          </cell>
          <cell r="J14">
            <v>32808.357199999999</v>
          </cell>
          <cell r="K14">
            <v>45811.585820000008</v>
          </cell>
        </row>
        <row r="15">
          <cell r="A15" t="str">
            <v xml:space="preserve">Investment Returns </v>
          </cell>
          <cell r="G15">
            <v>7797</v>
          </cell>
        </row>
        <row r="16">
          <cell r="A16" t="str">
            <v xml:space="preserve"> - Interest &amp; dividend </v>
          </cell>
          <cell r="D16">
            <v>159.80000000000001</v>
          </cell>
          <cell r="E16">
            <v>265.57</v>
          </cell>
          <cell r="F16">
            <v>383.87</v>
          </cell>
        </row>
        <row r="17">
          <cell r="A17" t="str">
            <v xml:space="preserve"> - Profit / Loss on sale of invst </v>
          </cell>
          <cell r="D17">
            <v>62.64</v>
          </cell>
          <cell r="E17">
            <v>229.52</v>
          </cell>
          <cell r="F17">
            <v>88.02</v>
          </cell>
        </row>
        <row r="18">
          <cell r="A18" t="str">
            <v xml:space="preserve"> - Transfer / Gain on revaln. </v>
          </cell>
          <cell r="E18">
            <v>-11.54</v>
          </cell>
          <cell r="F18">
            <v>108.66</v>
          </cell>
        </row>
        <row r="19">
          <cell r="A19" t="str">
            <v xml:space="preserve">Total Investment Returns </v>
          </cell>
          <cell r="C19">
            <v>0</v>
          </cell>
          <cell r="D19">
            <v>222.44</v>
          </cell>
          <cell r="E19">
            <v>483.55</v>
          </cell>
          <cell r="F19">
            <v>580.54999999999995</v>
          </cell>
        </row>
        <row r="21">
          <cell r="A21" t="str">
            <v xml:space="preserve">Fees </v>
          </cell>
          <cell r="C21">
            <v>0.59</v>
          </cell>
          <cell r="D21">
            <v>1.73</v>
          </cell>
          <cell r="E21">
            <v>2.35</v>
          </cell>
          <cell r="F21">
            <v>23.63</v>
          </cell>
          <cell r="G21">
            <v>42.533999999999999</v>
          </cell>
          <cell r="H21">
            <v>72.3078</v>
          </cell>
          <cell r="I21">
            <v>108.46170000000001</v>
          </cell>
          <cell r="J21">
            <v>157.269465</v>
          </cell>
          <cell r="K21">
            <v>212.31377775000001</v>
          </cell>
        </row>
        <row r="22">
          <cell r="C22">
            <v>1.6550903847664356E-3</v>
          </cell>
          <cell r="D22">
            <v>3.0075397108241873E-3</v>
          </cell>
          <cell r="E22">
            <v>1.8924584323518588E-3</v>
          </cell>
          <cell r="F22">
            <v>1.1027009874377018E-2</v>
          </cell>
          <cell r="G22">
            <v>9.6337568797988712E-3</v>
          </cell>
          <cell r="H22">
            <v>9.6343601769439853E-3</v>
          </cell>
          <cell r="I22">
            <v>9.634360176943987E-3</v>
          </cell>
          <cell r="J22">
            <v>1.0348016486347244E-2</v>
          </cell>
          <cell r="K22">
            <v>1.0829319578735487E-2</v>
          </cell>
        </row>
        <row r="24">
          <cell r="A24" t="str">
            <v xml:space="preserve">Total Revenues </v>
          </cell>
          <cell r="C24">
            <v>389.767</v>
          </cell>
          <cell r="D24">
            <v>1187.2739999999999</v>
          </cell>
          <cell r="E24">
            <v>2619.2910000000002</v>
          </cell>
          <cell r="F24">
            <v>4700.2780000000002</v>
          </cell>
          <cell r="G24">
            <v>7853.8340000000007</v>
          </cell>
          <cell r="H24">
            <v>14955.1078</v>
          </cell>
          <cell r="I24">
            <v>24163.041699999998</v>
          </cell>
          <cell r="J24">
            <v>35408.867464999996</v>
          </cell>
          <cell r="K24">
            <v>48711.46447775</v>
          </cell>
        </row>
        <row r="25">
          <cell r="K25">
            <v>1060.2663406896554</v>
          </cell>
        </row>
        <row r="26">
          <cell r="A26" t="str">
            <v xml:space="preserve">Growth Rate (yoy) </v>
          </cell>
        </row>
        <row r="27">
          <cell r="A27" t="str">
            <v xml:space="preserve">FYP </v>
          </cell>
          <cell r="D27">
            <v>0.61363177324700646</v>
          </cell>
          <cell r="E27">
            <v>1.1587720197976084</v>
          </cell>
          <cell r="F27">
            <v>0.72569660589593421</v>
          </cell>
          <cell r="G27">
            <v>1.0603195639594571</v>
          </cell>
          <cell r="H27">
            <v>0.69989354714502494</v>
          </cell>
          <cell r="I27">
            <v>0.5</v>
          </cell>
          <cell r="J27">
            <v>0.35</v>
          </cell>
          <cell r="K27">
            <v>0.28999999999999998</v>
          </cell>
        </row>
        <row r="28">
          <cell r="A28" t="str">
            <v xml:space="preserve">Renewal Premiums </v>
          </cell>
          <cell r="D28">
            <v>195.77217741935479</v>
          </cell>
          <cell r="E28">
            <v>1.6627424461316207</v>
          </cell>
          <cell r="F28">
            <v>1.3062055325321973</v>
          </cell>
          <cell r="G28">
            <v>0.76171860444033612</v>
          </cell>
          <cell r="H28">
            <v>0.85683167066548815</v>
          </cell>
          <cell r="I28">
            <v>0.82082051107672971</v>
          </cell>
          <cell r="J28">
            <v>0.6409564574322657</v>
          </cell>
          <cell r="K28">
            <v>0.4918472531014253</v>
          </cell>
        </row>
        <row r="29">
          <cell r="A29" t="str">
            <v xml:space="preserve">Single Premiums </v>
          </cell>
          <cell r="D29">
            <v>2.1031248019268554</v>
          </cell>
          <cell r="E29">
            <v>0.33846358102863672</v>
          </cell>
          <cell r="F29">
            <v>0.47517492388807936</v>
          </cell>
          <cell r="G29">
            <v>0.54449341029938148</v>
          </cell>
          <cell r="H29">
            <v>4.41158740790355</v>
          </cell>
          <cell r="I29">
            <v>0.4</v>
          </cell>
          <cell r="J29">
            <v>0.2</v>
          </cell>
          <cell r="K29">
            <v>0.1</v>
          </cell>
        </row>
        <row r="30">
          <cell r="A30" t="str">
            <v xml:space="preserve">Total Premiums </v>
          </cell>
          <cell r="D30">
            <v>1.4798186476619821</v>
          </cell>
          <cell r="E30">
            <v>1.2283830986382092</v>
          </cell>
          <cell r="F30">
            <v>0.92070833939226127</v>
          </cell>
          <cell r="G30">
            <v>0.90633459022622875</v>
          </cell>
          <cell r="H30">
            <v>0.90359458464974018</v>
          </cell>
          <cell r="I30">
            <v>0.61500386594502365</v>
          </cell>
          <cell r="J30">
            <v>0.46459814821387746</v>
          </cell>
          <cell r="K30">
            <v>0.37542490548121865</v>
          </cell>
        </row>
        <row r="31">
          <cell r="A31" t="str">
            <v xml:space="preserve">New Business </v>
          </cell>
          <cell r="D31">
            <v>0.7347550447130371</v>
          </cell>
          <cell r="E31">
            <v>1.0394481361149368</v>
          </cell>
          <cell r="F31">
            <v>0.70178055808885009</v>
          </cell>
          <cell r="G31">
            <v>1.0176333717424324</v>
          </cell>
          <cell r="H31">
            <v>0.93501919935507116</v>
          </cell>
          <cell r="I31">
            <v>0.4822839350516932</v>
          </cell>
          <cell r="J31">
            <v>0.32490107292423254</v>
          </cell>
          <cell r="K31">
            <v>0.26120511868032281</v>
          </cell>
        </row>
        <row r="32">
          <cell r="A32" t="str">
            <v>APE - New Business</v>
          </cell>
          <cell r="D32">
            <v>1.4308015576011699</v>
          </cell>
          <cell r="E32">
            <v>1.3177232283629614</v>
          </cell>
          <cell r="F32">
            <v>0.72308020381604021</v>
          </cell>
          <cell r="G32">
            <v>1.0557074444380516</v>
          </cell>
          <cell r="H32">
            <v>0.72482766999028114</v>
          </cell>
          <cell r="I32">
            <v>0.49789233825368884</v>
          </cell>
          <cell r="J32">
            <v>0.34704512163243106</v>
          </cell>
          <cell r="K32">
            <v>0.28666572778700861</v>
          </cell>
        </row>
        <row r="33">
          <cell r="A33" t="str">
            <v>APE - total Business</v>
          </cell>
          <cell r="D33">
            <v>1.4308015576011699</v>
          </cell>
          <cell r="E33">
            <v>1.3177232283629614</v>
          </cell>
          <cell r="F33">
            <v>0.94653814362180899</v>
          </cell>
          <cell r="G33">
            <v>0.92223247797587127</v>
          </cell>
          <cell r="H33">
            <v>0.77975477368979695</v>
          </cell>
          <cell r="I33">
            <v>0.63808262027724139</v>
          </cell>
          <cell r="J33">
            <v>0.48887235955894548</v>
          </cell>
          <cell r="K33">
            <v>0.39578994775990894</v>
          </cell>
        </row>
        <row r="34">
          <cell r="A34" t="str">
            <v xml:space="preserve">Persistency Rate </v>
          </cell>
          <cell r="E34">
            <v>0.89818759518811819</v>
          </cell>
          <cell r="F34">
            <v>0.88948478639209982</v>
          </cell>
          <cell r="G34">
            <v>0.80376824090311505</v>
          </cell>
          <cell r="H34">
            <v>0.8</v>
          </cell>
          <cell r="I34">
            <v>0.8</v>
          </cell>
          <cell r="J34">
            <v>0.8</v>
          </cell>
          <cell r="K34">
            <v>0.8</v>
          </cell>
        </row>
        <row r="35">
          <cell r="A35" t="str">
            <v xml:space="preserve">Persistency Rate </v>
          </cell>
          <cell r="E35">
            <v>0.89818759518811819</v>
          </cell>
          <cell r="F35">
            <v>0.88948478639209982</v>
          </cell>
          <cell r="G35">
            <v>0.80376824090311505</v>
          </cell>
          <cell r="H35">
            <v>0.7756735727379428</v>
          </cell>
          <cell r="I35">
            <v>0.8</v>
          </cell>
          <cell r="J35">
            <v>0.8</v>
          </cell>
          <cell r="K35">
            <v>0.8</v>
          </cell>
        </row>
        <row r="36">
          <cell r="A36" t="str">
            <v>Assets Under Management (Rs bn)</v>
          </cell>
          <cell r="E36">
            <v>2.4529700000000001</v>
          </cell>
          <cell r="F36">
            <v>4.8302430000000003</v>
          </cell>
          <cell r="G36">
            <v>8.7899999999999991</v>
          </cell>
          <cell r="H36">
            <v>20.512750000000004</v>
          </cell>
          <cell r="I36">
            <v>40.389546550000006</v>
          </cell>
          <cell r="J36">
            <v>71.382432373500009</v>
          </cell>
          <cell r="K36">
            <v>117.09310182414502</v>
          </cell>
        </row>
        <row r="37">
          <cell r="A37" t="str">
            <v>Assets Under Management (Rs bn)</v>
          </cell>
          <cell r="E37">
            <v>2.4529700000000001</v>
          </cell>
          <cell r="F37">
            <v>4.8302430000000003</v>
          </cell>
          <cell r="G37">
            <v>8.7899999999999991</v>
          </cell>
          <cell r="H37">
            <v>21.112315000000002</v>
          </cell>
          <cell r="I37">
            <v>41.695462050000003</v>
          </cell>
          <cell r="J37">
            <v>72.888310693500003</v>
          </cell>
          <cell r="K37">
            <v>117.16667255704502</v>
          </cell>
        </row>
        <row r="38">
          <cell r="A38" t="str">
            <v xml:space="preserve">yoy growth </v>
          </cell>
          <cell r="F38">
            <v>0.96914067436617657</v>
          </cell>
          <cell r="G38">
            <v>0.81978422203603385</v>
          </cell>
          <cell r="H38">
            <v>1.4018560864618892</v>
          </cell>
          <cell r="I38">
            <v>0.9749355790684251</v>
          </cell>
          <cell r="J38">
            <v>0.74811135576563292</v>
          </cell>
          <cell r="K38">
            <v>0.60748234445627847</v>
          </cell>
        </row>
        <row r="39">
          <cell r="A39" t="str">
            <v>NBAP Calculation</v>
          </cell>
        </row>
        <row r="40">
          <cell r="A40" t="str">
            <v>NBAP Calculation</v>
          </cell>
          <cell r="C40">
            <v>0.2</v>
          </cell>
          <cell r="D40">
            <v>0.34</v>
          </cell>
          <cell r="E40">
            <v>0.3</v>
          </cell>
          <cell r="F40">
            <v>0.25</v>
          </cell>
          <cell r="G40">
            <v>0.23</v>
          </cell>
          <cell r="H40">
            <v>0.215</v>
          </cell>
          <cell r="I40">
            <v>0.21</v>
          </cell>
          <cell r="J40">
            <v>0.21</v>
          </cell>
          <cell r="K40">
            <v>0.21</v>
          </cell>
        </row>
        <row r="41">
          <cell r="A41" t="str">
            <v>NBAP Margin (FYP)</v>
          </cell>
          <cell r="C41">
            <v>0.2</v>
          </cell>
          <cell r="D41">
            <v>0.34</v>
          </cell>
          <cell r="E41">
            <v>0.3</v>
          </cell>
          <cell r="F41">
            <v>0.25</v>
          </cell>
          <cell r="G41">
            <v>0.23</v>
          </cell>
          <cell r="H41">
            <v>0.215</v>
          </cell>
          <cell r="I41">
            <v>0.21249999999999999</v>
          </cell>
          <cell r="J41">
            <v>0.21</v>
          </cell>
          <cell r="K41">
            <v>0.20749999999999999</v>
          </cell>
        </row>
        <row r="42">
          <cell r="A42" t="str">
            <v>NBAP Margin (Single Premium)</v>
          </cell>
          <cell r="C42">
            <v>0.05</v>
          </cell>
          <cell r="D42">
            <v>0.05</v>
          </cell>
          <cell r="E42">
            <v>0.04</v>
          </cell>
          <cell r="F42">
            <v>0.03</v>
          </cell>
          <cell r="G42">
            <v>2.5000000000000001E-2</v>
          </cell>
          <cell r="H42">
            <v>2.5499999999999998E-2</v>
          </cell>
          <cell r="I42">
            <v>2.5999999999999999E-2</v>
          </cell>
          <cell r="J42">
            <v>2.58E-2</v>
          </cell>
          <cell r="K42">
            <v>2.5999999999999999E-2</v>
          </cell>
        </row>
        <row r="43">
          <cell r="A43" t="str">
            <v>NBAP Margin (Total)</v>
          </cell>
          <cell r="C43">
            <v>0.20263219507529101</v>
          </cell>
          <cell r="D43">
            <v>0.34267798676472955</v>
          </cell>
          <cell r="E43">
            <v>0.30104438149182305</v>
          </cell>
          <cell r="F43">
            <v>0.25044706142647866</v>
          </cell>
          <cell r="G43">
            <v>0.23013435441488791</v>
          </cell>
          <cell r="H43">
            <v>0.21584306469852441</v>
          </cell>
          <cell r="I43">
            <v>0.21343571148306351</v>
          </cell>
          <cell r="J43">
            <v>0.2108423424538084</v>
          </cell>
          <cell r="K43">
            <v>0.20828765078050321</v>
          </cell>
        </row>
        <row r="44">
          <cell r="A44" t="str">
            <v xml:space="preserve">Total NBAP </v>
          </cell>
          <cell r="C44">
            <v>72.872900000000016</v>
          </cell>
          <cell r="D44">
            <v>200.47094000000001</v>
          </cell>
          <cell r="E44">
            <v>377.77357999999998</v>
          </cell>
          <cell r="F44">
            <v>541.52996000000007</v>
          </cell>
          <cell r="G44">
            <v>1022.9380000000002</v>
          </cell>
          <cell r="H44">
            <v>1721.5880100000004</v>
          </cell>
          <cell r="I44">
            <v>2519.8593500000002</v>
          </cell>
          <cell r="J44">
            <v>3522.7141995000002</v>
          </cell>
          <cell r="K44">
            <v>4751.3157695000009</v>
          </cell>
        </row>
        <row r="45">
          <cell r="A45" t="str">
            <v xml:space="preserve">Total NBAP </v>
          </cell>
          <cell r="C45">
            <v>72.872900000000016</v>
          </cell>
          <cell r="D45">
            <v>200.47094000000001</v>
          </cell>
          <cell r="E45">
            <v>377.77357999999998</v>
          </cell>
          <cell r="F45">
            <v>541.52996000000007</v>
          </cell>
          <cell r="G45">
            <v>1022.9380000000002</v>
          </cell>
          <cell r="H45">
            <v>1654.8234499999999</v>
          </cell>
          <cell r="I45">
            <v>2451.1012599999999</v>
          </cell>
          <cell r="J45">
            <v>3261.6258696</v>
          </cell>
          <cell r="K45">
            <v>4145.7734434499998</v>
          </cell>
        </row>
        <row r="46">
          <cell r="A46" t="str">
            <v xml:space="preserve">% Increase </v>
          </cell>
          <cell r="D46">
            <v>1.7509669575383988</v>
          </cell>
          <cell r="E46">
            <v>0.88443063119273035</v>
          </cell>
          <cell r="F46">
            <v>0.43347758728919072</v>
          </cell>
          <cell r="G46">
            <v>0.8889776661664297</v>
          </cell>
          <cell r="H46">
            <v>0.61771627410458851</v>
          </cell>
          <cell r="I46">
            <v>0.48118595974694478</v>
          </cell>
          <cell r="J46">
            <v>0.33067773364858866</v>
          </cell>
          <cell r="K46">
            <v>0.2710757178162897</v>
          </cell>
        </row>
        <row r="47">
          <cell r="A47" t="str">
            <v xml:space="preserve">NBAP (as per b/s) </v>
          </cell>
          <cell r="D47">
            <v>20</v>
          </cell>
          <cell r="E47">
            <v>20</v>
          </cell>
          <cell r="F47">
            <v>20</v>
          </cell>
          <cell r="G47">
            <v>19</v>
          </cell>
          <cell r="H47">
            <v>18</v>
          </cell>
          <cell r="I47">
            <v>17</v>
          </cell>
          <cell r="J47">
            <v>16</v>
          </cell>
          <cell r="K47">
            <v>15</v>
          </cell>
        </row>
        <row r="48">
          <cell r="A48" t="str">
            <v xml:space="preserve">Multiple (16-20x) of NBAP </v>
          </cell>
          <cell r="C48">
            <v>1311.7122000000004</v>
          </cell>
          <cell r="D48">
            <v>20</v>
          </cell>
          <cell r="E48">
            <v>25</v>
          </cell>
          <cell r="F48">
            <v>24</v>
          </cell>
          <cell r="G48">
            <v>23</v>
          </cell>
          <cell r="H48">
            <v>22</v>
          </cell>
          <cell r="I48">
            <v>21</v>
          </cell>
          <cell r="J48">
            <v>20</v>
          </cell>
          <cell r="K48">
            <v>19</v>
          </cell>
        </row>
        <row r="49">
          <cell r="A49" t="str">
            <v>Multiple (16-20x) = 18x NBAP</v>
          </cell>
          <cell r="C49">
            <v>1311.7122000000004</v>
          </cell>
          <cell r="D49">
            <v>4009.4188000000004</v>
          </cell>
          <cell r="E49">
            <v>9444.3395</v>
          </cell>
          <cell r="F49">
            <v>12996.719040000002</v>
          </cell>
          <cell r="G49">
            <v>23527.574000000004</v>
          </cell>
          <cell r="H49">
            <v>36406.115899999997</v>
          </cell>
          <cell r="I49">
            <v>51473.126459999999</v>
          </cell>
          <cell r="J49">
            <v>65232.517392000002</v>
          </cell>
          <cell r="K49">
            <v>78769.695425550002</v>
          </cell>
        </row>
        <row r="50">
          <cell r="A50" t="str">
            <v xml:space="preserve">In US$ mn </v>
          </cell>
          <cell r="C50">
            <v>30.154303448275872</v>
          </cell>
          <cell r="D50">
            <v>92.170547126436787</v>
          </cell>
          <cell r="E50">
            <v>217.11125287356322</v>
          </cell>
          <cell r="F50">
            <v>298.77515034482764</v>
          </cell>
          <cell r="G50">
            <v>540.86377011494267</v>
          </cell>
          <cell r="H50">
            <v>836.92220459770112</v>
          </cell>
          <cell r="I50">
            <v>1183.2902634482759</v>
          </cell>
          <cell r="J50">
            <v>1553.155176</v>
          </cell>
          <cell r="K50">
            <v>1810.7975959896553</v>
          </cell>
        </row>
        <row r="87">
          <cell r="A87" t="str">
            <v>NBAP (Rs mn)</v>
          </cell>
          <cell r="F87">
            <v>541.52996000000007</v>
          </cell>
          <cell r="G87">
            <v>1022.9380000000002</v>
          </cell>
          <cell r="H87">
            <v>1654.8234499999999</v>
          </cell>
          <cell r="I87">
            <v>2451.1012599999999</v>
          </cell>
        </row>
        <row r="88">
          <cell r="A88" t="str">
            <v>Multiple (x)</v>
          </cell>
          <cell r="F88">
            <v>24</v>
          </cell>
          <cell r="G88">
            <v>23</v>
          </cell>
          <cell r="H88">
            <v>22</v>
          </cell>
          <cell r="I88">
            <v>21</v>
          </cell>
        </row>
        <row r="89">
          <cell r="A89" t="str">
            <v>Value of the Company (Rs mn)</v>
          </cell>
          <cell r="F89">
            <v>12996.719040000002</v>
          </cell>
          <cell r="G89">
            <v>23527.574000000004</v>
          </cell>
          <cell r="H89">
            <v>36406.115899999997</v>
          </cell>
          <cell r="I89">
            <v>51473.126459999999</v>
          </cell>
        </row>
        <row r="90">
          <cell r="A90" t="str">
            <v>Value of the Company (US$ mn)</v>
          </cell>
          <cell r="F90">
            <v>298.77515034482764</v>
          </cell>
          <cell r="G90">
            <v>540.86377011494267</v>
          </cell>
          <cell r="H90">
            <v>836.92220459770112</v>
          </cell>
          <cell r="I90">
            <v>1183.2902634482759</v>
          </cell>
        </row>
        <row r="91">
          <cell r="A91" t="str">
            <v>Value of Max India's stake in the venture (US$ mn)</v>
          </cell>
          <cell r="F91">
            <v>221.09361125517245</v>
          </cell>
          <cell r="G91">
            <v>400.23918988505756</v>
          </cell>
          <cell r="H91">
            <v>619.32243140229878</v>
          </cell>
          <cell r="I91">
            <v>875.63479495172419</v>
          </cell>
        </row>
        <row r="92">
          <cell r="A92" t="str">
            <v>Value per Share of Max India (Rs)</v>
          </cell>
          <cell r="F92">
            <v>43.322396800000007</v>
          </cell>
          <cell r="G92">
            <v>78.425246666666681</v>
          </cell>
          <cell r="H92">
            <v>121.35371966666666</v>
          </cell>
          <cell r="I92">
            <v>142.98090683333334</v>
          </cell>
        </row>
      </sheetData>
      <sheetData sheetId="5" refreshError="1">
        <row r="3">
          <cell r="A3" t="str">
            <v>Year to March (Rs mn)</v>
          </cell>
          <cell r="B3">
            <v>2001</v>
          </cell>
          <cell r="C3">
            <v>2002</v>
          </cell>
          <cell r="D3">
            <v>2003</v>
          </cell>
          <cell r="E3">
            <v>2004</v>
          </cell>
          <cell r="F3">
            <v>2005</v>
          </cell>
          <cell r="G3">
            <v>2006</v>
          </cell>
          <cell r="H3">
            <v>2007</v>
          </cell>
          <cell r="I3">
            <v>2008</v>
          </cell>
          <cell r="J3">
            <v>2009</v>
          </cell>
          <cell r="K3">
            <v>2010</v>
          </cell>
        </row>
        <row r="4">
          <cell r="A4" t="str">
            <v xml:space="preserve">No. of policies (mn) </v>
          </cell>
          <cell r="C4" t="e">
            <v>#REF!</v>
          </cell>
          <cell r="D4" t="e">
            <v>#REF!</v>
          </cell>
          <cell r="E4" t="e">
            <v>#REF!</v>
          </cell>
          <cell r="F4" t="e">
            <v>#REF!</v>
          </cell>
          <cell r="G4" t="e">
            <v>#REF!</v>
          </cell>
          <cell r="H4" t="e">
            <v>#REF!</v>
          </cell>
          <cell r="I4" t="e">
            <v>#REF!</v>
          </cell>
          <cell r="J4" t="e">
            <v>#REF!</v>
          </cell>
          <cell r="K4" t="e">
            <v>#REF!</v>
          </cell>
        </row>
        <row r="6">
          <cell r="A6" t="str">
            <v xml:space="preserve">FYP </v>
          </cell>
          <cell r="C6">
            <v>66.328000000000003</v>
          </cell>
          <cell r="D6">
            <v>503.05399999999997</v>
          </cell>
          <cell r="E6">
            <v>1572.4110000000001</v>
          </cell>
          <cell r="F6">
            <v>4085.7280000000001</v>
          </cell>
          <cell r="G6">
            <v>12060</v>
          </cell>
          <cell r="H6">
            <v>30847.671999999999</v>
          </cell>
          <cell r="I6">
            <v>49973.228640000001</v>
          </cell>
          <cell r="J6">
            <v>68963.05552319999</v>
          </cell>
          <cell r="K6">
            <v>89651.972180159995</v>
          </cell>
        </row>
        <row r="7">
          <cell r="A7" t="str">
            <v xml:space="preserve">Renewal Premiums </v>
          </cell>
          <cell r="D7">
            <v>57.86</v>
          </cell>
          <cell r="E7">
            <v>412.471</v>
          </cell>
          <cell r="F7">
            <v>1419.82</v>
          </cell>
          <cell r="G7">
            <v>4168</v>
          </cell>
          <cell r="H7">
            <v>10000</v>
          </cell>
          <cell r="I7">
            <v>28593.370399999996</v>
          </cell>
          <cell r="J7">
            <v>54996.619328000001</v>
          </cell>
          <cell r="K7">
            <v>86771.772395839987</v>
          </cell>
        </row>
        <row r="8">
          <cell r="A8" t="str">
            <v xml:space="preserve">Single Premiums </v>
          </cell>
          <cell r="C8">
            <v>5.0609999999999999</v>
          </cell>
          <cell r="D8">
            <v>130.83500000000001</v>
          </cell>
          <cell r="E8">
            <v>223.10300000000001</v>
          </cell>
          <cell r="F8">
            <v>4514.4520000000002</v>
          </cell>
          <cell r="G8">
            <v>15095</v>
          </cell>
          <cell r="H8">
            <v>11851.610999999999</v>
          </cell>
          <cell r="I8">
            <v>14814.513749999998</v>
          </cell>
          <cell r="J8">
            <v>17777.416499999996</v>
          </cell>
          <cell r="K8">
            <v>20444.028974999994</v>
          </cell>
        </row>
        <row r="9">
          <cell r="A9" t="str">
            <v xml:space="preserve">Total Premiums </v>
          </cell>
          <cell r="C9">
            <v>71.38900000000001</v>
          </cell>
          <cell r="D9">
            <v>691.74900000000002</v>
          </cell>
          <cell r="E9">
            <v>2207.9850000000001</v>
          </cell>
          <cell r="F9">
            <v>10020</v>
          </cell>
          <cell r="G9">
            <v>31323</v>
          </cell>
          <cell r="H9">
            <v>52699.282999999996</v>
          </cell>
          <cell r="I9">
            <v>93381.112789999999</v>
          </cell>
          <cell r="J9">
            <v>141737.09135119998</v>
          </cell>
          <cell r="K9">
            <v>196867.77355099996</v>
          </cell>
        </row>
        <row r="10">
          <cell r="A10" t="str">
            <v xml:space="preserve">New Business </v>
          </cell>
          <cell r="C10">
            <v>71.38900000000001</v>
          </cell>
          <cell r="D10">
            <v>633.88900000000001</v>
          </cell>
          <cell r="E10">
            <v>1795.5140000000001</v>
          </cell>
          <cell r="F10">
            <v>8600.18</v>
          </cell>
          <cell r="G10">
            <v>27155</v>
          </cell>
          <cell r="H10">
            <v>42699.282999999996</v>
          </cell>
          <cell r="I10">
            <v>64787.742389999999</v>
          </cell>
          <cell r="J10">
            <v>86740.472023199982</v>
          </cell>
          <cell r="K10">
            <v>110096.00115515999</v>
          </cell>
        </row>
        <row r="11">
          <cell r="A11" t="str">
            <v>APE - New Business</v>
          </cell>
          <cell r="C11">
            <v>66.834100000000007</v>
          </cell>
          <cell r="D11">
            <v>516.13749999999993</v>
          </cell>
          <cell r="E11">
            <v>1594.7213000000002</v>
          </cell>
          <cell r="F11">
            <v>4537.1732000000002</v>
          </cell>
          <cell r="G11">
            <v>13569.5</v>
          </cell>
          <cell r="H11">
            <v>32032.8331</v>
          </cell>
          <cell r="I11">
            <v>51454.680014999998</v>
          </cell>
          <cell r="J11">
            <v>70740.797173199986</v>
          </cell>
          <cell r="K11">
            <v>91696.375077659992</v>
          </cell>
        </row>
        <row r="12">
          <cell r="A12" t="str">
            <v>APE - total Business</v>
          </cell>
          <cell r="C12">
            <v>66.834100000000007</v>
          </cell>
          <cell r="D12">
            <v>573.99749999999995</v>
          </cell>
          <cell r="E12">
            <v>2007.1923000000002</v>
          </cell>
          <cell r="F12">
            <v>5956.9931999999999</v>
          </cell>
          <cell r="G12">
            <v>17737.5</v>
          </cell>
          <cell r="H12">
            <v>42032.833100000003</v>
          </cell>
          <cell r="I12">
            <v>80048.050414999991</v>
          </cell>
          <cell r="J12">
            <v>125737.41650119999</v>
          </cell>
          <cell r="K12">
            <v>178468.14747349999</v>
          </cell>
        </row>
        <row r="13">
          <cell r="A13" t="str">
            <v xml:space="preserve">Reinsuranced Ceded </v>
          </cell>
          <cell r="C13">
            <v>-0.34100000000000003</v>
          </cell>
          <cell r="D13">
            <v>-2.83</v>
          </cell>
          <cell r="E13">
            <v>-19.079999999999998</v>
          </cell>
          <cell r="F13">
            <v>-38.170999999999999</v>
          </cell>
        </row>
        <row r="15">
          <cell r="A15" t="str">
            <v xml:space="preserve">Investment Returns </v>
          </cell>
        </row>
        <row r="16">
          <cell r="A16" t="str">
            <v xml:space="preserve"> - Interest &amp; dividend </v>
          </cell>
          <cell r="D16">
            <v>159.80000000000001</v>
          </cell>
          <cell r="E16">
            <v>265.57</v>
          </cell>
          <cell r="F16">
            <v>383.87</v>
          </cell>
        </row>
        <row r="17">
          <cell r="A17" t="str">
            <v xml:space="preserve"> - Profit / Loss on sale of invst </v>
          </cell>
          <cell r="D17">
            <v>62.64</v>
          </cell>
          <cell r="E17">
            <v>229.52</v>
          </cell>
          <cell r="F17">
            <v>88.02</v>
          </cell>
        </row>
        <row r="18">
          <cell r="A18" t="str">
            <v xml:space="preserve"> - Transfer / Gain on revaln. </v>
          </cell>
          <cell r="E18">
            <v>-11.54</v>
          </cell>
          <cell r="F18">
            <v>108.66</v>
          </cell>
        </row>
        <row r="19">
          <cell r="A19" t="str">
            <v xml:space="preserve">Total Investment Returns </v>
          </cell>
          <cell r="C19">
            <v>0</v>
          </cell>
          <cell r="D19">
            <v>222.44</v>
          </cell>
          <cell r="E19">
            <v>483.55</v>
          </cell>
          <cell r="F19">
            <v>580.54999999999995</v>
          </cell>
        </row>
        <row r="21">
          <cell r="A21" t="str">
            <v xml:space="preserve">Fees </v>
          </cell>
          <cell r="C21">
            <v>0.59</v>
          </cell>
          <cell r="D21">
            <v>1.73</v>
          </cell>
          <cell r="E21">
            <v>2.35</v>
          </cell>
          <cell r="F21">
            <v>23.63</v>
          </cell>
          <cell r="G21">
            <v>42.533999999999999</v>
          </cell>
          <cell r="H21">
            <v>72.3078</v>
          </cell>
          <cell r="I21">
            <v>108.46170000000001</v>
          </cell>
          <cell r="J21">
            <v>157.269465</v>
          </cell>
          <cell r="K21">
            <v>212.31377775000001</v>
          </cell>
        </row>
        <row r="22">
          <cell r="C22">
            <v>8.8951875527680611E-3</v>
          </cell>
          <cell r="D22">
            <v>3.4389946208558128E-3</v>
          </cell>
          <cell r="E22">
            <v>1.4945201985994757E-3</v>
          </cell>
          <cell r="F22">
            <v>5.7835470202617497E-3</v>
          </cell>
          <cell r="G22">
            <v>3.5268656716417909E-3</v>
          </cell>
          <cell r="H22">
            <v>2.3440277762289486E-3</v>
          </cell>
          <cell r="I22">
            <v>2.1703960891008784E-3</v>
          </cell>
          <cell r="J22">
            <v>2.2804886443451261E-3</v>
          </cell>
          <cell r="K22">
            <v>2.3681997460507078E-3</v>
          </cell>
        </row>
        <row r="24">
          <cell r="A24" t="str">
            <v xml:space="preserve">Total Revenues </v>
          </cell>
          <cell r="C24">
            <v>71.638000000000019</v>
          </cell>
          <cell r="D24">
            <v>913.08899999999994</v>
          </cell>
          <cell r="E24">
            <v>2674.8050000000003</v>
          </cell>
          <cell r="F24">
            <v>10586.008999999998</v>
          </cell>
          <cell r="G24">
            <v>31365.534</v>
          </cell>
          <cell r="H24">
            <v>52771.590799999998</v>
          </cell>
          <cell r="I24">
            <v>93489.574489999999</v>
          </cell>
          <cell r="J24">
            <v>141894.36081619997</v>
          </cell>
          <cell r="K24">
            <v>197080.08732874997</v>
          </cell>
        </row>
        <row r="25">
          <cell r="E25">
            <v>2.0897218280012599</v>
          </cell>
          <cell r="F25">
            <v>1.8451198337916472</v>
          </cell>
          <cell r="G25">
            <v>1.9907388150842467</v>
          </cell>
          <cell r="H25">
            <v>1.3606494786101182</v>
          </cell>
          <cell r="I25">
            <v>0.60631062055513274</v>
          </cell>
          <cell r="J25">
            <v>0.37481755114554649</v>
          </cell>
          <cell r="K25">
            <v>0.29623044610527782</v>
          </cell>
        </row>
        <row r="26">
          <cell r="A26" t="str">
            <v xml:space="preserve">Growth Rate (yoy) </v>
          </cell>
        </row>
        <row r="27">
          <cell r="A27" t="str">
            <v xml:space="preserve">FYP </v>
          </cell>
          <cell r="D27">
            <v>6.5843384392714981</v>
          </cell>
          <cell r="E27">
            <v>2.1257300409101214</v>
          </cell>
          <cell r="F27">
            <v>1.5983842646738036</v>
          </cell>
          <cell r="G27">
            <v>1.9517383438153493</v>
          </cell>
          <cell r="H27">
            <v>1.5578500829187396</v>
          </cell>
          <cell r="I27">
            <v>0.62</v>
          </cell>
          <cell r="J27">
            <v>0.38</v>
          </cell>
          <cell r="K27">
            <v>0.3</v>
          </cell>
        </row>
        <row r="28">
          <cell r="A28" t="str">
            <v xml:space="preserve">Renewal Premiums </v>
          </cell>
          <cell r="E28">
            <v>6.128776356723125</v>
          </cell>
          <cell r="F28">
            <v>2.4422298779793001</v>
          </cell>
          <cell r="G28">
            <v>1.9355833838092154</v>
          </cell>
          <cell r="H28">
            <v>1.3992322456813819</v>
          </cell>
          <cell r="I28">
            <v>1.8593370399999998</v>
          </cell>
          <cell r="J28">
            <v>0.92340457101202755</v>
          </cell>
          <cell r="K28">
            <v>0.57776556915858546</v>
          </cell>
        </row>
        <row r="29">
          <cell r="A29" t="str">
            <v xml:space="preserve">Single Premiums </v>
          </cell>
          <cell r="D29">
            <v>24.851610353685043</v>
          </cell>
          <cell r="E29">
            <v>0.70522413727213662</v>
          </cell>
          <cell r="F29">
            <v>19.234833238459366</v>
          </cell>
          <cell r="G29">
            <v>2.3437059470341026</v>
          </cell>
          <cell r="H29">
            <v>-0.21486512090096066</v>
          </cell>
          <cell r="I29">
            <v>0.25</v>
          </cell>
          <cell r="J29">
            <v>0.2</v>
          </cell>
          <cell r="K29">
            <v>0.15</v>
          </cell>
        </row>
        <row r="30">
          <cell r="A30" t="str">
            <v xml:space="preserve">Total Premiums </v>
          </cell>
          <cell r="D30">
            <v>8.6898541792152848</v>
          </cell>
          <cell r="E30">
            <v>2.1918875198952223</v>
          </cell>
          <cell r="F30">
            <v>3.5380743075700236</v>
          </cell>
          <cell r="G30">
            <v>2.1260479041916169</v>
          </cell>
          <cell r="H30">
            <v>0.68244686013472511</v>
          </cell>
          <cell r="I30">
            <v>0.77196173219282715</v>
          </cell>
          <cell r="J30">
            <v>0.51783467894568003</v>
          </cell>
          <cell r="K30">
            <v>0.38896439650504533</v>
          </cell>
        </row>
        <row r="31">
          <cell r="A31" t="str">
            <v xml:space="preserve">New Business </v>
          </cell>
          <cell r="D31">
            <v>7.8793651683032397</v>
          </cell>
          <cell r="E31">
            <v>1.8325369268121077</v>
          </cell>
          <cell r="F31">
            <v>3.7898150613139192</v>
          </cell>
          <cell r="G31">
            <v>2.1574920524919246</v>
          </cell>
          <cell r="H31">
            <v>0.57242802430491602</v>
          </cell>
          <cell r="I31">
            <v>0.51730281723934346</v>
          </cell>
          <cell r="J31">
            <v>0.33884078721329836</v>
          </cell>
          <cell r="K31">
            <v>0.26925757477678047</v>
          </cell>
        </row>
        <row r="32">
          <cell r="A32" t="str">
            <v>APE - New Business</v>
          </cell>
          <cell r="D32">
            <v>6.7226670217748108</v>
          </cell>
          <cell r="E32">
            <v>2.0897218280012599</v>
          </cell>
          <cell r="F32">
            <v>1.8451198337916472</v>
          </cell>
          <cell r="G32">
            <v>1.9907388150842467</v>
          </cell>
          <cell r="H32">
            <v>1.3606494786101182</v>
          </cell>
          <cell r="I32">
            <v>0.60631062055513274</v>
          </cell>
          <cell r="J32">
            <v>0.37481755114554649</v>
          </cell>
          <cell r="K32">
            <v>0.29623044610527782</v>
          </cell>
        </row>
        <row r="33">
          <cell r="A33" t="str">
            <v>APE - total Business</v>
          </cell>
          <cell r="D33">
            <v>7.5883927516043439</v>
          </cell>
          <cell r="E33">
            <v>2.4968659271164078</v>
          </cell>
          <cell r="F33">
            <v>1.9678238602250513</v>
          </cell>
          <cell r="G33">
            <v>1.9775927895972756</v>
          </cell>
          <cell r="H33">
            <v>1.3697157491190981</v>
          </cell>
          <cell r="I33">
            <v>0.90441720225135103</v>
          </cell>
          <cell r="J33">
            <v>0.57077425183160213</v>
          </cell>
          <cell r="K33">
            <v>0.41937183409360701</v>
          </cell>
        </row>
        <row r="34">
          <cell r="A34" t="str">
            <v xml:space="preserve">Persistency Rate </v>
          </cell>
          <cell r="E34">
            <v>0.73535515248326844</v>
          </cell>
          <cell r="F34">
            <v>0.71531708182148857</v>
          </cell>
          <cell r="G34">
            <v>0.75705452027663733</v>
          </cell>
          <cell r="H34">
            <v>0.73</v>
          </cell>
          <cell r="I34">
            <v>0.73</v>
          </cell>
          <cell r="J34">
            <v>0.73</v>
          </cell>
          <cell r="K34">
            <v>0.73</v>
          </cell>
        </row>
        <row r="35">
          <cell r="A35" t="str">
            <v xml:space="preserve">Persistency Rate </v>
          </cell>
          <cell r="E35">
            <v>0.73535515248326844</v>
          </cell>
          <cell r="F35">
            <v>0.71531708182148857</v>
          </cell>
          <cell r="G35">
            <v>0.75705452027663733</v>
          </cell>
          <cell r="H35">
            <v>0.61621888094651223</v>
          </cell>
          <cell r="I35">
            <v>0.7</v>
          </cell>
          <cell r="J35">
            <v>0.7</v>
          </cell>
          <cell r="K35">
            <v>0.7</v>
          </cell>
        </row>
        <row r="36">
          <cell r="A36" t="str">
            <v>Assets Under Management (Rs bn)</v>
          </cell>
          <cell r="E36">
            <v>16.64</v>
          </cell>
          <cell r="F36">
            <v>18.3</v>
          </cell>
          <cell r="G36">
            <v>31</v>
          </cell>
          <cell r="H36">
            <v>58.791692999999995</v>
          </cell>
          <cell r="I36">
            <v>98.638470490000003</v>
          </cell>
          <cell r="J36">
            <v>150.72124296269999</v>
          </cell>
          <cell r="K36">
            <v>215.55360802114598</v>
          </cell>
        </row>
        <row r="37">
          <cell r="A37" t="str">
            <v>Assets Under Management (Rs bn)</v>
          </cell>
          <cell r="E37">
            <v>16.64</v>
          </cell>
          <cell r="F37">
            <v>18.3</v>
          </cell>
          <cell r="G37">
            <v>31</v>
          </cell>
          <cell r="H37">
            <v>51.126496779999997</v>
          </cell>
          <cell r="I37">
            <v>87.928087339000001</v>
          </cell>
          <cell r="J37">
            <v>143.50273545159999</v>
          </cell>
          <cell r="K37">
            <v>217.99057047890798</v>
          </cell>
        </row>
        <row r="38">
          <cell r="A38" t="str">
            <v xml:space="preserve">yoy growth </v>
          </cell>
          <cell r="F38">
            <v>9.9759615384615419E-2</v>
          </cell>
          <cell r="G38">
            <v>0.69398907103825125</v>
          </cell>
          <cell r="H38">
            <v>0.64924183161290316</v>
          </cell>
          <cell r="I38">
            <v>0.71981443824244762</v>
          </cell>
          <cell r="J38">
            <v>0.63204659392096407</v>
          </cell>
          <cell r="K38">
            <v>0.51906909504474874</v>
          </cell>
        </row>
        <row r="39">
          <cell r="A39" t="str">
            <v>NBAP Calculation</v>
          </cell>
        </row>
        <row r="40">
          <cell r="A40" t="str">
            <v>NBAP Calculation</v>
          </cell>
          <cell r="C40">
            <v>0.2</v>
          </cell>
          <cell r="D40">
            <v>0.22</v>
          </cell>
          <cell r="E40">
            <v>0.21</v>
          </cell>
          <cell r="F40">
            <v>0.20499999999999999</v>
          </cell>
          <cell r="G40">
            <v>0.20499999999999999</v>
          </cell>
          <cell r="H40">
            <v>0.20499999999999999</v>
          </cell>
          <cell r="I40">
            <v>0.2</v>
          </cell>
          <cell r="J40">
            <v>0.2</v>
          </cell>
          <cell r="K40">
            <v>0.19500000000000001</v>
          </cell>
        </row>
        <row r="41">
          <cell r="A41" t="str">
            <v>NBAP Margin (FYP)</v>
          </cell>
          <cell r="C41">
            <v>0.2</v>
          </cell>
          <cell r="D41">
            <v>0.22</v>
          </cell>
          <cell r="E41">
            <v>0.21</v>
          </cell>
          <cell r="F41">
            <v>0.20499999999999999</v>
          </cell>
          <cell r="G41">
            <v>0.20499999999999999</v>
          </cell>
          <cell r="H41">
            <v>0.1875</v>
          </cell>
          <cell r="I41">
            <v>0.18149999999999999</v>
          </cell>
          <cell r="J41">
            <v>0.17549999999999999</v>
          </cell>
          <cell r="K41">
            <v>0.17549999999999999</v>
          </cell>
        </row>
        <row r="42">
          <cell r="A42" t="str">
            <v>NBAP Margin (Single Premium)</v>
          </cell>
          <cell r="C42">
            <v>0.06</v>
          </cell>
          <cell r="D42">
            <v>0.05</v>
          </cell>
          <cell r="E42">
            <v>0.04</v>
          </cell>
          <cell r="F42">
            <v>0.03</v>
          </cell>
          <cell r="G42">
            <v>2.5000000000000001E-2</v>
          </cell>
          <cell r="H42">
            <v>2.5000000000000001E-2</v>
          </cell>
          <cell r="I42">
            <v>2.5000000000000001E-2</v>
          </cell>
          <cell r="J42">
            <v>2.5000000000000001E-2</v>
          </cell>
          <cell r="K42">
            <v>2.5000000000000001E-2</v>
          </cell>
        </row>
        <row r="43">
          <cell r="A43" t="str">
            <v>NBAP Margin (Total)</v>
          </cell>
          <cell r="C43">
            <v>0.20302899268487196</v>
          </cell>
          <cell r="D43">
            <v>0.22709768230364974</v>
          </cell>
          <cell r="E43">
            <v>0.21265811775386706</v>
          </cell>
          <cell r="F43">
            <v>0.21445242601715089</v>
          </cell>
          <cell r="G43">
            <v>0.21000589557463428</v>
          </cell>
          <cell r="H43">
            <v>0.18981239517649784</v>
          </cell>
          <cell r="I43">
            <v>0.18347220970294473</v>
          </cell>
          <cell r="J43">
            <v>0.17737221176771209</v>
          </cell>
          <cell r="K43">
            <v>0.1771610036736431</v>
          </cell>
        </row>
        <row r="44">
          <cell r="A44" t="str">
            <v xml:space="preserve">Total NBAP </v>
          </cell>
          <cell r="C44">
            <v>13.569260000000002</v>
          </cell>
          <cell r="D44">
            <v>117.21362999999999</v>
          </cell>
          <cell r="E44">
            <v>339.13042999999999</v>
          </cell>
          <cell r="F44">
            <v>973.00779999999986</v>
          </cell>
          <cell r="G44">
            <v>2849.6749999999997</v>
          </cell>
          <cell r="H44">
            <v>5206.8262500000001</v>
          </cell>
          <cell r="I44">
            <v>7740.1603125000011</v>
          </cell>
          <cell r="J44">
            <v>10321.852359375001</v>
          </cell>
          <cell r="K44">
            <v>13427.768916562503</v>
          </cell>
        </row>
        <row r="45">
          <cell r="A45" t="str">
            <v xml:space="preserve">Total NBAP </v>
          </cell>
          <cell r="C45">
            <v>13.569260000000002</v>
          </cell>
          <cell r="D45">
            <v>117.21362999999999</v>
          </cell>
          <cell r="E45">
            <v>339.13042999999999</v>
          </cell>
          <cell r="F45">
            <v>973.00779999999986</v>
          </cell>
          <cell r="G45">
            <v>2849.6749999999997</v>
          </cell>
          <cell r="H45">
            <v>6080.2287750000005</v>
          </cell>
          <cell r="I45">
            <v>9440.5038419099983</v>
          </cell>
          <cell r="J45">
            <v>12547.451656821597</v>
          </cell>
          <cell r="K45">
            <v>16245.021841993077</v>
          </cell>
        </row>
        <row r="46">
          <cell r="A46" t="str">
            <v xml:space="preserve">% Increase </v>
          </cell>
          <cell r="D46">
            <v>7.6381740787633206</v>
          </cell>
          <cell r="E46">
            <v>1.8932678733693344</v>
          </cell>
          <cell r="F46">
            <v>1.8691256045645916</v>
          </cell>
          <cell r="G46">
            <v>1.9287278067041189</v>
          </cell>
          <cell r="H46">
            <v>1.1336569170168533</v>
          </cell>
          <cell r="I46">
            <v>0.55265602516905266</v>
          </cell>
          <cell r="J46">
            <v>0.32910826232797774</v>
          </cell>
          <cell r="K46">
            <v>0.29468694411436491</v>
          </cell>
        </row>
        <row r="47">
          <cell r="A47" t="str">
            <v xml:space="preserve">NBAP (as per b/s) </v>
          </cell>
          <cell r="D47">
            <v>19</v>
          </cell>
          <cell r="E47">
            <v>19</v>
          </cell>
          <cell r="F47">
            <v>19</v>
          </cell>
          <cell r="G47">
            <v>18</v>
          </cell>
          <cell r="H47">
            <v>17</v>
          </cell>
          <cell r="I47">
            <v>16</v>
          </cell>
          <cell r="J47">
            <v>15</v>
          </cell>
          <cell r="K47">
            <v>14</v>
          </cell>
        </row>
        <row r="48">
          <cell r="A48" t="str">
            <v xml:space="preserve">Multiple (16-20x) of NBAP </v>
          </cell>
          <cell r="C48">
            <v>244.24668000000003</v>
          </cell>
          <cell r="D48">
            <v>19</v>
          </cell>
          <cell r="E48">
            <v>19</v>
          </cell>
          <cell r="F48">
            <v>19</v>
          </cell>
          <cell r="G48">
            <v>18</v>
          </cell>
          <cell r="H48">
            <v>17</v>
          </cell>
          <cell r="I48">
            <v>16</v>
          </cell>
          <cell r="J48">
            <v>15</v>
          </cell>
          <cell r="K48">
            <v>14</v>
          </cell>
        </row>
        <row r="49">
          <cell r="A49" t="str">
            <v>Multiple (16-20x) = 18x NBAP</v>
          </cell>
          <cell r="C49">
            <v>244.24668000000003</v>
          </cell>
          <cell r="D49">
            <v>2227.05897</v>
          </cell>
          <cell r="E49">
            <v>6443.4781699999994</v>
          </cell>
          <cell r="F49">
            <v>18487.148199999996</v>
          </cell>
          <cell r="G49">
            <v>51294.149999999994</v>
          </cell>
          <cell r="H49">
            <v>103363.889175</v>
          </cell>
          <cell r="I49">
            <v>151048.06147055997</v>
          </cell>
          <cell r="J49">
            <v>188211.77485232396</v>
          </cell>
          <cell r="K49">
            <v>227430.30578790308</v>
          </cell>
        </row>
        <row r="50">
          <cell r="A50" t="str">
            <v xml:space="preserve">In US$ mn </v>
          </cell>
          <cell r="C50">
            <v>5.6148662068965525</v>
          </cell>
          <cell r="D50">
            <v>51.196757931034483</v>
          </cell>
          <cell r="E50">
            <v>148.12593494252872</v>
          </cell>
          <cell r="F50">
            <v>424.99191264367806</v>
          </cell>
          <cell r="G50">
            <v>1179.1758620689654</v>
          </cell>
          <cell r="H50">
            <v>2376.1813603448277</v>
          </cell>
          <cell r="I50">
            <v>3596.3824159657138</v>
          </cell>
          <cell r="J50">
            <v>4481.2327345791418</v>
          </cell>
          <cell r="K50">
            <v>5415.0072806643593</v>
          </cell>
        </row>
        <row r="71">
          <cell r="A71" t="str">
            <v>Valuation Table (Rs mn)</v>
          </cell>
          <cell r="F71" t="str">
            <v>FY05</v>
          </cell>
          <cell r="G71" t="str">
            <v xml:space="preserve">FY06E </v>
          </cell>
          <cell r="H71" t="str">
            <v xml:space="preserve">FY07E </v>
          </cell>
          <cell r="I71" t="str">
            <v xml:space="preserve">FY08E </v>
          </cell>
        </row>
        <row r="72">
          <cell r="A72" t="str">
            <v xml:space="preserve">FYP </v>
          </cell>
          <cell r="F72">
            <v>4085.7280000000001</v>
          </cell>
          <cell r="G72">
            <v>12060</v>
          </cell>
          <cell r="H72">
            <v>30847.671999999999</v>
          </cell>
          <cell r="I72">
            <v>49973.228640000001</v>
          </cell>
        </row>
        <row r="73">
          <cell r="A73" t="str">
            <v xml:space="preserve">Single Premium </v>
          </cell>
          <cell r="F73">
            <v>4514.4520000000002</v>
          </cell>
          <cell r="G73">
            <v>15095</v>
          </cell>
          <cell r="H73">
            <v>11851.610999999999</v>
          </cell>
          <cell r="I73">
            <v>14814.513749999998</v>
          </cell>
        </row>
        <row r="74">
          <cell r="A74" t="str">
            <v xml:space="preserve">Renewal Premium </v>
          </cell>
          <cell r="F74">
            <v>1419.82</v>
          </cell>
          <cell r="G74">
            <v>4168</v>
          </cell>
          <cell r="H74">
            <v>10000</v>
          </cell>
          <cell r="I74">
            <v>28593.370399999996</v>
          </cell>
        </row>
        <row r="75">
          <cell r="A75" t="str">
            <v xml:space="preserve">Total Premium </v>
          </cell>
          <cell r="F75">
            <v>10020</v>
          </cell>
          <cell r="G75">
            <v>31323</v>
          </cell>
          <cell r="H75">
            <v>52699.282999999996</v>
          </cell>
          <cell r="I75">
            <v>93381.112789999999</v>
          </cell>
        </row>
        <row r="76">
          <cell r="A76" t="str">
            <v xml:space="preserve">YoY Growth </v>
          </cell>
          <cell r="F76">
            <v>3.5380743075700236</v>
          </cell>
          <cell r="G76">
            <v>2.1260479041916169</v>
          </cell>
          <cell r="H76">
            <v>0.68244686013472511</v>
          </cell>
          <cell r="I76">
            <v>0.77196173219282715</v>
          </cell>
        </row>
        <row r="77">
          <cell r="A77" t="str">
            <v>NBAP margin (%)</v>
          </cell>
          <cell r="F77">
            <v>0.21445242601715089</v>
          </cell>
          <cell r="G77">
            <v>0.21000589557463428</v>
          </cell>
          <cell r="H77">
            <v>0.18981239517649784</v>
          </cell>
          <cell r="I77">
            <v>0.18347220970294473</v>
          </cell>
        </row>
        <row r="78">
          <cell r="A78" t="str">
            <v>NBAP (Rs mn)</v>
          </cell>
          <cell r="F78">
            <v>973.00779999999986</v>
          </cell>
          <cell r="G78">
            <v>2849.6749999999997</v>
          </cell>
          <cell r="H78">
            <v>6080.2287750000005</v>
          </cell>
          <cell r="I78">
            <v>9440.5038419099983</v>
          </cell>
        </row>
        <row r="79">
          <cell r="A79" t="str">
            <v>Multiple (x)</v>
          </cell>
          <cell r="F79">
            <v>19</v>
          </cell>
          <cell r="G79">
            <v>18</v>
          </cell>
          <cell r="H79">
            <v>17</v>
          </cell>
          <cell r="I79">
            <v>16</v>
          </cell>
        </row>
        <row r="80">
          <cell r="A80" t="str">
            <v>Value of the Company (Rs mn)</v>
          </cell>
          <cell r="F80">
            <v>18487.148199999996</v>
          </cell>
          <cell r="G80">
            <v>51294.149999999994</v>
          </cell>
          <cell r="H80">
            <v>103363.889175</v>
          </cell>
          <cell r="I80">
            <v>151048.06147055997</v>
          </cell>
        </row>
        <row r="81">
          <cell r="A81" t="str">
            <v>Value of the Company (US$ mn)</v>
          </cell>
          <cell r="F81">
            <v>424.99191264367806</v>
          </cell>
          <cell r="G81">
            <v>1179.1758620689654</v>
          </cell>
          <cell r="H81">
            <v>2376.1813603448277</v>
          </cell>
          <cell r="I81">
            <v>3596.3824159657138</v>
          </cell>
        </row>
        <row r="82">
          <cell r="A82" t="str">
            <v>Value of Bajaj Auto's stake in the venture (US$ mn)</v>
          </cell>
          <cell r="F82">
            <v>314.49401535632177</v>
          </cell>
          <cell r="G82">
            <v>872.59013793103441</v>
          </cell>
          <cell r="H82">
            <v>1758.3742066551724</v>
          </cell>
          <cell r="I82">
            <v>2661.322987814628</v>
          </cell>
        </row>
      </sheetData>
      <sheetData sheetId="6" refreshError="1">
        <row r="2">
          <cell r="A2" t="str">
            <v>Year to March (Rs mn)</v>
          </cell>
          <cell r="B2">
            <v>2001</v>
          </cell>
          <cell r="C2">
            <v>2002</v>
          </cell>
          <cell r="D2">
            <v>2003</v>
          </cell>
          <cell r="E2">
            <v>2004</v>
          </cell>
          <cell r="F2">
            <v>2005</v>
          </cell>
          <cell r="G2">
            <v>2006</v>
          </cell>
          <cell r="H2">
            <v>2007</v>
          </cell>
          <cell r="I2">
            <v>2008</v>
          </cell>
          <cell r="J2">
            <v>2009</v>
          </cell>
          <cell r="K2">
            <v>2010</v>
          </cell>
        </row>
        <row r="3">
          <cell r="A3" t="str">
            <v xml:space="preserve">No. of policies (mn) </v>
          </cell>
          <cell r="C3" t="e">
            <v>#REF!</v>
          </cell>
          <cell r="D3" t="e">
            <v>#REF!</v>
          </cell>
          <cell r="E3" t="e">
            <v>#REF!</v>
          </cell>
          <cell r="F3" t="e">
            <v>#REF!</v>
          </cell>
          <cell r="G3" t="e">
            <v>#REF!</v>
          </cell>
          <cell r="H3" t="e">
            <v>#REF!</v>
          </cell>
          <cell r="I3" t="e">
            <v>#REF!</v>
          </cell>
          <cell r="J3" t="e">
            <v>#REF!</v>
          </cell>
          <cell r="K3" t="e">
            <v>#REF!</v>
          </cell>
        </row>
        <row r="4">
          <cell r="D4" t="e">
            <v>#REF!</v>
          </cell>
          <cell r="E4" t="e">
            <v>#REF!</v>
          </cell>
          <cell r="F4" t="e">
            <v>#REF!</v>
          </cell>
          <cell r="G4" t="e">
            <v>#REF!</v>
          </cell>
          <cell r="H4" t="e">
            <v>#REF!</v>
          </cell>
          <cell r="I4" t="e">
            <v>#REF!</v>
          </cell>
          <cell r="J4" t="e">
            <v>#REF!</v>
          </cell>
          <cell r="K4" t="e">
            <v>#REF!</v>
          </cell>
        </row>
        <row r="6">
          <cell r="A6" t="str">
            <v xml:space="preserve">FYP </v>
          </cell>
          <cell r="C6">
            <v>180.9</v>
          </cell>
          <cell r="D6">
            <v>1076.5329999999999</v>
          </cell>
          <cell r="E6">
            <v>4265.1959999999999</v>
          </cell>
          <cell r="F6">
            <v>5932.9610000000002</v>
          </cell>
          <cell r="G6">
            <v>6405.8</v>
          </cell>
          <cell r="H6">
            <v>8322.9530000000013</v>
          </cell>
          <cell r="I6">
            <v>10819.838900000002</v>
          </cell>
          <cell r="J6">
            <v>14065.790570000003</v>
          </cell>
          <cell r="K6">
            <v>17582.238212500004</v>
          </cell>
        </row>
        <row r="7">
          <cell r="A7" t="str">
            <v xml:space="preserve">Renewal Premiums </v>
          </cell>
          <cell r="C7">
            <v>1.5</v>
          </cell>
          <cell r="D7">
            <v>143.56400000000002</v>
          </cell>
          <cell r="E7">
            <v>876.82500000000005</v>
          </cell>
          <cell r="F7">
            <v>2942.1679999999997</v>
          </cell>
          <cell r="G7">
            <v>5608</v>
          </cell>
          <cell r="H7">
            <v>8940</v>
          </cell>
          <cell r="I7">
            <v>12947.214750000001</v>
          </cell>
          <cell r="J7">
            <v>17825.290237500001</v>
          </cell>
          <cell r="K7">
            <v>23918.310605625004</v>
          </cell>
        </row>
        <row r="8">
          <cell r="A8" t="str">
            <v xml:space="preserve">Single Premiums </v>
          </cell>
          <cell r="C8">
            <v>100.173</v>
          </cell>
          <cell r="D8">
            <v>219.14600000000002</v>
          </cell>
          <cell r="E8">
            <v>233.423</v>
          </cell>
          <cell r="F8">
            <v>279.87099999999998</v>
          </cell>
          <cell r="G8">
            <v>375</v>
          </cell>
          <cell r="H8">
            <v>504.09399999999999</v>
          </cell>
          <cell r="I8">
            <v>604.91279999999995</v>
          </cell>
          <cell r="J8">
            <v>695.64971999999989</v>
          </cell>
          <cell r="K8">
            <v>869.56214999999986</v>
          </cell>
        </row>
        <row r="9">
          <cell r="A9" t="str">
            <v xml:space="preserve">Total Premiums </v>
          </cell>
          <cell r="C9">
            <v>282.57299999999998</v>
          </cell>
          <cell r="D9">
            <v>1439.2429999999999</v>
          </cell>
          <cell r="E9">
            <v>5375.4439999999995</v>
          </cell>
          <cell r="F9">
            <v>9155</v>
          </cell>
          <cell r="G9">
            <v>12388.8</v>
          </cell>
          <cell r="H9">
            <v>17767.047000000002</v>
          </cell>
          <cell r="I9">
            <v>24371.96645</v>
          </cell>
          <cell r="J9">
            <v>32586.730527500004</v>
          </cell>
          <cell r="K9">
            <v>42370.110968125009</v>
          </cell>
        </row>
        <row r="10">
          <cell r="A10" t="str">
            <v xml:space="preserve">New Business </v>
          </cell>
          <cell r="C10">
            <v>281.07299999999998</v>
          </cell>
          <cell r="D10">
            <v>1295.6789999999999</v>
          </cell>
          <cell r="E10">
            <v>4498.6189999999997</v>
          </cell>
          <cell r="F10">
            <v>6212.8320000000003</v>
          </cell>
          <cell r="G10">
            <v>6780.8</v>
          </cell>
          <cell r="H10">
            <v>8827.0470000000005</v>
          </cell>
          <cell r="I10">
            <v>11424.751700000003</v>
          </cell>
          <cell r="J10">
            <v>14761.440290000002</v>
          </cell>
          <cell r="K10">
            <v>18451.800362500006</v>
          </cell>
        </row>
        <row r="11">
          <cell r="A11" t="str">
            <v>APE - New Business</v>
          </cell>
          <cell r="C11">
            <v>190.91730000000001</v>
          </cell>
          <cell r="D11">
            <v>1098.4476</v>
          </cell>
          <cell r="E11">
            <v>4288.5383000000002</v>
          </cell>
          <cell r="F11">
            <v>5960.9481000000005</v>
          </cell>
          <cell r="G11">
            <v>6443.3</v>
          </cell>
          <cell r="H11">
            <v>8373.3624000000018</v>
          </cell>
          <cell r="I11">
            <v>10880.330180000003</v>
          </cell>
          <cell r="J11">
            <v>14135.355542000003</v>
          </cell>
          <cell r="K11">
            <v>17669.194427500002</v>
          </cell>
        </row>
        <row r="12">
          <cell r="A12" t="str">
            <v>APE - total Business</v>
          </cell>
          <cell r="C12">
            <v>192.41730000000001</v>
          </cell>
          <cell r="D12">
            <v>1242.0116</v>
          </cell>
          <cell r="E12">
            <v>5165.3633</v>
          </cell>
          <cell r="F12">
            <v>8903.1160999999993</v>
          </cell>
          <cell r="G12">
            <v>12051.3</v>
          </cell>
          <cell r="H12">
            <v>17313.362400000002</v>
          </cell>
          <cell r="I12">
            <v>23827.544930000004</v>
          </cell>
          <cell r="J12">
            <v>31960.645779500002</v>
          </cell>
          <cell r="K12">
            <v>41587.50503312501</v>
          </cell>
        </row>
        <row r="13">
          <cell r="A13" t="str">
            <v xml:space="preserve">Reinsuranced Ceded </v>
          </cell>
          <cell r="C13">
            <v>-0.34100000000000003</v>
          </cell>
          <cell r="D13">
            <v>-2.83</v>
          </cell>
          <cell r="E13">
            <v>-19.079999999999998</v>
          </cell>
          <cell r="F13">
            <v>-38.170999999999999</v>
          </cell>
          <cell r="H13">
            <v>26140.409400000004</v>
          </cell>
        </row>
        <row r="14">
          <cell r="H14">
            <v>18604.383240000003</v>
          </cell>
        </row>
        <row r="15">
          <cell r="A15" t="str">
            <v xml:space="preserve">Investment Returns </v>
          </cell>
          <cell r="H15">
            <v>27431.430240000002</v>
          </cell>
        </row>
        <row r="16">
          <cell r="A16" t="str">
            <v xml:space="preserve"> - Interest &amp; dividend </v>
          </cell>
          <cell r="D16">
            <v>159.80000000000001</v>
          </cell>
          <cell r="E16">
            <v>265.57</v>
          </cell>
          <cell r="F16">
            <v>383.87</v>
          </cell>
        </row>
        <row r="17">
          <cell r="A17" t="str">
            <v xml:space="preserve"> - Profit / Loss on sale of invst </v>
          </cell>
          <cell r="D17">
            <v>62.64</v>
          </cell>
          <cell r="E17">
            <v>229.52</v>
          </cell>
          <cell r="F17">
            <v>88.02</v>
          </cell>
        </row>
        <row r="18">
          <cell r="A18" t="str">
            <v xml:space="preserve"> - Transfer / Gain on revaln. </v>
          </cell>
          <cell r="E18">
            <v>-11.54</v>
          </cell>
          <cell r="F18">
            <v>108.66</v>
          </cell>
        </row>
        <row r="19">
          <cell r="A19" t="str">
            <v xml:space="preserve">Total Investment Returns </v>
          </cell>
          <cell r="C19">
            <v>0</v>
          </cell>
          <cell r="D19">
            <v>222.44</v>
          </cell>
          <cell r="E19">
            <v>483.55</v>
          </cell>
          <cell r="F19">
            <v>580.54999999999995</v>
          </cell>
        </row>
        <row r="21">
          <cell r="A21" t="str">
            <v xml:space="preserve">Fees </v>
          </cell>
          <cell r="C21">
            <v>0.59</v>
          </cell>
          <cell r="D21">
            <v>1.73</v>
          </cell>
          <cell r="E21">
            <v>2.35</v>
          </cell>
          <cell r="F21">
            <v>23.63</v>
          </cell>
          <cell r="G21">
            <v>42.533999999999999</v>
          </cell>
          <cell r="H21">
            <v>72.3078</v>
          </cell>
          <cell r="I21">
            <v>108.46170000000001</v>
          </cell>
          <cell r="J21">
            <v>157.269465</v>
          </cell>
          <cell r="K21">
            <v>212.31377775000001</v>
          </cell>
        </row>
        <row r="22">
          <cell r="C22">
            <v>3.2614704256495298E-3</v>
          </cell>
          <cell r="D22">
            <v>1.6070106536446166E-3</v>
          </cell>
          <cell r="E22">
            <v>5.5097116287270266E-4</v>
          </cell>
          <cell r="F22">
            <v>3.9828342036969397E-3</v>
          </cell>
          <cell r="G22">
            <v>6.6399200724343559E-3</v>
          </cell>
          <cell r="H22">
            <v>8.6877578186492204E-3</v>
          </cell>
          <cell r="I22">
            <v>1.0024335944595255E-2</v>
          </cell>
          <cell r="J22">
            <v>1.1180990092048553E-2</v>
          </cell>
          <cell r="K22">
            <v>1.2075469299412438E-2</v>
          </cell>
        </row>
        <row r="24">
          <cell r="A24" t="str">
            <v xml:space="preserve">Total Revenues </v>
          </cell>
          <cell r="C24">
            <v>282.82199999999995</v>
          </cell>
          <cell r="D24">
            <v>1660.5830000000001</v>
          </cell>
          <cell r="E24">
            <v>5842.2640000000001</v>
          </cell>
          <cell r="F24">
            <v>9721.0089999999982</v>
          </cell>
          <cell r="G24">
            <v>12431.333999999999</v>
          </cell>
          <cell r="H24">
            <v>43979.764200000012</v>
          </cell>
          <cell r="I24">
            <v>24480.42815</v>
          </cell>
          <cell r="J24">
            <v>32743.999992500005</v>
          </cell>
          <cell r="K24">
            <v>42582.424745875011</v>
          </cell>
        </row>
        <row r="26">
          <cell r="A26" t="str">
            <v xml:space="preserve">Growth Rate (yoy) </v>
          </cell>
        </row>
        <row r="27">
          <cell r="A27" t="str">
            <v xml:space="preserve">FYP </v>
          </cell>
          <cell r="D27">
            <v>4.9509839690436701</v>
          </cell>
          <cell r="E27">
            <v>2.9619742265216211</v>
          </cell>
          <cell r="F27">
            <v>0.39101720061633749</v>
          </cell>
          <cell r="G27">
            <v>7.9696967500713312E-2</v>
          </cell>
          <cell r="H27">
            <v>0.29928393018826704</v>
          </cell>
          <cell r="I27">
            <v>0.3</v>
          </cell>
          <cell r="J27">
            <v>0.3</v>
          </cell>
          <cell r="K27">
            <v>0.25</v>
          </cell>
        </row>
        <row r="28">
          <cell r="A28" t="str">
            <v xml:space="preserve">Renewal Premiums </v>
          </cell>
          <cell r="D28">
            <v>94.709333333333348</v>
          </cell>
          <cell r="E28">
            <v>5.1075548187567907</v>
          </cell>
          <cell r="F28">
            <v>2.3554791435006979</v>
          </cell>
          <cell r="G28">
            <v>0.90607742317909801</v>
          </cell>
          <cell r="H28">
            <v>0.5941512125534949</v>
          </cell>
          <cell r="I28">
            <v>0.44823431208053699</v>
          </cell>
          <cell r="J28">
            <v>0.37676639969998171</v>
          </cell>
          <cell r="K28">
            <v>0.34181885887651875</v>
          </cell>
        </row>
        <row r="29">
          <cell r="A29" t="str">
            <v xml:space="preserve">Single Premiums </v>
          </cell>
          <cell r="D29">
            <v>1.1876753216934706</v>
          </cell>
          <cell r="E29">
            <v>6.5148348589524785E-2</v>
          </cell>
          <cell r="F29">
            <v>0.19898638951602865</v>
          </cell>
          <cell r="G29">
            <v>0.33990302675161055</v>
          </cell>
          <cell r="H29">
            <v>0.3442506666666667</v>
          </cell>
          <cell r="I29">
            <v>0.2</v>
          </cell>
          <cell r="J29">
            <v>0.15</v>
          </cell>
          <cell r="K29">
            <v>0.25</v>
          </cell>
        </row>
        <row r="30">
          <cell r="A30" t="str">
            <v xml:space="preserve">Total Premiums </v>
          </cell>
          <cell r="D30">
            <v>4.0933493291998886</v>
          </cell>
          <cell r="E30">
            <v>2.7349106439982682</v>
          </cell>
          <cell r="F30">
            <v>0.70311512872239024</v>
          </cell>
          <cell r="G30">
            <v>0.35322774440196603</v>
          </cell>
          <cell r="H30">
            <v>0.43412170670282868</v>
          </cell>
          <cell r="I30">
            <v>0.37175111035615527</v>
          </cell>
          <cell r="J30">
            <v>0.33705791013428898</v>
          </cell>
          <cell r="K30">
            <v>0.30022589815718992</v>
          </cell>
        </row>
        <row r="31">
          <cell r="A31" t="str">
            <v xml:space="preserve">New Business </v>
          </cell>
          <cell r="D31">
            <v>3.6097597421310477</v>
          </cell>
          <cell r="E31">
            <v>2.4720166028777193</v>
          </cell>
          <cell r="F31">
            <v>0.38105316320408567</v>
          </cell>
          <cell r="G31">
            <v>9.1418535057764316E-2</v>
          </cell>
          <cell r="H31">
            <v>0.3017707350165173</v>
          </cell>
          <cell r="I31">
            <v>0.29428921132967822</v>
          </cell>
          <cell r="J31">
            <v>0.29205786503001185</v>
          </cell>
          <cell r="K31">
            <v>0.25000000000000022</v>
          </cell>
        </row>
        <row r="32">
          <cell r="A32" t="str">
            <v>APE - New Business</v>
          </cell>
          <cell r="D32">
            <v>4.7535257412502689</v>
          </cell>
          <cell r="E32">
            <v>2.9041810460508088</v>
          </cell>
          <cell r="F32">
            <v>0.38997198649246068</v>
          </cell>
          <cell r="G32">
            <v>8.0918654534167134E-2</v>
          </cell>
          <cell r="H32">
            <v>0.2995456365526985</v>
          </cell>
          <cell r="I32">
            <v>0.29939797900064624</v>
          </cell>
          <cell r="J32">
            <v>0.29916604626423204</v>
          </cell>
          <cell r="K32">
            <v>0.25</v>
          </cell>
        </row>
        <row r="33">
          <cell r="A33" t="str">
            <v>APE - total Business</v>
          </cell>
          <cell r="D33">
            <v>5.4547813528201461</v>
          </cell>
          <cell r="E33">
            <v>3.1588688060562395</v>
          </cell>
          <cell r="F33">
            <v>0.72361856909464617</v>
          </cell>
          <cell r="G33">
            <v>0.35360472273297661</v>
          </cell>
          <cell r="H33">
            <v>0.43663857011276819</v>
          </cell>
          <cell r="I33">
            <v>0.37625172854927369</v>
          </cell>
          <cell r="J33">
            <v>0.34133188599132769</v>
          </cell>
          <cell r="K33">
            <v>0.3012097853104021</v>
          </cell>
        </row>
        <row r="34">
          <cell r="A34" t="str">
            <v xml:space="preserve">Persistency Rate </v>
          </cell>
          <cell r="E34">
            <v>0.71865187767857808</v>
          </cell>
          <cell r="F34">
            <v>0.57218124935701353</v>
          </cell>
          <cell r="G34">
            <v>0.63187813946140947</v>
          </cell>
          <cell r="H34">
            <v>0.65</v>
          </cell>
          <cell r="I34">
            <v>0.67</v>
          </cell>
          <cell r="J34">
            <v>0.67</v>
          </cell>
          <cell r="K34">
            <v>0.67</v>
          </cell>
        </row>
        <row r="35">
          <cell r="A35" t="str">
            <v xml:space="preserve">Persistency Rate </v>
          </cell>
          <cell r="E35">
            <v>0.71865187767857808</v>
          </cell>
          <cell r="F35">
            <v>0.57218124935701353</v>
          </cell>
          <cell r="G35">
            <v>0.63187813946140947</v>
          </cell>
          <cell r="H35">
            <v>0.7441442341307497</v>
          </cell>
          <cell r="I35">
            <v>0.75</v>
          </cell>
          <cell r="J35">
            <v>0.75</v>
          </cell>
          <cell r="K35">
            <v>0.75</v>
          </cell>
        </row>
        <row r="36">
          <cell r="A36" t="str">
            <v>Assets Under Management (Rs bn)</v>
          </cell>
          <cell r="C36">
            <v>0.22619454000000003</v>
          </cell>
          <cell r="D36">
            <v>1.3461408032</v>
          </cell>
          <cell r="E36">
            <v>5.4836710574560001</v>
          </cell>
          <cell r="F36">
            <v>13.334</v>
          </cell>
          <cell r="G36">
            <v>25.568999999999999</v>
          </cell>
          <cell r="H36">
            <v>41.481593099999998</v>
          </cell>
          <cell r="I36">
            <v>64.603650078000001</v>
          </cell>
          <cell r="J36">
            <v>97.785977673690013</v>
          </cell>
          <cell r="K36">
            <v>144.2773447871067</v>
          </cell>
        </row>
        <row r="37">
          <cell r="A37" t="str">
            <v>Assets Under Management (Rs bn)</v>
          </cell>
          <cell r="C37">
            <v>0.22619454000000003</v>
          </cell>
          <cell r="D37">
            <v>1.3461408032</v>
          </cell>
          <cell r="E37">
            <v>5.4836710574560001</v>
          </cell>
          <cell r="F37">
            <v>13.334</v>
          </cell>
          <cell r="G37">
            <v>25.568999999999999</v>
          </cell>
          <cell r="H37">
            <v>40.200000000000003</v>
          </cell>
          <cell r="I37">
            <v>63.623611491500007</v>
          </cell>
          <cell r="J37">
            <v>95.818810456295012</v>
          </cell>
          <cell r="K37">
            <v>138.88808181177987</v>
          </cell>
        </row>
        <row r="38">
          <cell r="A38" t="str">
            <v xml:space="preserve">yoy growth </v>
          </cell>
          <cell r="F38">
            <v>1.4315827591208481</v>
          </cell>
          <cell r="G38">
            <v>0.91757912104394768</v>
          </cell>
          <cell r="H38">
            <v>0.57221635574328311</v>
          </cell>
          <cell r="I38">
            <v>0.58267690277363182</v>
          </cell>
          <cell r="J38">
            <v>0.50602595813185203</v>
          </cell>
          <cell r="K38">
            <v>0.44948660028637755</v>
          </cell>
        </row>
        <row r="39">
          <cell r="A39" t="str">
            <v>NBAP Calculation</v>
          </cell>
        </row>
        <row r="40">
          <cell r="A40" t="str">
            <v>NBAP Calculation</v>
          </cell>
          <cell r="C40">
            <v>0.2</v>
          </cell>
          <cell r="D40">
            <v>0.22</v>
          </cell>
          <cell r="E40">
            <v>0.2</v>
          </cell>
          <cell r="F40">
            <v>0.2</v>
          </cell>
          <cell r="G40">
            <v>0.2</v>
          </cell>
          <cell r="H40">
            <v>0.2</v>
          </cell>
          <cell r="I40">
            <v>0.19500000000000001</v>
          </cell>
          <cell r="J40">
            <v>0.19500000000000001</v>
          </cell>
          <cell r="K40">
            <v>0.19</v>
          </cell>
        </row>
        <row r="41">
          <cell r="A41" t="str">
            <v>NBAP Margin (FYP)</v>
          </cell>
          <cell r="C41">
            <v>0.2</v>
          </cell>
          <cell r="D41">
            <v>0.22</v>
          </cell>
          <cell r="E41">
            <v>0.2</v>
          </cell>
          <cell r="F41">
            <v>0.2</v>
          </cell>
          <cell r="G41">
            <v>0.2</v>
          </cell>
          <cell r="H41">
            <v>0.19</v>
          </cell>
          <cell r="I41">
            <v>0.18</v>
          </cell>
          <cell r="J41">
            <v>0.18</v>
          </cell>
          <cell r="K41">
            <v>0.18</v>
          </cell>
        </row>
        <row r="42">
          <cell r="A42" t="str">
            <v>NBAP Margin (Single Premium)</v>
          </cell>
          <cell r="C42">
            <v>0.05</v>
          </cell>
          <cell r="D42">
            <v>0.05</v>
          </cell>
          <cell r="E42">
            <v>0.05</v>
          </cell>
          <cell r="F42">
            <v>0.04</v>
          </cell>
          <cell r="G42">
            <v>0.03</v>
          </cell>
          <cell r="H42">
            <v>2.4500000000000001E-2</v>
          </cell>
          <cell r="I42">
            <v>2.5000000000000001E-2</v>
          </cell>
          <cell r="J42">
            <v>2.5000000000000001E-2</v>
          </cell>
          <cell r="K42">
            <v>2.5000000000000001E-2</v>
          </cell>
        </row>
        <row r="43">
          <cell r="A43" t="str">
            <v>NBAP Margin (Total)</v>
          </cell>
          <cell r="C43">
            <v>0.21574079457440473</v>
          </cell>
          <cell r="D43">
            <v>0.22558614539282529</v>
          </cell>
          <cell r="E43">
            <v>0.20163288503217985</v>
          </cell>
          <cell r="F43">
            <v>0.20093901505366235</v>
          </cell>
          <cell r="G43">
            <v>0.20058199990688003</v>
          </cell>
          <cell r="H43">
            <v>0.1903311115496446</v>
          </cell>
          <cell r="I43">
            <v>0.18038917841002505</v>
          </cell>
          <cell r="J43">
            <v>0.18034449420288942</v>
          </cell>
          <cell r="K43">
            <v>0.18034449420288945</v>
          </cell>
        </row>
        <row r="44">
          <cell r="A44" t="str">
            <v xml:space="preserve">Total NBAP </v>
          </cell>
          <cell r="C44">
            <v>41.188650000000003</v>
          </cell>
          <cell r="D44">
            <v>247.79455999999999</v>
          </cell>
          <cell r="E44">
            <v>864.71035000000006</v>
          </cell>
          <cell r="F44">
            <v>1197.7870400000002</v>
          </cell>
          <cell r="G44">
            <v>1292.4100000000001</v>
          </cell>
          <cell r="H44">
            <v>1743.6285</v>
          </cell>
          <cell r="I44">
            <v>2464.8614324999999</v>
          </cell>
          <cell r="J44">
            <v>3449.8216304999996</v>
          </cell>
          <cell r="K44">
            <v>4536.1044980999995</v>
          </cell>
        </row>
        <row r="45">
          <cell r="A45" t="str">
            <v xml:space="preserve">Total NBAP </v>
          </cell>
          <cell r="C45">
            <v>41.188650000000003</v>
          </cell>
          <cell r="D45">
            <v>247.79455999999999</v>
          </cell>
          <cell r="E45">
            <v>864.71035000000006</v>
          </cell>
          <cell r="F45">
            <v>1197.7870400000002</v>
          </cell>
          <cell r="G45">
            <v>1292.4100000000001</v>
          </cell>
          <cell r="H45">
            <v>1593.7113730000003</v>
          </cell>
          <cell r="I45">
            <v>1962.6938220000004</v>
          </cell>
          <cell r="J45">
            <v>2549.2335456000005</v>
          </cell>
          <cell r="K45">
            <v>3186.5419320000005</v>
          </cell>
        </row>
        <row r="46">
          <cell r="A46" t="str">
            <v xml:space="preserve">% Increase </v>
          </cell>
          <cell r="D46">
            <v>5.0160884127059271</v>
          </cell>
          <cell r="E46">
            <v>2.4896260434450221</v>
          </cell>
          <cell r="F46">
            <v>0.38518873979015056</v>
          </cell>
          <cell r="G46">
            <v>7.8998149787962157E-2</v>
          </cell>
          <cell r="H46">
            <v>0.23313141572720752</v>
          </cell>
          <cell r="I46">
            <v>0.23152401071558404</v>
          </cell>
          <cell r="J46">
            <v>0.2988442298158922</v>
          </cell>
          <cell r="K46">
            <v>0.25</v>
          </cell>
        </row>
        <row r="47">
          <cell r="A47" t="str">
            <v xml:space="preserve">NBAP (as per b/s) </v>
          </cell>
          <cell r="D47">
            <v>20</v>
          </cell>
          <cell r="E47">
            <v>19</v>
          </cell>
          <cell r="F47">
            <v>19</v>
          </cell>
          <cell r="G47">
            <v>18</v>
          </cell>
          <cell r="H47">
            <v>17</v>
          </cell>
          <cell r="I47">
            <v>16</v>
          </cell>
          <cell r="J47">
            <v>15</v>
          </cell>
          <cell r="K47">
            <v>14</v>
          </cell>
        </row>
        <row r="48">
          <cell r="A48" t="str">
            <v xml:space="preserve">Multiple (16-20x) of NBAP </v>
          </cell>
          <cell r="C48">
            <v>741.39570000000003</v>
          </cell>
          <cell r="D48">
            <v>20</v>
          </cell>
          <cell r="E48">
            <v>19</v>
          </cell>
          <cell r="F48">
            <v>19</v>
          </cell>
          <cell r="G48">
            <v>18</v>
          </cell>
          <cell r="H48">
            <v>17</v>
          </cell>
          <cell r="I48">
            <v>16.5</v>
          </cell>
          <cell r="J48">
            <v>16</v>
          </cell>
          <cell r="K48">
            <v>15</v>
          </cell>
        </row>
        <row r="49">
          <cell r="A49" t="str">
            <v>Multiple (16-20x) = 18x NBAP</v>
          </cell>
          <cell r="C49">
            <v>741.39570000000003</v>
          </cell>
          <cell r="D49">
            <v>4955.8912</v>
          </cell>
          <cell r="E49">
            <v>16429.496650000001</v>
          </cell>
          <cell r="F49">
            <v>22757.953760000004</v>
          </cell>
          <cell r="G49">
            <v>23263.38</v>
          </cell>
          <cell r="H49">
            <v>27093.093341000007</v>
          </cell>
          <cell r="I49">
            <v>32384.448063000007</v>
          </cell>
          <cell r="J49">
            <v>40787.736729600008</v>
          </cell>
          <cell r="K49">
            <v>47798.128980000009</v>
          </cell>
        </row>
        <row r="50">
          <cell r="A50" t="str">
            <v xml:space="preserve">In US$ mn </v>
          </cell>
          <cell r="C50">
            <v>17.043579310344828</v>
          </cell>
          <cell r="D50">
            <v>113.92853333333333</v>
          </cell>
          <cell r="E50">
            <v>377.68957816091955</v>
          </cell>
          <cell r="F50">
            <v>523.17135080459775</v>
          </cell>
          <cell r="G50">
            <v>534.79034482758618</v>
          </cell>
          <cell r="H50">
            <v>622.82973197701165</v>
          </cell>
          <cell r="I50">
            <v>744.47007041379322</v>
          </cell>
          <cell r="J50">
            <v>937.64912022068984</v>
          </cell>
          <cell r="K50">
            <v>1098.8075627586209</v>
          </cell>
        </row>
        <row r="74">
          <cell r="A74" t="str">
            <v>Valuation Table (Rs mn)</v>
          </cell>
          <cell r="F74" t="str">
            <v>FY05</v>
          </cell>
          <cell r="G74" t="str">
            <v xml:space="preserve">FY06 </v>
          </cell>
          <cell r="H74" t="str">
            <v xml:space="preserve">FY07E </v>
          </cell>
          <cell r="I74" t="str">
            <v xml:space="preserve">FY08E </v>
          </cell>
        </row>
        <row r="75">
          <cell r="A75" t="str">
            <v xml:space="preserve">FYP </v>
          </cell>
          <cell r="F75">
            <v>5932.9610000000002</v>
          </cell>
          <cell r="G75">
            <v>6405.8</v>
          </cell>
          <cell r="H75">
            <v>8322.9530000000013</v>
          </cell>
          <cell r="I75">
            <v>10819.838900000002</v>
          </cell>
        </row>
        <row r="76">
          <cell r="A76" t="str">
            <v xml:space="preserve">Single Premium </v>
          </cell>
          <cell r="F76">
            <v>279.87099999999998</v>
          </cell>
          <cell r="G76">
            <v>375</v>
          </cell>
          <cell r="H76">
            <v>504.09399999999999</v>
          </cell>
          <cell r="I76">
            <v>604.91279999999995</v>
          </cell>
        </row>
        <row r="77">
          <cell r="A77" t="str">
            <v xml:space="preserve">Renewal Premium </v>
          </cell>
          <cell r="F77">
            <v>2942.1679999999997</v>
          </cell>
          <cell r="G77">
            <v>5608</v>
          </cell>
          <cell r="H77">
            <v>8940</v>
          </cell>
          <cell r="I77">
            <v>12947.214750000001</v>
          </cell>
        </row>
        <row r="78">
          <cell r="A78" t="str">
            <v xml:space="preserve">Total Premium </v>
          </cell>
          <cell r="F78">
            <v>9155</v>
          </cell>
          <cell r="G78">
            <v>12388.8</v>
          </cell>
          <cell r="H78">
            <v>17767.047000000002</v>
          </cell>
          <cell r="I78">
            <v>24371.96645</v>
          </cell>
        </row>
        <row r="79">
          <cell r="A79" t="str">
            <v xml:space="preserve">YoY Growth </v>
          </cell>
          <cell r="F79">
            <v>0.70311512872239024</v>
          </cell>
          <cell r="G79">
            <v>0.35322774440196603</v>
          </cell>
          <cell r="H79">
            <v>0.43412170670282868</v>
          </cell>
          <cell r="I79">
            <v>0.37175111035615527</v>
          </cell>
        </row>
        <row r="80">
          <cell r="A80" t="str">
            <v>NBAP margin (%)</v>
          </cell>
          <cell r="F80">
            <v>0.20093901505366235</v>
          </cell>
          <cell r="G80">
            <v>0.20058199990688003</v>
          </cell>
          <cell r="H80">
            <v>0.1903311115496446</v>
          </cell>
          <cell r="I80">
            <v>0.18038917841002505</v>
          </cell>
        </row>
        <row r="81">
          <cell r="A81" t="str">
            <v>NBAP (Rs mn)</v>
          </cell>
          <cell r="F81">
            <v>1197.7870400000002</v>
          </cell>
          <cell r="G81">
            <v>1292.4100000000001</v>
          </cell>
          <cell r="H81">
            <v>1593.7113730000003</v>
          </cell>
          <cell r="I81">
            <v>1962.6938220000004</v>
          </cell>
        </row>
        <row r="82">
          <cell r="A82" t="str">
            <v>Multiple (x)</v>
          </cell>
          <cell r="F82">
            <v>19</v>
          </cell>
          <cell r="G82">
            <v>18</v>
          </cell>
          <cell r="H82">
            <v>17</v>
          </cell>
          <cell r="I82">
            <v>16.5</v>
          </cell>
        </row>
        <row r="83">
          <cell r="A83" t="str">
            <v>Value of the Company (Rs mn)</v>
          </cell>
          <cell r="F83">
            <v>22757.953760000004</v>
          </cell>
          <cell r="G83">
            <v>23263.38</v>
          </cell>
          <cell r="H83">
            <v>27093.093341000007</v>
          </cell>
          <cell r="I83">
            <v>32384.448063000007</v>
          </cell>
        </row>
        <row r="84">
          <cell r="A84" t="str">
            <v>Value of the Company (US$ mn)</v>
          </cell>
          <cell r="F84">
            <v>523.17135080459775</v>
          </cell>
          <cell r="G84">
            <v>534.79034482758618</v>
          </cell>
          <cell r="H84">
            <v>622.82973197701165</v>
          </cell>
          <cell r="I84">
            <v>744.47007041379322</v>
          </cell>
        </row>
        <row r="85">
          <cell r="A85" t="str">
            <v>Value of Aditya Birla Nuvo's stake in the venture (US$ mn)</v>
          </cell>
          <cell r="F85">
            <v>387.14679959540234</v>
          </cell>
          <cell r="G85">
            <v>395.74485517241379</v>
          </cell>
          <cell r="H85">
            <v>460.89400166298861</v>
          </cell>
          <cell r="I85">
            <v>550.90785210620697</v>
          </cell>
        </row>
      </sheetData>
      <sheetData sheetId="7" refreshError="1"/>
      <sheetData sheetId="8" refreshError="1"/>
      <sheetData sheetId="9" refreshError="1">
        <row r="2">
          <cell r="A2" t="str">
            <v>Year to March (Rs mn)</v>
          </cell>
          <cell r="B2">
            <v>2001</v>
          </cell>
          <cell r="C2">
            <v>2002</v>
          </cell>
          <cell r="D2">
            <v>2003</v>
          </cell>
          <cell r="E2">
            <v>2004</v>
          </cell>
          <cell r="F2">
            <v>2005</v>
          </cell>
          <cell r="G2">
            <v>2006</v>
          </cell>
          <cell r="H2">
            <v>2007</v>
          </cell>
          <cell r="I2">
            <v>2008</v>
          </cell>
          <cell r="J2">
            <v>2009</v>
          </cell>
          <cell r="K2">
            <v>2010</v>
          </cell>
        </row>
        <row r="3">
          <cell r="A3" t="str">
            <v xml:space="preserve">No. of policies (mn) </v>
          </cell>
          <cell r="C3" t="e">
            <v>#REF!</v>
          </cell>
          <cell r="D3" t="e">
            <v>#REF!</v>
          </cell>
          <cell r="E3" t="e">
            <v>#REF!</v>
          </cell>
          <cell r="F3" t="e">
            <v>#REF!</v>
          </cell>
          <cell r="G3" t="e">
            <v>#REF!</v>
          </cell>
          <cell r="H3" t="e">
            <v>#REF!</v>
          </cell>
          <cell r="I3" t="e">
            <v>#REF!</v>
          </cell>
          <cell r="J3" t="e">
            <v>#REF!</v>
          </cell>
          <cell r="K3" t="e">
            <v>#REF!</v>
          </cell>
        </row>
        <row r="4">
          <cell r="D4" t="e">
            <v>#REF!</v>
          </cell>
          <cell r="E4" t="e">
            <v>#REF!</v>
          </cell>
          <cell r="F4" t="e">
            <v>#REF!</v>
          </cell>
          <cell r="G4" t="e">
            <v>#REF!</v>
          </cell>
          <cell r="H4" t="e">
            <v>#REF!</v>
          </cell>
          <cell r="I4" t="e">
            <v>#REF!</v>
          </cell>
          <cell r="J4" t="e">
            <v>#REF!</v>
          </cell>
          <cell r="K4" t="e">
            <v>#REF!</v>
          </cell>
        </row>
        <row r="6">
          <cell r="A6" t="str">
            <v xml:space="preserve">FYP </v>
          </cell>
          <cell r="C6">
            <v>5.0659999999999989</v>
          </cell>
          <cell r="D6">
            <v>161.32100000000003</v>
          </cell>
          <cell r="E6">
            <v>1017.473</v>
          </cell>
          <cell r="F6">
            <v>1471.7940000000001</v>
          </cell>
          <cell r="G6">
            <v>4581</v>
          </cell>
          <cell r="H6">
            <v>17198.025999999998</v>
          </cell>
          <cell r="I6">
            <v>30956.446799999998</v>
          </cell>
          <cell r="J6">
            <v>47982.492539999999</v>
          </cell>
          <cell r="K6">
            <v>67175.489556</v>
          </cell>
        </row>
        <row r="7">
          <cell r="A7" t="str">
            <v xml:space="preserve">Renewal Premiums </v>
          </cell>
          <cell r="D7">
            <v>5.0460000000000003</v>
          </cell>
          <cell r="E7">
            <v>186.178</v>
          </cell>
          <cell r="F7">
            <v>1017.473</v>
          </cell>
          <cell r="G7">
            <v>2115.8769499999999</v>
          </cell>
          <cell r="H7">
            <v>5692.3454075</v>
          </cell>
          <cell r="I7">
            <v>19456.815696374997</v>
          </cell>
          <cell r="J7">
            <v>42851.273121918748</v>
          </cell>
          <cell r="K7">
            <v>77208.700812630937</v>
          </cell>
        </row>
        <row r="8">
          <cell r="A8" t="str">
            <v xml:space="preserve">Single Premiums </v>
          </cell>
          <cell r="C8">
            <v>141.79300000000001</v>
          </cell>
          <cell r="D8">
            <v>557.48699999999997</v>
          </cell>
          <cell r="E8">
            <v>1053.008</v>
          </cell>
          <cell r="F8">
            <v>3357.5619999999999</v>
          </cell>
          <cell r="G8">
            <v>3704.4</v>
          </cell>
          <cell r="H8">
            <v>8462.6200000000008</v>
          </cell>
          <cell r="I8">
            <v>12270.799000000001</v>
          </cell>
          <cell r="J8">
            <v>15338.498750000001</v>
          </cell>
          <cell r="K8">
            <v>18406.198499999999</v>
          </cell>
        </row>
        <row r="9">
          <cell r="A9" t="str">
            <v xml:space="preserve">Total Premiums </v>
          </cell>
          <cell r="C9">
            <v>146.85900000000001</v>
          </cell>
          <cell r="D9">
            <v>723.85400000000004</v>
          </cell>
          <cell r="E9">
            <v>2256.6589999999997</v>
          </cell>
          <cell r="F9">
            <v>5846.8289999999997</v>
          </cell>
          <cell r="G9">
            <v>10401.276949999999</v>
          </cell>
          <cell r="H9">
            <v>31352.991407499998</v>
          </cell>
          <cell r="I9">
            <v>62684.061496374998</v>
          </cell>
          <cell r="J9">
            <v>106172.26441191875</v>
          </cell>
          <cell r="K9">
            <v>162790.38886863092</v>
          </cell>
        </row>
        <row r="10">
          <cell r="A10" t="str">
            <v xml:space="preserve">New Business </v>
          </cell>
          <cell r="C10">
            <v>146.85900000000001</v>
          </cell>
          <cell r="D10">
            <v>718.80799999999999</v>
          </cell>
          <cell r="E10">
            <v>2070.4809999999998</v>
          </cell>
          <cell r="F10">
            <v>4829.3559999999998</v>
          </cell>
          <cell r="G10">
            <v>8285.4</v>
          </cell>
          <cell r="H10">
            <v>25660.646000000001</v>
          </cell>
          <cell r="I10">
            <v>43227.245799999997</v>
          </cell>
          <cell r="J10">
            <v>63320.991289999998</v>
          </cell>
          <cell r="K10">
            <v>85581.688055999999</v>
          </cell>
        </row>
        <row r="11">
          <cell r="A11" t="str">
            <v>APE - New Business</v>
          </cell>
          <cell r="C11">
            <v>19.2453</v>
          </cell>
          <cell r="D11">
            <v>217.06970000000001</v>
          </cell>
          <cell r="E11">
            <v>1122.7737999999999</v>
          </cell>
          <cell r="F11">
            <v>1807.5502000000001</v>
          </cell>
          <cell r="G11">
            <v>4951.4400000000005</v>
          </cell>
          <cell r="H11">
            <v>18044.287999999997</v>
          </cell>
          <cell r="I11">
            <v>32183.526699999999</v>
          </cell>
          <cell r="J11">
            <v>49516.342414999999</v>
          </cell>
          <cell r="K11">
            <v>69016.109406000003</v>
          </cell>
        </row>
        <row r="12">
          <cell r="A12" t="str">
            <v>APE - total Business</v>
          </cell>
          <cell r="C12">
            <v>19.2453</v>
          </cell>
          <cell r="D12">
            <v>222.1157</v>
          </cell>
          <cell r="E12">
            <v>1308.9517999999998</v>
          </cell>
          <cell r="F12">
            <v>2825.0232000000001</v>
          </cell>
          <cell r="G12">
            <v>7067.3169500000004</v>
          </cell>
          <cell r="H12">
            <v>23736.633407499998</v>
          </cell>
          <cell r="I12">
            <v>51640.342396374996</v>
          </cell>
          <cell r="J12">
            <v>92367.615536918747</v>
          </cell>
          <cell r="K12">
            <v>146224.81021863094</v>
          </cell>
        </row>
        <row r="26">
          <cell r="A26" t="str">
            <v xml:space="preserve">Growth Rate (yoy) </v>
          </cell>
        </row>
        <row r="27">
          <cell r="A27" t="str">
            <v xml:space="preserve">FYP </v>
          </cell>
          <cell r="D27">
            <v>30.843861034346638</v>
          </cell>
          <cell r="E27">
            <v>5.3071329833065741</v>
          </cell>
          <cell r="F27">
            <v>0.44651897396785967</v>
          </cell>
          <cell r="G27">
            <v>2.1125279760618669</v>
          </cell>
          <cell r="H27">
            <v>2.7542078148875788</v>
          </cell>
          <cell r="I27">
            <v>0.8</v>
          </cell>
          <cell r="J27">
            <v>0.55000000000000004</v>
          </cell>
          <cell r="K27">
            <v>0.4</v>
          </cell>
        </row>
        <row r="28">
          <cell r="A28" t="str">
            <v xml:space="preserve">Renewal Premiums </v>
          </cell>
          <cell r="D28" t="e">
            <v>#DIV/0!</v>
          </cell>
          <cell r="E28">
            <v>35.896155370590563</v>
          </cell>
          <cell r="F28">
            <v>4.465054947415914</v>
          </cell>
          <cell r="G28">
            <v>1.0795411278726808</v>
          </cell>
          <cell r="H28">
            <v>1.6903007793057157</v>
          </cell>
          <cell r="I28">
            <v>2.418066597072535</v>
          </cell>
          <cell r="J28">
            <v>1.202378528460974</v>
          </cell>
          <cell r="K28">
            <v>0.80178312539185925</v>
          </cell>
        </row>
        <row r="29">
          <cell r="A29" t="str">
            <v xml:space="preserve">Single Premiums </v>
          </cell>
          <cell r="D29">
            <v>2.9316962050312774</v>
          </cell>
          <cell r="E29">
            <v>0.88884763232147135</v>
          </cell>
          <cell r="F29">
            <v>2.1885436767811828</v>
          </cell>
          <cell r="G29">
            <v>0.10330054962499591</v>
          </cell>
          <cell r="H29">
            <v>1.2844779181513877</v>
          </cell>
          <cell r="I29">
            <v>0.45</v>
          </cell>
          <cell r="J29">
            <v>0.25</v>
          </cell>
          <cell r="K29">
            <v>0.2</v>
          </cell>
        </row>
        <row r="30">
          <cell r="A30" t="str">
            <v xml:space="preserve">Total Premiums </v>
          </cell>
          <cell r="D30">
            <v>3.928904595564453</v>
          </cell>
          <cell r="E30">
            <v>2.1175609998701388</v>
          </cell>
          <cell r="F30">
            <v>1.5909226870342397</v>
          </cell>
          <cell r="G30">
            <v>0.77896034756617638</v>
          </cell>
          <cell r="H30">
            <v>2.0143406005067481</v>
          </cell>
          <cell r="I30">
            <v>0.99930082210210558</v>
          </cell>
          <cell r="J30">
            <v>0.69376811070320743</v>
          </cell>
          <cell r="K30">
            <v>0.53326661883229365</v>
          </cell>
        </row>
        <row r="31">
          <cell r="A31" t="str">
            <v xml:space="preserve">New Business </v>
          </cell>
          <cell r="D31">
            <v>3.8945451078926041</v>
          </cell>
          <cell r="E31">
            <v>1.8804367786669038</v>
          </cell>
          <cell r="F31">
            <v>1.3324802304392072</v>
          </cell>
          <cell r="G31">
            <v>0.71563247770510197</v>
          </cell>
          <cell r="H31">
            <v>2.0970919931445677</v>
          </cell>
          <cell r="I31">
            <v>0.68457356061885566</v>
          </cell>
          <cell r="J31">
            <v>0.46483982770884746</v>
          </cell>
          <cell r="K31">
            <v>0.35155319448568911</v>
          </cell>
        </row>
        <row r="32">
          <cell r="A32" t="str">
            <v>APE - New Business</v>
          </cell>
          <cell r="D32">
            <v>10.279101910596355</v>
          </cell>
          <cell r="E32">
            <v>4.172411442039123</v>
          </cell>
          <cell r="F32">
            <v>0.60989702467228946</v>
          </cell>
          <cell r="G32">
            <v>1.7393098128063054</v>
          </cell>
          <cell r="H32">
            <v>2.6442505614528287</v>
          </cell>
          <cell r="I32">
            <v>0.78358529303012703</v>
          </cell>
          <cell r="J32">
            <v>0.53856172682902415</v>
          </cell>
          <cell r="K32">
            <v>0.39380467215391368</v>
          </cell>
        </row>
        <row r="33">
          <cell r="A33" t="str">
            <v>APE - total Business</v>
          </cell>
          <cell r="D33">
            <v>10.541295796895865</v>
          </cell>
          <cell r="E33">
            <v>4.8931079613012489</v>
          </cell>
          <cell r="F33">
            <v>1.1582331755837001</v>
          </cell>
          <cell r="G33">
            <v>1.5016845702364496</v>
          </cell>
          <cell r="H33">
            <v>2.3586484907118814</v>
          </cell>
          <cell r="I33">
            <v>1.1755546167746913</v>
          </cell>
          <cell r="J33">
            <v>0.78867163249875527</v>
          </cell>
          <cell r="K33">
            <v>0.5830744289397165</v>
          </cell>
        </row>
        <row r="35">
          <cell r="A35" t="str">
            <v xml:space="preserve">Persistency Rate </v>
          </cell>
          <cell r="E35">
            <v>1.1190801060306426</v>
          </cell>
          <cell r="F35">
            <v>0.84532227364908952</v>
          </cell>
          <cell r="G35">
            <v>0.85</v>
          </cell>
          <cell r="H35">
            <v>0.85</v>
          </cell>
          <cell r="I35">
            <v>0.85</v>
          </cell>
          <cell r="J35">
            <v>0.85</v>
          </cell>
          <cell r="K35">
            <v>0.85</v>
          </cell>
        </row>
        <row r="37">
          <cell r="A37" t="str">
            <v>Assets Under Management (Rs bn)</v>
          </cell>
          <cell r="C37">
            <v>0.14250334000000001</v>
          </cell>
          <cell r="D37">
            <v>0.81785834719999984</v>
          </cell>
          <cell r="E37">
            <v>2.8006114949759997</v>
          </cell>
          <cell r="F37">
            <v>8.2915768645740791</v>
          </cell>
          <cell r="G37">
            <v>17.759680577240005</v>
          </cell>
          <cell r="H37">
            <v>44.806322052394208</v>
          </cell>
          <cell r="I37">
            <v>100.1805621942145</v>
          </cell>
          <cell r="J37">
            <v>196.66616472613612</v>
          </cell>
          <cell r="K37">
            <v>349.26446687917377</v>
          </cell>
        </row>
        <row r="38">
          <cell r="A38" t="str">
            <v xml:space="preserve">yoy growth </v>
          </cell>
          <cell r="F38">
            <v>1.960630876309795</v>
          </cell>
          <cell r="G38">
            <v>1.1418942219686317</v>
          </cell>
          <cell r="H38">
            <v>1.5229238700281549</v>
          </cell>
          <cell r="I38">
            <v>1.2358577451875767</v>
          </cell>
          <cell r="J38">
            <v>0.96311700013092683</v>
          </cell>
          <cell r="K38">
            <v>0.77592555061789925</v>
          </cell>
        </row>
        <row r="40">
          <cell r="A40" t="str">
            <v>NBAP Calculation</v>
          </cell>
        </row>
        <row r="41">
          <cell r="A41" t="str">
            <v>NBAP Margin (FYP)</v>
          </cell>
          <cell r="C41">
            <v>0.25</v>
          </cell>
          <cell r="D41">
            <v>0.25</v>
          </cell>
          <cell r="E41">
            <v>0.22</v>
          </cell>
          <cell r="F41">
            <v>0.215</v>
          </cell>
          <cell r="G41">
            <v>0.21</v>
          </cell>
          <cell r="H41">
            <v>0.18000000000000002</v>
          </cell>
          <cell r="I41">
            <v>0.17250000000000001</v>
          </cell>
          <cell r="J41">
            <v>0.16500000000000001</v>
          </cell>
          <cell r="K41">
            <v>0.16500000000000001</v>
          </cell>
        </row>
        <row r="42">
          <cell r="A42" t="str">
            <v>NBAP Margin (Single Premium)</v>
          </cell>
          <cell r="C42">
            <v>0.05</v>
          </cell>
          <cell r="D42">
            <v>0.05</v>
          </cell>
          <cell r="E42">
            <v>0.04</v>
          </cell>
          <cell r="F42">
            <v>0.03</v>
          </cell>
          <cell r="G42">
            <v>0.03</v>
          </cell>
          <cell r="H42">
            <v>0.02</v>
          </cell>
          <cell r="I42">
            <v>0.02</v>
          </cell>
          <cell r="J42">
            <v>0.02</v>
          </cell>
          <cell r="K42">
            <v>0.02</v>
          </cell>
        </row>
        <row r="43">
          <cell r="A43" t="str">
            <v>NBAP Margin (Total)</v>
          </cell>
          <cell r="C43">
            <v>0.43419172473279188</v>
          </cell>
          <cell r="D43">
            <v>0.31420599005757133</v>
          </cell>
          <cell r="E43">
            <v>0.23688153392963038</v>
          </cell>
          <cell r="F43">
            <v>0.23078892636010884</v>
          </cell>
          <cell r="G43">
            <v>0.21673331394503417</v>
          </cell>
          <cell r="H43">
            <v>0.18093798325542135</v>
          </cell>
          <cell r="I43">
            <v>0.17354850837400615</v>
          </cell>
          <cell r="J43">
            <v>0.1660841823730651</v>
          </cell>
          <cell r="K43">
            <v>0.16593342982246403</v>
          </cell>
        </row>
        <row r="45">
          <cell r="A45" t="str">
            <v xml:space="preserve">Total NBAP </v>
          </cell>
          <cell r="C45">
            <v>8.3561499999999995</v>
          </cell>
          <cell r="D45">
            <v>68.204599999999999</v>
          </cell>
          <cell r="E45">
            <v>265.96438000000001</v>
          </cell>
          <cell r="F45">
            <v>417.16257000000002</v>
          </cell>
          <cell r="G45">
            <v>1073.1420000000001</v>
          </cell>
          <cell r="H45">
            <v>3264.8970799999997</v>
          </cell>
          <cell r="I45">
            <v>5585.403053</v>
          </cell>
          <cell r="J45">
            <v>8223.8812440999991</v>
          </cell>
          <cell r="K45">
            <v>11452.079746740001</v>
          </cell>
        </row>
        <row r="46">
          <cell r="A46" t="str">
            <v xml:space="preserve">% Increase </v>
          </cell>
          <cell r="D46">
            <v>7.1622038857607873</v>
          </cell>
          <cell r="E46">
            <v>2.8995079510766137</v>
          </cell>
          <cell r="F46">
            <v>0.56849037453812423</v>
          </cell>
          <cell r="G46">
            <v>1.5724791176734767</v>
          </cell>
          <cell r="H46">
            <v>2.0423719135025928</v>
          </cell>
          <cell r="I46">
            <v>0.71074398859764387</v>
          </cell>
          <cell r="J46">
            <v>0.47238814568320797</v>
          </cell>
          <cell r="K46">
            <v>0.3925395329554382</v>
          </cell>
        </row>
        <row r="47">
          <cell r="A47" t="str">
            <v xml:space="preserve">NBAP (as per b/s) </v>
          </cell>
        </row>
        <row r="48">
          <cell r="A48" t="str">
            <v xml:space="preserve">Multiple (16-20x) of NBAP </v>
          </cell>
          <cell r="D48">
            <v>19</v>
          </cell>
          <cell r="E48">
            <v>19</v>
          </cell>
          <cell r="F48">
            <v>19</v>
          </cell>
          <cell r="G48">
            <v>18</v>
          </cell>
          <cell r="H48">
            <v>17</v>
          </cell>
          <cell r="I48">
            <v>16.5</v>
          </cell>
          <cell r="J48">
            <v>16</v>
          </cell>
          <cell r="K48">
            <v>15.5</v>
          </cell>
        </row>
        <row r="49">
          <cell r="A49" t="str">
            <v>Multiple (16-20x) = 18x NBAP</v>
          </cell>
          <cell r="C49">
            <v>150.41069999999999</v>
          </cell>
          <cell r="D49">
            <v>1295.8874000000001</v>
          </cell>
          <cell r="E49">
            <v>5053.3232200000002</v>
          </cell>
          <cell r="F49">
            <v>7926.0888300000006</v>
          </cell>
          <cell r="G49">
            <v>19316.556</v>
          </cell>
          <cell r="H49">
            <v>55503.250359999998</v>
          </cell>
          <cell r="I49">
            <v>92159.150374499994</v>
          </cell>
          <cell r="J49">
            <v>131582.09990559999</v>
          </cell>
          <cell r="K49">
            <v>177507.23607447001</v>
          </cell>
        </row>
        <row r="50">
          <cell r="A50" t="str">
            <v xml:space="preserve">In US$ mn </v>
          </cell>
          <cell r="C50">
            <v>3.45771724137931</v>
          </cell>
          <cell r="D50">
            <v>29.790514942528738</v>
          </cell>
          <cell r="E50">
            <v>116.16834988505748</v>
          </cell>
          <cell r="F50">
            <v>188.71640071428573</v>
          </cell>
          <cell r="G50">
            <v>459.91800000000001</v>
          </cell>
          <cell r="H50">
            <v>1321.505960952381</v>
          </cell>
          <cell r="I50">
            <v>2194.2654851071429</v>
          </cell>
          <cell r="J50">
            <v>3132.9071406095236</v>
          </cell>
          <cell r="K50">
            <v>4226.3627636778574</v>
          </cell>
        </row>
        <row r="51">
          <cell r="A51" t="str">
            <v>Equiv. in per SBI's share (Rs)- 74% stake</v>
          </cell>
          <cell r="C51">
            <v>0.21148378871366141</v>
          </cell>
          <cell r="D51">
            <v>1.8220723465703974</v>
          </cell>
          <cell r="E51">
            <v>7.1051856028880875</v>
          </cell>
          <cell r="F51">
            <v>11.144415227436824</v>
          </cell>
          <cell r="G51">
            <v>27.159892532775984</v>
          </cell>
          <cell r="H51">
            <v>78.039911203496104</v>
          </cell>
          <cell r="I51">
            <v>129.5796528161315</v>
          </cell>
          <cell r="J51">
            <v>185.00998276675659</v>
          </cell>
          <cell r="K51">
            <v>249.5826614005469</v>
          </cell>
        </row>
        <row r="60">
          <cell r="A60" t="str">
            <v>Valuation Table (Rs mn)</v>
          </cell>
          <cell r="F60" t="str">
            <v>FY05</v>
          </cell>
          <cell r="G60" t="str">
            <v xml:space="preserve">FY06 </v>
          </cell>
          <cell r="H60" t="str">
            <v xml:space="preserve">FY07E </v>
          </cell>
          <cell r="I60" t="str">
            <v xml:space="preserve">FY08E </v>
          </cell>
        </row>
        <row r="61">
          <cell r="A61" t="str">
            <v xml:space="preserve">FYP </v>
          </cell>
          <cell r="F61">
            <v>1471.7940000000001</v>
          </cell>
          <cell r="G61">
            <v>4581</v>
          </cell>
          <cell r="H61">
            <v>17198.025999999998</v>
          </cell>
          <cell r="I61">
            <v>30956.446799999998</v>
          </cell>
        </row>
        <row r="62">
          <cell r="A62" t="str">
            <v xml:space="preserve">Single Premium </v>
          </cell>
          <cell r="F62">
            <v>3357.5619999999999</v>
          </cell>
          <cell r="G62">
            <v>3704.4</v>
          </cell>
          <cell r="H62">
            <v>8462.6200000000008</v>
          </cell>
          <cell r="I62">
            <v>12270.799000000001</v>
          </cell>
        </row>
        <row r="63">
          <cell r="A63" t="str">
            <v xml:space="preserve">Renewal Premium </v>
          </cell>
          <cell r="F63">
            <v>1017.473</v>
          </cell>
          <cell r="G63">
            <v>2115.8769499999999</v>
          </cell>
          <cell r="H63">
            <v>5692.3454075</v>
          </cell>
          <cell r="I63">
            <v>19456.815696374997</v>
          </cell>
        </row>
        <row r="64">
          <cell r="A64" t="str">
            <v xml:space="preserve">Total Premium </v>
          </cell>
          <cell r="F64">
            <v>5846.8289999999997</v>
          </cell>
          <cell r="G64">
            <v>10401.276949999999</v>
          </cell>
          <cell r="H64">
            <v>31352.991407499998</v>
          </cell>
          <cell r="I64">
            <v>62684.061496374998</v>
          </cell>
        </row>
        <row r="65">
          <cell r="A65" t="str">
            <v xml:space="preserve">YoY Growth </v>
          </cell>
          <cell r="F65">
            <v>1.5909226870342397</v>
          </cell>
          <cell r="G65">
            <v>0.77896034756617638</v>
          </cell>
          <cell r="H65">
            <v>2.0143406005067481</v>
          </cell>
          <cell r="I65">
            <v>0.99930082210210558</v>
          </cell>
        </row>
        <row r="66">
          <cell r="A66" t="str">
            <v>NBAP margin (%)</v>
          </cell>
          <cell r="F66">
            <v>0.23078892636010884</v>
          </cell>
          <cell r="G66">
            <v>0.21673331394503417</v>
          </cell>
          <cell r="H66">
            <v>0.18093798325542135</v>
          </cell>
          <cell r="I66">
            <v>0.17354850837400615</v>
          </cell>
        </row>
        <row r="67">
          <cell r="A67" t="str">
            <v>NBAP (Rs mn)</v>
          </cell>
          <cell r="F67">
            <v>417.16257000000002</v>
          </cell>
          <cell r="G67">
            <v>1073.1420000000001</v>
          </cell>
          <cell r="H67">
            <v>3264.8970799999997</v>
          </cell>
          <cell r="I67">
            <v>5585.403053</v>
          </cell>
        </row>
        <row r="68">
          <cell r="A68" t="str">
            <v>Multiple (x)</v>
          </cell>
          <cell r="F68">
            <v>19</v>
          </cell>
          <cell r="G68">
            <v>18</v>
          </cell>
          <cell r="H68">
            <v>17</v>
          </cell>
          <cell r="I68">
            <v>16.5</v>
          </cell>
        </row>
        <row r="69">
          <cell r="A69" t="str">
            <v>Value of the Company (Rs mn)</v>
          </cell>
          <cell r="F69">
            <v>7926.0888300000006</v>
          </cell>
          <cell r="G69">
            <v>19316.556</v>
          </cell>
          <cell r="H69">
            <v>55503.250359999998</v>
          </cell>
          <cell r="I69">
            <v>92159.150374499994</v>
          </cell>
        </row>
        <row r="70">
          <cell r="A70" t="str">
            <v>Value of the Company (US$ mn)</v>
          </cell>
          <cell r="F70">
            <v>188.71640071428573</v>
          </cell>
          <cell r="G70">
            <v>459.91800000000001</v>
          </cell>
          <cell r="H70">
            <v>1321.505960952381</v>
          </cell>
          <cell r="I70">
            <v>2194.2654851071429</v>
          </cell>
        </row>
        <row r="71">
          <cell r="A71" t="str">
            <v>Value of SBI's stake in the venture (US$ mn)</v>
          </cell>
          <cell r="F71">
            <v>139.65013652857144</v>
          </cell>
          <cell r="G71">
            <v>340.33931999999999</v>
          </cell>
          <cell r="H71">
            <v>977.91441110476194</v>
          </cell>
          <cell r="I71">
            <v>1623.7564589792858</v>
          </cell>
        </row>
        <row r="72">
          <cell r="A72" t="str">
            <v>Value per Share of SBI (Rs)</v>
          </cell>
          <cell r="F72">
            <v>11.144415227436824</v>
          </cell>
          <cell r="G72">
            <v>27.159892532775984</v>
          </cell>
          <cell r="H72">
            <v>78.039911203496104</v>
          </cell>
          <cell r="I72">
            <v>129.5796528161315</v>
          </cell>
        </row>
      </sheetData>
      <sheetData sheetId="10" refreshError="1"/>
      <sheetData sheetId="11" refreshError="1"/>
      <sheetData sheetId="12" refreshError="1"/>
      <sheetData sheetId="13" refreshError="1"/>
      <sheetData sheetId="14"/>
      <sheetData sheetId="15" refreshError="1"/>
      <sheetData sheetId="16" refreshError="1"/>
      <sheetData sheetId="17"/>
      <sheetData sheetId="18"/>
      <sheetData sheetId="19"/>
      <sheetData sheetId="20"/>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tax"/>
      <sheetName val="TNEB JV"/>
      <sheetName val="DCF"/>
      <sheetName val="Sheet1"/>
      <sheetName val="WACC"/>
      <sheetName val="cshfl"/>
      <sheetName val="p&amp;l(f)"/>
      <sheetName val="database"/>
      <sheetName val="DATABOX"/>
    </sheetNames>
    <sheetDataSet>
      <sheetData sheetId="0" refreshError="1">
        <row r="1">
          <cell r="B1" t="str">
            <v>FY97</v>
          </cell>
          <cell r="C1" t="str">
            <v>FY98</v>
          </cell>
          <cell r="D1" t="str">
            <v>FY99</v>
          </cell>
          <cell r="E1" t="str">
            <v>FY00</v>
          </cell>
          <cell r="F1" t="str">
            <v>FY01</v>
          </cell>
          <cell r="G1" t="str">
            <v>FY02A</v>
          </cell>
          <cell r="H1" t="str">
            <v>FY03A</v>
          </cell>
          <cell r="I1" t="str">
            <v>FY04A</v>
          </cell>
          <cell r="J1" t="str">
            <v>FY05A</v>
          </cell>
          <cell r="K1" t="str">
            <v>FY06E</v>
          </cell>
          <cell r="L1" t="str">
            <v>FY07E</v>
          </cell>
          <cell r="M1" t="str">
            <v>FY08E</v>
          </cell>
        </row>
        <row r="2">
          <cell r="A2" t="str">
            <v>EPS</v>
          </cell>
          <cell r="B2">
            <v>18.92211601307185</v>
          </cell>
          <cell r="C2">
            <v>29.39268545751629</v>
          </cell>
          <cell r="D2">
            <v>22.248141339869274</v>
          </cell>
          <cell r="E2">
            <v>24.484084967320243</v>
          </cell>
          <cell r="F2">
            <v>12.809546568627443</v>
          </cell>
          <cell r="G2">
            <v>9.5592927765975055</v>
          </cell>
          <cell r="H2">
            <v>9.0810140545840934</v>
          </cell>
          <cell r="I2">
            <v>13.862071008334686</v>
          </cell>
          <cell r="J2">
            <v>19.476423843765289</v>
          </cell>
          <cell r="K2">
            <v>34.302686304951848</v>
          </cell>
          <cell r="L2">
            <v>49.327913057689116</v>
          </cell>
          <cell r="M2">
            <v>58.411096584409187</v>
          </cell>
        </row>
        <row r="3">
          <cell r="A3" t="str">
            <v>CEPS</v>
          </cell>
          <cell r="B3">
            <v>23.334832516339823</v>
          </cell>
          <cell r="C3">
            <v>34.465332516339814</v>
          </cell>
          <cell r="D3">
            <v>28.102585784313717</v>
          </cell>
          <cell r="E3">
            <v>30.75449346405227</v>
          </cell>
          <cell r="F3">
            <v>19.254795751633981</v>
          </cell>
          <cell r="G3">
            <v>13.015772593561062</v>
          </cell>
          <cell r="H3">
            <v>12.867376205262309</v>
          </cell>
          <cell r="I3">
            <v>17.906872037914685</v>
          </cell>
          <cell r="J3">
            <v>23.94744852100013</v>
          </cell>
          <cell r="K3">
            <v>39.326591354796591</v>
          </cell>
          <cell r="L3">
            <v>54.904191861415214</v>
          </cell>
          <cell r="M3">
            <v>64.48255433894424</v>
          </cell>
        </row>
        <row r="4">
          <cell r="A4" t="str">
            <v>Adj. EPS</v>
          </cell>
          <cell r="B4">
            <v>18.92211601307185</v>
          </cell>
          <cell r="C4">
            <v>29.39268545751629</v>
          </cell>
          <cell r="D4">
            <v>22.248141339869274</v>
          </cell>
          <cell r="E4">
            <v>24.484084967320243</v>
          </cell>
          <cell r="F4">
            <v>12.809546568627443</v>
          </cell>
          <cell r="G4">
            <v>9.5592927765975055</v>
          </cell>
          <cell r="H4">
            <v>9.0810140545840934</v>
          </cell>
          <cell r="I4">
            <v>13.862071008334686</v>
          </cell>
          <cell r="J4">
            <v>19.476423843765289</v>
          </cell>
          <cell r="K4">
            <v>34.302686304951848</v>
          </cell>
          <cell r="L4">
            <v>49.327913057689116</v>
          </cell>
          <cell r="M4">
            <v>58.411096584409187</v>
          </cell>
        </row>
        <row r="5">
          <cell r="A5" t="str">
            <v>Book Value Per Share</v>
          </cell>
          <cell r="B5">
            <v>78.628974673202592</v>
          </cell>
          <cell r="C5">
            <v>106.00567810457515</v>
          </cell>
          <cell r="D5">
            <v>125.91767973856209</v>
          </cell>
          <cell r="E5">
            <v>137.16228758169933</v>
          </cell>
          <cell r="F5">
            <v>158.12799428104574</v>
          </cell>
          <cell r="G5">
            <v>86.213599035790153</v>
          </cell>
          <cell r="H5">
            <v>96.179320558914853</v>
          </cell>
          <cell r="I5">
            <v>107.8203015198562</v>
          </cell>
          <cell r="J5">
            <v>123.1184384703383</v>
          </cell>
          <cell r="K5">
            <v>149.1538159830038</v>
          </cell>
          <cell r="L5">
            <v>179.52810916816475</v>
          </cell>
          <cell r="M5">
            <v>220.09744239254783</v>
          </cell>
        </row>
        <row r="6">
          <cell r="A6" t="str">
            <v>Interest cover (x)</v>
          </cell>
          <cell r="B6">
            <v>6.2845274496570847</v>
          </cell>
          <cell r="C6">
            <v>20.740758162432957</v>
          </cell>
          <cell r="D6">
            <v>35.805687934294006</v>
          </cell>
          <cell r="E6">
            <v>52.524161374087328</v>
          </cell>
          <cell r="F6">
            <v>15.29646673871963</v>
          </cell>
          <cell r="G6">
            <v>9.8847484472914466</v>
          </cell>
          <cell r="H6">
            <v>18.305012778386281</v>
          </cell>
          <cell r="I6">
            <v>21.892847096811771</v>
          </cell>
          <cell r="J6">
            <v>20.836029064018206</v>
          </cell>
          <cell r="K6">
            <v>44.075253332516318</v>
          </cell>
          <cell r="L6">
            <v>83.654742672513208</v>
          </cell>
          <cell r="M6">
            <v>122.0005646527385</v>
          </cell>
        </row>
        <row r="7">
          <cell r="A7" t="str">
            <v>Debt- equity ratio (x)</v>
          </cell>
          <cell r="B7">
            <v>0.46654644525020383</v>
          </cell>
          <cell r="C7">
            <v>0.15008691651197933</v>
          </cell>
          <cell r="D7">
            <v>5.5186842685113549E-2</v>
          </cell>
          <cell r="E7">
            <v>7.1685424164781658E-2</v>
          </cell>
          <cell r="F7">
            <v>0.26494605374829117</v>
          </cell>
          <cell r="G7">
            <v>0.15775650239136621</v>
          </cell>
          <cell r="H7">
            <v>0.11280199923108132</v>
          </cell>
          <cell r="I7">
            <v>0.10231608849334657</v>
          </cell>
          <cell r="J7">
            <v>8.9097786989377509E-2</v>
          </cell>
          <cell r="K7">
            <v>7.6456859319260509E-2</v>
          </cell>
          <cell r="L7">
            <v>1.016469699348904E-2</v>
          </cell>
          <cell r="M7">
            <v>8.834058367156384E-3</v>
          </cell>
        </row>
        <row r="8">
          <cell r="A8" t="str">
            <v xml:space="preserve">ROCE (%) </v>
          </cell>
          <cell r="B8">
            <v>0.34576258085186029</v>
          </cell>
          <cell r="C8">
            <v>0.44523325027839206</v>
          </cell>
          <cell r="D8">
            <v>0.39104277379310098</v>
          </cell>
          <cell r="E8">
            <v>0.32157940634034421</v>
          </cell>
          <cell r="F8">
            <v>0.14614659999580687</v>
          </cell>
          <cell r="G8">
            <v>0.13565793398106488</v>
          </cell>
          <cell r="H8">
            <v>0.12718217937855683</v>
          </cell>
          <cell r="I8">
            <v>0.15953878692516094</v>
          </cell>
          <cell r="J8">
            <v>0.17282742434990159</v>
          </cell>
          <cell r="K8">
            <v>0.23873834903981977</v>
          </cell>
          <cell r="L8">
            <v>0.30900330874748655</v>
          </cell>
          <cell r="M8">
            <v>0.32292459613481822</v>
          </cell>
        </row>
        <row r="9">
          <cell r="A9" t="str">
            <v>WACC (%)</v>
          </cell>
          <cell r="B9">
            <v>0.1694</v>
          </cell>
          <cell r="C9">
            <v>0.15759999999999999</v>
          </cell>
          <cell r="D9">
            <v>0.15359999999999999</v>
          </cell>
          <cell r="E9">
            <v>0.14399999999999999</v>
          </cell>
          <cell r="F9">
            <v>0.1245</v>
          </cell>
          <cell r="G9">
            <v>0.1172</v>
          </cell>
          <cell r="H9">
            <v>1.1172</v>
          </cell>
          <cell r="I9">
            <v>2.1172</v>
          </cell>
          <cell r="J9">
            <v>3.1172</v>
          </cell>
          <cell r="K9">
            <v>4.1172000000000004</v>
          </cell>
          <cell r="L9">
            <v>5.1172000000000004</v>
          </cell>
          <cell r="M9">
            <v>6.1172000000000004</v>
          </cell>
        </row>
        <row r="10">
          <cell r="A10" t="str">
            <v>Dupont Analysis</v>
          </cell>
        </row>
        <row r="11">
          <cell r="A11" t="str">
            <v>ROE (%) (avg)</v>
          </cell>
          <cell r="B11">
            <v>0.24065067733257195</v>
          </cell>
          <cell r="C11">
            <v>0.31838752926724634</v>
          </cell>
          <cell r="D11">
            <v>0.19185770287887033</v>
          </cell>
          <cell r="E11">
            <v>0.18613416457904944</v>
          </cell>
          <cell r="F11">
            <v>8.6759012100381228E-2</v>
          </cell>
          <cell r="G11">
            <v>0.115666560140746</v>
          </cell>
          <cell r="H11">
            <v>9.9576387885703013E-2</v>
          </cell>
          <cell r="I11">
            <v>0.13590290871207672</v>
          </cell>
          <cell r="J11">
            <v>0.16867177715260975</v>
          </cell>
          <cell r="K11">
            <v>0.25197342545110579</v>
          </cell>
          <cell r="L11">
            <v>0.30015592147333353</v>
          </cell>
          <cell r="M11">
            <v>0.29232913839612257</v>
          </cell>
        </row>
        <row r="12">
          <cell r="A12" t="str">
            <v xml:space="preserve">  Comprising</v>
          </cell>
        </row>
        <row r="13">
          <cell r="A13" t="str">
            <v xml:space="preserve">  PAT/EBT(%)</v>
          </cell>
          <cell r="B13">
            <v>0.56703675190374692</v>
          </cell>
          <cell r="C13">
            <v>0.58461499936901806</v>
          </cell>
          <cell r="D13">
            <v>0.45856574503540987</v>
          </cell>
          <cell r="E13">
            <v>0.55502886635265325</v>
          </cell>
          <cell r="F13">
            <v>0.54346786968322025</v>
          </cell>
          <cell r="G13">
            <v>0.57402295765532463</v>
          </cell>
          <cell r="H13">
            <v>0.48623868664939346</v>
          </cell>
          <cell r="I13">
            <v>0.53970314168239308</v>
          </cell>
          <cell r="J13">
            <v>0.58435070631907338</v>
          </cell>
          <cell r="K13">
            <v>0.6572992987166465</v>
          </cell>
          <cell r="L13">
            <v>0.6430249093262177</v>
          </cell>
          <cell r="M13">
            <v>0.60081149285688762</v>
          </cell>
        </row>
        <row r="14">
          <cell r="A14" t="str">
            <v xml:space="preserve">  EBT/EBIT(%)</v>
          </cell>
          <cell r="B14">
            <v>0.83695492144024741</v>
          </cell>
          <cell r="C14">
            <v>0.95201618322757131</v>
          </cell>
          <cell r="D14">
            <v>0.97393145757954636</v>
          </cell>
          <cell r="E14">
            <v>0.98031785127397053</v>
          </cell>
          <cell r="F14">
            <v>0.92949894653005738</v>
          </cell>
          <cell r="G14">
            <v>0.89368808314228032</v>
          </cell>
          <cell r="H14">
            <v>0.94346805232889341</v>
          </cell>
          <cell r="I14">
            <v>0.95439443671411606</v>
          </cell>
          <cell r="J14">
            <v>0.95247661980928056</v>
          </cell>
          <cell r="K14">
            <v>0.97752106779299652</v>
          </cell>
          <cell r="L14">
            <v>0.98859301575601211</v>
          </cell>
          <cell r="M14">
            <v>0.99261244538069271</v>
          </cell>
        </row>
        <row r="15">
          <cell r="A15" t="str">
            <v xml:space="preserve">  EBIT/Sales(%)</v>
          </cell>
          <cell r="B15">
            <v>0.18071185407427115</v>
          </cell>
          <cell r="C15">
            <v>0.21168778386575005</v>
          </cell>
          <cell r="D15">
            <v>0.18767140764178292</v>
          </cell>
          <cell r="E15">
            <v>0.17234479278231063</v>
          </cell>
          <cell r="F15">
            <v>0.10127740341928605</v>
          </cell>
          <cell r="G15">
            <v>0.1309702852897506</v>
          </cell>
          <cell r="H15">
            <v>0.13639953254133338</v>
          </cell>
          <cell r="I15">
            <v>0.16179500510521155</v>
          </cell>
          <cell r="J15">
            <v>0.17600361809746989</v>
          </cell>
          <cell r="K15">
            <v>0.19300394019925887</v>
          </cell>
          <cell r="L15">
            <v>0.21769854092031074</v>
          </cell>
          <cell r="M15">
            <v>0.24428251389534955</v>
          </cell>
        </row>
        <row r="16">
          <cell r="A16" t="str">
            <v xml:space="preserve">  Sales/Assets (%)</v>
          </cell>
          <cell r="B16">
            <v>0.76317367881536957</v>
          </cell>
          <cell r="C16">
            <v>0.8632992964634203</v>
          </cell>
          <cell r="D16">
            <v>0.84506014308472666</v>
          </cell>
          <cell r="E16">
            <v>0.78046750773406726</v>
          </cell>
          <cell r="F16">
            <v>0.6972755394316843</v>
          </cell>
          <cell r="G16">
            <v>0.74911908396391536</v>
          </cell>
          <cell r="H16">
            <v>0.74095279023699556</v>
          </cell>
          <cell r="I16">
            <v>0.69853295451018338</v>
          </cell>
          <cell r="J16">
            <v>0.67160985908145276</v>
          </cell>
          <cell r="K16">
            <v>0.77349616457459047</v>
          </cell>
          <cell r="L16">
            <v>0.78026324251697554</v>
          </cell>
          <cell r="M16">
            <v>0.66411414317501383</v>
          </cell>
        </row>
        <row r="17">
          <cell r="A17" t="str">
            <v xml:space="preserve">  Assets/Net worth (%)</v>
          </cell>
          <cell r="B17">
            <v>3.6767473455202344</v>
          </cell>
          <cell r="C17">
            <v>3.1302900492655046</v>
          </cell>
          <cell r="D17">
            <v>2.7087162098111137</v>
          </cell>
          <cell r="E17">
            <v>2.5432591695633691</v>
          </cell>
          <cell r="F17">
            <v>2.4320630769592362</v>
          </cell>
          <cell r="G17">
            <v>2.2981001795335425</v>
          </cell>
          <cell r="H17">
            <v>2.1477129714827075</v>
          </cell>
          <cell r="I17">
            <v>2.33450010136499</v>
          </cell>
          <cell r="J17">
            <v>2.5637511307915211</v>
          </cell>
          <cell r="K17">
            <v>2.6268852688578956</v>
          </cell>
          <cell r="L17">
            <v>2.7797447221558302</v>
          </cell>
          <cell r="M17">
            <v>3.0214753044988698</v>
          </cell>
        </row>
        <row r="19">
          <cell r="A19" t="str">
            <v>P/E</v>
          </cell>
          <cell r="B19">
            <v>75.837184330159886</v>
          </cell>
          <cell r="C19">
            <v>48.821670346322243</v>
          </cell>
          <cell r="D19">
            <v>64.499770029258173</v>
          </cell>
          <cell r="E19">
            <v>58.609500902947538</v>
          </cell>
          <cell r="F19">
            <v>112.02582326485596</v>
          </cell>
          <cell r="G19">
            <v>150.11570767171</v>
          </cell>
          <cell r="H19">
            <v>158.02199967696475</v>
          </cell>
          <cell r="I19">
            <v>103.51988524205325</v>
          </cell>
          <cell r="J19">
            <v>73.678823767196164</v>
          </cell>
          <cell r="K19">
            <v>41.833458384069679</v>
          </cell>
          <cell r="L19">
            <v>29.09103408290888</v>
          </cell>
          <cell r="M19">
            <v>24.567249784915411</v>
          </cell>
        </row>
        <row r="20">
          <cell r="A20" t="str">
            <v>P/CEPS</v>
          </cell>
          <cell r="B20">
            <v>61.496048835797964</v>
          </cell>
          <cell r="C20">
            <v>41.636041065893529</v>
          </cell>
          <cell r="D20">
            <v>51.062916808210133</v>
          </cell>
          <cell r="E20">
            <v>46.659848313785936</v>
          </cell>
          <cell r="F20">
            <v>74.526887665283311</v>
          </cell>
          <cell r="G20">
            <v>110.25085062640834</v>
          </cell>
          <cell r="H20">
            <v>111.52234745519719</v>
          </cell>
          <cell r="I20">
            <v>80.136832215120393</v>
          </cell>
          <cell r="J20">
            <v>59.922876491063832</v>
          </cell>
          <cell r="K20">
            <v>36.489305341867002</v>
          </cell>
          <cell r="L20">
            <v>26.136437881138704</v>
          </cell>
          <cell r="M20">
            <v>22.254081196242744</v>
          </cell>
        </row>
        <row r="21">
          <cell r="A21" t="str">
            <v>P/Book</v>
          </cell>
          <cell r="B21">
            <v>18.250269776048089</v>
          </cell>
          <cell r="C21">
            <v>13.537010711674945</v>
          </cell>
          <cell r="D21">
            <v>11.396334517753456</v>
          </cell>
          <cell r="E21">
            <v>10.462059399127888</v>
          </cell>
          <cell r="F21">
            <v>9.0749269699173603</v>
          </cell>
          <cell r="G21">
            <v>16.644705893837973</v>
          </cell>
          <cell r="H21">
            <v>14.920047175016043</v>
          </cell>
          <cell r="I21">
            <v>13.309181849539998</v>
          </cell>
          <cell r="J21">
            <v>11.65544347239037</v>
          </cell>
          <cell r="K21">
            <v>9.6209405742828569</v>
          </cell>
          <cell r="L21">
            <v>7.9931772614829324</v>
          </cell>
          <cell r="M21">
            <v>6.5198395056342866</v>
          </cell>
        </row>
        <row r="22">
          <cell r="A22" t="str">
            <v>M Cap/Sales</v>
          </cell>
          <cell r="B22">
            <v>6.5040237361095805</v>
          </cell>
          <cell r="C22">
            <v>5.7520508284488763</v>
          </cell>
          <cell r="D22">
            <v>5.4061274615417769</v>
          </cell>
          <cell r="E22">
            <v>5.4960246410549329</v>
          </cell>
          <cell r="F22">
            <v>5.7313044312034229</v>
          </cell>
          <cell r="G22">
            <v>10.085887982195246</v>
          </cell>
          <cell r="H22">
            <v>9.8879700787715681</v>
          </cell>
          <cell r="I22">
            <v>8.6272371676943944</v>
          </cell>
          <cell r="J22">
            <v>7.2175894839676875</v>
          </cell>
          <cell r="K22">
            <v>5.1877523967096701</v>
          </cell>
          <cell r="L22">
            <v>4.0258724590470223</v>
          </cell>
          <cell r="M22">
            <v>3.5790426181798916</v>
          </cell>
        </row>
        <row r="23">
          <cell r="A23" t="str">
            <v>EV/ Sales</v>
          </cell>
          <cell r="B23">
            <v>6.6054351500669144</v>
          </cell>
          <cell r="C23">
            <v>5.747821166446049</v>
          </cell>
          <cell r="D23">
            <v>5.3495992280654248</v>
          </cell>
          <cell r="E23">
            <v>5.4772658162937713</v>
          </cell>
          <cell r="F23">
            <v>5.8442969362186483</v>
          </cell>
          <cell r="G23">
            <v>10.113052465824968</v>
          </cell>
          <cell r="H23">
            <v>9.7767935963179422</v>
          </cell>
          <cell r="I23">
            <v>8.3669181550025424</v>
          </cell>
          <cell r="J23">
            <v>6.9462466405145689</v>
          </cell>
          <cell r="K23">
            <v>4.9236804762071769</v>
          </cell>
          <cell r="L23">
            <v>3.6980778477671934</v>
          </cell>
          <cell r="M23">
            <v>3.1566239892148955</v>
          </cell>
        </row>
        <row r="24">
          <cell r="A24" t="str">
            <v>EV/EBIDTA</v>
          </cell>
          <cell r="B24">
            <v>35.672575811342561</v>
          </cell>
          <cell r="C24">
            <v>27.282743078747512</v>
          </cell>
          <cell r="D24">
            <v>30.538968557799837</v>
          </cell>
          <cell r="E24">
            <v>30.74213431933714</v>
          </cell>
          <cell r="F24">
            <v>53.509757391332812</v>
          </cell>
          <cell r="G24">
            <v>73.478776532463954</v>
          </cell>
          <cell r="H24">
            <v>69.26591570409569</v>
          </cell>
          <cell r="I24">
            <v>51.794106162605807</v>
          </cell>
          <cell r="J24">
            <v>39.857157831896281</v>
          </cell>
          <cell r="K24">
            <v>25.748574557952175</v>
          </cell>
          <cell r="L24">
            <v>17.801603416502068</v>
          </cell>
          <cell r="M24">
            <v>14.337318282167708</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Measure_Validations_Errors"/>
      <sheetName val="iQ_APR_CoreIndustrials"/>
      <sheetName val="DCF"/>
      <sheetName val="Rep-tbl"/>
      <sheetName val="Quarterly"/>
      <sheetName val="MODEL"/>
      <sheetName val="NPL-Loans"/>
      <sheetName val="Sheet3"/>
      <sheetName val="Sheet1"/>
      <sheetName val="SLR - CRR "/>
      <sheetName val="Old model with ICICI"/>
      <sheetName val="EquityTemplate"/>
      <sheetName val="Interim-NEW"/>
      <sheetName val="feecost"/>
      <sheetName val="ln-mix"/>
      <sheetName val="Crr-plr "/>
      <sheetName val="NPL CHt"/>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n (2)"/>
      <sheetName val="final 061106"/>
      <sheetName val="chn"/>
      <sheetName val="INFRA"/>
      <sheetName val="chn -1"/>
      <sheetName val="Final"/>
      <sheetName val="collectiondetails"/>
      <sheetName val="final 2nd Nov2006"/>
      <sheetName val="Sheet3"/>
      <sheetName val="Sheet5"/>
      <sheetName val="Sheet4"/>
      <sheetName val="Sheet2"/>
      <sheetName val="Sheet1"/>
      <sheetName val="chn_(2)"/>
      <sheetName val="final_061106"/>
      <sheetName val="chn_-1"/>
      <sheetName val="final_2nd_Nov2006"/>
      <sheetName val="amara-earnings model"/>
      <sheetName val="earnings model"/>
      <sheetName val="EVA1"/>
      <sheetName val="Macro1"/>
      <sheetName val="charts"/>
      <sheetName val="p&amp;l"/>
    </sheetNames>
    <sheetDataSet>
      <sheetData sheetId="0" refreshError="1"/>
      <sheetData sheetId="1" refreshError="1">
        <row r="5">
          <cell r="B5" t="str">
            <v>EC173</v>
          </cell>
          <cell r="C5" t="str">
            <v>SANKARA COLLEGE -  KALADI PHASE II</v>
          </cell>
          <cell r="D5">
            <v>77451000</v>
          </cell>
          <cell r="E5">
            <v>77451491</v>
          </cell>
          <cell r="F5">
            <v>77301491</v>
          </cell>
          <cell r="G5">
            <v>2190873</v>
          </cell>
          <cell r="H5">
            <v>150000</v>
          </cell>
          <cell r="I5">
            <v>0</v>
          </cell>
          <cell r="L5">
            <v>61933108</v>
          </cell>
        </row>
        <row r="6">
          <cell r="B6" t="str">
            <v>EC215</v>
          </cell>
          <cell r="C6" t="str">
            <v>TECHNO POLIS</v>
          </cell>
          <cell r="D6">
            <v>191139000</v>
          </cell>
          <cell r="E6">
            <v>189347550.9425</v>
          </cell>
          <cell r="F6">
            <v>189347550.9425</v>
          </cell>
          <cell r="H6">
            <v>0</v>
          </cell>
          <cell r="I6">
            <v>0</v>
          </cell>
          <cell r="L6">
            <v>173790653</v>
          </cell>
        </row>
        <row r="7">
          <cell r="B7" t="str">
            <v>TC145</v>
          </cell>
          <cell r="C7" t="str">
            <v>TWAD BOARD  MADURANDHAGAM</v>
          </cell>
          <cell r="D7">
            <v>22000000</v>
          </cell>
          <cell r="E7">
            <v>20586433</v>
          </cell>
          <cell r="F7">
            <v>20586433</v>
          </cell>
          <cell r="H7">
            <v>0</v>
          </cell>
          <cell r="I7">
            <v>0</v>
          </cell>
          <cell r="L7">
            <v>20972528</v>
          </cell>
        </row>
        <row r="8">
          <cell r="B8" t="str">
            <v>TC163</v>
          </cell>
          <cell r="C8" t="str">
            <v>COKE SIVAGANGA</v>
          </cell>
          <cell r="D8">
            <v>39186000</v>
          </cell>
          <cell r="E8">
            <v>39151487</v>
          </cell>
          <cell r="F8">
            <v>38986220</v>
          </cell>
          <cell r="H8">
            <v>165267</v>
          </cell>
          <cell r="I8">
            <v>0</v>
          </cell>
          <cell r="L8">
            <v>0</v>
          </cell>
        </row>
        <row r="9">
          <cell r="B9" t="str">
            <v>TC169</v>
          </cell>
          <cell r="C9" t="str">
            <v>CHENNAI TRADE CENTRE  MANAPAKKAM</v>
          </cell>
          <cell r="D9">
            <v>70900000</v>
          </cell>
          <cell r="E9">
            <v>70854710</v>
          </cell>
          <cell r="F9">
            <v>70854710</v>
          </cell>
          <cell r="H9">
            <v>0</v>
          </cell>
          <cell r="I9">
            <v>0</v>
          </cell>
          <cell r="L9">
            <v>0</v>
          </cell>
        </row>
        <row r="10">
          <cell r="B10" t="str">
            <v>TC189</v>
          </cell>
          <cell r="C10" t="str">
            <v>HCL-RALLIES</v>
          </cell>
          <cell r="D10">
            <v>66374000</v>
          </cell>
          <cell r="E10">
            <v>66896011</v>
          </cell>
          <cell r="F10">
            <v>66107517</v>
          </cell>
          <cell r="H10">
            <v>788494</v>
          </cell>
          <cell r="I10">
            <v>0</v>
          </cell>
          <cell r="L10">
            <v>55419525</v>
          </cell>
        </row>
        <row r="11">
          <cell r="B11" t="str">
            <v>TC196</v>
          </cell>
          <cell r="C11" t="str">
            <v>BDHC</v>
          </cell>
          <cell r="D11">
            <v>220252000</v>
          </cell>
          <cell r="E11">
            <v>220267064</v>
          </cell>
          <cell r="F11">
            <v>220267064</v>
          </cell>
          <cell r="H11">
            <v>0</v>
          </cell>
          <cell r="I11">
            <v>0</v>
          </cell>
          <cell r="L11">
            <v>193382564.84</v>
          </cell>
        </row>
        <row r="12">
          <cell r="B12" t="str">
            <v>TC200</v>
          </cell>
          <cell r="C12" t="str">
            <v>ARIHANT VAIKUNTH</v>
          </cell>
          <cell r="D12">
            <v>140164000</v>
          </cell>
          <cell r="E12">
            <v>138929136</v>
          </cell>
          <cell r="F12">
            <v>138929136</v>
          </cell>
          <cell r="H12">
            <v>0</v>
          </cell>
          <cell r="I12">
            <v>0</v>
          </cell>
          <cell r="L12">
            <v>138581207</v>
          </cell>
        </row>
        <row r="13">
          <cell r="B13" t="str">
            <v>TC203</v>
          </cell>
          <cell r="C13" t="str">
            <v>MITSUBA SICAL</v>
          </cell>
          <cell r="D13">
            <v>66645226</v>
          </cell>
          <cell r="E13">
            <v>66645226</v>
          </cell>
          <cell r="F13">
            <v>66390689</v>
          </cell>
          <cell r="H13">
            <v>254537</v>
          </cell>
          <cell r="I13">
            <v>0</v>
          </cell>
          <cell r="L13">
            <v>0</v>
          </cell>
        </row>
        <row r="14">
          <cell r="B14" t="str">
            <v>TC219</v>
          </cell>
          <cell r="C14" t="str">
            <v>GRUNDFOS</v>
          </cell>
          <cell r="D14">
            <v>54336000</v>
          </cell>
          <cell r="E14">
            <v>54335810</v>
          </cell>
          <cell r="F14">
            <v>54335810</v>
          </cell>
          <cell r="H14">
            <v>0</v>
          </cell>
          <cell r="I14">
            <v>0</v>
          </cell>
          <cell r="L14">
            <v>53548658.999999993</v>
          </cell>
        </row>
        <row r="15">
          <cell r="B15" t="str">
            <v>TC223</v>
          </cell>
          <cell r="C15" t="str">
            <v>AMBATTUR CLOTHING LTD - MEPZ</v>
          </cell>
          <cell r="D15">
            <v>69802000</v>
          </cell>
          <cell r="E15">
            <v>69734400</v>
          </cell>
          <cell r="F15">
            <v>69734400</v>
          </cell>
          <cell r="H15">
            <v>0</v>
          </cell>
          <cell r="I15">
            <v>0</v>
          </cell>
          <cell r="L15">
            <v>61104856</v>
          </cell>
        </row>
        <row r="16">
          <cell r="B16" t="str">
            <v>TC231</v>
          </cell>
          <cell r="C16" t="str">
            <v>TRUE VALUE HOMES</v>
          </cell>
          <cell r="D16">
            <v>161822700</v>
          </cell>
          <cell r="E16">
            <v>161838845</v>
          </cell>
          <cell r="F16">
            <v>161600000</v>
          </cell>
          <cell r="H16">
            <v>238845</v>
          </cell>
          <cell r="I16">
            <v>0</v>
          </cell>
          <cell r="L16">
            <v>162328147.63999999</v>
          </cell>
        </row>
        <row r="17">
          <cell r="B17" t="str">
            <v>TC233</v>
          </cell>
          <cell r="C17" t="str">
            <v>MEDOPHARM PHARMACHEUTICALS P LTD</v>
          </cell>
          <cell r="D17">
            <v>27963000</v>
          </cell>
          <cell r="E17">
            <v>26902457</v>
          </cell>
          <cell r="F17">
            <v>26700584</v>
          </cell>
          <cell r="H17">
            <v>201873</v>
          </cell>
          <cell r="I17">
            <v>0</v>
          </cell>
          <cell r="L17">
            <v>23185973</v>
          </cell>
        </row>
        <row r="18">
          <cell r="B18" t="str">
            <v>TC237</v>
          </cell>
          <cell r="C18" t="str">
            <v>YUGA  HOMES - VENKATRATHNAM NAGAR PROJECT</v>
          </cell>
          <cell r="D18">
            <v>12354000</v>
          </cell>
          <cell r="E18">
            <v>12309028</v>
          </cell>
          <cell r="F18">
            <v>12309028</v>
          </cell>
          <cell r="H18">
            <v>0</v>
          </cell>
          <cell r="I18">
            <v>0</v>
          </cell>
          <cell r="L18">
            <v>16219828</v>
          </cell>
        </row>
        <row r="19">
          <cell r="B19" t="str">
            <v>TC241</v>
          </cell>
          <cell r="C19" t="str">
            <v>CHAITANYA NEST</v>
          </cell>
          <cell r="D19">
            <v>98641000</v>
          </cell>
          <cell r="E19">
            <v>94173240</v>
          </cell>
          <cell r="F19">
            <v>86195077</v>
          </cell>
          <cell r="H19">
            <v>7978163</v>
          </cell>
          <cell r="I19">
            <v>0</v>
          </cell>
          <cell r="J19">
            <v>66000</v>
          </cell>
          <cell r="L19">
            <v>99219755.680000007</v>
          </cell>
        </row>
        <row r="20">
          <cell r="B20" t="str">
            <v>TC242</v>
          </cell>
          <cell r="C20" t="str">
            <v>ARIHANT TECHNOPOLIES</v>
          </cell>
          <cell r="D20">
            <v>42771000</v>
          </cell>
          <cell r="E20">
            <v>42771336</v>
          </cell>
          <cell r="F20">
            <v>41688500</v>
          </cell>
          <cell r="H20">
            <v>1082836</v>
          </cell>
          <cell r="I20">
            <v>0</v>
          </cell>
          <cell r="L20">
            <v>47003214.009999998</v>
          </cell>
        </row>
        <row r="21">
          <cell r="B21" t="str">
            <v>TC243</v>
          </cell>
          <cell r="C21" t="str">
            <v>INTEGRA PONDY</v>
          </cell>
          <cell r="D21">
            <v>37299000</v>
          </cell>
          <cell r="E21">
            <v>37299763</v>
          </cell>
          <cell r="F21">
            <v>37109424</v>
          </cell>
          <cell r="H21">
            <v>190339</v>
          </cell>
          <cell r="I21">
            <v>0</v>
          </cell>
          <cell r="L21">
            <v>34877021</v>
          </cell>
        </row>
        <row r="22">
          <cell r="B22" t="str">
            <v>TC246</v>
          </cell>
          <cell r="C22" t="str">
            <v>CROWN WORLD WIDE</v>
          </cell>
          <cell r="D22">
            <v>23432000</v>
          </cell>
          <cell r="E22">
            <v>23331754</v>
          </cell>
          <cell r="F22">
            <v>23331754</v>
          </cell>
          <cell r="H22">
            <v>0</v>
          </cell>
          <cell r="I22">
            <v>0</v>
          </cell>
          <cell r="L22">
            <v>23248055</v>
          </cell>
        </row>
        <row r="23">
          <cell r="B23" t="str">
            <v>TC248</v>
          </cell>
          <cell r="C23" t="str">
            <v>SVEC - TIRUPATHI</v>
          </cell>
          <cell r="D23">
            <v>43650000</v>
          </cell>
          <cell r="E23">
            <v>45745288</v>
          </cell>
          <cell r="F23">
            <v>45742079</v>
          </cell>
          <cell r="H23">
            <v>3209</v>
          </cell>
          <cell r="I23">
            <v>0</v>
          </cell>
          <cell r="L23">
            <v>36870579.5</v>
          </cell>
        </row>
        <row r="24">
          <cell r="B24" t="str">
            <v>TC256</v>
          </cell>
          <cell r="C24" t="str">
            <v>COCO COLA BOTTLING (SOUTH)</v>
          </cell>
          <cell r="D24">
            <v>80370000</v>
          </cell>
          <cell r="E24">
            <v>78989176</v>
          </cell>
          <cell r="F24">
            <v>78798384</v>
          </cell>
          <cell r="H24">
            <v>190792</v>
          </cell>
          <cell r="I24">
            <v>0</v>
          </cell>
          <cell r="L24">
            <v>60745334.550000004</v>
          </cell>
        </row>
        <row r="25">
          <cell r="B25" t="str">
            <v>TC259</v>
          </cell>
          <cell r="C25" t="str">
            <v>RR LEATHER PRODUCTS PVT LTD</v>
          </cell>
          <cell r="D25">
            <v>10725000</v>
          </cell>
          <cell r="E25">
            <v>10411391</v>
          </cell>
          <cell r="F25">
            <v>10411391</v>
          </cell>
          <cell r="H25">
            <v>0</v>
          </cell>
          <cell r="I25">
            <v>0</v>
          </cell>
          <cell r="L25">
            <v>9190843</v>
          </cell>
        </row>
        <row r="26">
          <cell r="B26" t="str">
            <v>TC262</v>
          </cell>
          <cell r="C26" t="str">
            <v>DR MGR GENERAL HOSPITAL</v>
          </cell>
          <cell r="D26">
            <v>46958000</v>
          </cell>
          <cell r="E26">
            <v>48297799</v>
          </cell>
          <cell r="F26">
            <v>47257398</v>
          </cell>
          <cell r="G26">
            <v>500000</v>
          </cell>
          <cell r="H26">
            <v>1040401</v>
          </cell>
          <cell r="I26">
            <v>0</v>
          </cell>
          <cell r="L26">
            <v>49665420.000000007</v>
          </cell>
        </row>
        <row r="27">
          <cell r="B27" t="str">
            <v>TC263</v>
          </cell>
          <cell r="C27" t="str">
            <v>BELECIA TOWERS</v>
          </cell>
          <cell r="D27">
            <v>87054000</v>
          </cell>
          <cell r="E27">
            <v>86704199</v>
          </cell>
          <cell r="F27">
            <v>84515888</v>
          </cell>
          <cell r="G27">
            <v>2650000</v>
          </cell>
          <cell r="H27">
            <v>2188311</v>
          </cell>
          <cell r="I27">
            <v>0</v>
          </cell>
          <cell r="L27">
            <v>93042121.549999982</v>
          </cell>
        </row>
        <row r="28">
          <cell r="B28" t="str">
            <v>TC264</v>
          </cell>
          <cell r="C28" t="str">
            <v>INDO AMERICAN SCHOOL,CHEYYAR</v>
          </cell>
          <cell r="D28">
            <v>12365320</v>
          </cell>
          <cell r="E28">
            <v>12365192</v>
          </cell>
          <cell r="F28">
            <v>12365192</v>
          </cell>
          <cell r="H28">
            <v>0</v>
          </cell>
          <cell r="I28">
            <v>0</v>
          </cell>
          <cell r="L28">
            <v>11232247</v>
          </cell>
        </row>
        <row r="29">
          <cell r="B29" t="str">
            <v>TC265</v>
          </cell>
          <cell r="C29" t="str">
            <v>HCL AMBATTUR V</v>
          </cell>
          <cell r="D29">
            <v>37978000</v>
          </cell>
          <cell r="E29">
            <v>37700789</v>
          </cell>
          <cell r="F29">
            <v>31614989</v>
          </cell>
          <cell r="H29">
            <v>6085800</v>
          </cell>
          <cell r="I29">
            <v>0</v>
          </cell>
          <cell r="L29">
            <v>27620467</v>
          </cell>
        </row>
        <row r="30">
          <cell r="B30" t="str">
            <v>TC271</v>
          </cell>
          <cell r="C30" t="str">
            <v>FICUS GROVE</v>
          </cell>
          <cell r="D30">
            <v>36493850</v>
          </cell>
          <cell r="E30">
            <v>35579699</v>
          </cell>
          <cell r="F30">
            <v>32318567</v>
          </cell>
          <cell r="H30">
            <v>3261132</v>
          </cell>
          <cell r="L30">
            <v>27458582.550000001</v>
          </cell>
        </row>
        <row r="31">
          <cell r="B31" t="str">
            <v>TC273</v>
          </cell>
          <cell r="C31" t="str">
            <v>TECHNIP INDIA LTD, KARAIKAL</v>
          </cell>
          <cell r="D31">
            <v>32220999.999999996</v>
          </cell>
          <cell r="E31">
            <v>32221737</v>
          </cell>
          <cell r="F31">
            <v>32221737</v>
          </cell>
          <cell r="H31">
            <v>0</v>
          </cell>
          <cell r="I31">
            <v>0</v>
          </cell>
          <cell r="L31">
            <v>40995956.399999999</v>
          </cell>
        </row>
        <row r="32">
          <cell r="B32" t="str">
            <v>TC274</v>
          </cell>
          <cell r="C32" t="str">
            <v>OLYMPIA TECHNOLOGY PARK</v>
          </cell>
          <cell r="D32">
            <v>279716000</v>
          </cell>
          <cell r="E32">
            <v>279716416</v>
          </cell>
          <cell r="F32">
            <v>274526869</v>
          </cell>
          <cell r="G32">
            <v>3450000</v>
          </cell>
          <cell r="H32">
            <v>5189547</v>
          </cell>
          <cell r="I32">
            <v>0</v>
          </cell>
          <cell r="L32">
            <v>238453422.38999999</v>
          </cell>
        </row>
        <row r="33">
          <cell r="B33" t="str">
            <v>TC275</v>
          </cell>
          <cell r="C33" t="str">
            <v>MARG CONSTRUCTIONS</v>
          </cell>
          <cell r="D33">
            <v>25614999.999999996</v>
          </cell>
          <cell r="E33">
            <v>26520113</v>
          </cell>
          <cell r="F33">
            <v>25681546</v>
          </cell>
          <cell r="G33">
            <v>700000</v>
          </cell>
          <cell r="H33">
            <v>838567</v>
          </cell>
          <cell r="I33">
            <v>0</v>
          </cell>
          <cell r="L33">
            <v>24377539</v>
          </cell>
        </row>
        <row r="34">
          <cell r="B34" t="str">
            <v>TC280</v>
          </cell>
          <cell r="C34" t="str">
            <v>TVH AKHIRAA</v>
          </cell>
          <cell r="D34">
            <v>9182000</v>
          </cell>
          <cell r="E34">
            <v>9182900</v>
          </cell>
          <cell r="F34">
            <v>8734584</v>
          </cell>
          <cell r="H34">
            <v>448316</v>
          </cell>
          <cell r="I34">
            <v>0</v>
          </cell>
          <cell r="L34">
            <v>10209116</v>
          </cell>
        </row>
        <row r="35">
          <cell r="B35" t="str">
            <v>TC281</v>
          </cell>
          <cell r="C35" t="str">
            <v>GOVERNMENT HOSPITAL - NAGAI</v>
          </cell>
          <cell r="D35">
            <v>31343000</v>
          </cell>
          <cell r="E35">
            <v>27897406</v>
          </cell>
          <cell r="F35">
            <v>25603725</v>
          </cell>
          <cell r="G35">
            <v>4149692</v>
          </cell>
          <cell r="H35">
            <v>2293681</v>
          </cell>
          <cell r="I35">
            <v>0</v>
          </cell>
          <cell r="L35">
            <v>25130533</v>
          </cell>
        </row>
        <row r="36">
          <cell r="B36" t="str">
            <v>TC283</v>
          </cell>
          <cell r="C36" t="str">
            <v>ASHOK LEYLAND</v>
          </cell>
          <cell r="D36">
            <v>82879000</v>
          </cell>
          <cell r="E36">
            <v>76310083.837500006</v>
          </cell>
          <cell r="F36">
            <v>71322987</v>
          </cell>
          <cell r="H36">
            <v>4987096.837500006</v>
          </cell>
          <cell r="L36">
            <v>76741980.819999993</v>
          </cell>
        </row>
        <row r="37">
          <cell r="B37" t="str">
            <v>TC284</v>
          </cell>
          <cell r="C37" t="str">
            <v>ACL E3 OFFICE BUILDING</v>
          </cell>
          <cell r="D37">
            <v>25369000</v>
          </cell>
          <cell r="E37">
            <v>26018169</v>
          </cell>
          <cell r="F37">
            <v>26018169</v>
          </cell>
          <cell r="H37">
            <v>0</v>
          </cell>
          <cell r="L37">
            <v>24695343</v>
          </cell>
        </row>
        <row r="38">
          <cell r="B38" t="str">
            <v>TC285</v>
          </cell>
          <cell r="C38" t="str">
            <v>LADIES HOSTEL, KALADY</v>
          </cell>
          <cell r="D38">
            <v>32493913.999999996</v>
          </cell>
          <cell r="E38">
            <v>33458730</v>
          </cell>
          <cell r="F38">
            <v>32495222</v>
          </cell>
          <cell r="H38">
            <v>963508</v>
          </cell>
          <cell r="I38">
            <v>0</v>
          </cell>
          <cell r="L38">
            <v>27094217</v>
          </cell>
        </row>
        <row r="39">
          <cell r="B39" t="str">
            <v>TC293</v>
          </cell>
          <cell r="C39" t="str">
            <v>KRISP IT PARK</v>
          </cell>
          <cell r="D39">
            <v>70900000</v>
          </cell>
          <cell r="E39">
            <v>67136667</v>
          </cell>
          <cell r="F39">
            <v>60992652</v>
          </cell>
          <cell r="G39">
            <v>5500000</v>
          </cell>
          <cell r="H39">
            <v>6144015</v>
          </cell>
          <cell r="I39">
            <v>0</v>
          </cell>
          <cell r="L39">
            <v>58855248.629999995</v>
          </cell>
        </row>
        <row r="40">
          <cell r="B40" t="str">
            <v>TC296</v>
          </cell>
          <cell r="C40" t="str">
            <v>CATHIDRAL SQUARE</v>
          </cell>
          <cell r="D40">
            <v>39373000</v>
          </cell>
          <cell r="E40">
            <v>38480978</v>
          </cell>
          <cell r="F40">
            <v>33803629</v>
          </cell>
          <cell r="H40">
            <v>4677349</v>
          </cell>
          <cell r="I40">
            <v>0</v>
          </cell>
          <cell r="L40">
            <v>52498477.579999998</v>
          </cell>
        </row>
        <row r="41">
          <cell r="B41" t="str">
            <v>TC297</v>
          </cell>
          <cell r="C41" t="str">
            <v>SAK ABRASIVE LTD</v>
          </cell>
          <cell r="D41">
            <v>9810000</v>
          </cell>
          <cell r="E41">
            <v>6753831</v>
          </cell>
          <cell r="F41">
            <v>6753831</v>
          </cell>
          <cell r="H41">
            <v>0</v>
          </cell>
          <cell r="I41">
            <v>0</v>
          </cell>
          <cell r="L41">
            <v>3975460</v>
          </cell>
        </row>
        <row r="42">
          <cell r="B42" t="str">
            <v>TC298</v>
          </cell>
          <cell r="C42" t="str">
            <v>BHARAT OVERSEAS BANK LTD</v>
          </cell>
          <cell r="D42">
            <v>58539000</v>
          </cell>
          <cell r="E42">
            <v>41209351</v>
          </cell>
          <cell r="F42">
            <v>38387026</v>
          </cell>
          <cell r="H42">
            <v>2822325</v>
          </cell>
          <cell r="I42">
            <v>0</v>
          </cell>
          <cell r="L42">
            <v>35115849.460000001</v>
          </cell>
        </row>
        <row r="43">
          <cell r="B43" t="str">
            <v>TC301</v>
          </cell>
          <cell r="C43" t="str">
            <v>THE HINDU</v>
          </cell>
          <cell r="D43">
            <v>99500000</v>
          </cell>
          <cell r="E43">
            <v>84773853</v>
          </cell>
          <cell r="F43">
            <v>66155375</v>
          </cell>
          <cell r="H43">
            <v>18618478</v>
          </cell>
          <cell r="I43">
            <v>0</v>
          </cell>
          <cell r="L43">
            <v>92328321.450000003</v>
          </cell>
        </row>
        <row r="44">
          <cell r="B44" t="str">
            <v>TC302</v>
          </cell>
          <cell r="C44" t="str">
            <v>NEG MICON INDIA PVT LTD</v>
          </cell>
          <cell r="D44">
            <v>31254000.000000004</v>
          </cell>
          <cell r="E44">
            <v>30771563</v>
          </cell>
          <cell r="F44">
            <v>30771563</v>
          </cell>
          <cell r="H44">
            <v>0</v>
          </cell>
          <cell r="I44">
            <v>0</v>
          </cell>
          <cell r="L44">
            <v>22261778.949999999</v>
          </cell>
        </row>
        <row r="45">
          <cell r="B45" t="str">
            <v>TC306</v>
          </cell>
          <cell r="C45" t="str">
            <v>REGENCY CLOTHING</v>
          </cell>
          <cell r="D45">
            <v>46460000</v>
          </cell>
          <cell r="E45">
            <v>48688136</v>
          </cell>
          <cell r="F45">
            <v>42139588</v>
          </cell>
          <cell r="H45">
            <v>6548548</v>
          </cell>
          <cell r="I45">
            <v>0</v>
          </cell>
          <cell r="L45">
            <v>41164822.700000003</v>
          </cell>
        </row>
        <row r="46">
          <cell r="B46" t="str">
            <v>TC307</v>
          </cell>
          <cell r="C46" t="str">
            <v>HCL - VADAPALANI</v>
          </cell>
          <cell r="D46">
            <v>47000</v>
          </cell>
          <cell r="E46">
            <v>340298</v>
          </cell>
          <cell r="F46">
            <v>206423</v>
          </cell>
          <cell r="H46">
            <v>133875</v>
          </cell>
          <cell r="I46">
            <v>0</v>
          </cell>
          <cell r="L46">
            <v>1141484</v>
          </cell>
        </row>
        <row r="47">
          <cell r="B47" t="str">
            <v>TC309</v>
          </cell>
          <cell r="C47" t="str">
            <v>REYNOLDS PENS INDIA PVT LTD</v>
          </cell>
          <cell r="D47">
            <v>10822000</v>
          </cell>
          <cell r="E47">
            <v>10822600</v>
          </cell>
          <cell r="F47">
            <v>10822600</v>
          </cell>
          <cell r="H47">
            <v>0</v>
          </cell>
          <cell r="I47">
            <v>0</v>
          </cell>
          <cell r="L47">
            <v>5330186.3899999997</v>
          </cell>
        </row>
        <row r="48">
          <cell r="B48" t="str">
            <v>TC310</v>
          </cell>
          <cell r="C48" t="str">
            <v>LOYAL TEXTILE MILLS LTD</v>
          </cell>
          <cell r="D48">
            <v>11158000</v>
          </cell>
          <cell r="E48">
            <v>9457042</v>
          </cell>
          <cell r="F48">
            <v>9251581</v>
          </cell>
          <cell r="H48">
            <v>205461</v>
          </cell>
          <cell r="I48">
            <v>0</v>
          </cell>
          <cell r="J48">
            <v>325833</v>
          </cell>
          <cell r="L48">
            <v>9778230</v>
          </cell>
        </row>
        <row r="49">
          <cell r="B49" t="str">
            <v>TC312</v>
          </cell>
          <cell r="C49" t="str">
            <v>MIPL - INFOSYS</v>
          </cell>
          <cell r="D49">
            <v>58039000</v>
          </cell>
          <cell r="E49">
            <v>49266910</v>
          </cell>
          <cell r="F49">
            <v>46798639</v>
          </cell>
          <cell r="H49">
            <v>2468271</v>
          </cell>
          <cell r="I49">
            <v>0</v>
          </cell>
          <cell r="L49">
            <v>59479831.049999997</v>
          </cell>
        </row>
        <row r="50">
          <cell r="B50" t="str">
            <v>TC313</v>
          </cell>
          <cell r="C50" t="str">
            <v xml:space="preserve">SAINT GOBAIN PVT LTD </v>
          </cell>
          <cell r="D50">
            <v>33679000</v>
          </cell>
          <cell r="E50">
            <v>33690298</v>
          </cell>
          <cell r="F50">
            <v>32664471</v>
          </cell>
          <cell r="H50">
            <v>1025827</v>
          </cell>
          <cell r="I50">
            <v>0</v>
          </cell>
          <cell r="L50">
            <v>28127538.450000003</v>
          </cell>
        </row>
        <row r="51">
          <cell r="B51" t="str">
            <v>TC314</v>
          </cell>
          <cell r="C51" t="str">
            <v>ADDISON &amp; COMPANY LTD</v>
          </cell>
          <cell r="D51">
            <v>87205000</v>
          </cell>
          <cell r="E51">
            <v>86162142</v>
          </cell>
          <cell r="F51">
            <v>77382094</v>
          </cell>
          <cell r="G51">
            <v>5000000</v>
          </cell>
          <cell r="H51">
            <v>8780048</v>
          </cell>
          <cell r="I51">
            <v>0</v>
          </cell>
          <cell r="L51">
            <v>78797633.200000003</v>
          </cell>
        </row>
        <row r="52">
          <cell r="B52" t="str">
            <v>TC315</v>
          </cell>
          <cell r="C52" t="str">
            <v>JAYARAM HOTELS PVT LTD</v>
          </cell>
          <cell r="D52">
            <v>30522000.000000004</v>
          </cell>
          <cell r="E52">
            <v>27496524</v>
          </cell>
          <cell r="F52">
            <v>27250590</v>
          </cell>
          <cell r="G52">
            <v>4121537</v>
          </cell>
          <cell r="H52">
            <v>245934</v>
          </cell>
          <cell r="I52">
            <v>0</v>
          </cell>
          <cell r="L52">
            <v>27244557.5</v>
          </cell>
        </row>
        <row r="53">
          <cell r="B53" t="str">
            <v>TC316</v>
          </cell>
          <cell r="C53" t="str">
            <v>G.R. THANGAMALIGAI</v>
          </cell>
          <cell r="D53">
            <v>40939000</v>
          </cell>
          <cell r="E53">
            <v>40746816</v>
          </cell>
          <cell r="F53">
            <v>39958440</v>
          </cell>
          <cell r="G53">
            <v>3640578</v>
          </cell>
          <cell r="H53">
            <v>788376</v>
          </cell>
          <cell r="I53">
            <v>0</v>
          </cell>
          <cell r="L53">
            <v>39029463.650000006</v>
          </cell>
        </row>
        <row r="54">
          <cell r="B54" t="str">
            <v>TC317</v>
          </cell>
          <cell r="C54" t="str">
            <v>CHINMAYA  INTERNATIONAL RESD.SCH.</v>
          </cell>
          <cell r="D54">
            <v>50630000</v>
          </cell>
          <cell r="E54">
            <v>55010717</v>
          </cell>
          <cell r="F54">
            <v>46949693</v>
          </cell>
          <cell r="H54">
            <v>8061024</v>
          </cell>
          <cell r="I54">
            <v>0</v>
          </cell>
          <cell r="L54">
            <v>54594072.359999999</v>
          </cell>
        </row>
        <row r="55">
          <cell r="B55" t="str">
            <v>TC319</v>
          </cell>
          <cell r="C55" t="str">
            <v>ASHOK MATCHES &amp; TIMBERS PVT. LTD.</v>
          </cell>
          <cell r="D55">
            <v>124700000</v>
          </cell>
          <cell r="E55">
            <v>80279035</v>
          </cell>
          <cell r="F55">
            <v>74327247</v>
          </cell>
          <cell r="G55">
            <v>9000000</v>
          </cell>
          <cell r="H55">
            <v>5951788</v>
          </cell>
          <cell r="I55">
            <v>0</v>
          </cell>
          <cell r="L55">
            <v>82191386.829999998</v>
          </cell>
        </row>
        <row r="56">
          <cell r="B56" t="str">
            <v>TC323</v>
          </cell>
          <cell r="C56" t="str">
            <v>RMZ MILLENNIA REALTORS</v>
          </cell>
          <cell r="D56">
            <v>1185000000</v>
          </cell>
          <cell r="E56">
            <v>62949435</v>
          </cell>
          <cell r="F56">
            <v>31589666</v>
          </cell>
          <cell r="G56">
            <v>4000000</v>
          </cell>
          <cell r="H56">
            <v>31359769</v>
          </cell>
          <cell r="I56">
            <v>0</v>
          </cell>
          <cell r="J56">
            <v>75906000</v>
          </cell>
          <cell r="L56">
            <v>117855114.23</v>
          </cell>
        </row>
        <row r="57">
          <cell r="B57" t="str">
            <v>TC324</v>
          </cell>
          <cell r="C57" t="str">
            <v>SRI TRIPURASUNDRI HOTELS LTD</v>
          </cell>
          <cell r="D57">
            <v>79900000</v>
          </cell>
          <cell r="E57">
            <v>61833486</v>
          </cell>
          <cell r="F57">
            <v>52197860</v>
          </cell>
          <cell r="H57">
            <v>9635626</v>
          </cell>
          <cell r="I57">
            <v>0</v>
          </cell>
          <cell r="L57">
            <v>52950325.530000001</v>
          </cell>
        </row>
        <row r="58">
          <cell r="B58" t="str">
            <v>TC325</v>
          </cell>
          <cell r="C58" t="str">
            <v>SRI KRISHNA ARTS &amp; SCIENCE COLLEGE</v>
          </cell>
          <cell r="D58">
            <v>285538000</v>
          </cell>
          <cell r="E58">
            <v>91681729</v>
          </cell>
          <cell r="F58">
            <v>91681729</v>
          </cell>
          <cell r="H58">
            <v>0</v>
          </cell>
          <cell r="I58">
            <v>0</v>
          </cell>
          <cell r="J58">
            <v>636000</v>
          </cell>
          <cell r="L58">
            <v>112708646</v>
          </cell>
        </row>
        <row r="59">
          <cell r="B59" t="str">
            <v>TC328</v>
          </cell>
          <cell r="C59" t="str">
            <v>BEVERELY HOTEL</v>
          </cell>
          <cell r="D59">
            <v>2081000</v>
          </cell>
          <cell r="E59">
            <v>2036639</v>
          </cell>
          <cell r="F59">
            <v>2036639</v>
          </cell>
          <cell r="H59">
            <v>0</v>
          </cell>
          <cell r="I59">
            <v>0</v>
          </cell>
          <cell r="L59">
            <v>1483293</v>
          </cell>
        </row>
        <row r="60">
          <cell r="B60" t="str">
            <v>TC329</v>
          </cell>
          <cell r="C60" t="str">
            <v>AMCO - PRESS &amp; PAINT SHOP</v>
          </cell>
          <cell r="D60">
            <v>55330999.999999993</v>
          </cell>
          <cell r="E60">
            <v>65153151</v>
          </cell>
          <cell r="F60">
            <v>59194646</v>
          </cell>
          <cell r="G60">
            <v>5800000</v>
          </cell>
          <cell r="H60">
            <v>5958505</v>
          </cell>
          <cell r="I60">
            <v>0</v>
          </cell>
          <cell r="L60">
            <v>41181364.899999999</v>
          </cell>
        </row>
        <row r="61">
          <cell r="B61" t="str">
            <v>TC330</v>
          </cell>
          <cell r="C61" t="str">
            <v>MAHINDRA WORLDCITY</v>
          </cell>
          <cell r="D61">
            <v>41396000</v>
          </cell>
          <cell r="E61">
            <v>13143992</v>
          </cell>
          <cell r="F61">
            <v>12543471</v>
          </cell>
          <cell r="H61">
            <v>600521</v>
          </cell>
          <cell r="I61">
            <v>0</v>
          </cell>
          <cell r="L61">
            <v>17208294.77</v>
          </cell>
        </row>
        <row r="62">
          <cell r="B62" t="str">
            <v>TC331</v>
          </cell>
          <cell r="C62" t="str">
            <v>MAHINDRA REALITY</v>
          </cell>
          <cell r="D62">
            <v>96783000</v>
          </cell>
          <cell r="E62">
            <v>48245769</v>
          </cell>
          <cell r="F62">
            <v>47840560</v>
          </cell>
          <cell r="H62">
            <v>405209</v>
          </cell>
          <cell r="I62">
            <v>0</v>
          </cell>
          <cell r="J62">
            <v>281000</v>
          </cell>
          <cell r="L62">
            <v>47883695.760000005</v>
          </cell>
        </row>
        <row r="63">
          <cell r="B63" t="str">
            <v>TC333</v>
          </cell>
          <cell r="C63" t="str">
            <v>INDO TECH TRANSFORMERS LTD</v>
          </cell>
          <cell r="D63">
            <v>17700000</v>
          </cell>
          <cell r="E63">
            <v>16445947</v>
          </cell>
          <cell r="F63">
            <v>13559112</v>
          </cell>
          <cell r="G63">
            <v>13559112</v>
          </cell>
          <cell r="H63">
            <v>2886835</v>
          </cell>
          <cell r="I63">
            <v>0</v>
          </cell>
          <cell r="L63">
            <v>13550286</v>
          </cell>
        </row>
        <row r="64">
          <cell r="B64" t="str">
            <v>TC337</v>
          </cell>
          <cell r="C64" t="str">
            <v>AMCO - MOBIS</v>
          </cell>
          <cell r="D64">
            <v>161717000</v>
          </cell>
          <cell r="E64">
            <v>144645721</v>
          </cell>
          <cell r="F64">
            <v>142112682</v>
          </cell>
          <cell r="H64">
            <v>2533039</v>
          </cell>
          <cell r="I64">
            <v>0</v>
          </cell>
          <cell r="L64">
            <v>138573368.93000001</v>
          </cell>
        </row>
        <row r="65">
          <cell r="B65" t="str">
            <v>TC341</v>
          </cell>
          <cell r="C65" t="str">
            <v>MEDOPHARM PHARMA - LIQUID BLOCK</v>
          </cell>
          <cell r="D65">
            <v>655000</v>
          </cell>
          <cell r="E65">
            <v>655675</v>
          </cell>
          <cell r="H65">
            <v>655675</v>
          </cell>
          <cell r="I65">
            <v>0</v>
          </cell>
          <cell r="L65">
            <v>137953</v>
          </cell>
        </row>
        <row r="66">
          <cell r="B66" t="str">
            <v>TC344</v>
          </cell>
          <cell r="C66" t="str">
            <v>RAMANATHAN OFFICE BUILDING</v>
          </cell>
          <cell r="D66">
            <v>43199000</v>
          </cell>
          <cell r="E66">
            <v>22109816</v>
          </cell>
          <cell r="F66">
            <v>17019752</v>
          </cell>
          <cell r="H66">
            <v>5090064</v>
          </cell>
          <cell r="I66">
            <v>0</v>
          </cell>
          <cell r="L66">
            <v>21979437.949999999</v>
          </cell>
        </row>
        <row r="67">
          <cell r="B67" t="str">
            <v>TC345</v>
          </cell>
          <cell r="C67" t="str">
            <v>STPI THARAMANI</v>
          </cell>
          <cell r="D67">
            <v>164869000</v>
          </cell>
          <cell r="E67">
            <v>34606642</v>
          </cell>
          <cell r="F67">
            <v>33414860</v>
          </cell>
          <cell r="H67">
            <v>1191782</v>
          </cell>
          <cell r="I67">
            <v>0</v>
          </cell>
          <cell r="L67">
            <v>46930689.93</v>
          </cell>
        </row>
        <row r="68">
          <cell r="B68" t="str">
            <v>TC349</v>
          </cell>
          <cell r="C68" t="str">
            <v>MAHINDRA GESCO ( APARTMENTS )</v>
          </cell>
          <cell r="D68">
            <v>76675000</v>
          </cell>
          <cell r="E68">
            <v>25927062</v>
          </cell>
          <cell r="F68">
            <v>25842439</v>
          </cell>
          <cell r="H68">
            <v>84623</v>
          </cell>
          <cell r="I68">
            <v>0</v>
          </cell>
          <cell r="L68">
            <v>31933160</v>
          </cell>
        </row>
        <row r="69">
          <cell r="B69" t="str">
            <v>TC351</v>
          </cell>
          <cell r="C69" t="str">
            <v>VANMALLEE EXPANTION</v>
          </cell>
          <cell r="D69">
            <v>17246000</v>
          </cell>
          <cell r="E69">
            <v>17246888</v>
          </cell>
          <cell r="F69">
            <v>17224242</v>
          </cell>
          <cell r="G69">
            <v>17224242</v>
          </cell>
          <cell r="H69">
            <v>22646</v>
          </cell>
          <cell r="I69">
            <v>0</v>
          </cell>
          <cell r="L69">
            <v>9923799</v>
          </cell>
        </row>
        <row r="70">
          <cell r="B70" t="str">
            <v>TC352</v>
          </cell>
          <cell r="C70" t="str">
            <v>YUGA MITHILA</v>
          </cell>
          <cell r="D70">
            <v>31633999.999999996</v>
          </cell>
          <cell r="E70">
            <v>12844635</v>
          </cell>
          <cell r="F70">
            <v>12844635</v>
          </cell>
          <cell r="H70">
            <v>0</v>
          </cell>
          <cell r="I70">
            <v>0</v>
          </cell>
          <cell r="L70">
            <v>10754908</v>
          </cell>
        </row>
        <row r="71">
          <cell r="B71" t="str">
            <v>TC353</v>
          </cell>
          <cell r="C71" t="str">
            <v>HCL VII</v>
          </cell>
          <cell r="D71">
            <v>108801000</v>
          </cell>
          <cell r="E71">
            <v>8182065</v>
          </cell>
          <cell r="F71">
            <v>8168163</v>
          </cell>
          <cell r="H71">
            <v>13902</v>
          </cell>
          <cell r="I71">
            <v>0</v>
          </cell>
          <cell r="L71">
            <v>9838753.0899999999</v>
          </cell>
        </row>
        <row r="72">
          <cell r="B72" t="str">
            <v>TC354</v>
          </cell>
          <cell r="C72" t="str">
            <v>ROYAL MULTIPLEX</v>
          </cell>
          <cell r="D72">
            <v>56905999.999999993</v>
          </cell>
          <cell r="E72">
            <v>25522256</v>
          </cell>
          <cell r="F72">
            <v>20521039</v>
          </cell>
          <cell r="H72">
            <v>5001217</v>
          </cell>
          <cell r="I72">
            <v>0</v>
          </cell>
          <cell r="L72">
            <v>20623998.93</v>
          </cell>
        </row>
        <row r="73">
          <cell r="B73" t="str">
            <v>TC357</v>
          </cell>
          <cell r="C73" t="str">
            <v>ASCENDAS IT PARK - PH II</v>
          </cell>
          <cell r="D73">
            <v>1058600000</v>
          </cell>
          <cell r="E73">
            <v>117502133</v>
          </cell>
          <cell r="F73">
            <v>112949133</v>
          </cell>
          <cell r="H73">
            <v>4553000</v>
          </cell>
          <cell r="I73">
            <v>0</v>
          </cell>
          <cell r="L73">
            <v>158207791.05000001</v>
          </cell>
        </row>
        <row r="74">
          <cell r="B74" t="str">
            <v>TC358</v>
          </cell>
          <cell r="C74" t="str">
            <v>SVEC - CHANDAMAMA TOWERS</v>
          </cell>
          <cell r="D74">
            <v>18300000</v>
          </cell>
          <cell r="E74">
            <v>4510493</v>
          </cell>
          <cell r="F74">
            <v>4510493</v>
          </cell>
          <cell r="H74">
            <v>0</v>
          </cell>
          <cell r="I74">
            <v>0</v>
          </cell>
          <cell r="L74">
            <v>4455296</v>
          </cell>
        </row>
        <row r="75">
          <cell r="B75" t="str">
            <v>TC359</v>
          </cell>
          <cell r="C75" t="str">
            <v>SVEC - NURSING BUILDING</v>
          </cell>
          <cell r="D75">
            <v>19447000</v>
          </cell>
          <cell r="E75">
            <v>8708560</v>
          </cell>
          <cell r="F75">
            <v>8708560</v>
          </cell>
          <cell r="H75">
            <v>0</v>
          </cell>
          <cell r="I75">
            <v>0</v>
          </cell>
          <cell r="L75">
            <v>8293605</v>
          </cell>
        </row>
        <row r="76">
          <cell r="B76" t="str">
            <v>TC360</v>
          </cell>
          <cell r="C76" t="str">
            <v>MENAKUR INFRASTRUCTURE</v>
          </cell>
          <cell r="D76">
            <v>220500000</v>
          </cell>
          <cell r="E76">
            <v>30921921</v>
          </cell>
          <cell r="F76">
            <v>30257830</v>
          </cell>
          <cell r="H76">
            <v>664091</v>
          </cell>
          <cell r="L76">
            <v>33760404.670000002</v>
          </cell>
        </row>
        <row r="77">
          <cell r="B77" t="str">
            <v>TC370</v>
          </cell>
          <cell r="C77" t="str">
            <v>MIPL - INFOSYS</v>
          </cell>
          <cell r="D77">
            <v>52119000.000000007</v>
          </cell>
          <cell r="E77">
            <v>20882316</v>
          </cell>
          <cell r="F77">
            <v>18960552</v>
          </cell>
          <cell r="H77">
            <v>1921764</v>
          </cell>
          <cell r="I77">
            <v>0</v>
          </cell>
          <cell r="J77">
            <v>1600000</v>
          </cell>
          <cell r="L77">
            <v>25101351.5</v>
          </cell>
        </row>
        <row r="78">
          <cell r="B78" t="str">
            <v>TC373</v>
          </cell>
          <cell r="C78" t="str">
            <v>LEMON TREE HOTEL</v>
          </cell>
          <cell r="D78">
            <v>48500000</v>
          </cell>
          <cell r="E78">
            <v>5196474</v>
          </cell>
          <cell r="F78">
            <v>3580023</v>
          </cell>
          <cell r="H78">
            <v>1616451</v>
          </cell>
          <cell r="I78">
            <v>0</v>
          </cell>
          <cell r="J78">
            <v>630000</v>
          </cell>
          <cell r="L78">
            <v>5551413.1799999997</v>
          </cell>
        </row>
        <row r="79">
          <cell r="B79" t="str">
            <v>TC374</v>
          </cell>
          <cell r="C79" t="str">
            <v>AIR TEL</v>
          </cell>
          <cell r="D79">
            <v>163000000</v>
          </cell>
          <cell r="E79">
            <v>29831982</v>
          </cell>
          <cell r="F79">
            <v>29831982</v>
          </cell>
          <cell r="H79">
            <v>0</v>
          </cell>
          <cell r="I79">
            <v>0</v>
          </cell>
          <cell r="L79">
            <v>27085255.25</v>
          </cell>
        </row>
        <row r="80">
          <cell r="B80" t="str">
            <v>TC375</v>
          </cell>
          <cell r="C80" t="str">
            <v>INDUSND BANK</v>
          </cell>
          <cell r="D80">
            <v>56100000</v>
          </cell>
          <cell r="E80">
            <v>18384808</v>
          </cell>
          <cell r="F80">
            <v>12584808</v>
          </cell>
          <cell r="G80">
            <v>7744225</v>
          </cell>
          <cell r="H80">
            <v>5800000</v>
          </cell>
          <cell r="I80">
            <v>0</v>
          </cell>
          <cell r="L80">
            <v>11716136.130000001</v>
          </cell>
        </row>
        <row r="81">
          <cell r="B81" t="str">
            <v>TC376</v>
          </cell>
          <cell r="C81" t="str">
            <v>GRT THANGAMALIGAI BURKIT ROAD</v>
          </cell>
          <cell r="D81">
            <v>11678000</v>
          </cell>
          <cell r="E81">
            <v>599918</v>
          </cell>
          <cell r="F81">
            <v>599918</v>
          </cell>
          <cell r="H81">
            <v>0</v>
          </cell>
          <cell r="I81">
            <v>0</v>
          </cell>
          <cell r="L81">
            <v>1321518</v>
          </cell>
        </row>
        <row r="82">
          <cell r="B82" t="str">
            <v>TC377</v>
          </cell>
          <cell r="C82" t="str">
            <v>TAFE</v>
          </cell>
          <cell r="D82">
            <v>47101000</v>
          </cell>
          <cell r="E82">
            <v>12961971</v>
          </cell>
          <cell r="F82">
            <v>7124839</v>
          </cell>
          <cell r="H82">
            <v>5837132</v>
          </cell>
          <cell r="I82">
            <v>0</v>
          </cell>
          <cell r="J82">
            <v>73000</v>
          </cell>
          <cell r="L82">
            <v>13411744.470000001</v>
          </cell>
        </row>
        <row r="83">
          <cell r="B83" t="str">
            <v>TC378</v>
          </cell>
          <cell r="C83" t="str">
            <v>SHINHAN PLASTO I PVT LTD</v>
          </cell>
          <cell r="D83">
            <v>173100000</v>
          </cell>
          <cell r="E83">
            <v>28941048</v>
          </cell>
          <cell r="F83">
            <v>28590019</v>
          </cell>
          <cell r="H83">
            <v>351029</v>
          </cell>
          <cell r="I83">
            <v>0</v>
          </cell>
          <cell r="L83">
            <v>34114883</v>
          </cell>
        </row>
        <row r="84">
          <cell r="B84" t="str">
            <v>TC379</v>
          </cell>
          <cell r="C84" t="str">
            <v>MIPL - ASCENDAS</v>
          </cell>
          <cell r="D84">
            <v>299500000</v>
          </cell>
          <cell r="E84">
            <v>24786766</v>
          </cell>
          <cell r="F84">
            <v>24780589</v>
          </cell>
          <cell r="H84">
            <v>6177</v>
          </cell>
          <cell r="J84">
            <v>450000</v>
          </cell>
          <cell r="L84">
            <v>32043605</v>
          </cell>
        </row>
        <row r="85">
          <cell r="B85" t="str">
            <v>TC380</v>
          </cell>
          <cell r="C85" t="str">
            <v>BANNARI AMMAN SUGARS LTD</v>
          </cell>
          <cell r="D85">
            <v>24389500</v>
          </cell>
          <cell r="E85">
            <v>857982</v>
          </cell>
          <cell r="H85">
            <v>857982</v>
          </cell>
          <cell r="I85">
            <v>0</v>
          </cell>
          <cell r="J85">
            <v>170000</v>
          </cell>
          <cell r="L85">
            <v>1584735.17</v>
          </cell>
        </row>
        <row r="86">
          <cell r="B86" t="str">
            <v>TC386</v>
          </cell>
          <cell r="C86" t="str">
            <v>ROBIN ESTATES</v>
          </cell>
          <cell r="D86">
            <v>52600000</v>
          </cell>
          <cell r="E86">
            <v>1681632</v>
          </cell>
          <cell r="H86">
            <v>1681632</v>
          </cell>
          <cell r="I86">
            <v>0</v>
          </cell>
          <cell r="L86">
            <v>1301864</v>
          </cell>
        </row>
        <row r="87">
          <cell r="B87" t="str">
            <v>TC387</v>
          </cell>
          <cell r="C87" t="str">
            <v>ARIHANT FOUNDATIONS PVT LTD</v>
          </cell>
          <cell r="D87">
            <v>233894000</v>
          </cell>
          <cell r="E87">
            <v>13588292</v>
          </cell>
          <cell r="H87">
            <v>13588292</v>
          </cell>
          <cell r="I87">
            <v>0</v>
          </cell>
          <cell r="L87">
            <v>10627175</v>
          </cell>
        </row>
        <row r="88">
          <cell r="B88" t="str">
            <v>TC391</v>
          </cell>
          <cell r="C88" t="str">
            <v>Pondy College</v>
          </cell>
          <cell r="J88">
            <v>18200000</v>
          </cell>
        </row>
        <row r="89">
          <cell r="B89" t="str">
            <v>TC394</v>
          </cell>
          <cell r="C89" t="str">
            <v>INDO TECH TRANSFORMERS LTD</v>
          </cell>
          <cell r="D89">
            <v>6495999.9999999991</v>
          </cell>
          <cell r="E89">
            <v>3207082</v>
          </cell>
          <cell r="F89">
            <v>3198623</v>
          </cell>
          <cell r="H89">
            <v>8459</v>
          </cell>
          <cell r="I89">
            <v>0</v>
          </cell>
          <cell r="L89">
            <v>2294049</v>
          </cell>
        </row>
        <row r="90">
          <cell r="B90" t="str">
            <v>TC395</v>
          </cell>
          <cell r="C90" t="str">
            <v>BUNDI I PVT LTD</v>
          </cell>
          <cell r="D90">
            <v>56585000</v>
          </cell>
          <cell r="E90">
            <v>3714059</v>
          </cell>
          <cell r="F90">
            <v>3714059</v>
          </cell>
          <cell r="G90">
            <v>3714059</v>
          </cell>
          <cell r="H90">
            <v>0</v>
          </cell>
          <cell r="I90">
            <v>0</v>
          </cell>
          <cell r="L90">
            <v>7019529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2)"/>
      <sheetName val="Income Statements"/>
      <sheetName val="Sheet3 _2_"/>
      <sheetName val="Acc_10.5"/>
      <sheetName val="QoQ Forecast"/>
      <sheetName val="Set"/>
      <sheetName val="new_data"/>
      <sheetName val="earnmodl"/>
      <sheetName val="Dom Cell (IS)"/>
      <sheetName val="Portfolio Summary"/>
      <sheetName val="Current Bill MB ref"/>
      <sheetName val="Meas.-Hotel Part"/>
      <sheetName val="Project Budget Worksheet"/>
      <sheetName val="Approved MTD Proj #'s"/>
      <sheetName val="compu"/>
      <sheetName val="BBEuros"/>
      <sheetName val="PLAN_FEB97"/>
      <sheetName val="Builtup Area"/>
      <sheetName val="Fin Sum"/>
      <sheetName val="BOQ T4B"/>
      <sheetName val="OpRes"/>
      <sheetName val="master"/>
      <sheetName val="ABP inputs"/>
      <sheetName val="Synergy Sales Budget"/>
      <sheetName val="DEPRE"/>
      <sheetName val="InvoiceList"/>
      <sheetName val="Income &amp; Occupancy Customer"/>
      <sheetName val="analysis"/>
      <sheetName val="Calculation (2)"/>
      <sheetName val="JCF"/>
      <sheetName val="Multiple output"/>
      <sheetName val="sheet6"/>
      <sheetName val="유통망계획"/>
      <sheetName val="Headings"/>
      <sheetName val="RCC,Ret. Wall"/>
      <sheetName val="Summary"/>
      <sheetName val="노무비"/>
      <sheetName val="F1a-Pile"/>
      <sheetName val="CV"/>
      <sheetName val="ES(Kor)"/>
      <sheetName val="INDIGINEOUS ITEMS "/>
      <sheetName val="fco"/>
      <sheetName val="Formulas"/>
      <sheetName val="GBW"/>
      <sheetName val="Material "/>
      <sheetName val="Labour &amp; Plant"/>
      <sheetName val="Design"/>
      <sheetName val="BOQ"/>
      <sheetName val=" B3"/>
      <sheetName val=" B1"/>
      <sheetName val="Lead"/>
      <sheetName val="Main-Material"/>
      <sheetName val="Sheet1"/>
      <sheetName val="beam-reinft-IIInd floor"/>
      <sheetName val="Depreciation"/>
      <sheetName val="03 (2)"/>
      <sheetName val="#REF"/>
      <sheetName val="IO LIST"/>
      <sheetName val="Master list"/>
      <sheetName val="Labour List"/>
      <sheetName val="Material List"/>
      <sheetName val="WIng F(Typical)"/>
      <sheetName val="CFForecast detail"/>
      <sheetName val="Site Dev BOQ"/>
      <sheetName val="TIll_Q_sal"/>
      <sheetName val="tiller"/>
      <sheetName val="Input"/>
      <sheetName val="Global Assm."/>
      <sheetName val="Summ"/>
      <sheetName val="Fossil_DCF"/>
      <sheetName val="SOPMA DD"/>
      <sheetName val="Break up Sheet"/>
      <sheetName val="MN T.B."/>
      <sheetName val="Aladdin Macro1"/>
      <sheetName val="BalSht"/>
      <sheetName val="Vind-BtB"/>
      <sheetName val="Architectural Summary"/>
      <sheetName val="Sheet3_(2)"/>
      <sheetName val="Income_Statements"/>
      <sheetName val="Sheet3__2_"/>
      <sheetName val="Acc_10_5"/>
      <sheetName val="QoQ_Forecast"/>
      <sheetName val="Aladdin_Macro1"/>
      <sheetName val="TB_FOR_MIS"/>
      <sheetName val="Area"/>
      <sheetName val="TB FOR MIS"/>
      <sheetName val="INPUT SHEET"/>
      <sheetName val="Sheet2"/>
      <sheetName val="CapitalOutlay"/>
      <sheetName val="Assum"/>
      <sheetName val="Hot"/>
      <sheetName val="Assumptions"/>
      <sheetName val="Mico"/>
      <sheetName val="EBITDA"/>
      <sheetName val="IMPORT T12"/>
      <sheetName val="van khuon"/>
      <sheetName val="Names"/>
      <sheetName val="Load Details-220kV"/>
      <sheetName val="Block A - BOQ"/>
      <sheetName val="Introduction"/>
      <sheetName val="IDC macro"/>
      <sheetName val="SALE"/>
      <sheetName val="March Analysts"/>
      <sheetName val="Rollup Summary"/>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download"/>
      <sheetName val="170810-lease tax"/>
      <sheetName val="CABLE DATA"/>
      <sheetName val="1st flr"/>
      <sheetName val="Civil Boq"/>
      <sheetName val="SCH-E-1"/>
      <sheetName val="Inputs"/>
      <sheetName val="BIPR"/>
      <sheetName val="BPCA"/>
      <sheetName val="BBRS"/>
      <sheetName val="KPM DT"/>
      <sheetName val="F"/>
      <sheetName val="EXHIBIT&quot; T&quot;"/>
      <sheetName val="Turnover"/>
      <sheetName val="Legal Risk Analysis"/>
      <sheetName val="Data"/>
      <sheetName val="Company"/>
      <sheetName val="Index"/>
      <sheetName val="Rates"/>
      <sheetName val="CARO"/>
      <sheetName val="Main Sheet (MTD)"/>
      <sheetName val="Consl Daily Report"/>
      <sheetName val="Master Price List"/>
      <sheetName val="reference"/>
      <sheetName val="P &amp; L"/>
      <sheetName val="LISTS"/>
      <sheetName val="M-2 Adjusted"/>
      <sheetName val="Preside"/>
      <sheetName val="balance sheet"/>
      <sheetName val="Factor_Sheet"/>
      <sheetName val="q-details"/>
      <sheetName val="International"/>
      <sheetName val="Internet"/>
      <sheetName val="Main workings"/>
      <sheetName val="Balance Sheet "/>
      <sheetName val="Macro1"/>
      <sheetName val="Licences"/>
      <sheetName val="02022005"/>
      <sheetName val="16022005"/>
      <sheetName val="05012005"/>
      <sheetName val="19012005"/>
      <sheetName val="02032005"/>
      <sheetName val="16032005"/>
      <sheetName val="30032005"/>
      <sheetName val="ras"/>
      <sheetName val="97-98"/>
      <sheetName val="LBO Financials"/>
      <sheetName val="TB"/>
      <sheetName val="Summary Excise"/>
      <sheetName val="BS"/>
      <sheetName val="Other BS Sch 5-9"/>
      <sheetName val="Excess Calc"/>
      <sheetName val="Grouping Master"/>
      <sheetName val="Occ"/>
      <sheetName val="Demand"/>
      <sheetName val="Ref"/>
      <sheetName val="final abstract"/>
      <sheetName val="Rate analysis"/>
      <sheetName val="02"/>
      <sheetName val="03"/>
      <sheetName val="04"/>
      <sheetName val="01"/>
      <sheetName val=" Acc. Sched."/>
      <sheetName val="EDS  Bestshore Migration"/>
      <sheetName val="NewCo"/>
      <sheetName val="sept-plan"/>
      <sheetName val="van_khuon"/>
      <sheetName val="IDC_macro"/>
      <sheetName val="Portfolio_Summary"/>
      <sheetName val="Current_Bill_MB_ref"/>
      <sheetName val="Meas_-Hotel_Part"/>
      <sheetName val="Fin_Sum"/>
      <sheetName val="classes"/>
      <sheetName val="IT Block"/>
      <sheetName val="Location CODE"/>
      <sheetName val="Location TYPE"/>
      <sheetName val="sub class"/>
      <sheetName val=" sub Loc "/>
      <sheetName val="LBO"/>
      <sheetName val="CashFlow"/>
      <sheetName val="Training Deposits coding"/>
      <sheetName val="IMPORT_T12"/>
      <sheetName val="KPM_DT"/>
      <sheetName val="Task"/>
      <sheetName val="SODA02"/>
      <sheetName val="Pay_Sep06"/>
      <sheetName val="PLGroupings"/>
      <sheetName val="Results"/>
      <sheetName val="Cash Flow Working"/>
      <sheetName val="OpTrack"/>
      <sheetName val="AOR"/>
      <sheetName val="Sheet3"/>
      <sheetName val="RNT"/>
      <sheetName val="Combi"/>
      <sheetName val="Retail Mall"/>
      <sheetName val="Portfolio_Summary1"/>
      <sheetName val="Current_Bill_MB_ref1"/>
      <sheetName val="Meas_-Hotel_Part1"/>
      <sheetName val="Standalone seg"/>
      <sheetName val="RES-PLANNING"/>
      <sheetName val="Params"/>
      <sheetName val="Rev Opt - Rollup"/>
      <sheetName val="Open Items-311208"/>
      <sheetName val="Fill this out first..."/>
      <sheetName val="ASSETS P&amp;M"/>
      <sheetName val="Assets Land &amp; Mise FA"/>
      <sheetName val="MASTER_RATE ANALYSIS"/>
      <sheetName val="Valuation - block 2"/>
      <sheetName val="MIS - kINR"/>
      <sheetName val="AOP13"/>
      <sheetName val="CAP"/>
      <sheetName val="ANN.K"/>
      <sheetName val="Sensitivity"/>
      <sheetName val="DET0900"/>
      <sheetName val="Debtors analysis"/>
      <sheetName val="A1-Continuous"/>
      <sheetName val="pile Fabrication"/>
      <sheetName val="Improvements"/>
      <sheetName val="Labor abs-NMR"/>
      <sheetName val="Beam at Ground flr lvl(Steel)"/>
      <sheetName val="AREAS"/>
      <sheetName val="sumary"/>
      <sheetName val="1st -vpd"/>
      <sheetName val="conc-foot-gradeslab"/>
      <sheetName val="Material List "/>
      <sheetName val="SCHEDULE"/>
      <sheetName val="Database"/>
      <sheetName val="schedule nos"/>
      <sheetName val="Checks"/>
      <sheetName val="Theatre mgmt cont"/>
      <sheetName val="A-Mum"/>
      <sheetName val="Base Assumptions"/>
      <sheetName val="Code"/>
      <sheetName val="Cost_any"/>
      <sheetName val="10. &amp; 11. Rate Code &amp; BQ"/>
      <sheetName val="FlashMgtMo"/>
      <sheetName val="FlashMgtYTD"/>
      <sheetName val="FITZ MORT 94"/>
      <sheetName val="QoQ In Lakhs"/>
      <sheetName val="GENERAL2"/>
      <sheetName val="YTD"/>
      <sheetName val="vb 9&amp;10"/>
      <sheetName val="GenAssump"/>
      <sheetName val="Goldberg Portfolio Combined"/>
      <sheetName val="BKCSTOCKVAL"/>
      <sheetName val="MAHSTOCKVAL"/>
      <sheetName val="Commercial Research"/>
      <sheetName val="Intaccrual"/>
      <sheetName val="SBU"/>
      <sheetName val="exp"/>
      <sheetName val="Contribution"/>
      <sheetName val="Rx"/>
      <sheetName val="Sheet4"/>
      <sheetName val="269T(final)"/>
      <sheetName val="Trial Balance"/>
      <sheetName val="MIS AC wise"/>
      <sheetName val="Control"/>
      <sheetName val="RA"/>
      <sheetName val="NEW-IDs Fun &amp; Group"/>
      <sheetName val="XZLC003_PART1"/>
      <sheetName val="9. Package split - Cost "/>
      <sheetName val=""/>
      <sheetName val="Operating Statistics"/>
      <sheetName val="FA Schedule Dec 07"/>
      <sheetName val="Variables_x"/>
      <sheetName val="Menu"/>
      <sheetName val="P.R. TAXES"/>
      <sheetName val="BILLING SUM"/>
      <sheetName val="WT-LIST"/>
      <sheetName val="Material"/>
      <sheetName val="Leasing Commision"/>
      <sheetName val="Service Invoice"/>
      <sheetName val="15-21"/>
      <sheetName val="Cover"/>
      <sheetName val="Related party - P&amp;L"/>
      <sheetName val="Notes-pivot1 "/>
      <sheetName val="horizontal"/>
      <sheetName val="Scope"/>
      <sheetName val="Estimate"/>
      <sheetName val="12-ACTPL"/>
      <sheetName val="FORM7"/>
      <sheetName val="apr-aug"/>
      <sheetName val="A-1"/>
      <sheetName val="Timeline"/>
      <sheetName val="CASHFLOWS"/>
      <sheetName val="170810-lease_tax"/>
      <sheetName val="Main_Sheet_(MTD)"/>
      <sheetName val="Consl_Daily_Report"/>
      <sheetName val="balance_sheet"/>
      <sheetName val="drop-dwn list"/>
      <sheetName val="tngst1"/>
      <sheetName val="Boiler&amp;TG"/>
      <sheetName val="Sheet3_(2)5"/>
      <sheetName val="Sheet3__2_5"/>
      <sheetName val="Calculation_(2)5"/>
      <sheetName val="Multiple_output5"/>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Aladdin_Macro15"/>
      <sheetName val="Acc_10_55"/>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MultipleSecurities"/>
      <sheetName val="ES"/>
      <sheetName val="Variables"/>
      <sheetName val="Publicbuilding"/>
      <sheetName val="Non-Factory"/>
      <sheetName val="extra work elec bill "/>
      <sheetName val="SEW4"/>
      <sheetName val="MFG"/>
      <sheetName val="Assump"/>
      <sheetName val="소상 &quot;1&quot;"/>
      <sheetName val="CrRajWMM"/>
      <sheetName val="Felix Street Summary"/>
      <sheetName val="Newspapers"/>
      <sheetName val="AccDil"/>
      <sheetName val="Overall Summary"/>
      <sheetName val="RCC Rates"/>
      <sheetName val="Cost summary"/>
      <sheetName val="目录"/>
      <sheetName val="PRECAST lightconc-II"/>
      <sheetName val="Tender Summary"/>
      <sheetName val="Bill 1-BOQ-Civil Works"/>
      <sheetName val="UNP-NCW "/>
      <sheetName val="4.4 External Plaster"/>
      <sheetName val="HBI NCD"/>
      <sheetName val="CUSTOM Jun99"/>
      <sheetName val="A.O.R."/>
      <sheetName val="Base"/>
      <sheetName val="Debt"/>
      <sheetName val="Ins Erection"/>
      <sheetName val="RA-markate"/>
      <sheetName val="Rollup"/>
      <sheetName val="0. Data Validation List"/>
      <sheetName val="Crest"/>
      <sheetName val="Pinnacle"/>
      <sheetName val="Zenith"/>
      <sheetName val="stacking sheet"/>
      <sheetName val="Basement Budget"/>
      <sheetName val="labour"/>
      <sheetName val="currency"/>
      <sheetName val="Night Shift"/>
      <sheetName val="Assumption"/>
      <sheetName val="EVA1"/>
      <sheetName val="ITEM  STUDY (2)"/>
      <sheetName val="EXPENSES"/>
      <sheetName val="TDS Certificate-Format"/>
      <sheetName val="FA"/>
      <sheetName val="Gen_Ass"/>
      <sheetName val="Op_Ass"/>
      <sheetName val="Staff Costs"/>
      <sheetName val="General_Assumptions"/>
      <sheetName val="Determination of Threshold"/>
      <sheetName val="HRD1"/>
      <sheetName val="Taluka wise dealer (2)"/>
      <sheetName val="TMasterCurrency"/>
      <sheetName val="TMasterSeg"/>
      <sheetName val="Notes"/>
      <sheetName val="FY2001-02"/>
      <sheetName val="XLR_NoRangeSheet"/>
      <sheetName val="Kontensalden"/>
      <sheetName val="BOM"/>
      <sheetName val="FA(Apr 07)"/>
      <sheetName val="Reco O.S"/>
      <sheetName val="Accounts"/>
      <sheetName val="Graph (LGEN)"/>
      <sheetName val="out_prog"/>
      <sheetName val="선적schedule (2)"/>
      <sheetName val="BQ"/>
      <sheetName val="USB 1"/>
      <sheetName val="BOQ Distribution"/>
      <sheetName val="wordsdata"/>
      <sheetName val="GM &amp; TA"/>
      <sheetName val="steam outlet"/>
      <sheetName val="crs"/>
      <sheetName val="PIMS"/>
      <sheetName val="SCH 10"/>
      <sheetName val="SAP EMP"/>
      <sheetName val="?????"/>
      <sheetName val="Budget Summary"/>
      <sheetName val="PERHW"/>
      <sheetName val="Standalone"/>
      <sheetName val="RATE LIST (2)"/>
      <sheetName val="Control Sheet"/>
      <sheetName val="Recon"/>
      <sheetName val="Loss 3004"/>
      <sheetName val="Reconciliation of GL &amp; FAR"/>
      <sheetName val="schedules"/>
      <sheetName val="Summary_Local"/>
      <sheetName val="Settings"/>
      <sheetName val="HELP"/>
      <sheetName val="BS-2005"/>
      <sheetName val="MAIN_MENU"/>
      <sheetName val="exec summ"/>
      <sheetName val="TH"/>
      <sheetName val="details"/>
      <sheetName val="Phasing"/>
      <sheetName val="Hardware"/>
      <sheetName val="Power &amp; Fuel (S)"/>
      <sheetName val="concrete"/>
      <sheetName val="CSCCincSKR"/>
      <sheetName val="IO"/>
      <sheetName val="Portfolio_Summary2"/>
      <sheetName val="03_(2)"/>
      <sheetName val="Current_Bill_MB_ref2"/>
      <sheetName val="Meas_-Hotel_Part2"/>
      <sheetName val="WIng_F(Typical)"/>
      <sheetName val="Legal_Risk_Analysis"/>
      <sheetName val="SOPMA_DD"/>
      <sheetName val="Architectural_Summary"/>
      <sheetName val="TB_FOR_MIS1"/>
      <sheetName val="INPUT_SHEET"/>
      <sheetName val="March_Analysts"/>
      <sheetName val="EXHIBIT&quot;_T&quot;"/>
      <sheetName val="IO_LIST"/>
      <sheetName val="Fill_this_out_first___"/>
      <sheetName val="extra_work_elec_bill_"/>
      <sheetName val="_Acc__Sched_"/>
      <sheetName val="10__&amp;_11__Rate_Code_&amp;_BQ"/>
      <sheetName val="NEW-IDs_Fun_&amp;_Group"/>
      <sheetName val=" "/>
      <sheetName val="S &amp; A"/>
      <sheetName val="Timesheet"/>
      <sheetName val="Loads"/>
      <sheetName val="p&amp;m"/>
      <sheetName val="Master_list"/>
      <sheetName val="Labour_List"/>
      <sheetName val="Material_List"/>
      <sheetName val="Labor_abs-NMR"/>
      <sheetName val="Beam_at_Ground_flr_lvl(Steel)"/>
      <sheetName val="1st_-vpd"/>
      <sheetName val="Material_List_"/>
      <sheetName val="schedule_nos"/>
      <sheetName val="Debtors_analysis"/>
      <sheetName val="TBAL9697 -group wise  sdpl"/>
      <sheetName val="Multipliers &amp; KRA"/>
      <sheetName val="Elec Summ"/>
      <sheetName val="ELEC BOQ"/>
      <sheetName val="TRACK BUSWAY"/>
      <sheetName val="BBT"/>
      <sheetName val="LIGHTING"/>
      <sheetName val="LMS"/>
      <sheetName val="STAFFSCHED "/>
      <sheetName val="Basic Rate"/>
      <sheetName val="SP Break Up"/>
      <sheetName val="oresreqsum"/>
      <sheetName val="cl 14 Annex 7 "/>
      <sheetName val="Encl 7A"/>
      <sheetName val="Micro"/>
      <sheetName val="Macro"/>
      <sheetName val="Scaff-Rose"/>
      <sheetName val="4 Annex 1 Basic rate"/>
      <sheetName val="Prov for exp-April'08 - June'08"/>
      <sheetName val="Provision for exp-Upto Mar'08"/>
      <sheetName val="creditors to others"/>
      <sheetName val="other amt&amp;recoveries payable"/>
      <sheetName val="other exp.charges recoverable"/>
      <sheetName val="rental deposits"/>
      <sheetName val="other deposits "/>
      <sheetName val="prepaid expenses"/>
      <sheetName val="sal.adv"/>
      <sheetName val="800CC_FR_HOSE"/>
      <sheetName val="Capital Structure"/>
      <sheetName val="GROUPING"/>
      <sheetName val="Dep"/>
      <sheetName val="인원계획"/>
      <sheetName val="Molasses-FG"/>
      <sheetName val="Tyre1"/>
      <sheetName val="Auto"/>
      <sheetName val="Sch5TO10"/>
      <sheetName val="macroDat"/>
      <sheetName val="cash_flow"/>
      <sheetName val="sales_value"/>
      <sheetName val="colaw_dep"/>
      <sheetName val="freight"/>
      <sheetName val="gm"/>
      <sheetName val="interest"/>
      <sheetName val="jb_cost"/>
      <sheetName val="c_flow_%"/>
      <sheetName val="consum_cost"/>
      <sheetName val="form26"/>
      <sheetName val="F29B"/>
      <sheetName val="Base data Security Procedures"/>
      <sheetName val="Expansion"/>
      <sheetName val="Customize Your Invoice"/>
      <sheetName val="Sale Charts"/>
      <sheetName val="EXIS-COMBINED"/>
      <sheetName val="Redelvery provision changed"/>
      <sheetName val="Schedule v1"/>
      <sheetName val="labour rates"/>
      <sheetName val="old_serial no."/>
      <sheetName val="tot_ass_9697"/>
      <sheetName val="Budget_CF - Overall"/>
      <sheetName val="공사비 내역 (가)"/>
      <sheetName val="4K - (6a) Non Manual Breakdown"/>
      <sheetName val="3. Elemental Summary"/>
      <sheetName val="Financials"/>
      <sheetName val="L"/>
      <sheetName val="p1-costg"/>
      <sheetName val="costing"/>
      <sheetName val="August TB"/>
      <sheetName val="Misc. Master"/>
      <sheetName val="FCIIHyperion"/>
      <sheetName val="final 061106"/>
      <sheetName val="SAB P&amp;L"/>
      <sheetName val="cash flow"/>
      <sheetName val="차수"/>
      <sheetName val="P&amp;L"/>
      <sheetName val="DIVBUD99"/>
      <sheetName val="Annexure-I"/>
      <sheetName val="WGSRL"/>
      <sheetName val="HSA"/>
      <sheetName val="B_S"/>
      <sheetName val="PVAs"/>
      <sheetName val="grp "/>
      <sheetName val="Overheads"/>
      <sheetName val="Severity"/>
      <sheetName val="Pur"/>
      <sheetName val="Rs in lacs"/>
      <sheetName val="SALES"/>
      <sheetName val="Basework"/>
      <sheetName val="Monthly Inputs"/>
      <sheetName val="2000-1 Monthly Cashflows"/>
      <sheetName val="2002-2 Monthly Cashflows"/>
      <sheetName val="Cash Flow "/>
      <sheetName val="wdr bldg"/>
      <sheetName val="Formated Trial Balance"/>
      <sheetName val="WC analytics (+data pages)"/>
      <sheetName val="van_khuon1"/>
      <sheetName val="IDC_macro1"/>
      <sheetName val="P_&amp;_L"/>
      <sheetName val="Summary_Excise"/>
      <sheetName val="Other_BS_Sch_5-9"/>
      <sheetName val="Excess_Calc"/>
      <sheetName val="Grouping_Master"/>
      <sheetName val="Fin_Sum1"/>
      <sheetName val="Main_workings"/>
      <sheetName val="Balance_Sheet_"/>
      <sheetName val="IMPORT_T121"/>
      <sheetName val="KPM_DT1"/>
      <sheetName val="Dom_Cell_(IS)"/>
      <sheetName val="M-2_Adjusted"/>
      <sheetName val="Master_Price_List"/>
      <sheetName val="EDS__Bestshore_Migration"/>
      <sheetName val="IT_Block"/>
      <sheetName val="Location_CODE"/>
      <sheetName val="Location_TYPE"/>
      <sheetName val="sub_class"/>
      <sheetName val="_sub_Loc_"/>
      <sheetName val="Training_Deposits_coding"/>
      <sheetName val="Rev_Opt_-_Rollup"/>
      <sheetName val="MASTER_RATE_ANALYSIS"/>
      <sheetName val="Valuation_-_block_2"/>
      <sheetName val="SAP downloaded schedule"/>
      <sheetName val="ADV-TK-HORT"/>
      <sheetName val="DYN PP"/>
      <sheetName val="TXN97"/>
      <sheetName val="June Reserve - Far East"/>
      <sheetName val="Sheet3_(2)6"/>
      <sheetName val="Sheet3__2_6"/>
      <sheetName val="Income_Statements6"/>
      <sheetName val="Main_Sheet_(MTD)1"/>
      <sheetName val="Consl_Daily_Report1"/>
      <sheetName val="Calculation_(2)6"/>
      <sheetName val="QoQ_Forecast6"/>
      <sheetName val="Income_&amp;_Occupancy_Customer6"/>
      <sheetName val="Rollup_Summary1"/>
      <sheetName val="Acc_10_56"/>
      <sheetName val="balance_sheet1"/>
      <sheetName val="170810-lease_tax1"/>
      <sheetName val="Multiple_output6"/>
      <sheetName val="Aladdin_Macro16"/>
      <sheetName val="Global_Assm_6"/>
      <sheetName val="ABP_inputs6"/>
      <sheetName val="Synergy_Sales_Budget6"/>
      <sheetName val="Project_Budget_Worksheet6"/>
      <sheetName val="Builtup_Area6"/>
      <sheetName val="RCC,Ret__Wall6"/>
      <sheetName val="BOQ_T4B6"/>
      <sheetName val="INDIGINEOUS_ITEMS_6"/>
      <sheetName val="Material_6"/>
      <sheetName val="Labour_&amp;_Plant6"/>
      <sheetName val="_B36"/>
      <sheetName val="_B16"/>
      <sheetName val="beam-reinft-IIInd_floor6"/>
      <sheetName val="Approved_MTD_Proj_#'s6"/>
      <sheetName val="MN_T_B_6"/>
      <sheetName val="CFForecast_detail6"/>
      <sheetName val="Site_Dev_BOQ6"/>
      <sheetName val="Break_up_Sheet6"/>
      <sheetName val="Load_Details-220kV6"/>
      <sheetName val="Block_A_-_BOQ6"/>
      <sheetName val="LBO_Financials"/>
      <sheetName val="CABLE_DATA1"/>
      <sheetName val="1st_flr1"/>
      <sheetName val="Civil_Boq1"/>
      <sheetName val="final_abstract1"/>
      <sheetName val="Rate_analysis1"/>
      <sheetName val="MIS_-_kINR1"/>
      <sheetName val="QoQ_In_Lakhs"/>
      <sheetName val="Theatre_mgmt_cont"/>
      <sheetName val="Open_Items-311208"/>
      <sheetName val="Temp"/>
      <sheetName val="PROV_CONSOLIDATED"/>
      <sheetName val="COST-MTRS"/>
      <sheetName val="FLASH"/>
      <sheetName val="Annexure"/>
      <sheetName val="Schedules 3-8"/>
      <sheetName val="RELACION REFERENCIAS"/>
      <sheetName val="Transaction"/>
      <sheetName val="entitlements"/>
      <sheetName val="Esteem Rear"/>
      <sheetName val="EAST"/>
      <sheetName val="YOEMAGUM"/>
      <sheetName val="Conversion Table"/>
      <sheetName val="NEES"/>
      <sheetName val="Main"/>
      <sheetName val="Sources"/>
      <sheetName val="nela"/>
      <sheetName val="HOUSE RENT DEPO."/>
      <sheetName val="register"/>
      <sheetName val="Lease Expiry"/>
      <sheetName val="Cash_Flow_Working"/>
      <sheetName val="ANN_K"/>
      <sheetName val="Audit"/>
      <sheetName val="Jul 96 Worksheet"/>
      <sheetName val="Parameter"/>
      <sheetName val="Earnings"/>
      <sheetName val="Cases"/>
      <sheetName val="I"/>
      <sheetName val="CPR"/>
      <sheetName val="MARCH"/>
      <sheetName val="SEP "/>
      <sheetName val="Power_&amp;_Fuel_(S)"/>
      <sheetName val="Budget_Summary"/>
      <sheetName val="Inv_Data"/>
      <sheetName val="Approval"/>
      <sheetName val="GL Master Data"/>
      <sheetName val="Quotation"/>
      <sheetName val="RCC_Ret_ Wall"/>
      <sheetName val="Coalmine"/>
      <sheetName val="Collection"/>
      <sheetName val="dlvoid"/>
      <sheetName val="HIDDEN"/>
      <sheetName val="DEP99"/>
      <sheetName val="IGAAP"/>
      <sheetName val="INI"/>
      <sheetName val="Output"/>
      <sheetName val="meeting rectification control"/>
      <sheetName val="Loan Data"/>
      <sheetName val="Challan"/>
      <sheetName val="NGS Data Sheet"/>
      <sheetName val="SGS Data Sheet"/>
      <sheetName val="C120102"/>
      <sheetName val="Trial_Balance"/>
      <sheetName val="MIS_AC_wise"/>
      <sheetName val="Base_Assumptions"/>
      <sheetName val="FITZ_MORT_94"/>
      <sheetName val="vb_9&amp;10"/>
      <sheetName val="Goldberg_Portfolio_Combined"/>
      <sheetName val="Commercial_Research"/>
      <sheetName val="9__Package_split_-_Cost_"/>
      <sheetName val="Operating_Statistics"/>
      <sheetName val="FA_Schedule_Dec_07"/>
      <sheetName val="P_R__TAXES"/>
      <sheetName val="BILLING_SUM"/>
      <sheetName val="Leasing_Commision"/>
      <sheetName val="Service_Invoice"/>
      <sheetName val="Retail_Mall"/>
      <sheetName val="Related_party_-_P&amp;L"/>
      <sheetName val="pile_Fabrication"/>
      <sheetName val="Notes-pivot1_"/>
      <sheetName val="ASSETS_P&amp;M"/>
      <sheetName val="Assets_Land_&amp;_Mise_FA"/>
      <sheetName val="drop-dwn_list"/>
      <sheetName val="소상_&quot;1&quot;"/>
      <sheetName val="Felix_Street_Summary"/>
      <sheetName val="Overall_Summary"/>
      <sheetName val="RCC_Rates"/>
      <sheetName val="Cost_summary"/>
      <sheetName val="PRECAST_lightconc-II"/>
      <sheetName val="Tender_Summary"/>
      <sheetName val="Bill_1-BOQ-Civil_Works"/>
      <sheetName val="UNP-NCW_"/>
      <sheetName val="4_4_External_Plaster"/>
      <sheetName val="HBI_NCD"/>
      <sheetName val="CUSTOM_Jun99"/>
      <sheetName val="A_O_R_"/>
      <sheetName val="Ins_Erection"/>
      <sheetName val="Staff_Costs"/>
      <sheetName val="0__Data_Validation_List"/>
      <sheetName val="stacking_sheet"/>
      <sheetName val="Basement_Budget"/>
      <sheetName val="Night_Shift"/>
      <sheetName val="ITEM__STUDY_(2)"/>
      <sheetName val="TDS_Certificate-Format"/>
      <sheetName val="Fin. Assumpt. - Sensitivities"/>
      <sheetName val="Fin"/>
      <sheetName val="Intro"/>
      <sheetName val="Lease-rents"/>
      <sheetName val="Key Assumption"/>
      <sheetName val="Master Information"/>
      <sheetName val="Tickmarks"/>
      <sheetName val="Check Register"/>
      <sheetName val="EBITDA Bridge"/>
      <sheetName val="Detailed"/>
      <sheetName val="2003 Budget-PL-case1"/>
      <sheetName val="STATSUM"/>
      <sheetName val="TB9899"/>
      <sheetName val="现金流量分析表"/>
      <sheetName val="边际贡献分析表"/>
      <sheetName val=" COP"/>
      <sheetName val="Classification"/>
      <sheetName val="XREF"/>
      <sheetName val="Income"/>
      <sheetName val="EPS"/>
      <sheetName val="currency (2)"/>
      <sheetName val="Companies"/>
      <sheetName val="People"/>
      <sheetName val="NW RTU"/>
      <sheetName val="Jun 2000"/>
      <sheetName val="Account title"/>
      <sheetName val="Titel"/>
      <sheetName val="Other notes"/>
      <sheetName val="OHT_Abs"/>
      <sheetName val="1"/>
      <sheetName val="Linked Lead"/>
      <sheetName val="hist&amp;proj"/>
      <sheetName val="MIS"/>
      <sheetName val="Clause 9"/>
      <sheetName val="G02"/>
      <sheetName val="Configurator"/>
      <sheetName val="PriceDB"/>
      <sheetName val="Jan"/>
      <sheetName val="GSTR-3B"/>
      <sheetName val="NOA Data"/>
      <sheetName val="INQVAR PY"/>
      <sheetName val="XWR"/>
      <sheetName val="3-dep"/>
      <sheetName val="sch"/>
      <sheetName val="grid"/>
      <sheetName val="PetroChina"/>
      <sheetName val="Bgt_Lst"/>
      <sheetName val="Cnt_Lst"/>
      <sheetName val="Trial Balance_Format"/>
      <sheetName val="PARAMETERS"/>
      <sheetName val="COSTMAR"/>
      <sheetName val="Sheet2 (2)"/>
      <sheetName val="Sheet3_(2)7"/>
      <sheetName val="KPM_DT2"/>
      <sheetName val="EXHIBIT&quot;_T&quot;1"/>
      <sheetName val="Sheet3__2_7"/>
      <sheetName val="Income_&amp;_Occupancy_Customer7"/>
      <sheetName val="Income_Statements7"/>
      <sheetName val="QoQ_Forecast7"/>
      <sheetName val="Aladdin_Macro17"/>
      <sheetName val="Acc_10_57"/>
      <sheetName val="Global_Assm_7"/>
      <sheetName val="van_khuon2"/>
      <sheetName val="Portfolio_Summary3"/>
      <sheetName val="Current_Bill_MB_ref3"/>
      <sheetName val="Meas_-Hotel_Part3"/>
      <sheetName val="Builtup_Area7"/>
      <sheetName val="Project_Budget_Worksheet7"/>
      <sheetName val="IDC_macro2"/>
      <sheetName val="ABP_inputs7"/>
      <sheetName val="Synergy_Sales_Budget7"/>
      <sheetName val="Calculation_(2)7"/>
      <sheetName val="Multiple_output7"/>
      <sheetName val="RCC,Ret__Wall7"/>
      <sheetName val="BOQ_T4B7"/>
      <sheetName val="INDIGINEOUS_ITEMS_7"/>
      <sheetName val="Material_7"/>
      <sheetName val="Labour_&amp;_Plant7"/>
      <sheetName val="_B37"/>
      <sheetName val="_B17"/>
      <sheetName val="beam-reinft-IIInd_floor7"/>
      <sheetName val="Approved_MTD_Proj_#'s7"/>
      <sheetName val="TB_FOR_MIS2"/>
      <sheetName val="INPUT_SHEET1"/>
      <sheetName val="Main_Sheet_(MTD)2"/>
      <sheetName val="Consl_Daily_Report2"/>
      <sheetName val="IMPORT_T122"/>
      <sheetName val="Rollup_Summary2"/>
      <sheetName val="MN_T_B_7"/>
      <sheetName val="CFForecast_detail7"/>
      <sheetName val="Site_Dev_BOQ7"/>
      <sheetName val="Break_up_Sheet7"/>
      <sheetName val="Load_Details-220kV7"/>
      <sheetName val="Block_A_-_BOQ7"/>
      <sheetName val="170810-lease_tax2"/>
      <sheetName val="Master_Price_List1"/>
      <sheetName val="ASSETS_P&amp;M1"/>
      <sheetName val="Assets_Land_&amp;_Mise_FA1"/>
      <sheetName val="03_(2)1"/>
      <sheetName val="IO_LIST1"/>
      <sheetName val="Fill_this_out_first___1"/>
      <sheetName val="Fin_Sum2"/>
      <sheetName val="Material_List_1"/>
      <sheetName val="NEW-IDs_Fun_&amp;_Group1"/>
      <sheetName val="SOPMA_DD1"/>
      <sheetName val="WIng_F(Typical)1"/>
      <sheetName val="Master_list1"/>
      <sheetName val="Labour_List1"/>
      <sheetName val="Material_List1"/>
      <sheetName val="Architectural_Summary1"/>
      <sheetName val="March_Analysts1"/>
      <sheetName val="CABLE_DATA2"/>
      <sheetName val="1st_flr2"/>
      <sheetName val="Civil_Boq2"/>
      <sheetName val="Legal_Risk_Analysis1"/>
      <sheetName val="Labor_abs-NMR1"/>
      <sheetName val="Beam_at_Ground_flr_lvl(Steel)1"/>
      <sheetName val="1st_-vpd1"/>
      <sheetName val="Summary_Excise1"/>
      <sheetName val="Other_BS_Sch_5-91"/>
      <sheetName val="Excess_Calc1"/>
      <sheetName val="Grouping_Master1"/>
      <sheetName val="balance_sheet2"/>
      <sheetName val="P_&amp;_L1"/>
      <sheetName val="M-2_Adjusted1"/>
      <sheetName val="final_abstract2"/>
      <sheetName val="Rate_analysis2"/>
      <sheetName val="_Acc__Sched_1"/>
      <sheetName val="Balance_Sheet_1"/>
      <sheetName val="Dom_Cell_(IS)1"/>
      <sheetName val="Main_workings1"/>
      <sheetName val="Training_Deposits_coding1"/>
      <sheetName val="EDS__Bestshore_Migration1"/>
      <sheetName val="IT_Block1"/>
      <sheetName val="Location_CODE1"/>
      <sheetName val="Location_TYPE1"/>
      <sheetName val="sub_class1"/>
      <sheetName val="_sub_Loc_1"/>
      <sheetName val="Rev_Opt_-_Rollup1"/>
      <sheetName val="Open_Items-3112081"/>
      <sheetName val="MASTER_RATE_ANALYSIS1"/>
      <sheetName val="Valuation_-_block_21"/>
      <sheetName val="Trial_Balance1"/>
      <sheetName val="MIS_AC_wise1"/>
      <sheetName val="Base_Assumptions1"/>
      <sheetName val="10__&amp;_11__Rate_Code_&amp;_BQ1"/>
      <sheetName val="FITZ_MORT_941"/>
      <sheetName val="QoQ_In_Lakhs1"/>
      <sheetName val="vb_9&amp;101"/>
      <sheetName val="Goldberg_Portfolio_Combined1"/>
      <sheetName val="Commercial_Research1"/>
      <sheetName val="MIS_-_kINR2"/>
      <sheetName val="9__Package_split_-_Cost_1"/>
      <sheetName val="Operating_Statistics1"/>
      <sheetName val="FA_Schedule_Dec_071"/>
      <sheetName val="Theatre_mgmt_cont1"/>
      <sheetName val="P_R__TAXES1"/>
      <sheetName val="BILLING_SUM1"/>
      <sheetName val="schedule_nos1"/>
      <sheetName val="Leasing_Commision1"/>
      <sheetName val="Service_Invoice1"/>
      <sheetName val="Cash_Flow_Working1"/>
      <sheetName val="Retail_Mall1"/>
      <sheetName val="Related_party_-_P&amp;L1"/>
      <sheetName val="Debtors_analysis1"/>
      <sheetName val="pile_Fabrication1"/>
      <sheetName val="LBO_Financials1"/>
      <sheetName val="ANN_K1"/>
      <sheetName val="Notes-pivot1_1"/>
      <sheetName val="drop-dwn_list1"/>
      <sheetName val="extra_work_elec_bill_1"/>
      <sheetName val="소상_&quot;1&quot;1"/>
      <sheetName val="Felix_Street_Summary1"/>
      <sheetName val="Overall_Summary1"/>
      <sheetName val="RCC_Rates1"/>
      <sheetName val="Cost_summary1"/>
      <sheetName val="PRECAST_lightconc-II1"/>
      <sheetName val="Tender_Summary1"/>
      <sheetName val="Bill_1-BOQ-Civil_Works1"/>
      <sheetName val="UNP-NCW_1"/>
      <sheetName val="4_4_External_Plaster1"/>
      <sheetName val="HBI_NCD1"/>
      <sheetName val="CUSTOM_Jun991"/>
      <sheetName val="A_O_R_1"/>
      <sheetName val="Ins_Erection1"/>
      <sheetName val="0__Data_Validation_List1"/>
      <sheetName val="stacking_sheet1"/>
      <sheetName val="Basement_Budget1"/>
      <sheetName val="Night_Shift1"/>
      <sheetName val="ITEM__STUDY_(2)1"/>
      <sheetName val="TDS_Certificate-Format1"/>
      <sheetName val="Staff_Costs1"/>
      <sheetName val="Taluka_wise_dealer_(2)"/>
      <sheetName val="FA(Apr_07)"/>
      <sheetName val="Reco_O_S"/>
      <sheetName val="Determination_of_Threshold"/>
      <sheetName val="cl_14_Annex_7_"/>
      <sheetName val="Encl_7A"/>
      <sheetName val="Graph_(LGEN)"/>
      <sheetName val="선적schedule_(2)"/>
      <sheetName val="USB_1"/>
      <sheetName val="BOQ_Distribution"/>
      <sheetName val="GM_&amp;_TA"/>
      <sheetName val="steam_outlet"/>
      <sheetName val="SCH_10"/>
      <sheetName val="SAP_EMP"/>
      <sheetName val="RATE_LIST_(2)"/>
      <sheetName val="Control_Sheet"/>
      <sheetName val="Loss_3004"/>
      <sheetName val="Reconciliation_of_GL_&amp;_FAR"/>
      <sheetName val="exec_summ"/>
      <sheetName val="RCC_Ret__Wall"/>
      <sheetName val="wdr_bldg"/>
      <sheetName val="Formated_Trial_Balance"/>
      <sheetName val="Monthly_Inputs"/>
      <sheetName val="2000-1_Monthly_Cashflows"/>
      <sheetName val="2002-2_Monthly_Cashflows"/>
      <sheetName val="SAP_downloaded_schedule"/>
      <sheetName val="S_&amp;_A"/>
      <sheetName val="_"/>
      <sheetName val="Lease_Expiry"/>
      <sheetName val="Customize_Your_Invoice"/>
      <sheetName val="Base_data_Security_Procedures"/>
      <sheetName val="HOUSE_RENT_DEPO_"/>
      <sheetName val="Key_Assumption"/>
      <sheetName val="Master_Information"/>
      <sheetName val="Sale_Charts"/>
      <sheetName val="DYN_PP"/>
      <sheetName val="June_Reserve_-_Far_East"/>
      <sheetName val="Schedule_v1"/>
      <sheetName val="Multipliers_&amp;_KRA"/>
      <sheetName val="WC_analytics_(+data_pages)"/>
      <sheetName val="final_061106"/>
      <sheetName val="SAB_P&amp;L"/>
      <sheetName val="cash_flow1"/>
      <sheetName val="DUMP "/>
      <sheetName val="Bspl Main"/>
      <sheetName val="Sch_BS"/>
      <sheetName val="TASKRSRC (2)"/>
      <sheetName val="TARGET"/>
      <sheetName val="BASELINE"/>
      <sheetName val="BHANDUP"/>
      <sheetName val="Final Summary"/>
      <sheetName val="Figures in"/>
      <sheetName val="LIST OF MAKES"/>
      <sheetName val="Names&amp;Cases"/>
      <sheetName val="complexall"/>
      <sheetName val="Bal_Gr"/>
      <sheetName val="OGExp"/>
      <sheetName val="VC_WKG"/>
      <sheetName val="전체현황"/>
      <sheetName val="TR-PBT-Final-Detail"/>
      <sheetName val="SCH4"/>
      <sheetName val="FixedAssets"/>
      <sheetName val="Costs"/>
      <sheetName val="Grp_PL"/>
      <sheetName val="1612.01AN(7) - Niep Tds Summary"/>
      <sheetName val="Unmatched"/>
      <sheetName val="Matched"/>
      <sheetName val="Proforma"/>
      <sheetName val="GF Columns"/>
      <sheetName val="Feb_Prfl_28"/>
      <sheetName val="BM"/>
      <sheetName val="Detail"/>
      <sheetName val="NEWACNO"/>
      <sheetName val="Rates Basic"/>
      <sheetName val="Local Data"/>
      <sheetName val="TB Jan-Dec96"/>
      <sheetName val="Managerial Remuneration-Dec96"/>
      <sheetName val="BS&amp;PL_DEC96"/>
      <sheetName val="CapStru"/>
      <sheetName val="MktCap"/>
      <sheetName val="TradingVol"/>
      <sheetName val="exgratia-feb06"/>
      <sheetName val="1996-97"/>
      <sheetName val="Mthly CFS (Kha)"/>
      <sheetName val="CAUSTIC"/>
      <sheetName val="Reporting VA"/>
      <sheetName val="Standing Data"/>
      <sheetName val="cost sheet-1999-00"/>
      <sheetName val="Tables"/>
      <sheetName val="Misc__Master"/>
      <sheetName val="Capital_Structure"/>
      <sheetName val="TBAL9697_-group_wise__sdpl"/>
      <sheetName val="SEP_"/>
      <sheetName val="Account_title"/>
      <sheetName val="Redelvery_provision_changed"/>
      <sheetName val="Total MTH"/>
      <sheetName val="Charts"/>
      <sheetName val="Infinite Studios"/>
      <sheetName val="Neuros &amp; Immunos"/>
      <sheetName val="Nucleos"/>
      <sheetName val="Balance Sheet_US$"/>
      <sheetName val="HONOTES"/>
      <sheetName val="earnings model"/>
      <sheetName val="DB"/>
      <sheetName val="Base Data"/>
      <sheetName val="080 (2)"/>
      <sheetName val="F.01 - June 2005"/>
      <sheetName val="HW SW"/>
      <sheetName val="CRITERIA1"/>
      <sheetName val="PL"/>
      <sheetName val="EMPMAST"/>
      <sheetName val="agrolist"/>
      <sheetName val="BASIS -DEC 08"/>
      <sheetName val="exec_summ1"/>
      <sheetName val="Customize_Your_Invoice1"/>
      <sheetName val="Sale_Charts1"/>
      <sheetName val="Budget_Summary1"/>
      <sheetName val="Loss_30041"/>
      <sheetName val="Reconciliation_of_GL_&amp;_FAR1"/>
      <sheetName val="Power_&amp;_Fuel_(S)1"/>
      <sheetName val="GF_Columns"/>
      <sheetName val="Trial_Balance_Format"/>
      <sheetName val="labour_rates"/>
      <sheetName val="old_serial_no_"/>
      <sheetName val="Budget_CF_-_Overall"/>
      <sheetName val="공사비_내역_(가)"/>
      <sheetName val="4K_-_(6a)_Non_Manual_Breakdown"/>
      <sheetName val="3__Elemental_Summary"/>
      <sheetName val="August_TB"/>
      <sheetName val="_COP"/>
      <sheetName val="HOUSE_RENT_DEPO_1"/>
      <sheetName val="NOA_Data"/>
      <sheetName val="FIFO"/>
      <sheetName val="Links"/>
      <sheetName val="Lookups"/>
      <sheetName val="pri-com"/>
      <sheetName val="Factors"/>
      <sheetName val="NOT FULL RESTRAINT"/>
      <sheetName val="UC"/>
      <sheetName val="BEARING &amp; BUCKLING"/>
      <sheetName val="COM"/>
      <sheetName val="FSA"/>
      <sheetName val="B"/>
      <sheetName val="FF-2 (1)"/>
      <sheetName val="addl cost"/>
      <sheetName val="FF-1"/>
      <sheetName val="accumdeprn"/>
      <sheetName val="TENSCH"/>
      <sheetName val="Sheet1 (2)"/>
      <sheetName val="AR Graphs"/>
      <sheetName val="Trial"/>
      <sheetName val="BS-203"/>
      <sheetName val="DCF"/>
      <sheetName val="Indices"/>
      <sheetName val="BOQ CIVIL"/>
      <sheetName val="Price Comparison"/>
      <sheetName val="Measurment"/>
      <sheetName val="PFC"/>
      <sheetName val="RSJ"/>
      <sheetName val="cover page"/>
      <sheetName val="Structure Bills Qty"/>
      <sheetName val="beam-reinft"/>
      <sheetName val="Appendix B- 3.Structural Steel"/>
      <sheetName val="Appendix A- 1.Variation"/>
      <sheetName val="Contracts Status"/>
      <sheetName val="Cost Status-1"/>
      <sheetName val="Centaurus Contract Sum "/>
      <sheetName val="Payment Status"/>
      <sheetName val="1. Report"/>
      <sheetName val="Supplier"/>
      <sheetName val="CANDY BOQ"/>
      <sheetName val="FitOutConfCentre"/>
      <sheetName val="Trading Comps"/>
      <sheetName val="Périodes"/>
      <sheetName val="7 Jan 02"/>
      <sheetName val="Sheet3_(2)8"/>
      <sheetName val="Income_Statements8"/>
      <sheetName val="Sheet3__2_8"/>
      <sheetName val="Global_Assm_8"/>
      <sheetName val="QoQ_Forecast8"/>
      <sheetName val="Income_&amp;_Occupancy_Customer8"/>
      <sheetName val="Aladdin_Macro18"/>
      <sheetName val="Acc_10_58"/>
      <sheetName val="Portfolio_Summary4"/>
      <sheetName val="Multiple_output8"/>
      <sheetName val="ABP_inputs8"/>
      <sheetName val="Synergy_Sales_Budget8"/>
      <sheetName val="Project_Budget_Worksheet8"/>
      <sheetName val="Calculation_(2)8"/>
      <sheetName val="Builtup_Area8"/>
      <sheetName val="RCC,Ret__Wall8"/>
      <sheetName val="BOQ_T4B8"/>
      <sheetName val="INDIGINEOUS_ITEMS_8"/>
      <sheetName val="Material_8"/>
      <sheetName val="Labour_&amp;_Plant8"/>
      <sheetName val="_B38"/>
      <sheetName val="_B18"/>
      <sheetName val="beam-reinft-IIInd_floor8"/>
      <sheetName val="IMPORT_T123"/>
      <sheetName val="Current_Bill_MB_ref4"/>
      <sheetName val="Meas_-Hotel_Part4"/>
      <sheetName val="van_khuon3"/>
      <sheetName val="TB_FOR_MIS3"/>
      <sheetName val="INPUT_SHEET2"/>
      <sheetName val="Approved_MTD_Proj_#'s8"/>
      <sheetName val="MN_T_B_8"/>
      <sheetName val="CFForecast_detail8"/>
      <sheetName val="Site_Dev_BOQ8"/>
      <sheetName val="Break_up_Sheet8"/>
      <sheetName val="Load_Details-220kV8"/>
      <sheetName val="Block_A_-_BOQ8"/>
      <sheetName val="IDC_macro3"/>
      <sheetName val="March_Analysts2"/>
      <sheetName val="Rollup_Summary3"/>
      <sheetName val="170810-lease_tax3"/>
      <sheetName val="CABLE_DATA3"/>
      <sheetName val="1st_flr3"/>
      <sheetName val="Civil_Boq3"/>
      <sheetName val="KPM_DT3"/>
      <sheetName val="EXHIBIT&quot;_T&quot;2"/>
      <sheetName val="final_abstract3"/>
      <sheetName val="Rate_analysis3"/>
      <sheetName val="_Acc__Sched_2"/>
      <sheetName val="Dom_Cell_(IS)2"/>
      <sheetName val="Summary_Excise2"/>
      <sheetName val="Other_BS_Sch_5-92"/>
      <sheetName val="Excess_Calc2"/>
      <sheetName val="Grouping_Master2"/>
      <sheetName val="Fin_Sum3"/>
      <sheetName val="Main_Sheet_(MTD)3"/>
      <sheetName val="Consl_Daily_Report3"/>
      <sheetName val="balance_sheet3"/>
      <sheetName val="EDS__Bestshore_Migration2"/>
      <sheetName val="MASTER_RATE_ANALYSIS2"/>
      <sheetName val="Valuation_-_block_22"/>
      <sheetName val="IT_Block2"/>
      <sheetName val="Location_CODE2"/>
      <sheetName val="Location_TYPE2"/>
      <sheetName val="sub_class2"/>
      <sheetName val="_sub_Loc_2"/>
      <sheetName val="Master_Price_List2"/>
      <sheetName val="P_&amp;_L2"/>
      <sheetName val="M-2_Adjusted2"/>
      <sheetName val="Main_workings2"/>
      <sheetName val="Balance_Sheet_2"/>
      <sheetName val="Trial_Balance2"/>
      <sheetName val="Base_Assumptions2"/>
      <sheetName val="SOPMA_DD2"/>
      <sheetName val="03_(2)2"/>
      <sheetName val="WIng_F(Typical)2"/>
      <sheetName val="10__&amp;_11__Rate_Code_&amp;_BQ2"/>
      <sheetName val="FITZ_MORT_942"/>
      <sheetName val="QoQ_In_Lakhs2"/>
      <sheetName val="vb_9&amp;102"/>
      <sheetName val="Goldberg_Portfolio_Combined2"/>
      <sheetName val="Commercial_Research2"/>
      <sheetName val="MIS_-_kINR3"/>
      <sheetName val="9__Package_split_-_Cost_2"/>
      <sheetName val="Legal_Risk_Analysis2"/>
      <sheetName val="Operating_Statistics2"/>
      <sheetName val="Theatre_mgmt_cont2"/>
      <sheetName val="IO_LIST2"/>
      <sheetName val="Cash_Flow_Working2"/>
      <sheetName val="Training_Deposits_coding2"/>
      <sheetName val="Notes-pivot1_2"/>
      <sheetName val="Leasing_Commision2"/>
      <sheetName val="Master_list2"/>
      <sheetName val="Labour_List2"/>
      <sheetName val="Material_List2"/>
      <sheetName val="Architectural_Summary2"/>
      <sheetName val="Labor_abs-NMR2"/>
      <sheetName val="Beam_at_Ground_flr_lvl(Steel)2"/>
      <sheetName val="1st_-vpd2"/>
      <sheetName val="Material_List_2"/>
      <sheetName val="schedule_nos2"/>
      <sheetName val="Fill_this_out_first___2"/>
      <sheetName val="FA_Schedule_Dec_072"/>
      <sheetName val="P_R__TAXES2"/>
      <sheetName val="BILLING_SUM2"/>
      <sheetName val="extra_work_elec_bill_2"/>
      <sheetName val="NEW-IDs_Fun_&amp;_Group2"/>
      <sheetName val="RCC_Rates2"/>
      <sheetName val="소상_&quot;1&quot;2"/>
      <sheetName val="Cost_summary2"/>
      <sheetName val="Open_Items-3112082"/>
      <sheetName val="PRECAST_lightconc-II2"/>
      <sheetName val="Debtors_analysis2"/>
      <sheetName val="pile_Fabrication2"/>
      <sheetName val="Tender_Summary2"/>
      <sheetName val="Bill_1-BOQ-Civil_Works2"/>
      <sheetName val="UNP-NCW_2"/>
      <sheetName val="4_4_External_Plaster2"/>
      <sheetName val="MIS_AC_wise2"/>
      <sheetName val="A_O_R_2"/>
      <sheetName val="Service_Invoice2"/>
      <sheetName val="LBO_Financials2"/>
      <sheetName val="ANN_K2"/>
      <sheetName val="drop-dwn_list2"/>
      <sheetName val="Rev_Opt_-_Rollup2"/>
      <sheetName val="Night_Shift2"/>
      <sheetName val="Graph_(LGEN)1"/>
      <sheetName val="선적schedule_(2)1"/>
      <sheetName val="USB_11"/>
      <sheetName val="BOQ_Distribution1"/>
      <sheetName val="GM_&amp;_TA1"/>
      <sheetName val="steam_outlet1"/>
      <sheetName val="FA(Apr_07)1"/>
      <sheetName val="Reco_O_S1"/>
      <sheetName val="Retail_Mall2"/>
      <sheetName val="Multipliers_&amp;_KRA1"/>
      <sheetName val="ASSETS_P&amp;M2"/>
      <sheetName val="Assets_Land_&amp;_Mise_FA2"/>
      <sheetName val="cl_14_Annex_7_1"/>
      <sheetName val="Encl_7A1"/>
      <sheetName val="SCH_101"/>
      <sheetName val="SAP_EMP1"/>
      <sheetName val="RATE_LIST_(2)1"/>
      <sheetName val="Control_Sheet1"/>
      <sheetName val="ITEM__STUDY_(2)2"/>
      <sheetName val="Felix_Street_Summary2"/>
      <sheetName val="Ins_Erection2"/>
      <sheetName val="TDS_Certificate-Format2"/>
      <sheetName val="Related_party_-_P&amp;L2"/>
      <sheetName val="HBI_NCD2"/>
      <sheetName val="CUSTOM_Jun992"/>
      <sheetName val="Overall_Summary2"/>
      <sheetName val="Basement_Budget2"/>
      <sheetName val="Staff_Costs2"/>
      <sheetName val="NGS_Data_Sheet"/>
      <sheetName val="SGS_Data_Sheet"/>
      <sheetName val="0__Data_Validation_List2"/>
      <sheetName val="stacking_sheet2"/>
      <sheetName val="Determination_of_Threshold1"/>
      <sheetName val="Taluka_wise_dealer_(2)1"/>
      <sheetName val="RCC_Ret__Wall1"/>
      <sheetName val="_1"/>
      <sheetName val="SAP_downloaded_schedule1"/>
      <sheetName val="S_&amp;_A1"/>
      <sheetName val="Schedule_v11"/>
      <sheetName val="Lease_Expiry1"/>
      <sheetName val="wdr_bldg1"/>
      <sheetName val="Formated_Trial_Balance1"/>
      <sheetName val="Monthly_Inputs1"/>
      <sheetName val="2000-1_Monthly_Cashflows1"/>
      <sheetName val="2002-2_Monthly_Cashflows1"/>
      <sheetName val="DYN_PP1"/>
      <sheetName val="June_Reserve_-_Far_East1"/>
      <sheetName val="WC_analytics_(+data_pages)1"/>
      <sheetName val="Base_data_Security_Procedures1"/>
      <sheetName val="Rs_in_lacs"/>
      <sheetName val="Esteem_Rear"/>
      <sheetName val="final_0611061"/>
      <sheetName val="SAB_P&amp;L1"/>
      <sheetName val="cash_flow2"/>
      <sheetName val="Key_Assumption1"/>
      <sheetName val="Master_Information1"/>
      <sheetName val="Check_Register"/>
      <sheetName val="EBITDA_Bridge"/>
      <sheetName val="2003_Budget-PL-case1"/>
      <sheetName val="meeting_rectification_control"/>
      <sheetName val="Loan_Data"/>
      <sheetName val="Standalone_seg"/>
      <sheetName val="Cash_Flow_"/>
      <sheetName val="Elec_Summ"/>
      <sheetName val="ELEC_BOQ"/>
      <sheetName val="TRACK_BUSWAY"/>
      <sheetName val="STAFFSCHED_"/>
      <sheetName val="Basic_Rate"/>
      <sheetName val="SP_Break_Up"/>
      <sheetName val="4_Annex_1_Basic_rate"/>
      <sheetName val="Fin__Assumpt__-_Sensitivities"/>
      <sheetName val="currency_(2)"/>
      <sheetName val="NW_RTU"/>
      <sheetName val="Clause_9"/>
      <sheetName val="Other_notes"/>
      <sheetName val="Linked_Lead"/>
      <sheetName val="DUMP_"/>
      <sheetName val="Bspl_Main"/>
      <sheetName val="ANNX-C"/>
      <sheetName val="exp-m"/>
      <sheetName val="Roll-up"/>
      <sheetName val="VAR STORE_CONS"/>
      <sheetName val="Flexi"/>
      <sheetName val="Profit and Loss"/>
      <sheetName val="Deno"/>
      <sheetName val="Consolidated CF"/>
      <sheetName val="Anlysis"/>
      <sheetName val="Misc__Master1"/>
      <sheetName val="Capital_Structure1"/>
      <sheetName val="Redelvery_provision_changed1"/>
      <sheetName val="SEP_1"/>
      <sheetName val="TBAL9697_-group_wise__sdpl1"/>
      <sheetName val="TASKRSRC_(2)"/>
      <sheetName val="Account_title1"/>
      <sheetName val="INQVAR_PY"/>
      <sheetName val="Schedules_3-8"/>
      <sheetName val="Total_MTH"/>
      <sheetName val="Infinite_Studios"/>
      <sheetName val="Neuros_&amp;_Immunos"/>
      <sheetName val="Jun_2000"/>
      <sheetName val="Sheet2_(2)"/>
      <sheetName val="A"/>
      <sheetName val="Leg 1-1"/>
      <sheetName val="Door &amp; Window"/>
      <sheetName val="Sheet5"/>
      <sheetName val="Labour productivity"/>
      <sheetName val="Field Values"/>
      <sheetName val="Old"/>
      <sheetName val="Measurements"/>
      <sheetName val="Flooring"/>
      <sheetName val="Ceilings"/>
      <sheetName val="ACAD Finishes"/>
      <sheetName val="Site Details"/>
      <sheetName val="Chair"/>
      <sheetName val="Site Area Statement"/>
      <sheetName val="Doors"/>
      <sheetName val="Form 6"/>
      <sheetName val="COLUMN"/>
      <sheetName val="except wiring"/>
      <sheetName val="loadcal"/>
      <sheetName val="WXY"/>
      <sheetName val="경비공통"/>
      <sheetName val="SUPPLY -Sanitary Fixtures"/>
      <sheetName val="External"/>
      <sheetName val="ITEMS FOR CIVIL TENDER"/>
      <sheetName val="MPR_PA_1"/>
      <sheetName val="Maping_Other"/>
      <sheetName val="EAW Final Accounts - 99"/>
      <sheetName val="Resue Hoist"/>
      <sheetName val="P&amp;L and CFlow"/>
      <sheetName val="NOV95"/>
      <sheetName val="Acquisition Assumptions"/>
      <sheetName val="REPV2002"/>
      <sheetName val="Key Assumptions"/>
      <sheetName val="Adjusted data"/>
      <sheetName val="JetFuel"/>
      <sheetName val="Block A"/>
      <sheetName val="cs1997"/>
      <sheetName val="Book1"/>
      <sheetName val="Corridor"/>
      <sheetName val="Valuation (F)"/>
      <sheetName val="인사현황(부서)"/>
      <sheetName val="ICD"/>
      <sheetName val="Exim FCL"/>
      <sheetName val="IFS_Cr"/>
      <sheetName val="COA"/>
      <sheetName val="beam-reinft-machine rm"/>
      <sheetName val="Manufacturing Statistics"/>
      <sheetName val="curlocal"/>
      <sheetName val="Manualformat"/>
      <sheetName val="MenuData"/>
      <sheetName val="1072"/>
      <sheetName val="mltc"/>
      <sheetName val="Dollar_Value"/>
      <sheetName val="GL Links"/>
      <sheetName val="PX1DATA"/>
      <sheetName val="PX2DATA"/>
      <sheetName val="Power &amp; Fuel(SMS)"/>
      <sheetName val="IncidentsEAP"/>
      <sheetName val="ADDN0304"/>
      <sheetName val="#REF!"/>
      <sheetName val="PROCTOR"/>
      <sheetName val="Total Debtors Ageing Sheet"/>
      <sheetName val="Last Month Report"/>
      <sheetName val="Sitewise Rev 06-09"/>
      <sheetName val="O2.1"/>
      <sheetName val="Original"/>
      <sheetName val="QTY. PROV.LAB"/>
      <sheetName val="List"/>
      <sheetName val="Internal Data"/>
      <sheetName val="nishanth"/>
      <sheetName val="ECR.ECNOI Slide"/>
      <sheetName val="zpctb-dta"/>
      <sheetName val="mkg"/>
      <sheetName val="2.1. Claimed Not Ack as debts"/>
      <sheetName val="2.4. Service Tax Contingent"/>
      <sheetName val="6. Auditor Payment"/>
      <sheetName val="7. Pauling Joint Venture"/>
      <sheetName val="8. Non Provision"/>
      <sheetName val="5. MR"/>
      <sheetName val="Cost Centre Master"/>
      <sheetName val="RESOIL-DELETE!!!!!"/>
      <sheetName val="RELACION_REFERENCIAS"/>
      <sheetName val="Pivot"/>
      <sheetName val="Feiertage"/>
      <sheetName val="Column L1 to L2"/>
      <sheetName val="Column L2 to L3"/>
      <sheetName val="BEAM"/>
      <sheetName val="RAMP 3"/>
      <sheetName val="RAMP 1"/>
      <sheetName val="staircase"/>
      <sheetName val="R_Wall"/>
      <sheetName val="Column B1 to L1"/>
      <sheetName val="Slab L1"/>
      <sheetName val="Slab L2"/>
      <sheetName val="Pivot_Weighted_SC_edit"/>
      <sheetName val="lookup"/>
      <sheetName val="BOQ "/>
      <sheetName val="GL_Master_Data"/>
      <sheetName val="設計時間"/>
      <sheetName val="Elec_Summ1"/>
      <sheetName val="ELEC_BOQ1"/>
      <sheetName val="TRACK_BUSWAY1"/>
      <sheetName val="STAFFSCHED_1"/>
      <sheetName val="Basic_Rate1"/>
      <sheetName val="SP_Break_Up1"/>
      <sheetName val="4_Annex_1_Basic_rate1"/>
      <sheetName val="Fin__Assumpt__-_Sensitivities1"/>
      <sheetName val="Other_notes1"/>
      <sheetName val="Linked_Lead1"/>
      <sheetName val="_COP1"/>
      <sheetName val="TASKRSRC_(2)1"/>
      <sheetName val="CABLERET"/>
      <sheetName val="banilad"/>
      <sheetName val="Mactan"/>
      <sheetName val="Mandaue"/>
      <sheetName val="lineby line consolidation"/>
      <sheetName val="GUT (2)"/>
      <sheetName val="ACE-OUT"/>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Issue Log"/>
      <sheetName val="Quantity"/>
      <sheetName val="Expenditure Analysis"/>
      <sheetName val="RAZ$"/>
      <sheetName val="Budget heads"/>
      <sheetName val="MERGER"/>
      <sheetName val="Budget_Summary2"/>
      <sheetName val="Loss_30042"/>
      <sheetName val="Reconciliation_of_GL_&amp;_FAR2"/>
      <sheetName val="exec_summ2"/>
      <sheetName val="Customize_Your_Invoice2"/>
      <sheetName val="Sale_Charts2"/>
      <sheetName val="Trial_Balance_Format1"/>
      <sheetName val="NOA_Data1"/>
      <sheetName val="BASIS_-DEC_08"/>
      <sheetName val="HOUSE_RENT_DEPO_2"/>
      <sheetName val="grp_"/>
      <sheetName val="Base_Data"/>
      <sheetName val="080_(2)"/>
      <sheetName val="F_01_-_June_2005"/>
      <sheetName val="HW_SW"/>
      <sheetName val="earnings_model"/>
      <sheetName val="Balance_Sheet_US$"/>
      <sheetName val="FF-2_(1)"/>
      <sheetName val="addl_cost"/>
      <sheetName val="gl"/>
      <sheetName val="1 LeadSchedule"/>
      <sheetName val="Fin Chrgs"/>
      <sheetName val="Background"/>
      <sheetName val="staff acco."/>
      <sheetName val="Stacking Plan &amp; LEP"/>
      <sheetName val="Stack Expiry"/>
      <sheetName val="인원계획-미화"/>
      <sheetName val="Collateral"/>
      <sheetName val="Category"/>
      <sheetName val="s8"/>
      <sheetName val="s7"/>
      <sheetName val="s9"/>
      <sheetName val="15"/>
      <sheetName val="Assm"/>
      <sheetName val="Unit&amp;CK"/>
      <sheetName val="Sheet3_(2)9"/>
      <sheetName val="Sheet3__2_9"/>
      <sheetName val="Income_&amp;_Occupancy_Customer9"/>
      <sheetName val="Income_Statements9"/>
      <sheetName val="QoQ_Forecast9"/>
      <sheetName val="Aladdin_Macro19"/>
      <sheetName val="Acc_10_59"/>
      <sheetName val="Global_Assm_9"/>
      <sheetName val="ABP_inputs9"/>
      <sheetName val="Synergy_Sales_Budget9"/>
      <sheetName val="Project_Budget_Worksheet9"/>
      <sheetName val="Calculation_(2)9"/>
      <sheetName val="Multiple_output9"/>
      <sheetName val="Builtup_Area9"/>
      <sheetName val="RCC,Ret__Wall9"/>
      <sheetName val="BOQ_T4B9"/>
      <sheetName val="INDIGINEOUS_ITEMS_9"/>
      <sheetName val="van_khuon4"/>
      <sheetName val="IDC_macro4"/>
      <sheetName val="Portfolio_Summary5"/>
      <sheetName val="Material_9"/>
      <sheetName val="Labour_&amp;_Plant9"/>
      <sheetName val="_B39"/>
      <sheetName val="_B19"/>
      <sheetName val="beam-reinft-IIInd_floor9"/>
      <sheetName val="Summary_Excise3"/>
      <sheetName val="Other_BS_Sch_5-93"/>
      <sheetName val="Excess_Calc3"/>
      <sheetName val="Grouping_Master3"/>
      <sheetName val="Current_Bill_MB_ref5"/>
      <sheetName val="Meas_-Hotel_Part5"/>
      <sheetName val="Approved_MTD_Proj_#'s9"/>
      <sheetName val="M-2_Adjusted3"/>
      <sheetName val="Fin_Sum4"/>
      <sheetName val="IMPORT_T124"/>
      <sheetName val="KPM_DT4"/>
      <sheetName val="TB_FOR_MIS4"/>
      <sheetName val="INPUT_SHEET3"/>
      <sheetName val="MN_T_B_9"/>
      <sheetName val="CFForecast_detail9"/>
      <sheetName val="Site_Dev_BOQ9"/>
      <sheetName val="Break_up_Sheet9"/>
      <sheetName val="Load_Details-220kV9"/>
      <sheetName val="Block_A_-_BOQ9"/>
      <sheetName val="Rollup_Summary4"/>
      <sheetName val="170810-lease_tax4"/>
      <sheetName val="Dom_Cell_(IS)3"/>
      <sheetName val="March_Analysts3"/>
      <sheetName val="CABLE_DATA4"/>
      <sheetName val="1st_flr4"/>
      <sheetName val="Civil_Boq4"/>
      <sheetName val="final_abstract4"/>
      <sheetName val="Rate_analysis4"/>
      <sheetName val="_Acc__Sched_3"/>
      <sheetName val="Main_Sheet_(MTD)4"/>
      <sheetName val="Consl_Daily_Report4"/>
      <sheetName val="Master_Price_List3"/>
      <sheetName val="P_&amp;_L3"/>
      <sheetName val="Training_Deposits_coding3"/>
      <sheetName val="EXHIBIT&quot;_T&quot;3"/>
      <sheetName val="balance_sheet4"/>
      <sheetName val="Balance_Sheet_3"/>
      <sheetName val="EDS__Bestshore_Migration3"/>
      <sheetName val="Main_workings3"/>
      <sheetName val="IT_Block3"/>
      <sheetName val="Location_CODE3"/>
      <sheetName val="Location_TYPE3"/>
      <sheetName val="sub_class3"/>
      <sheetName val="_sub_Loc_3"/>
      <sheetName val="Cash_Flow_Working3"/>
      <sheetName val="MASTER_RATE_ANALYSIS3"/>
      <sheetName val="Valuation_-_block_23"/>
      <sheetName val="MIS_-_kINR4"/>
      <sheetName val="ANN_K3"/>
      <sheetName val="03_(2)3"/>
      <sheetName val="WIng_F(Typical)3"/>
      <sheetName val="Legal_Risk_Analysis3"/>
      <sheetName val="Rev_Opt_-_Rollup3"/>
      <sheetName val="Open_Items-3112083"/>
      <sheetName val="SOPMA_DD3"/>
      <sheetName val="Debtors_analysis3"/>
      <sheetName val="Architectural_Summary3"/>
      <sheetName val="pile_Fabrication3"/>
      <sheetName val="IO_LIST3"/>
      <sheetName val="Master_list3"/>
      <sheetName val="Labour_List3"/>
      <sheetName val="Material_List3"/>
      <sheetName val="Labor_abs-NMR3"/>
      <sheetName val="Beam_at_Ground_flr_lvl(Steel)3"/>
      <sheetName val="1st_-vpd3"/>
      <sheetName val="Material_List_3"/>
      <sheetName val="schedule_nos3"/>
      <sheetName val="LBO_Financials3"/>
      <sheetName val="Theatre_mgmt_cont3"/>
      <sheetName val="Base_Assumptions3"/>
      <sheetName val="10__&amp;_11__Rate_Code_&amp;_BQ3"/>
      <sheetName val="FITZ_MORT_943"/>
      <sheetName val="QoQ_In_Lakhs3"/>
      <sheetName val="vb_9&amp;103"/>
      <sheetName val="Goldberg_Portfolio_Combined3"/>
      <sheetName val="Commercial_Research3"/>
      <sheetName val="Fill_this_out_first___3"/>
      <sheetName val="FA_Schedule_Dec_073"/>
      <sheetName val="SAP_downloaded_schedule2"/>
      <sheetName val="Operating_Statistics3"/>
      <sheetName val="9__Package_split_-_Cost_3"/>
      <sheetName val="NEW-IDs_Fun_&amp;_Group3"/>
      <sheetName val="Retail_Mall3"/>
      <sheetName val="FA(Apr_07)2"/>
      <sheetName val="Reco_O_S2"/>
      <sheetName val="Felix_Street_Summary3"/>
      <sheetName val="ITEM__STUDY_(2)3"/>
      <sheetName val="TDS_Certificate-Format3"/>
      <sheetName val="Trial_Balance3"/>
      <sheetName val="P_R__TAXES3"/>
      <sheetName val="BILLING_SUM3"/>
      <sheetName val="Leasing_Commision3"/>
      <sheetName val="Service_Invoice3"/>
      <sheetName val="MIS_AC_wise3"/>
      <sheetName val="drop-dwn_list3"/>
      <sheetName val="extra_work_elec_bill_3"/>
      <sheetName val="A_O_R_3"/>
      <sheetName val="HBI_NCD3"/>
      <sheetName val="CUSTOM_Jun993"/>
      <sheetName val="Night_Shift3"/>
      <sheetName val="Overall_Summary3"/>
      <sheetName val="소상_&quot;1&quot;3"/>
      <sheetName val="Related_party_-_P&amp;L3"/>
      <sheetName val="Cost_summary3"/>
      <sheetName val="RCC_Rates3"/>
      <sheetName val="PRECAST_lightconc-II3"/>
      <sheetName val="Tender_Summary3"/>
      <sheetName val="Bill_1-BOQ-Civil_Works3"/>
      <sheetName val="UNP-NCW_3"/>
      <sheetName val="4_4_External_Plaster3"/>
      <sheetName val="Lease_Expiry2"/>
      <sheetName val="Ins_Erection3"/>
      <sheetName val="Base_data_Security_Procedures2"/>
      <sheetName val="Notes-pivot1_3"/>
      <sheetName val="ASSETS_P&amp;M3"/>
      <sheetName val="Assets_Land_&amp;_Mise_FA3"/>
      <sheetName val="Basement_Budget3"/>
      <sheetName val="0__Data_Validation_List3"/>
      <sheetName val="stacking_sheet3"/>
      <sheetName val="Taluka_wise_dealer_(2)2"/>
      <sheetName val="Redelvery_provision_changed2"/>
      <sheetName val="Power_&amp;_Fuel_(S)2"/>
      <sheetName val="Graph_(LGEN)2"/>
      <sheetName val="선적schedule_(2)2"/>
      <sheetName val="Monthly_Inputs2"/>
      <sheetName val="2000-1_Monthly_Cashflows2"/>
      <sheetName val="2002-2_Monthly_Cashflows2"/>
      <sheetName val="cl_14_Annex_7_2"/>
      <sheetName val="Encl_7A2"/>
      <sheetName val="wdr_bldg2"/>
      <sheetName val="Formated_Trial_Balance2"/>
      <sheetName val="SEP_2"/>
      <sheetName val="S_&amp;_A2"/>
      <sheetName val="Schedule_v12"/>
      <sheetName val="USB_12"/>
      <sheetName val="_2"/>
      <sheetName val="BOQ_Distribution2"/>
      <sheetName val="GM_&amp;_TA2"/>
      <sheetName val="steam_outlet2"/>
      <sheetName val="SCH_102"/>
      <sheetName val="SAP_EMP2"/>
      <sheetName val="Staff_Costs3"/>
      <sheetName val="RATE_LIST_(2)2"/>
      <sheetName val="Control_Sheet2"/>
      <sheetName val="final_0611062"/>
      <sheetName val="SAB_P&amp;L2"/>
      <sheetName val="cash_flow3"/>
      <sheetName val="Determination_of_Threshold2"/>
      <sheetName val="Multipliers_&amp;_KRA2"/>
      <sheetName val="DYN_PP2"/>
      <sheetName val="June_Reserve_-_Far_East2"/>
      <sheetName val="WC_analytics_(+data_pages)2"/>
      <sheetName val="Rs_in_lacs1"/>
      <sheetName val="Esteem_Rear1"/>
      <sheetName val="NGS_Data_Sheet1"/>
      <sheetName val="SGS_Data_Sheet1"/>
      <sheetName val="RCC_Ret__Wall2"/>
      <sheetName val="Capital_Structure2"/>
      <sheetName val="TBAL9697_-group_wise__sdpl2"/>
      <sheetName val="Misc__Master2"/>
      <sheetName val="Jul_96_Worksheet"/>
      <sheetName val="Account_title2"/>
      <sheetName val="Check_Register1"/>
      <sheetName val="EBITDA_Bridge1"/>
      <sheetName val="2003_Budget-PL-case11"/>
      <sheetName val="Key_Assumption2"/>
      <sheetName val="Master_Information2"/>
      <sheetName val="meeting_rectification_control1"/>
      <sheetName val="Loan_Data1"/>
      <sheetName val="Standalone_seg1"/>
      <sheetName val="currency_(2)1"/>
      <sheetName val="NW_RTU1"/>
      <sheetName val="Clause_91"/>
      <sheetName val="Rates_Basic"/>
      <sheetName val="labour_rates1"/>
      <sheetName val="old_serial_no_1"/>
      <sheetName val="Budget_CF_-_Overall1"/>
      <sheetName val="공사비_내역_(가)1"/>
      <sheetName val="4K_-_(6a)_Non_Manual_Breakdown1"/>
      <sheetName val="3__Elemental_Summary1"/>
      <sheetName val="August_TB1"/>
      <sheetName val="GF_Columns1"/>
      <sheetName val="Prov_for_exp-April'08_-_June'08"/>
      <sheetName val="Provision_for_exp-Upto_Mar'08"/>
      <sheetName val="creditors_to_others"/>
      <sheetName val="other_amt&amp;recoveries_payable"/>
      <sheetName val="other_exp_charges_recoverable"/>
      <sheetName val="rental_deposits"/>
      <sheetName val="other_deposits_"/>
      <sheetName val="prepaid_expenses"/>
      <sheetName val="sal_adv"/>
      <sheetName val="Cash_Flow_1"/>
      <sheetName val="Mthly_CFS_(Kha)"/>
      <sheetName val="DUMP_1"/>
      <sheetName val="Bspl_Main1"/>
      <sheetName val="Jun_20001"/>
      <sheetName val="Sheet2_(2)1"/>
      <sheetName val="Total_MTH1"/>
      <sheetName val="beam-reinft-machine_rm"/>
      <sheetName val="INQVAR_PY1"/>
      <sheetName val="Schedules_3-81"/>
      <sheetName val="BOQ_CIVIL"/>
      <sheetName val="Price_Comparison"/>
      <sheetName val="O2_1"/>
      <sheetName val="Infinite_Studios1"/>
      <sheetName val="Neuros_&amp;_Immunos1"/>
      <sheetName val="NOT_FULL_RESTRAINT"/>
      <sheetName val="BEARING_&amp;_BUCKLING"/>
      <sheetName val="Final_Summary"/>
      <sheetName val="Figures_in"/>
      <sheetName val="7_Jan_02"/>
      <sheetName val="EAW_Final_Accounts_-_99"/>
      <sheetName val="Conversion_Table"/>
      <sheetName val="Consolidated_CF"/>
      <sheetName val="Key_Assumptions"/>
      <sheetName val="VAR_STORE_CONS"/>
      <sheetName val="Profit_and_Loss"/>
      <sheetName val="Trading_Comps"/>
      <sheetName val="P&amp;L_and_CFlow"/>
      <sheetName val="QTY__PROV_LAB"/>
      <sheetName val="Internal_Data"/>
      <sheetName val="AR_Graphs"/>
      <sheetName val="Resue_Hoist"/>
      <sheetName val="Reporting_VA"/>
      <sheetName val="Standing_Data"/>
      <sheetName val="cost_sheet-1999-00"/>
      <sheetName val="Local_Data"/>
      <sheetName val="Manufacturing_Statistics"/>
      <sheetName val="ECR_ECNOI_Slide"/>
      <sheetName val="cover_page"/>
      <sheetName val="Structure_Bills_Qty"/>
      <sheetName val="Appendix_B-_3_Structural_Steel"/>
      <sheetName val="Appendix_A-_1_Variation"/>
      <sheetName val="Contracts_Status"/>
      <sheetName val="Cost_Status-1"/>
      <sheetName val="Centaurus_Contract_Sum_"/>
      <sheetName val="Payment_Status"/>
      <sheetName val="1__Report"/>
      <sheetName val="CANDY_BOQ"/>
      <sheetName val="Leg_1-1"/>
      <sheetName val="Door_&amp;_Window"/>
      <sheetName val="Labour_productivity"/>
      <sheetName val="Field_Values"/>
      <sheetName val="ACAD_Finishes"/>
      <sheetName val="Site_Details"/>
      <sheetName val="Site_Area_Statement"/>
      <sheetName val="Form_6"/>
      <sheetName val="except_wiring"/>
      <sheetName val="SUPPLY_-Sanitary_Fixtures"/>
      <sheetName val="ITEMS_FOR_CIVIL_TENDER"/>
      <sheetName val="2_1__Claimed_Not_Ack_as_debts"/>
      <sheetName val="2_4__Service_Tax_Contingent"/>
      <sheetName val="6__Auditor_Payment"/>
      <sheetName val="7__Pauling_Joint_Venture"/>
      <sheetName val="8__Non_Provision"/>
      <sheetName val="5__MR"/>
      <sheetName val="1612_01AN(7)_-_Niep_Tds_Summary"/>
      <sheetName val="Last_Month_Report"/>
      <sheetName val="Sheet3_(2)10"/>
      <sheetName val="Sheet3__2_10"/>
      <sheetName val="Income_&amp;_Occupancy_Customer10"/>
      <sheetName val="Income_Statements10"/>
      <sheetName val="QoQ_Forecast10"/>
      <sheetName val="Aladdin_Macro110"/>
      <sheetName val="Acc_10_510"/>
      <sheetName val="Global_Assm_10"/>
      <sheetName val="ABP_inputs10"/>
      <sheetName val="Synergy_Sales_Budget10"/>
      <sheetName val="Project_Budget_Worksheet10"/>
      <sheetName val="Calculation_(2)10"/>
      <sheetName val="Multiple_output10"/>
      <sheetName val="Builtup_Area10"/>
      <sheetName val="RCC,Ret__Wall10"/>
      <sheetName val="BOQ_T4B10"/>
      <sheetName val="INDIGINEOUS_ITEMS_10"/>
      <sheetName val="van_khuon5"/>
      <sheetName val="IDC_macro5"/>
      <sheetName val="Portfolio_Summary6"/>
      <sheetName val="Material_10"/>
      <sheetName val="Labour_&amp;_Plant10"/>
      <sheetName val="_B310"/>
      <sheetName val="_B110"/>
      <sheetName val="beam-reinft-IIInd_floor10"/>
      <sheetName val="Summary_Excise4"/>
      <sheetName val="Other_BS_Sch_5-94"/>
      <sheetName val="Excess_Calc4"/>
      <sheetName val="Grouping_Master4"/>
      <sheetName val="Current_Bill_MB_ref6"/>
      <sheetName val="Meas_-Hotel_Part6"/>
      <sheetName val="Approved_MTD_Proj_#'s10"/>
      <sheetName val="M-2_Adjusted4"/>
      <sheetName val="Fin_Sum5"/>
      <sheetName val="IMPORT_T125"/>
      <sheetName val="KPM_DT5"/>
      <sheetName val="TB_FOR_MIS5"/>
      <sheetName val="INPUT_SHEET4"/>
      <sheetName val="MN_T_B_10"/>
      <sheetName val="CFForecast_detail10"/>
      <sheetName val="Site_Dev_BOQ10"/>
      <sheetName val="Break_up_Sheet10"/>
      <sheetName val="Load_Details-220kV10"/>
      <sheetName val="Block_A_-_BOQ10"/>
      <sheetName val="Rollup_Summary5"/>
      <sheetName val="170810-lease_tax5"/>
      <sheetName val="Dom_Cell_(IS)4"/>
      <sheetName val="March_Analysts4"/>
      <sheetName val="CABLE_DATA5"/>
      <sheetName val="1st_flr5"/>
      <sheetName val="Civil_Boq5"/>
      <sheetName val="final_abstract5"/>
      <sheetName val="Rate_analysis5"/>
      <sheetName val="_Acc__Sched_4"/>
      <sheetName val="Main_Sheet_(MTD)5"/>
      <sheetName val="Consl_Daily_Report5"/>
      <sheetName val="Master_Price_List4"/>
      <sheetName val="P_&amp;_L4"/>
      <sheetName val="Training_Deposits_coding4"/>
      <sheetName val="EXHIBIT&quot;_T&quot;4"/>
      <sheetName val="balance_sheet5"/>
      <sheetName val="Balance_Sheet_4"/>
      <sheetName val="EDS__Bestshore_Migration4"/>
      <sheetName val="Main_workings4"/>
      <sheetName val="IT_Block4"/>
      <sheetName val="Location_CODE4"/>
      <sheetName val="Location_TYPE4"/>
      <sheetName val="sub_class4"/>
      <sheetName val="_sub_Loc_4"/>
      <sheetName val="Cash_Flow_Working4"/>
      <sheetName val="MASTER_RATE_ANALYSIS4"/>
      <sheetName val="Valuation_-_block_24"/>
      <sheetName val="MIS_-_kINR5"/>
      <sheetName val="ANN_K4"/>
      <sheetName val="03_(2)4"/>
      <sheetName val="WIng_F(Typical)4"/>
      <sheetName val="Legal_Risk_Analysis4"/>
      <sheetName val="Rev_Opt_-_Rollup4"/>
      <sheetName val="Open_Items-3112084"/>
      <sheetName val="SOPMA_DD4"/>
      <sheetName val="Debtors_analysis4"/>
      <sheetName val="Architectural_Summary4"/>
      <sheetName val="pile_Fabrication4"/>
      <sheetName val="IO_LIST4"/>
      <sheetName val="Master_list4"/>
      <sheetName val="Labour_List4"/>
      <sheetName val="Material_List4"/>
      <sheetName val="Labor_abs-NMR4"/>
      <sheetName val="Beam_at_Ground_flr_lvl(Steel)4"/>
      <sheetName val="1st_-vpd4"/>
      <sheetName val="Material_List_4"/>
      <sheetName val="schedule_nos4"/>
      <sheetName val="LBO_Financials4"/>
      <sheetName val="Theatre_mgmt_cont4"/>
      <sheetName val="Base_Assumptions4"/>
      <sheetName val="10__&amp;_11__Rate_Code_&amp;_BQ4"/>
      <sheetName val="FITZ_MORT_944"/>
      <sheetName val="QoQ_In_Lakhs4"/>
      <sheetName val="vb_9&amp;104"/>
      <sheetName val="Goldberg_Portfolio_Combined4"/>
      <sheetName val="Commercial_Research4"/>
      <sheetName val="Fill_this_out_first___4"/>
      <sheetName val="FA_Schedule_Dec_074"/>
      <sheetName val="SAP_downloaded_schedule3"/>
      <sheetName val="Retail_Mall4"/>
      <sheetName val="NEW-IDs_Fun_&amp;_Group4"/>
      <sheetName val="Operating_Statistics4"/>
      <sheetName val="9__Package_split_-_Cost_4"/>
      <sheetName val="FA(Apr_07)3"/>
      <sheetName val="Reco_O_S3"/>
      <sheetName val="extra_work_elec_bill_4"/>
      <sheetName val="Leasing_Commision4"/>
      <sheetName val="Felix_Street_Summary4"/>
      <sheetName val="ITEM__STUDY_(2)4"/>
      <sheetName val="TDS_Certificate-Format4"/>
      <sheetName val="Trial_Balance4"/>
      <sheetName val="P_R__TAXES4"/>
      <sheetName val="BILLING_SUM4"/>
      <sheetName val="Service_Invoice4"/>
      <sheetName val="MIS_AC_wise4"/>
      <sheetName val="drop-dwn_list4"/>
      <sheetName val="A_O_R_4"/>
      <sheetName val="HBI_NCD4"/>
      <sheetName val="CUSTOM_Jun994"/>
      <sheetName val="Night_Shift4"/>
      <sheetName val="Overall_Summary4"/>
      <sheetName val="소상_&quot;1&quot;4"/>
      <sheetName val="Related_party_-_P&amp;L4"/>
      <sheetName val="Cost_summary4"/>
      <sheetName val="RCC_Rates4"/>
      <sheetName val="PRECAST_lightconc-II4"/>
      <sheetName val="Tender_Summary4"/>
      <sheetName val="Bill_1-BOQ-Civil_Works4"/>
      <sheetName val="UNP-NCW_4"/>
      <sheetName val="4_4_External_Plaster4"/>
      <sheetName val="Lease_Expiry3"/>
      <sheetName val="Customize_Your_Invoice3"/>
      <sheetName val="Budget_Summary3"/>
      <sheetName val="Loss_30043"/>
      <sheetName val="Reconciliation_of_GL_&amp;_FAR3"/>
      <sheetName val="exec_summ3"/>
      <sheetName val="Ins_Erection4"/>
      <sheetName val="Base_data_Security_Procedures3"/>
      <sheetName val="Notes-pivot1_4"/>
      <sheetName val="ASSETS_P&amp;M4"/>
      <sheetName val="Assets_Land_&amp;_Mise_FA4"/>
      <sheetName val="Basement_Budget4"/>
      <sheetName val="0__Data_Validation_List4"/>
      <sheetName val="stacking_sheet4"/>
      <sheetName val="Taluka_wise_dealer_(2)3"/>
      <sheetName val="Graph_(LGEN)3"/>
      <sheetName val="선적schedule_(2)3"/>
      <sheetName val="Monthly_Inputs3"/>
      <sheetName val="2000-1_Monthly_Cashflows3"/>
      <sheetName val="2002-2_Monthly_Cashflows3"/>
      <sheetName val="cl_14_Annex_7_3"/>
      <sheetName val="Encl_7A3"/>
      <sheetName val="wdr_bldg3"/>
      <sheetName val="Formated_Trial_Balance3"/>
      <sheetName val="SEP_3"/>
      <sheetName val="Redelvery_provision_changed3"/>
      <sheetName val="Power_&amp;_Fuel_(S)3"/>
      <sheetName val="S_&amp;_A3"/>
      <sheetName val="Schedule_v13"/>
      <sheetName val="USB_13"/>
      <sheetName val="_3"/>
      <sheetName val="BOQ_Distribution3"/>
      <sheetName val="GM_&amp;_TA3"/>
      <sheetName val="steam_outlet3"/>
      <sheetName val="SCH_103"/>
      <sheetName val="SAP_EMP3"/>
      <sheetName val="Staff_Costs4"/>
      <sheetName val="RATE_LIST_(2)3"/>
      <sheetName val="Control_Sheet3"/>
      <sheetName val="Sale_Charts3"/>
      <sheetName val="HOUSE_RENT_DEPO_3"/>
      <sheetName val="final_0611063"/>
      <sheetName val="SAB_P&amp;L3"/>
      <sheetName val="cash_flow4"/>
      <sheetName val="Determination_of_Threshold3"/>
      <sheetName val="Multipliers_&amp;_KRA3"/>
      <sheetName val="DYN_PP3"/>
      <sheetName val="June_Reserve_-_Far_East3"/>
      <sheetName val="WC_analytics_(+data_pages)3"/>
      <sheetName val="Rs_in_lacs2"/>
      <sheetName val="Esteem_Rear2"/>
      <sheetName val="Jul_96_Worksheet1"/>
      <sheetName val="NGS_Data_Sheet2"/>
      <sheetName val="SGS_Data_Sheet2"/>
      <sheetName val="RCC_Ret__Wall3"/>
      <sheetName val="Capital_Structure3"/>
      <sheetName val="TBAL9697_-group_wise__sdpl3"/>
      <sheetName val="Misc__Master3"/>
      <sheetName val="Account_title3"/>
      <sheetName val="Check_Register2"/>
      <sheetName val="EBITDA_Bridge2"/>
      <sheetName val="2003_Budget-PL-case12"/>
      <sheetName val="Key_Assumption3"/>
      <sheetName val="Master_Information3"/>
      <sheetName val="Fin__Assumpt__-_Sensitivities2"/>
      <sheetName val="NOA_Data2"/>
      <sheetName val="4_Annex_1_Basic_rate2"/>
      <sheetName val="Elec_Summ2"/>
      <sheetName val="ELEC_BOQ2"/>
      <sheetName val="TRACK_BUSWAY2"/>
      <sheetName val="Other_notes2"/>
      <sheetName val="Linked_Lead2"/>
      <sheetName val="STAFFSCHED_2"/>
      <sheetName val="Basic_Rate2"/>
      <sheetName val="_COP2"/>
      <sheetName val="meeting_rectification_control2"/>
      <sheetName val="Loan_Data2"/>
      <sheetName val="Standalone_seg2"/>
      <sheetName val="currency_(2)2"/>
      <sheetName val="NW_RTU2"/>
      <sheetName val="Clause_92"/>
      <sheetName val="labour_rates2"/>
      <sheetName val="old_serial_no_2"/>
      <sheetName val="Budget_CF_-_Overall2"/>
      <sheetName val="공사비_내역_(가)2"/>
      <sheetName val="4K_-_(6a)_Non_Manual_Breakdown2"/>
      <sheetName val="3__Elemental_Summary2"/>
      <sheetName val="August_TB2"/>
      <sheetName val="Trial_Balance_Format2"/>
      <sheetName val="GF_Columns2"/>
      <sheetName val="grp_1"/>
      <sheetName val="Prov_for_exp-April'08_-_June'01"/>
      <sheetName val="Provision_for_exp-Upto_Mar'081"/>
      <sheetName val="creditors_to_others1"/>
      <sheetName val="other_amt&amp;recoveries_payable1"/>
      <sheetName val="other_exp_charges_recoverable1"/>
      <sheetName val="rental_deposits1"/>
      <sheetName val="other_deposits_1"/>
      <sheetName val="prepaid_expenses1"/>
      <sheetName val="sal_adv1"/>
      <sheetName val="SP_Break_Up2"/>
      <sheetName val="Rates_Basic1"/>
      <sheetName val="Cash_Flow_2"/>
      <sheetName val="Mthly_CFS_(Kha)1"/>
      <sheetName val="DUMP_2"/>
      <sheetName val="Bspl_Main2"/>
      <sheetName val="Jun_20002"/>
      <sheetName val="Sheet2_(2)2"/>
      <sheetName val="Total_MTH2"/>
      <sheetName val="TASKRSRC_(2)2"/>
      <sheetName val="GL_Master_Data1"/>
      <sheetName val="INQVAR_PY2"/>
      <sheetName val="Schedules_3-82"/>
      <sheetName val="RELACION_REFERENCIAS1"/>
      <sheetName val="beam-reinft-machine_rm1"/>
      <sheetName val="BASIS_-DEC_081"/>
      <sheetName val="Base_Data1"/>
      <sheetName val="080_(2)1"/>
      <sheetName val="F_01_-_June_20051"/>
      <sheetName val="HW_SW1"/>
      <sheetName val="BOQ_CIVIL1"/>
      <sheetName val="Price_Comparison1"/>
      <sheetName val="Balance_Sheet_US$1"/>
      <sheetName val="earnings_model1"/>
      <sheetName val="Infinite_Studios2"/>
      <sheetName val="Neuros_&amp;_Immunos2"/>
      <sheetName val="NOT_FULL_RESTRAINT1"/>
      <sheetName val="BEARING_&amp;_BUCKLING1"/>
      <sheetName val="FF-2_(1)1"/>
      <sheetName val="addl_cost1"/>
      <sheetName val="7_Jan_021"/>
      <sheetName val="Final_Summary1"/>
      <sheetName val="Figures_in1"/>
      <sheetName val="EAW_Final_Accounts_-_991"/>
      <sheetName val="O2_11"/>
      <sheetName val="Conversion_Table1"/>
      <sheetName val="QTY__PROV_LAB1"/>
      <sheetName val="Consolidated_CF1"/>
      <sheetName val="Key_Assumptions1"/>
      <sheetName val="VAR_STORE_CONS1"/>
      <sheetName val="Profit_and_Loss1"/>
      <sheetName val="Trading_Comps1"/>
      <sheetName val="Internal_Data1"/>
      <sheetName val="P&amp;L_and_CFlow1"/>
      <sheetName val="Resue_Hoist1"/>
      <sheetName val="Reporting_VA1"/>
      <sheetName val="Standing_Data1"/>
      <sheetName val="cost_sheet-1999-001"/>
      <sheetName val="Local_Data1"/>
      <sheetName val="AR_Graphs1"/>
      <sheetName val="Manufacturing_Statistics1"/>
      <sheetName val="ECR_ECNOI_Slide1"/>
      <sheetName val="cover_page1"/>
      <sheetName val="Structure_Bills_Qty1"/>
      <sheetName val="Appendix_B-_3_Structural_Steel1"/>
      <sheetName val="Appendix_A-_1_Variation1"/>
      <sheetName val="Contracts_Status1"/>
      <sheetName val="Cost_Status-11"/>
      <sheetName val="Centaurus_Contract_Sum_1"/>
      <sheetName val="Payment_Status1"/>
      <sheetName val="1__Report1"/>
      <sheetName val="CANDY_BOQ1"/>
      <sheetName val="Leg_1-11"/>
      <sheetName val="Door_&amp;_Window1"/>
      <sheetName val="Labour_productivity1"/>
      <sheetName val="Field_Values1"/>
      <sheetName val="ACAD_Finishes1"/>
      <sheetName val="Site_Details1"/>
      <sheetName val="Site_Area_Statement1"/>
      <sheetName val="Form_61"/>
      <sheetName val="except_wiring1"/>
      <sheetName val="SUPPLY_-Sanitary_Fixtures1"/>
      <sheetName val="ITEMS_FOR_CIVIL_TENDER1"/>
      <sheetName val="2_1__Claimed_Not_Ack_as_debts1"/>
      <sheetName val="2_4__Service_Tax_Contingent1"/>
      <sheetName val="6__Auditor_Payment1"/>
      <sheetName val="7__Pauling_Joint_Venture1"/>
      <sheetName val="8__Non_Provision1"/>
      <sheetName val="5__MR1"/>
      <sheetName val="1612_01AN(7)_-_Niep_Tds_Summar1"/>
      <sheetName val="Last_Month_Report1"/>
      <sheetName val="GL_Links"/>
      <sheetName val="Acquisition_Assumptions"/>
      <sheetName val="Cost_Centre_Master"/>
      <sheetName val="HYDERABAD J907"/>
      <sheetName val="PL- Notes"/>
      <sheetName val="Stacking Plan"/>
      <sheetName val="tariff"/>
      <sheetName val="cost"/>
      <sheetName val="Invested capital_VDF"/>
      <sheetName val="WACC_VDF"/>
      <sheetName val="Com Act Depreciation1"/>
      <sheetName val="JE"/>
      <sheetName val="Reclass PL 2006"/>
      <sheetName val="Reclass PL 2007"/>
      <sheetName val="Reclass PL 2008"/>
      <sheetName val="Pr.-hist."/>
      <sheetName val="NAV"/>
      <sheetName val="Quarterly statement"/>
      <sheetName val="Kristal Court"/>
      <sheetName val="Ledger Dump"/>
      <sheetName val="BS-Cem"/>
      <sheetName val="Interface"/>
      <sheetName val="Basic assumptions"/>
      <sheetName val="chem"/>
      <sheetName val="Corrupt SSCI"/>
      <sheetName val="Monthly Ship+Prod"/>
      <sheetName val="Perform"/>
      <sheetName val="VALUE2_5"/>
      <sheetName val="S1BOQ"/>
      <sheetName val="Columns &amp; Walls"/>
      <sheetName val="Consignment"/>
      <sheetName val="Entity Names"/>
      <sheetName val="Calendar"/>
      <sheetName val="Selection "/>
      <sheetName val="재무가정"/>
      <sheetName val="C_flow 95"/>
      <sheetName val="LE-FTE-Nos"/>
      <sheetName val="Consl LS"/>
      <sheetName val="Seide Customer wise "/>
      <sheetName val="Filati Customer wise"/>
      <sheetName val="Reco"/>
      <sheetName val="Seide LS"/>
      <sheetName val="Filati LS"/>
      <sheetName val="tech"/>
      <sheetName val="Senario Manager"/>
      <sheetName val="OH_SUMMARY"/>
      <sheetName val="OH_MAR"/>
      <sheetName val="OH_AUG"/>
      <sheetName val="OH_SEPT"/>
      <sheetName val="OH_OCT"/>
      <sheetName val="OH_NOV"/>
      <sheetName val="OH_DEC"/>
      <sheetName val="OH_JAN"/>
      <sheetName val="OH_FEB"/>
      <sheetName val="General"/>
      <sheetName val="11-hsd"/>
      <sheetName val="13-septic"/>
      <sheetName val="7-ug"/>
      <sheetName val="2-utility"/>
      <sheetName val="18-misc"/>
      <sheetName val="5-pipe"/>
      <sheetName val="Product List"/>
      <sheetName val="A-D"/>
      <sheetName val="Item Sales"/>
      <sheetName val="directors"/>
      <sheetName val="TaxComputn"/>
      <sheetName val="BS-P&amp;L"/>
      <sheetName val="comp"/>
      <sheetName val="A3"/>
      <sheetName val="dBase"/>
      <sheetName val="12a. CFTable"/>
      <sheetName val="s"/>
      <sheetName val="Attributes"/>
      <sheetName val="QFC"/>
      <sheetName val="Data sheet"/>
      <sheetName val="ridgewood"/>
      <sheetName val="coa_ramco_168"/>
      <sheetName val="MS of Instal"/>
      <sheetName val="MIR - SUPPLY"/>
      <sheetName val="WIR - INSTALL"/>
      <sheetName val="Angles"/>
      <sheetName val="Sheet 1"/>
      <sheetName val="Allocation"/>
      <sheetName val="Plant &amp;  Machinery"/>
      <sheetName val="Vehicles"/>
      <sheetName val="VCH-SLC"/>
      <sheetName val="입찰내역 발주처 양식"/>
      <sheetName val="PARASITIC"/>
      <sheetName val="detail'02"/>
      <sheetName val="IS Mo"/>
      <sheetName val="Fiscal View"/>
      <sheetName val="Zero"/>
      <sheetName val="SILICATE"/>
      <sheetName val="APPENDIX 4.1a"/>
      <sheetName val="2 BHK"/>
      <sheetName val="Basic Rates"/>
      <sheetName val="RateAnalysis"/>
      <sheetName val="_____"/>
      <sheetName val="NOPAT_VDF"/>
      <sheetName val="Abstract"/>
      <sheetName val="DDETABLE "/>
      <sheetName val="Ignore"/>
      <sheetName val="projections"/>
      <sheetName val="r&amp;m"/>
      <sheetName val="africa"/>
      <sheetName val="row"/>
      <sheetName val="euro"/>
      <sheetName val="group e&amp;p"/>
      <sheetName val="health"/>
      <sheetName val="Physical"/>
      <sheetName val="annexure13_Corporate"/>
      <sheetName val="Sch 13 Notes 13-16"/>
      <sheetName val="Pr_-hist_"/>
      <sheetName val="cul-invSUBMITTED"/>
      <sheetName val="LookupLists"/>
      <sheetName val="Net400 Summary 03-04"/>
      <sheetName val="update"/>
      <sheetName val="C30"/>
      <sheetName val="CTbe tong"/>
      <sheetName val="CTDZ 0.4+cto"/>
      <sheetName val="0399"/>
      <sheetName val="Other exp."/>
      <sheetName val="35-36"/>
      <sheetName val="31-34"/>
      <sheetName val="Incentives"/>
      <sheetName val="OV-HEAD"/>
      <sheetName val="data 3A|6A"/>
      <sheetName val="var_"/>
      <sheetName val="rej_overs"/>
      <sheetName val="fuel pmt"/>
      <sheetName val="0012SSA"/>
      <sheetName val="FPS"/>
      <sheetName val="SLB_PROD"/>
      <sheetName val="cflow"/>
      <sheetName val="P&amp;L-BDMC"/>
      <sheetName val="sales &amp; prod"/>
      <sheetName val="inWords"/>
      <sheetName val="Deprec."/>
      <sheetName val="Mechanical"/>
      <sheetName val="DREV"/>
      <sheetName val="CREV"/>
      <sheetName val="Flat Info _ODD"/>
      <sheetName val="Door (2)"/>
      <sheetName val="Fin__Assumpt__-_Sensitivities3"/>
      <sheetName val="_COP3"/>
      <sheetName val="Portfolio_Summary7"/>
      <sheetName val="Meas_-Hotel_Part7"/>
      <sheetName val="Current_Bill_MB_ref7"/>
      <sheetName val="Fin_Sum6"/>
      <sheetName val="GM_&amp;_TA5"/>
      <sheetName val="Fin__Assumpt__-_Sensitivities5"/>
      <sheetName val="Balance_Sheet_5"/>
      <sheetName val="_COP5"/>
      <sheetName val="03_(2)5"/>
      <sheetName val="WIng_F(Typical)5"/>
      <sheetName val="SOPMA_DD5"/>
      <sheetName val="Architectural_Summary5"/>
      <sheetName val="TB_FOR_MIS6"/>
      <sheetName val="INPUT_SHEET5"/>
      <sheetName val="IMPORT_T126"/>
      <sheetName val="van_khuon6"/>
      <sheetName val="IDC_macro6"/>
      <sheetName val="March_Analysts5"/>
      <sheetName val="KPM_DT6"/>
      <sheetName val="EXHIBIT&quot;_T&quot;5"/>
      <sheetName val="Legal_Risk_Analysis5"/>
      <sheetName val="IO_LIST5"/>
      <sheetName val="Master_list5"/>
      <sheetName val="Labour_List5"/>
      <sheetName val="Material_List5"/>
      <sheetName val="Labor_abs-NMR5"/>
      <sheetName val="Beam_at_Ground_flr_lvl(Steel)5"/>
      <sheetName val="1st_-vpd5"/>
      <sheetName val="Material_List_5"/>
      <sheetName val="schedule_nos5"/>
      <sheetName val="Fill_this_out_first___5"/>
      <sheetName val="NEW-IDs_Fun_&amp;_Group5"/>
      <sheetName val="_Acc__Sched_5"/>
      <sheetName val="IT_Block5"/>
      <sheetName val="Location_CODE5"/>
      <sheetName val="Location_TYPE5"/>
      <sheetName val="sub_class5"/>
      <sheetName val="_sub_Loc_5"/>
      <sheetName val="EDS__Bestshore_Migration5"/>
      <sheetName val="Summary_Excise5"/>
      <sheetName val="Grouping_Master5"/>
      <sheetName val="Other_BS_Sch_5-95"/>
      <sheetName val="Excess_Calc5"/>
      <sheetName val="10__&amp;_11__Rate_Code_&amp;_BQ5"/>
      <sheetName val="Dom_Cell_(IS)5"/>
      <sheetName val="QoQ_In_Lakhs5"/>
      <sheetName val="Main_workings5"/>
      <sheetName val="P_&amp;_L5"/>
      <sheetName val="Master_Price_List5"/>
      <sheetName val="vb_9&amp;105"/>
      <sheetName val="MASTER_RATE_ANALYSIS5"/>
      <sheetName val="Valuation_-_block_25"/>
      <sheetName val="Base_Assumptions5"/>
      <sheetName val="FITZ_MORT_945"/>
      <sheetName val="Goldberg_Portfolio_Combined5"/>
      <sheetName val="Debtors_analysis5"/>
      <sheetName val="pile_Fabrication5"/>
      <sheetName val="Leasing_Commision5"/>
      <sheetName val="9__Package_split_-_Cost_5"/>
      <sheetName val="extra_work_elec_bill_5"/>
      <sheetName val="소상_&quot;1&quot;5"/>
      <sheetName val="Cost_summary5"/>
      <sheetName val="RCC_Rates5"/>
      <sheetName val="M-2_Adjusted5"/>
      <sheetName val="Theatre_mgmt_cont5"/>
      <sheetName val="Tender_Summary5"/>
      <sheetName val="Bill_1-BOQ-Civil_Works5"/>
      <sheetName val="UNP-NCW_5"/>
      <sheetName val="Open_Items-3112085"/>
      <sheetName val="PRECAST_lightconc-II5"/>
      <sheetName val="Training_Deposits_coding5"/>
      <sheetName val="4_4_External_Plaster5"/>
      <sheetName val="Cash_Flow_Working5"/>
      <sheetName val="Commercial_Research5"/>
      <sheetName val="Operating_Statistics5"/>
      <sheetName val="Trial_Balance5"/>
      <sheetName val="FA_Schedule_Dec_075"/>
      <sheetName val="P_R__TAXES5"/>
      <sheetName val="BILLING_SUM5"/>
      <sheetName val="Service_Invoice5"/>
      <sheetName val="Retail_Mall5"/>
      <sheetName val="MIS_AC_wise5"/>
      <sheetName val="Rev_Opt_-_Rollup5"/>
      <sheetName val="BOQ_Distribution5"/>
      <sheetName val="GM_&amp;_TA4"/>
      <sheetName val="Fin__Assumpt__-_Sensitivities4"/>
      <sheetName val="_COP4"/>
      <sheetName val="BOQ_Distribution4"/>
      <sheetName val="Sheet3_(2)11"/>
      <sheetName val="Fin_Sum7"/>
      <sheetName val="Portfolio_Summary8"/>
      <sheetName val="Meas_-Hotel_Part8"/>
      <sheetName val="Project_Budget_Worksheet11"/>
      <sheetName val="Current_Bill_MB_ref8"/>
      <sheetName val="Income_Statements11"/>
      <sheetName val="Sheet3__2_11"/>
      <sheetName val="GM_&amp;_TA6"/>
      <sheetName val="Fin__Assumpt__-_Sensitivities6"/>
      <sheetName val="Balance_Sheet_6"/>
      <sheetName val="Load_Details-220kV11"/>
      <sheetName val="_COP6"/>
      <sheetName val="ABP_inputs11"/>
      <sheetName val="Synergy_Sales_Budget11"/>
      <sheetName val="QoQ_Forecast11"/>
      <sheetName val="Income_&amp;_Occupancy_Customer11"/>
      <sheetName val="Calculation_(2)11"/>
      <sheetName val="Multiple_output11"/>
      <sheetName val="Builtup_Area11"/>
      <sheetName val="RCC,Ret__Wall11"/>
      <sheetName val="BOQ_T4B11"/>
      <sheetName val="INDIGINEOUS_ITEMS_11"/>
      <sheetName val="Material_11"/>
      <sheetName val="Labour_&amp;_Plant11"/>
      <sheetName val="_B311"/>
      <sheetName val="_B111"/>
      <sheetName val="beam-reinft-IIInd_floor11"/>
      <sheetName val="Approved_MTD_Proj_#'s11"/>
      <sheetName val="03_(2)6"/>
      <sheetName val="WIng_F(Typical)6"/>
      <sheetName val="CFForecast_detail11"/>
      <sheetName val="Site_Dev_BOQ11"/>
      <sheetName val="Global_Assm_11"/>
      <sheetName val="SOPMA_DD6"/>
      <sheetName val="Break_up_Sheet11"/>
      <sheetName val="MN_T_B_11"/>
      <sheetName val="Aladdin_Macro111"/>
      <sheetName val="Acc_10_511"/>
      <sheetName val="Architectural_Summary6"/>
      <sheetName val="TB_FOR_MIS7"/>
      <sheetName val="INPUT_SHEET6"/>
      <sheetName val="IMPORT_T127"/>
      <sheetName val="van_khuon7"/>
      <sheetName val="Block_A_-_BOQ11"/>
      <sheetName val="IDC_macro7"/>
      <sheetName val="March_Analysts6"/>
      <sheetName val="Rollup_Summary6"/>
      <sheetName val="170810-lease_tax6"/>
      <sheetName val="CABLE_DATA6"/>
      <sheetName val="1st_flr6"/>
      <sheetName val="Civil_Boq6"/>
      <sheetName val="KPM_DT7"/>
      <sheetName val="EXHIBIT&quot;_T&quot;6"/>
      <sheetName val="Legal_Risk_Analysis6"/>
      <sheetName val="IO_LIST6"/>
      <sheetName val="Master_list6"/>
      <sheetName val="Labour_List6"/>
      <sheetName val="Material_List6"/>
      <sheetName val="Labor_abs-NMR6"/>
      <sheetName val="Beam_at_Ground_flr_lvl(Steel)6"/>
      <sheetName val="1st_-vpd6"/>
      <sheetName val="Material_List_6"/>
      <sheetName val="schedule_nos6"/>
      <sheetName val="Fill_this_out_first___6"/>
      <sheetName val="NEW-IDs_Fun_&amp;_Group6"/>
      <sheetName val="final_abstract6"/>
      <sheetName val="Rate_analysis6"/>
      <sheetName val="Main_Sheet_(MTD)6"/>
      <sheetName val="Consl_Daily_Report6"/>
      <sheetName val="balance_sheet6"/>
      <sheetName val="_Acc__Sched_6"/>
      <sheetName val="IT_Block6"/>
      <sheetName val="Location_CODE6"/>
      <sheetName val="Location_TYPE6"/>
      <sheetName val="sub_class6"/>
      <sheetName val="_sub_Loc_6"/>
      <sheetName val="EDS__Bestshore_Migration6"/>
      <sheetName val="Summary_Excise6"/>
      <sheetName val="Grouping_Master6"/>
      <sheetName val="Other_BS_Sch_5-96"/>
      <sheetName val="Excess_Calc6"/>
      <sheetName val="10__&amp;_11__Rate_Code_&amp;_BQ6"/>
      <sheetName val="Dom_Cell_(IS)6"/>
      <sheetName val="QoQ_In_Lakhs6"/>
      <sheetName val="Main_workings6"/>
      <sheetName val="P_&amp;_L6"/>
      <sheetName val="Master_Price_List6"/>
      <sheetName val="vb_9&amp;106"/>
      <sheetName val="MASTER_RATE_ANALYSIS6"/>
      <sheetName val="Valuation_-_block_26"/>
      <sheetName val="Base_Assumptions6"/>
      <sheetName val="FITZ_MORT_946"/>
      <sheetName val="Goldberg_Portfolio_Combined6"/>
      <sheetName val="Debtors_analysis6"/>
      <sheetName val="MIS_-_kINR6"/>
      <sheetName val="pile_Fabrication6"/>
      <sheetName val="Leasing_Commision6"/>
      <sheetName val="9__Package_split_-_Cost_6"/>
      <sheetName val="extra_work_elec_bill_6"/>
      <sheetName val="소상_&quot;1&quot;6"/>
      <sheetName val="Cost_summary6"/>
      <sheetName val="RCC_Rates6"/>
      <sheetName val="M-2_Adjusted6"/>
      <sheetName val="Theatre_mgmt_cont6"/>
      <sheetName val="Tender_Summary6"/>
      <sheetName val="Bill_1-BOQ-Civil_Works6"/>
      <sheetName val="UNP-NCW_6"/>
      <sheetName val="Open_Items-3112086"/>
      <sheetName val="PRECAST_lightconc-II6"/>
      <sheetName val="Training_Deposits_coding6"/>
      <sheetName val="4_4_External_Plaster6"/>
      <sheetName val="Cash_Flow_Working6"/>
      <sheetName val="Commercial_Research6"/>
      <sheetName val="Operating_Statistics6"/>
      <sheetName val="Trial_Balance6"/>
      <sheetName val="FA_Schedule_Dec_076"/>
      <sheetName val="P_R__TAXES6"/>
      <sheetName val="BILLING_SUM6"/>
      <sheetName val="Service_Invoice6"/>
      <sheetName val="Retail_Mall6"/>
      <sheetName val="MIS_AC_wise6"/>
      <sheetName val="Rev_Opt_-_Rollup6"/>
      <sheetName val="BOQ_Distribution6"/>
      <sheetName val="Sheet3_(2)12"/>
      <sheetName val="Fin_Sum8"/>
      <sheetName val="Portfolio_Summary9"/>
      <sheetName val="Meas_-Hotel_Part9"/>
      <sheetName val="Project_Budget_Worksheet12"/>
      <sheetName val="Current_Bill_MB_ref9"/>
      <sheetName val="Income_Statements12"/>
      <sheetName val="Sheet3__2_12"/>
      <sheetName val="GM_&amp;_TA7"/>
      <sheetName val="Fin__Assumpt__-_Sensitivities7"/>
      <sheetName val="Balance_Sheet_7"/>
      <sheetName val="Load_Details-220kV12"/>
      <sheetName val="_COP7"/>
      <sheetName val="ABP_inputs12"/>
      <sheetName val="Synergy_Sales_Budget12"/>
      <sheetName val="QoQ_Forecast12"/>
      <sheetName val="Income_&amp;_Occupancy_Customer12"/>
      <sheetName val="Calculation_(2)12"/>
      <sheetName val="Multiple_output12"/>
      <sheetName val="Builtup_Area12"/>
      <sheetName val="RCC,Ret__Wall12"/>
      <sheetName val="BOQ_T4B12"/>
      <sheetName val="INDIGINEOUS_ITEMS_12"/>
      <sheetName val="Material_12"/>
      <sheetName val="Labour_&amp;_Plant12"/>
      <sheetName val="_B312"/>
      <sheetName val="_B112"/>
      <sheetName val="beam-reinft-IIInd_floor12"/>
      <sheetName val="Approved_MTD_Proj_#'s12"/>
      <sheetName val="03_(2)7"/>
      <sheetName val="WIng_F(Typical)7"/>
      <sheetName val="CFForecast_detail12"/>
      <sheetName val="Site_Dev_BOQ12"/>
      <sheetName val="Global_Assm_12"/>
      <sheetName val="SOPMA_DD7"/>
      <sheetName val="Break_up_Sheet12"/>
      <sheetName val="MN_T_B_12"/>
      <sheetName val="Aladdin_Macro112"/>
      <sheetName val="Acc_10_512"/>
      <sheetName val="Architectural_Summary7"/>
      <sheetName val="TB_FOR_MIS8"/>
      <sheetName val="INPUT_SHEET7"/>
      <sheetName val="IMPORT_T128"/>
      <sheetName val="van_khuon8"/>
      <sheetName val="Block_A_-_BOQ12"/>
      <sheetName val="IDC_macro8"/>
      <sheetName val="March_Analysts7"/>
      <sheetName val="Rollup_Summary7"/>
      <sheetName val="170810-lease_tax7"/>
      <sheetName val="CABLE_DATA7"/>
      <sheetName val="1st_flr7"/>
      <sheetName val="Civil_Boq7"/>
      <sheetName val="KPM_DT8"/>
      <sheetName val="EXHIBIT&quot;_T&quot;7"/>
      <sheetName val="Legal_Risk_Analysis7"/>
      <sheetName val="IO_LIST7"/>
      <sheetName val="Master_list7"/>
      <sheetName val="Labour_List7"/>
      <sheetName val="Material_List7"/>
      <sheetName val="Labor_abs-NMR7"/>
      <sheetName val="Beam_at_Ground_flr_lvl(Steel)7"/>
      <sheetName val="1st_-vpd7"/>
      <sheetName val="Material_List_7"/>
      <sheetName val="schedule_nos7"/>
      <sheetName val="Fill_this_out_first___7"/>
      <sheetName val="NEW-IDs_Fun_&amp;_Group7"/>
      <sheetName val="final_abstract7"/>
      <sheetName val="Rate_analysis7"/>
      <sheetName val="Main_Sheet_(MTD)7"/>
      <sheetName val="Consl_Daily_Report7"/>
      <sheetName val="balance_sheet7"/>
      <sheetName val="_Acc__Sched_7"/>
      <sheetName val="IT_Block7"/>
      <sheetName val="Location_CODE7"/>
      <sheetName val="Location_TYPE7"/>
      <sheetName val="sub_class7"/>
      <sheetName val="_sub_Loc_7"/>
      <sheetName val="EDS__Bestshore_Migration7"/>
      <sheetName val="Summary_Excise7"/>
      <sheetName val="Grouping_Master7"/>
      <sheetName val="Other_BS_Sch_5-97"/>
      <sheetName val="Excess_Calc7"/>
      <sheetName val="10__&amp;_11__Rate_Code_&amp;_BQ7"/>
      <sheetName val="Dom_Cell_(IS)7"/>
      <sheetName val="QoQ_In_Lakhs7"/>
      <sheetName val="Main_workings7"/>
      <sheetName val="P_&amp;_L7"/>
      <sheetName val="Master_Price_List7"/>
      <sheetName val="vb_9&amp;107"/>
      <sheetName val="MASTER_RATE_ANALYSIS7"/>
      <sheetName val="Valuation_-_block_27"/>
      <sheetName val="Base_Assumptions7"/>
      <sheetName val="FITZ_MORT_947"/>
      <sheetName val="Goldberg_Portfolio_Combined7"/>
      <sheetName val="Debtors_analysis7"/>
      <sheetName val="MIS_-_kINR7"/>
      <sheetName val="pile_Fabrication7"/>
      <sheetName val="Leasing_Commision7"/>
      <sheetName val="9__Package_split_-_Cost_7"/>
      <sheetName val="extra_work_elec_bill_7"/>
      <sheetName val="소상_&quot;1&quot;7"/>
      <sheetName val="Cost_summary7"/>
      <sheetName val="RCC_Rates7"/>
      <sheetName val="M-2_Adjusted7"/>
      <sheetName val="Theatre_mgmt_cont7"/>
      <sheetName val="Tender_Summary7"/>
      <sheetName val="Bill_1-BOQ-Civil_Works7"/>
      <sheetName val="UNP-NCW_7"/>
      <sheetName val="Open_Items-3112087"/>
      <sheetName val="PRECAST_lightconc-II7"/>
      <sheetName val="Training_Deposits_coding7"/>
      <sheetName val="4_4_External_Plaster7"/>
      <sheetName val="Cash_Flow_Working7"/>
      <sheetName val="Commercial_Research7"/>
      <sheetName val="Operating_Statistics7"/>
      <sheetName val="Trial_Balance7"/>
      <sheetName val="FA_Schedule_Dec_077"/>
      <sheetName val="P_R__TAXES7"/>
      <sheetName val="BILLING_SUM7"/>
      <sheetName val="Service_Invoice7"/>
      <sheetName val="Retail_Mall7"/>
      <sheetName val="MIS_AC_wise7"/>
      <sheetName val="Rev_Opt_-_Rollup7"/>
      <sheetName val="BOQ_Distribution7"/>
      <sheetName val="Sheet3_(2)13"/>
      <sheetName val="Fin_Sum9"/>
      <sheetName val="Portfolio_Summary10"/>
      <sheetName val="Meas_-Hotel_Part10"/>
      <sheetName val="Project_Budget_Worksheet13"/>
      <sheetName val="Current_Bill_MB_ref10"/>
      <sheetName val="Income_Statements13"/>
      <sheetName val="Sheet3__2_13"/>
      <sheetName val="GM_&amp;_TA8"/>
      <sheetName val="Fin__Assumpt__-_Sensitivities8"/>
      <sheetName val="Balance_Sheet_8"/>
      <sheetName val="Load_Details-220kV13"/>
      <sheetName val="_COP8"/>
      <sheetName val="ABP_inputs13"/>
      <sheetName val="Synergy_Sales_Budget13"/>
      <sheetName val="QoQ_Forecast13"/>
      <sheetName val="Income_&amp;_Occupancy_Customer13"/>
      <sheetName val="Calculation_(2)13"/>
      <sheetName val="Multiple_output13"/>
      <sheetName val="Builtup_Area13"/>
      <sheetName val="RCC,Ret__Wall13"/>
      <sheetName val="BOQ_T4B13"/>
      <sheetName val="INDIGINEOUS_ITEMS_13"/>
      <sheetName val="Material_13"/>
      <sheetName val="Labour_&amp;_Plant13"/>
      <sheetName val="_B313"/>
      <sheetName val="_B113"/>
      <sheetName val="beam-reinft-IIInd_floor13"/>
      <sheetName val="Approved_MTD_Proj_#'s13"/>
      <sheetName val="03_(2)8"/>
      <sheetName val="WIng_F(Typical)8"/>
      <sheetName val="CFForecast_detail13"/>
      <sheetName val="Site_Dev_BOQ13"/>
      <sheetName val="Global_Assm_13"/>
      <sheetName val="SOPMA_DD8"/>
      <sheetName val="Break_up_Sheet13"/>
      <sheetName val="MN_T_B_13"/>
      <sheetName val="Aladdin_Macro113"/>
      <sheetName val="Acc_10_513"/>
      <sheetName val="Architectural_Summary8"/>
      <sheetName val="TB_FOR_MIS9"/>
      <sheetName val="INPUT_SHEET8"/>
      <sheetName val="IMPORT_T129"/>
      <sheetName val="van_khuon9"/>
      <sheetName val="Block_A_-_BOQ13"/>
      <sheetName val="IDC_macro9"/>
      <sheetName val="March_Analysts8"/>
      <sheetName val="Rollup_Summary8"/>
      <sheetName val="170810-lease_tax8"/>
      <sheetName val="CABLE_DATA8"/>
      <sheetName val="1st_flr8"/>
      <sheetName val="Civil_Boq8"/>
      <sheetName val="KPM_DT9"/>
      <sheetName val="EXHIBIT&quot;_T&quot;8"/>
      <sheetName val="Legal_Risk_Analysis8"/>
      <sheetName val="IO_LIST8"/>
      <sheetName val="Master_list8"/>
      <sheetName val="Labour_List8"/>
      <sheetName val="Material_List8"/>
      <sheetName val="Labor_abs-NMR8"/>
      <sheetName val="Beam_at_Ground_flr_lvl(Steel)8"/>
      <sheetName val="1st_-vpd8"/>
      <sheetName val="Material_List_8"/>
      <sheetName val="schedule_nos8"/>
      <sheetName val="Fill_this_out_first___8"/>
      <sheetName val="NEW-IDs_Fun_&amp;_Group8"/>
      <sheetName val="final_abstract8"/>
      <sheetName val="Rate_analysis8"/>
      <sheetName val="Main_Sheet_(MTD)8"/>
      <sheetName val="Consl_Daily_Report8"/>
      <sheetName val="balance_sheet8"/>
      <sheetName val="_Acc__Sched_8"/>
      <sheetName val="IT_Block8"/>
      <sheetName val="Location_CODE8"/>
      <sheetName val="Location_TYPE8"/>
      <sheetName val="sub_class8"/>
      <sheetName val="_sub_Loc_8"/>
      <sheetName val="EDS__Bestshore_Migration8"/>
      <sheetName val="Summary_Excise8"/>
      <sheetName val="Grouping_Master8"/>
      <sheetName val="Other_BS_Sch_5-98"/>
      <sheetName val="Excess_Calc8"/>
      <sheetName val="10__&amp;_11__Rate_Code_&amp;_BQ8"/>
      <sheetName val="Dom_Cell_(IS)8"/>
      <sheetName val="QoQ_In_Lakhs8"/>
      <sheetName val="Main_workings8"/>
      <sheetName val="P_&amp;_L8"/>
      <sheetName val="Master_Price_List8"/>
      <sheetName val="vb_9&amp;108"/>
      <sheetName val="MASTER_RATE_ANALYSIS8"/>
      <sheetName val="Valuation_-_block_28"/>
      <sheetName val="Base_Assumptions8"/>
      <sheetName val="FITZ_MORT_948"/>
      <sheetName val="Goldberg_Portfolio_Combined8"/>
      <sheetName val="Debtors_analysis8"/>
      <sheetName val="MIS_-_kINR8"/>
      <sheetName val="pile_Fabrication8"/>
      <sheetName val="Leasing_Commision8"/>
      <sheetName val="9__Package_split_-_Cost_8"/>
      <sheetName val="extra_work_elec_bill_8"/>
      <sheetName val="소상_&quot;1&quot;8"/>
      <sheetName val="Cost_summary8"/>
      <sheetName val="RCC_Rates8"/>
      <sheetName val="M-2_Adjusted8"/>
      <sheetName val="Theatre_mgmt_cont8"/>
      <sheetName val="Tender_Summary8"/>
      <sheetName val="Bill_1-BOQ-Civil_Works8"/>
      <sheetName val="UNP-NCW_8"/>
      <sheetName val="Open_Items-3112088"/>
      <sheetName val="PRECAST_lightconc-II8"/>
      <sheetName val="Training_Deposits_coding8"/>
      <sheetName val="4_4_External_Plaster8"/>
      <sheetName val="Cash_Flow_Working8"/>
      <sheetName val="Commercial_Research8"/>
      <sheetName val="Operating_Statistics8"/>
      <sheetName val="Trial_Balance8"/>
      <sheetName val="FA_Schedule_Dec_078"/>
      <sheetName val="P_R__TAXES8"/>
      <sheetName val="BILLING_SUM8"/>
      <sheetName val="Service_Invoice8"/>
      <sheetName val="Retail_Mall8"/>
      <sheetName val="MIS_AC_wise8"/>
      <sheetName val="Rev_Opt_-_Rollup8"/>
      <sheetName val="BOQ_Distribution8"/>
      <sheetName val="Sheet3_(2)14"/>
      <sheetName val="Fin_Sum10"/>
      <sheetName val="Portfolio_Summary11"/>
      <sheetName val="Meas_-Hotel_Part11"/>
      <sheetName val="Project_Budget_Worksheet14"/>
      <sheetName val="Current_Bill_MB_ref11"/>
      <sheetName val="Income_Statements14"/>
      <sheetName val="Sheet3__2_14"/>
      <sheetName val="GM_&amp;_TA9"/>
      <sheetName val="Fin__Assumpt__-_Sensitivities9"/>
      <sheetName val="Balance_Sheet_9"/>
      <sheetName val="Load_Details-220kV14"/>
      <sheetName val="_COP9"/>
      <sheetName val="ABP_inputs14"/>
      <sheetName val="Synergy_Sales_Budget14"/>
      <sheetName val="QoQ_Forecast14"/>
      <sheetName val="Income_&amp;_Occupancy_Customer14"/>
      <sheetName val="Calculation_(2)14"/>
      <sheetName val="Multiple_output14"/>
      <sheetName val="Builtup_Area14"/>
      <sheetName val="RCC,Ret__Wall14"/>
      <sheetName val="BOQ_T4B14"/>
      <sheetName val="INDIGINEOUS_ITEMS_14"/>
      <sheetName val="Material_14"/>
      <sheetName val="Labour_&amp;_Plant14"/>
      <sheetName val="_B314"/>
      <sheetName val="_B114"/>
      <sheetName val="beam-reinft-IIInd_floor14"/>
      <sheetName val="Approved_MTD_Proj_#'s14"/>
      <sheetName val="03_(2)9"/>
      <sheetName val="WIng_F(Typical)9"/>
      <sheetName val="CFForecast_detail14"/>
      <sheetName val="Site_Dev_BOQ14"/>
      <sheetName val="Global_Assm_14"/>
      <sheetName val="SOPMA_DD9"/>
      <sheetName val="Break_up_Sheet14"/>
      <sheetName val="MN_T_B_14"/>
      <sheetName val="Aladdin_Macro114"/>
      <sheetName val="Acc_10_514"/>
      <sheetName val="Architectural_Summary9"/>
      <sheetName val="TB_FOR_MIS10"/>
      <sheetName val="INPUT_SHEET9"/>
      <sheetName val="IMPORT_T1210"/>
      <sheetName val="van_khuon10"/>
      <sheetName val="Block_A_-_BOQ14"/>
      <sheetName val="IDC_macro10"/>
      <sheetName val="March_Analysts9"/>
      <sheetName val="Rollup_Summary9"/>
      <sheetName val="170810-lease_tax9"/>
      <sheetName val="CABLE_DATA9"/>
      <sheetName val="1st_flr9"/>
      <sheetName val="Civil_Boq9"/>
      <sheetName val="KPM_DT10"/>
      <sheetName val="EXHIBIT&quot;_T&quot;9"/>
      <sheetName val="Legal_Risk_Analysis9"/>
      <sheetName val="IO_LIST9"/>
      <sheetName val="Master_list9"/>
      <sheetName val="Labour_List9"/>
      <sheetName val="Material_List9"/>
      <sheetName val="Labor_abs-NMR9"/>
      <sheetName val="Beam_at_Ground_flr_lvl(Steel)9"/>
      <sheetName val="1st_-vpd9"/>
      <sheetName val="Material_List_9"/>
      <sheetName val="schedule_nos9"/>
      <sheetName val="Fill_this_out_first___9"/>
      <sheetName val="NEW-IDs_Fun_&amp;_Group9"/>
      <sheetName val="final_abstract9"/>
      <sheetName val="Rate_analysis9"/>
      <sheetName val="Main_Sheet_(MTD)9"/>
      <sheetName val="Consl_Daily_Report9"/>
      <sheetName val="balance_sheet9"/>
      <sheetName val="_Acc__Sched_9"/>
      <sheetName val="IT_Block9"/>
      <sheetName val="Location_CODE9"/>
      <sheetName val="Location_TYPE9"/>
      <sheetName val="sub_class9"/>
      <sheetName val="_sub_Loc_9"/>
      <sheetName val="EDS__Bestshore_Migration9"/>
      <sheetName val="Summary_Excise9"/>
      <sheetName val="Grouping_Master9"/>
      <sheetName val="Other_BS_Sch_5-99"/>
      <sheetName val="Excess_Calc9"/>
      <sheetName val="10__&amp;_11__Rate_Code_&amp;_BQ9"/>
      <sheetName val="Dom_Cell_(IS)9"/>
      <sheetName val="QoQ_In_Lakhs9"/>
      <sheetName val="Main_workings9"/>
      <sheetName val="P_&amp;_L9"/>
      <sheetName val="Master_Price_List9"/>
      <sheetName val="vb_9&amp;109"/>
      <sheetName val="MASTER_RATE_ANALYSIS9"/>
      <sheetName val="Valuation_-_block_29"/>
      <sheetName val="Base_Assumptions9"/>
      <sheetName val="FITZ_MORT_949"/>
      <sheetName val="Goldberg_Portfolio_Combined9"/>
      <sheetName val="Debtors_analysis9"/>
      <sheetName val="MIS_-_kINR9"/>
      <sheetName val="pile_Fabrication9"/>
      <sheetName val="Leasing_Commision9"/>
      <sheetName val="9__Package_split_-_Cost_9"/>
      <sheetName val="extra_work_elec_bill_9"/>
      <sheetName val="소상_&quot;1&quot;9"/>
      <sheetName val="Cost_summary9"/>
      <sheetName val="RCC_Rates9"/>
      <sheetName val="M-2_Adjusted9"/>
      <sheetName val="Theatre_mgmt_cont9"/>
      <sheetName val="Tender_Summary9"/>
      <sheetName val="Bill_1-BOQ-Civil_Works9"/>
      <sheetName val="UNP-NCW_9"/>
      <sheetName val="Open_Items-3112089"/>
      <sheetName val="PRECAST_lightconc-II9"/>
      <sheetName val="Training_Deposits_coding9"/>
      <sheetName val="4_4_External_Plaster9"/>
      <sheetName val="Cash_Flow_Working9"/>
      <sheetName val="Commercial_Research9"/>
      <sheetName val="Operating_Statistics9"/>
      <sheetName val="Trial_Balance9"/>
      <sheetName val="FA_Schedule_Dec_079"/>
      <sheetName val="P_R__TAXES9"/>
      <sheetName val="BILLING_SUM9"/>
      <sheetName val="Service_Invoice9"/>
      <sheetName val="Retail_Mall9"/>
      <sheetName val="MIS_AC_wise9"/>
      <sheetName val="Rev_Opt_-_Rollup9"/>
      <sheetName val="BOQ_Distribution9"/>
      <sheetName val="Sheet3_(2)15"/>
      <sheetName val="Fin_Sum11"/>
      <sheetName val="Portfolio_Summary12"/>
      <sheetName val="Meas_-Hotel_Part12"/>
      <sheetName val="Project_Budget_Worksheet15"/>
      <sheetName val="Current_Bill_MB_ref12"/>
      <sheetName val="Income_Statements15"/>
      <sheetName val="Sheet3__2_15"/>
      <sheetName val="GM_&amp;_TA10"/>
      <sheetName val="Fin__Assumpt__-_Sensitivities10"/>
      <sheetName val="Balance_Sheet_10"/>
      <sheetName val="Load_Details-220kV15"/>
      <sheetName val="_COP10"/>
      <sheetName val="ABP_inputs15"/>
      <sheetName val="Synergy_Sales_Budget15"/>
      <sheetName val="QoQ_Forecast15"/>
      <sheetName val="Income_&amp;_Occupancy_Customer15"/>
      <sheetName val="Calculation_(2)15"/>
      <sheetName val="Multiple_output15"/>
      <sheetName val="Builtup_Area15"/>
      <sheetName val="RCC,Ret__Wall15"/>
      <sheetName val="BOQ_T4B15"/>
      <sheetName val="INDIGINEOUS_ITEMS_15"/>
      <sheetName val="Material_15"/>
      <sheetName val="Labour_&amp;_Plant15"/>
      <sheetName val="_B315"/>
      <sheetName val="_B115"/>
      <sheetName val="beam-reinft-IIInd_floor15"/>
      <sheetName val="Approved_MTD_Proj_#'s15"/>
      <sheetName val="03_(2)10"/>
      <sheetName val="WIng_F(Typical)10"/>
      <sheetName val="CFForecast_detail15"/>
      <sheetName val="Site_Dev_BOQ15"/>
      <sheetName val="Global_Assm_15"/>
      <sheetName val="SOPMA_DD10"/>
      <sheetName val="Break_up_Sheet15"/>
      <sheetName val="MN_T_B_15"/>
      <sheetName val="Aladdin_Macro115"/>
      <sheetName val="Acc_10_515"/>
      <sheetName val="Architectural_Summary10"/>
      <sheetName val="TB_FOR_MIS11"/>
      <sheetName val="INPUT_SHEET10"/>
      <sheetName val="IMPORT_T1211"/>
      <sheetName val="van_khuon11"/>
      <sheetName val="Block_A_-_BOQ15"/>
      <sheetName val="IDC_macro11"/>
      <sheetName val="March_Analysts10"/>
      <sheetName val="Rollup_Summary10"/>
      <sheetName val="170810-lease_tax10"/>
      <sheetName val="CABLE_DATA10"/>
      <sheetName val="1st_flr10"/>
      <sheetName val="Civil_Boq10"/>
      <sheetName val="KPM_DT11"/>
      <sheetName val="EXHIBIT&quot;_T&quot;10"/>
      <sheetName val="Legal_Risk_Analysis10"/>
      <sheetName val="IO_LIST10"/>
      <sheetName val="Master_list10"/>
      <sheetName val="Labour_List10"/>
      <sheetName val="Material_List10"/>
      <sheetName val="Labor_abs-NMR10"/>
      <sheetName val="Beam_at_Ground_flr_lvl(Steel)10"/>
      <sheetName val="1st_-vpd10"/>
      <sheetName val="Material_List_10"/>
      <sheetName val="schedule_nos10"/>
      <sheetName val="Fill_this_out_first___10"/>
      <sheetName val="NEW-IDs_Fun_&amp;_Group10"/>
      <sheetName val="final_abstract10"/>
      <sheetName val="Rate_analysis10"/>
      <sheetName val="Main_Sheet_(MTD)10"/>
      <sheetName val="Consl_Daily_Report10"/>
      <sheetName val="balance_sheet10"/>
      <sheetName val="_Acc__Sched_10"/>
      <sheetName val="IT_Block10"/>
      <sheetName val="Location_CODE10"/>
      <sheetName val="Location_TYPE10"/>
      <sheetName val="sub_class10"/>
      <sheetName val="_sub_Loc_10"/>
      <sheetName val="EDS__Bestshore_Migration10"/>
      <sheetName val="Summary_Excise10"/>
      <sheetName val="Grouping_Master10"/>
      <sheetName val="Other_BS_Sch_5-910"/>
      <sheetName val="Excess_Calc10"/>
      <sheetName val="10__&amp;_11__Rate_Code_&amp;_BQ10"/>
      <sheetName val="Dom_Cell_(IS)10"/>
      <sheetName val="QoQ_In_Lakhs10"/>
      <sheetName val="Main_workings10"/>
      <sheetName val="P_&amp;_L10"/>
      <sheetName val="Master_Price_List10"/>
      <sheetName val="vb_9&amp;1010"/>
      <sheetName val="MASTER_RATE_ANALYSIS10"/>
      <sheetName val="Valuation_-_block_210"/>
      <sheetName val="Base_Assumptions10"/>
      <sheetName val="FITZ_MORT_9410"/>
      <sheetName val="Goldberg_Portfolio_Combined10"/>
      <sheetName val="Debtors_analysis10"/>
      <sheetName val="MIS_-_kINR10"/>
      <sheetName val="pile_Fabrication10"/>
      <sheetName val="Leasing_Commision10"/>
      <sheetName val="9__Package_split_-_Cost_10"/>
      <sheetName val="extra_work_elec_bill_10"/>
      <sheetName val="소상_&quot;1&quot;10"/>
      <sheetName val="Cost_summary10"/>
      <sheetName val="RCC_Rates10"/>
      <sheetName val="M-2_Adjusted10"/>
      <sheetName val="Theatre_mgmt_cont10"/>
      <sheetName val="Tender_Summary10"/>
      <sheetName val="Bill_1-BOQ-Civil_Works10"/>
      <sheetName val="UNP-NCW_10"/>
      <sheetName val="Open_Items-31120810"/>
      <sheetName val="PRECAST_lightconc-II10"/>
      <sheetName val="Training_Deposits_coding10"/>
      <sheetName val="4_4_External_Plaster10"/>
      <sheetName val="Cash_Flow_Working10"/>
      <sheetName val="Commercial_Research10"/>
      <sheetName val="Operating_Statistics10"/>
      <sheetName val="Trial_Balance10"/>
      <sheetName val="FA_Schedule_Dec_0710"/>
      <sheetName val="P_R__TAXES10"/>
      <sheetName val="BILLING_SUM10"/>
      <sheetName val="Service_Invoice10"/>
      <sheetName val="Retail_Mall10"/>
      <sheetName val="MIS_AC_wise10"/>
      <sheetName val="Rev_Opt_-_Rollup10"/>
      <sheetName val="BOQ_Distribution10"/>
      <sheetName val="Sheet3_(2)16"/>
      <sheetName val="Fin_Sum12"/>
      <sheetName val="Portfolio_Summary13"/>
      <sheetName val="Meas_-Hotel_Part13"/>
      <sheetName val="Project_Budget_Worksheet16"/>
      <sheetName val="Current_Bill_MB_ref13"/>
      <sheetName val="Income_Statements16"/>
      <sheetName val="Sheet3__2_16"/>
      <sheetName val="GM_&amp;_TA11"/>
      <sheetName val="Fin__Assumpt__-_Sensitivities11"/>
      <sheetName val="Balance_Sheet_11"/>
      <sheetName val="Load_Details-220kV16"/>
      <sheetName val="_COP11"/>
      <sheetName val="ABP_inputs16"/>
      <sheetName val="Synergy_Sales_Budget16"/>
      <sheetName val="QoQ_Forecast16"/>
      <sheetName val="Income_&amp;_Occupancy_Customer16"/>
      <sheetName val="Calculation_(2)16"/>
      <sheetName val="Multiple_output16"/>
      <sheetName val="Builtup_Area16"/>
      <sheetName val="RCC,Ret__Wall16"/>
      <sheetName val="BOQ_T4B16"/>
      <sheetName val="INDIGINEOUS_ITEMS_16"/>
      <sheetName val="Material_16"/>
      <sheetName val="Labour_&amp;_Plant16"/>
      <sheetName val="_B316"/>
      <sheetName val="_B116"/>
      <sheetName val="beam-reinft-IIInd_floor16"/>
      <sheetName val="Approved_MTD_Proj_#'s16"/>
      <sheetName val="03_(2)11"/>
      <sheetName val="WIng_F(Typical)11"/>
      <sheetName val="CFForecast_detail16"/>
      <sheetName val="Site_Dev_BOQ16"/>
      <sheetName val="Global_Assm_16"/>
      <sheetName val="SOPMA_DD11"/>
      <sheetName val="Break_up_Sheet16"/>
      <sheetName val="MN_T_B_16"/>
      <sheetName val="Aladdin_Macro116"/>
      <sheetName val="Acc_10_516"/>
      <sheetName val="Architectural_Summary11"/>
      <sheetName val="TB_FOR_MIS12"/>
      <sheetName val="INPUT_SHEET11"/>
      <sheetName val="IMPORT_T1212"/>
      <sheetName val="van_khuon12"/>
      <sheetName val="Block_A_-_BOQ16"/>
      <sheetName val="IDC_macro12"/>
      <sheetName val="March_Analysts11"/>
      <sheetName val="Rollup_Summary11"/>
      <sheetName val="170810-lease_tax11"/>
      <sheetName val="CABLE_DATA11"/>
      <sheetName val="1st_flr11"/>
      <sheetName val="Civil_Boq11"/>
      <sheetName val="KPM_DT12"/>
      <sheetName val="EXHIBIT&quot;_T&quot;11"/>
      <sheetName val="Legal_Risk_Analysis11"/>
      <sheetName val="IO_LIST11"/>
      <sheetName val="Master_list11"/>
      <sheetName val="Labour_List11"/>
      <sheetName val="Material_List11"/>
      <sheetName val="Labor_abs-NMR11"/>
      <sheetName val="Beam_at_Ground_flr_lvl(Steel)11"/>
      <sheetName val="1st_-vpd11"/>
      <sheetName val="Material_List_11"/>
      <sheetName val="schedule_nos11"/>
      <sheetName val="Fill_this_out_first___11"/>
      <sheetName val="NEW-IDs_Fun_&amp;_Group11"/>
      <sheetName val="final_abstract11"/>
      <sheetName val="Rate_analysis11"/>
      <sheetName val="Main_Sheet_(MTD)11"/>
      <sheetName val="Consl_Daily_Report11"/>
      <sheetName val="balance_sheet11"/>
      <sheetName val="_Acc__Sched_11"/>
      <sheetName val="IT_Block11"/>
      <sheetName val="Location_CODE11"/>
      <sheetName val="Location_TYPE11"/>
      <sheetName val="sub_class11"/>
      <sheetName val="_sub_Loc_11"/>
      <sheetName val="EDS__Bestshore_Migration11"/>
      <sheetName val="Summary_Excise11"/>
      <sheetName val="Grouping_Master11"/>
      <sheetName val="Other_BS_Sch_5-911"/>
      <sheetName val="Excess_Calc11"/>
      <sheetName val="10__&amp;_11__Rate_Code_&amp;_BQ11"/>
      <sheetName val="Dom_Cell_(IS)11"/>
      <sheetName val="QoQ_In_Lakhs11"/>
      <sheetName val="Main_workings11"/>
      <sheetName val="P_&amp;_L11"/>
      <sheetName val="Master_Price_List11"/>
      <sheetName val="vb_9&amp;1011"/>
      <sheetName val="MASTER_RATE_ANALYSIS11"/>
      <sheetName val="Valuation_-_block_211"/>
      <sheetName val="Base_Assumptions11"/>
      <sheetName val="FITZ_MORT_9411"/>
      <sheetName val="Goldberg_Portfolio_Combined11"/>
      <sheetName val="Debtors_analysis11"/>
      <sheetName val="MIS_-_kINR11"/>
      <sheetName val="pile_Fabrication11"/>
      <sheetName val="Leasing_Commision11"/>
      <sheetName val="9__Package_split_-_Cost_11"/>
      <sheetName val="extra_work_elec_bill_11"/>
      <sheetName val="소상_&quot;1&quot;11"/>
      <sheetName val="Cost_summary11"/>
      <sheetName val="RCC_Rates11"/>
      <sheetName val="M-2_Adjusted11"/>
      <sheetName val="Theatre_mgmt_cont11"/>
      <sheetName val="Tender_Summary11"/>
      <sheetName val="Bill_1-BOQ-Civil_Works11"/>
      <sheetName val="UNP-NCW_11"/>
      <sheetName val="Open_Items-31120811"/>
      <sheetName val="PRECAST_lightconc-II11"/>
      <sheetName val="Training_Deposits_coding11"/>
      <sheetName val="4_4_External_Plaster11"/>
      <sheetName val="Cash_Flow_Working11"/>
      <sheetName val="Commercial_Research11"/>
      <sheetName val="Operating_Statistics11"/>
      <sheetName val="Trial_Balance11"/>
      <sheetName val="FA_Schedule_Dec_0711"/>
      <sheetName val="P_R__TAXES11"/>
      <sheetName val="BILLING_SUM11"/>
      <sheetName val="Service_Invoice11"/>
      <sheetName val="Retail_Mall11"/>
      <sheetName val="MIS_AC_wise11"/>
      <sheetName val="Rev_Opt_-_Rollup11"/>
      <sheetName val="BOQ_Distribution11"/>
      <sheetName val="REPAIR&amp; MAINT"/>
      <sheetName val="loaddata"/>
      <sheetName val="MAIN BS &amp; P&amp;L"/>
      <sheetName val="Expense"/>
      <sheetName val="License"/>
      <sheetName val="Total Revenue"/>
      <sheetName val="Interim --&gt; Top"/>
      <sheetName val="Control Self Assessment"/>
      <sheetName val="Controls"/>
      <sheetName val="dealer list"/>
      <sheetName val="recap horas"/>
      <sheetName val="ESC 10%"/>
      <sheetName val="ESC 12%"/>
      <sheetName val="ABB"/>
      <sheetName val="BLOCK_A _MEA_SHEET_"/>
      <sheetName val="Actuals_by_Job"/>
      <sheetName val="Outlook"/>
      <sheetName val="Service Function"/>
      <sheetName val="RA_markate"/>
      <sheetName val="UH BUILD UP PLAN-2"/>
      <sheetName val="April Analysts"/>
      <sheetName val="New May"/>
      <sheetName val="cash budget"/>
      <sheetName val="BFS"/>
      <sheetName val="Key Data"/>
      <sheetName val="TargBSCF"/>
      <sheetName val="BOQ HT"/>
      <sheetName val="Ann B1"/>
      <sheetName val="1999 Plan Summary"/>
      <sheetName val="建築面積"/>
      <sheetName val="BPR"/>
      <sheetName val="Q1 Est"/>
      <sheetName val="5-NCA"/>
      <sheetName val="PL-_Notes"/>
      <sheetName val="Senario_Manager"/>
      <sheetName val="SALREGJUNEFIXED"/>
      <sheetName val="Basic"/>
      <sheetName val="Lead (Final)"/>
      <sheetName val="THK"/>
      <sheetName val="Internal Plaster-FTP-Block D4"/>
      <sheetName val="int. pla."/>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65">
          <cell r="A65" t="str">
            <v>(II)</v>
          </cell>
        </row>
      </sheetData>
      <sheetData sheetId="95">
        <row r="65">
          <cell r="A65" t="str">
            <v>(II)</v>
          </cell>
        </row>
      </sheetData>
      <sheetData sheetId="96">
        <row r="65">
          <cell r="A65" t="str">
            <v>(II)</v>
          </cell>
        </row>
      </sheetData>
      <sheetData sheetId="97">
        <row r="65">
          <cell r="A65" t="str">
            <v>(II)</v>
          </cell>
        </row>
      </sheetData>
      <sheetData sheetId="98">
        <row r="65">
          <cell r="A65" t="str">
            <v>(II)</v>
          </cell>
        </row>
      </sheetData>
      <sheetData sheetId="99">
        <row r="65">
          <cell r="A65" t="str">
            <v>(II)</v>
          </cell>
        </row>
      </sheetData>
      <sheetData sheetId="100">
        <row r="65">
          <cell r="A65" t="str">
            <v>(II)</v>
          </cell>
        </row>
      </sheetData>
      <sheetData sheetId="101">
        <row r="65">
          <cell r="A65" t="str">
            <v>(II)</v>
          </cell>
        </row>
      </sheetData>
      <sheetData sheetId="102">
        <row r="65">
          <cell r="A65" t="str">
            <v>(II)</v>
          </cell>
        </row>
      </sheetData>
      <sheetData sheetId="103">
        <row r="65">
          <cell r="A65" t="str">
            <v>(II)</v>
          </cell>
        </row>
      </sheetData>
      <sheetData sheetId="104">
        <row r="65">
          <cell r="A65" t="str">
            <v>(II)</v>
          </cell>
        </row>
      </sheetData>
      <sheetData sheetId="105">
        <row r="65">
          <cell r="A65" t="str">
            <v>(II)</v>
          </cell>
        </row>
      </sheetData>
      <sheetData sheetId="106">
        <row r="65">
          <cell r="A65" t="str">
            <v>(II)</v>
          </cell>
        </row>
      </sheetData>
      <sheetData sheetId="107">
        <row r="65">
          <cell r="A65" t="str">
            <v>(II)</v>
          </cell>
        </row>
      </sheetData>
      <sheetData sheetId="108">
        <row r="65">
          <cell r="A65" t="str">
            <v>(II)</v>
          </cell>
        </row>
      </sheetData>
      <sheetData sheetId="109">
        <row r="65">
          <cell r="A65" t="str">
            <v>(II)</v>
          </cell>
        </row>
      </sheetData>
      <sheetData sheetId="110">
        <row r="65">
          <cell r="A65" t="str">
            <v>(II)</v>
          </cell>
        </row>
      </sheetData>
      <sheetData sheetId="111">
        <row r="65">
          <cell r="A65" t="str">
            <v>(II)</v>
          </cell>
        </row>
      </sheetData>
      <sheetData sheetId="112">
        <row r="65">
          <cell r="A65" t="str">
            <v>(II)</v>
          </cell>
        </row>
      </sheetData>
      <sheetData sheetId="113">
        <row r="65">
          <cell r="A65" t="str">
            <v>(II)</v>
          </cell>
        </row>
      </sheetData>
      <sheetData sheetId="114">
        <row r="65">
          <cell r="A65" t="str">
            <v>(II)</v>
          </cell>
        </row>
      </sheetData>
      <sheetData sheetId="115">
        <row r="65">
          <cell r="A65" t="str">
            <v>(II)</v>
          </cell>
        </row>
      </sheetData>
      <sheetData sheetId="116">
        <row r="65">
          <cell r="A65" t="str">
            <v>(II)</v>
          </cell>
        </row>
      </sheetData>
      <sheetData sheetId="117">
        <row r="65">
          <cell r="A65" t="str">
            <v>(II)</v>
          </cell>
        </row>
      </sheetData>
      <sheetData sheetId="118">
        <row r="65">
          <cell r="A65" t="str">
            <v>(II)</v>
          </cell>
        </row>
      </sheetData>
      <sheetData sheetId="119">
        <row r="65">
          <cell r="A65" t="str">
            <v>(II)</v>
          </cell>
        </row>
      </sheetData>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ow r="65">
          <cell r="A65" t="str">
            <v>(II)</v>
          </cell>
        </row>
      </sheetData>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ow r="65">
          <cell r="A65" t="str">
            <v>(II)</v>
          </cell>
        </row>
      </sheetData>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ow r="65">
          <cell r="A65" t="str">
            <v>(II)</v>
          </cell>
        </row>
      </sheetData>
      <sheetData sheetId="430">
        <row r="65">
          <cell r="A65" t="str">
            <v>(II)</v>
          </cell>
        </row>
      </sheetData>
      <sheetData sheetId="431">
        <row r="65">
          <cell r="A65" t="str">
            <v>(II)</v>
          </cell>
        </row>
      </sheetData>
      <sheetData sheetId="432">
        <row r="65">
          <cell r="A65" t="str">
            <v>(II)</v>
          </cell>
        </row>
      </sheetData>
      <sheetData sheetId="433" refreshError="1"/>
      <sheetData sheetId="434" refreshError="1"/>
      <sheetData sheetId="435" refreshError="1"/>
      <sheetData sheetId="436">
        <row r="65">
          <cell r="A65" t="str">
            <v>(II)</v>
          </cell>
        </row>
      </sheetData>
      <sheetData sheetId="437">
        <row r="65">
          <cell r="A65" t="str">
            <v>(II)</v>
          </cell>
        </row>
      </sheetData>
      <sheetData sheetId="438">
        <row r="65">
          <cell r="A65" t="str">
            <v>(II)</v>
          </cell>
        </row>
      </sheetData>
      <sheetData sheetId="439">
        <row r="65">
          <cell r="A65" t="str">
            <v>(II)</v>
          </cell>
        </row>
      </sheetData>
      <sheetData sheetId="440">
        <row r="65">
          <cell r="A65" t="str">
            <v>(II)</v>
          </cell>
        </row>
      </sheetData>
      <sheetData sheetId="441">
        <row r="65">
          <cell r="A65" t="str">
            <v>(II)</v>
          </cell>
        </row>
      </sheetData>
      <sheetData sheetId="442">
        <row r="65">
          <cell r="A65" t="str">
            <v>(II)</v>
          </cell>
        </row>
      </sheetData>
      <sheetData sheetId="443">
        <row r="65">
          <cell r="A65" t="str">
            <v>(II)</v>
          </cell>
        </row>
      </sheetData>
      <sheetData sheetId="444">
        <row r="65">
          <cell r="A65" t="str">
            <v>(II)</v>
          </cell>
        </row>
      </sheetData>
      <sheetData sheetId="445">
        <row r="65">
          <cell r="A65" t="str">
            <v>(II)</v>
          </cell>
        </row>
      </sheetData>
      <sheetData sheetId="446">
        <row r="65">
          <cell r="A65" t="str">
            <v>(II)</v>
          </cell>
        </row>
      </sheetData>
      <sheetData sheetId="447">
        <row r="65">
          <cell r="A65" t="str">
            <v>(II)</v>
          </cell>
        </row>
      </sheetData>
      <sheetData sheetId="448">
        <row r="65">
          <cell r="A65" t="str">
            <v>(II)</v>
          </cell>
        </row>
      </sheetData>
      <sheetData sheetId="449">
        <row r="65">
          <cell r="A65" t="str">
            <v>(II)</v>
          </cell>
        </row>
      </sheetData>
      <sheetData sheetId="450">
        <row r="65">
          <cell r="A65" t="str">
            <v>(II)</v>
          </cell>
        </row>
      </sheetData>
      <sheetData sheetId="451">
        <row r="65">
          <cell r="A65" t="str">
            <v>(II)</v>
          </cell>
        </row>
      </sheetData>
      <sheetData sheetId="452">
        <row r="65">
          <cell r="A65" t="str">
            <v>(II)</v>
          </cell>
        </row>
      </sheetData>
      <sheetData sheetId="453">
        <row r="65">
          <cell r="A65" t="str">
            <v>(II)</v>
          </cell>
        </row>
      </sheetData>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ow r="65">
          <cell r="A65" t="str">
            <v>(II)</v>
          </cell>
        </row>
      </sheetData>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ow r="65">
          <cell r="A65" t="str">
            <v>(II)</v>
          </cell>
        </row>
      </sheetData>
      <sheetData sheetId="504">
        <row r="65">
          <cell r="A65" t="str">
            <v>(II)</v>
          </cell>
        </row>
      </sheetData>
      <sheetData sheetId="505">
        <row r="65">
          <cell r="A65" t="str">
            <v>(II)</v>
          </cell>
        </row>
      </sheetData>
      <sheetData sheetId="506">
        <row r="65">
          <cell r="A65" t="str">
            <v>(II)</v>
          </cell>
        </row>
      </sheetData>
      <sheetData sheetId="507">
        <row r="65">
          <cell r="A65" t="str">
            <v>(II)</v>
          </cell>
        </row>
      </sheetData>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ow r="65">
          <cell r="A65" t="str">
            <v>(II)</v>
          </cell>
        </row>
      </sheetData>
      <sheetData sheetId="573">
        <row r="65">
          <cell r="A65" t="str">
            <v>(II)</v>
          </cell>
        </row>
      </sheetData>
      <sheetData sheetId="574">
        <row r="65">
          <cell r="A65" t="str">
            <v>(II)</v>
          </cell>
        </row>
      </sheetData>
      <sheetData sheetId="575">
        <row r="65">
          <cell r="A65" t="str">
            <v>(II)</v>
          </cell>
        </row>
      </sheetData>
      <sheetData sheetId="576">
        <row r="65">
          <cell r="A65" t="str">
            <v>(II)</v>
          </cell>
        </row>
      </sheetData>
      <sheetData sheetId="577">
        <row r="65">
          <cell r="A65" t="str">
            <v>(II)</v>
          </cell>
        </row>
      </sheetData>
      <sheetData sheetId="578">
        <row r="65">
          <cell r="A65" t="str">
            <v>(II)</v>
          </cell>
        </row>
      </sheetData>
      <sheetData sheetId="579">
        <row r="65">
          <cell r="A65" t="str">
            <v>(II)</v>
          </cell>
        </row>
      </sheetData>
      <sheetData sheetId="580">
        <row r="65">
          <cell r="A65" t="str">
            <v>(II)</v>
          </cell>
        </row>
      </sheetData>
      <sheetData sheetId="581">
        <row r="65">
          <cell r="A65" t="str">
            <v>(II)</v>
          </cell>
        </row>
      </sheetData>
      <sheetData sheetId="582">
        <row r="65">
          <cell r="A65" t="str">
            <v>(II)</v>
          </cell>
        </row>
      </sheetData>
      <sheetData sheetId="583">
        <row r="65">
          <cell r="A65" t="str">
            <v>(II)</v>
          </cell>
        </row>
      </sheetData>
      <sheetData sheetId="584">
        <row r="65">
          <cell r="A65" t="str">
            <v>(II)</v>
          </cell>
        </row>
      </sheetData>
      <sheetData sheetId="585">
        <row r="65">
          <cell r="A65" t="str">
            <v>(II)</v>
          </cell>
        </row>
      </sheetData>
      <sheetData sheetId="586">
        <row r="65">
          <cell r="A65" t="str">
            <v>(II)</v>
          </cell>
        </row>
      </sheetData>
      <sheetData sheetId="587">
        <row r="65">
          <cell r="A65" t="str">
            <v>(II)</v>
          </cell>
        </row>
      </sheetData>
      <sheetData sheetId="588">
        <row r="65">
          <cell r="A65" t="str">
            <v>(II)</v>
          </cell>
        </row>
      </sheetData>
      <sheetData sheetId="589">
        <row r="65">
          <cell r="A65" t="str">
            <v>(II)</v>
          </cell>
        </row>
      </sheetData>
      <sheetData sheetId="590" refreshError="1"/>
      <sheetData sheetId="591" refreshError="1"/>
      <sheetData sheetId="592" refreshError="1"/>
      <sheetData sheetId="593" refreshError="1"/>
      <sheetData sheetId="594" refreshError="1"/>
      <sheetData sheetId="595">
        <row r="65">
          <cell r="A65" t="str">
            <v>(II)</v>
          </cell>
        </row>
      </sheetData>
      <sheetData sheetId="596">
        <row r="65">
          <cell r="A65" t="str">
            <v>(II)</v>
          </cell>
        </row>
      </sheetData>
      <sheetData sheetId="597">
        <row r="65">
          <cell r="A65" t="str">
            <v>(II)</v>
          </cell>
        </row>
      </sheetData>
      <sheetData sheetId="598">
        <row r="65">
          <cell r="A65" t="str">
            <v>(II)</v>
          </cell>
        </row>
      </sheetData>
      <sheetData sheetId="599">
        <row r="65">
          <cell r="A65" t="str">
            <v>(II)</v>
          </cell>
        </row>
      </sheetData>
      <sheetData sheetId="600">
        <row r="65">
          <cell r="A65" t="str">
            <v>(II)</v>
          </cell>
        </row>
      </sheetData>
      <sheetData sheetId="601">
        <row r="65">
          <cell r="A65" t="str">
            <v>(II)</v>
          </cell>
        </row>
      </sheetData>
      <sheetData sheetId="602">
        <row r="65">
          <cell r="A65" t="str">
            <v>(II)</v>
          </cell>
        </row>
      </sheetData>
      <sheetData sheetId="603">
        <row r="65">
          <cell r="A65" t="str">
            <v>(II)</v>
          </cell>
        </row>
      </sheetData>
      <sheetData sheetId="604" refreshError="1"/>
      <sheetData sheetId="605" refreshError="1"/>
      <sheetData sheetId="606">
        <row r="65">
          <cell r="A65" t="str">
            <v>(II)</v>
          </cell>
        </row>
      </sheetData>
      <sheetData sheetId="607">
        <row r="65">
          <cell r="A65" t="str">
            <v>(II)</v>
          </cell>
        </row>
      </sheetData>
      <sheetData sheetId="608">
        <row r="65">
          <cell r="A65" t="str">
            <v>(II)</v>
          </cell>
        </row>
      </sheetData>
      <sheetData sheetId="609">
        <row r="65">
          <cell r="A65" t="str">
            <v>(II)</v>
          </cell>
        </row>
      </sheetData>
      <sheetData sheetId="610">
        <row r="65">
          <cell r="A65" t="str">
            <v>(II)</v>
          </cell>
        </row>
      </sheetData>
      <sheetData sheetId="611">
        <row r="65">
          <cell r="A65" t="str">
            <v>(II)</v>
          </cell>
        </row>
      </sheetData>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ow r="65">
          <cell r="A65" t="str">
            <v>(II)</v>
          </cell>
        </row>
      </sheetData>
      <sheetData sheetId="699">
        <row r="65">
          <cell r="A65" t="str">
            <v>(II)</v>
          </cell>
        </row>
      </sheetData>
      <sheetData sheetId="700">
        <row r="65">
          <cell r="A65" t="str">
            <v>(II)</v>
          </cell>
        </row>
      </sheetData>
      <sheetData sheetId="701">
        <row r="65">
          <cell r="A65" t="str">
            <v>(II)</v>
          </cell>
        </row>
      </sheetData>
      <sheetData sheetId="702">
        <row r="65">
          <cell r="A65" t="str">
            <v>(II)</v>
          </cell>
        </row>
      </sheetData>
      <sheetData sheetId="703">
        <row r="65">
          <cell r="A65" t="str">
            <v>(II)</v>
          </cell>
        </row>
      </sheetData>
      <sheetData sheetId="704">
        <row r="65">
          <cell r="A65" t="str">
            <v>(II)</v>
          </cell>
        </row>
      </sheetData>
      <sheetData sheetId="705">
        <row r="65">
          <cell r="A65" t="str">
            <v>(II)</v>
          </cell>
        </row>
      </sheetData>
      <sheetData sheetId="706">
        <row r="65">
          <cell r="A65" t="str">
            <v>(II)</v>
          </cell>
        </row>
      </sheetData>
      <sheetData sheetId="707">
        <row r="65">
          <cell r="A65" t="str">
            <v>(II)</v>
          </cell>
        </row>
      </sheetData>
      <sheetData sheetId="708">
        <row r="65">
          <cell r="A65" t="str">
            <v>(II)</v>
          </cell>
        </row>
      </sheetData>
      <sheetData sheetId="709">
        <row r="65">
          <cell r="A65" t="str">
            <v>(II)</v>
          </cell>
        </row>
      </sheetData>
      <sheetData sheetId="710">
        <row r="65">
          <cell r="A65" t="str">
            <v>(II)</v>
          </cell>
        </row>
      </sheetData>
      <sheetData sheetId="711">
        <row r="65">
          <cell r="A65" t="str">
            <v>(II)</v>
          </cell>
        </row>
      </sheetData>
      <sheetData sheetId="712">
        <row r="65">
          <cell r="A65" t="str">
            <v>(II)</v>
          </cell>
        </row>
      </sheetData>
      <sheetData sheetId="713">
        <row r="65">
          <cell r="A65" t="str">
            <v>(II)</v>
          </cell>
        </row>
      </sheetData>
      <sheetData sheetId="714">
        <row r="65">
          <cell r="A65" t="str">
            <v>(II)</v>
          </cell>
        </row>
      </sheetData>
      <sheetData sheetId="715">
        <row r="65">
          <cell r="A65" t="str">
            <v>(II)</v>
          </cell>
        </row>
      </sheetData>
      <sheetData sheetId="716">
        <row r="65">
          <cell r="A65" t="str">
            <v>(II)</v>
          </cell>
        </row>
      </sheetData>
      <sheetData sheetId="717">
        <row r="65">
          <cell r="A65" t="str">
            <v>(II)</v>
          </cell>
        </row>
      </sheetData>
      <sheetData sheetId="718">
        <row r="65">
          <cell r="A65" t="str">
            <v>(II)</v>
          </cell>
        </row>
      </sheetData>
      <sheetData sheetId="719">
        <row r="65">
          <cell r="A65" t="str">
            <v>(II)</v>
          </cell>
        </row>
      </sheetData>
      <sheetData sheetId="720">
        <row r="65">
          <cell r="A65" t="str">
            <v>(II)</v>
          </cell>
        </row>
      </sheetData>
      <sheetData sheetId="721">
        <row r="65">
          <cell r="A65" t="str">
            <v>(II)</v>
          </cell>
        </row>
      </sheetData>
      <sheetData sheetId="722">
        <row r="65">
          <cell r="A65" t="str">
            <v>(II)</v>
          </cell>
        </row>
      </sheetData>
      <sheetData sheetId="723" refreshError="1"/>
      <sheetData sheetId="724" refreshError="1"/>
      <sheetData sheetId="725" refreshError="1"/>
      <sheetData sheetId="726" refreshError="1"/>
      <sheetData sheetId="727" refreshError="1"/>
      <sheetData sheetId="728">
        <row r="65">
          <cell r="A65" t="str">
            <v>(II)</v>
          </cell>
        </row>
      </sheetData>
      <sheetData sheetId="729">
        <row r="65">
          <cell r="A65" t="str">
            <v>(II)</v>
          </cell>
        </row>
      </sheetData>
      <sheetData sheetId="730">
        <row r="65">
          <cell r="A65" t="str">
            <v>(II)</v>
          </cell>
        </row>
      </sheetData>
      <sheetData sheetId="731">
        <row r="65">
          <cell r="A65" t="str">
            <v>(II)</v>
          </cell>
        </row>
      </sheetData>
      <sheetData sheetId="732">
        <row r="65">
          <cell r="A65" t="str">
            <v>(II)</v>
          </cell>
        </row>
      </sheetData>
      <sheetData sheetId="733">
        <row r="65">
          <cell r="A65" t="str">
            <v>(II)</v>
          </cell>
        </row>
      </sheetData>
      <sheetData sheetId="734">
        <row r="65">
          <cell r="A65" t="str">
            <v>(II)</v>
          </cell>
        </row>
      </sheetData>
      <sheetData sheetId="735">
        <row r="65">
          <cell r="A65" t="str">
            <v>(II)</v>
          </cell>
        </row>
      </sheetData>
      <sheetData sheetId="736">
        <row r="65">
          <cell r="A65" t="str">
            <v>(II)</v>
          </cell>
        </row>
      </sheetData>
      <sheetData sheetId="737">
        <row r="65">
          <cell r="A65" t="str">
            <v>(II)</v>
          </cell>
        </row>
      </sheetData>
      <sheetData sheetId="738">
        <row r="65">
          <cell r="A65" t="str">
            <v>(II)</v>
          </cell>
        </row>
      </sheetData>
      <sheetData sheetId="739">
        <row r="65">
          <cell r="A65" t="str">
            <v>(II)</v>
          </cell>
        </row>
      </sheetData>
      <sheetData sheetId="740">
        <row r="65">
          <cell r="A65" t="str">
            <v>(II)</v>
          </cell>
        </row>
      </sheetData>
      <sheetData sheetId="741">
        <row r="65">
          <cell r="A65" t="str">
            <v>(II)</v>
          </cell>
        </row>
      </sheetData>
      <sheetData sheetId="742">
        <row r="65">
          <cell r="A65" t="str">
            <v>(II)</v>
          </cell>
        </row>
      </sheetData>
      <sheetData sheetId="743">
        <row r="65">
          <cell r="A65" t="str">
            <v>(II)</v>
          </cell>
        </row>
      </sheetData>
      <sheetData sheetId="744">
        <row r="65">
          <cell r="A65" t="str">
            <v>(II)</v>
          </cell>
        </row>
      </sheetData>
      <sheetData sheetId="745">
        <row r="65">
          <cell r="A65" t="str">
            <v>(II)</v>
          </cell>
        </row>
      </sheetData>
      <sheetData sheetId="746">
        <row r="65">
          <cell r="A65" t="str">
            <v>(II)</v>
          </cell>
        </row>
      </sheetData>
      <sheetData sheetId="747">
        <row r="65">
          <cell r="A65" t="str">
            <v>(II)</v>
          </cell>
        </row>
      </sheetData>
      <sheetData sheetId="748">
        <row r="65">
          <cell r="A65" t="str">
            <v>(II)</v>
          </cell>
        </row>
      </sheetData>
      <sheetData sheetId="749">
        <row r="65">
          <cell r="A65" t="str">
            <v>(II)</v>
          </cell>
        </row>
      </sheetData>
      <sheetData sheetId="750">
        <row r="65">
          <cell r="A65" t="str">
            <v>(II)</v>
          </cell>
        </row>
      </sheetData>
      <sheetData sheetId="751">
        <row r="65">
          <cell r="A65" t="str">
            <v>(II)</v>
          </cell>
        </row>
      </sheetData>
      <sheetData sheetId="752">
        <row r="65">
          <cell r="A65" t="str">
            <v>(II)</v>
          </cell>
        </row>
      </sheetData>
      <sheetData sheetId="753">
        <row r="65">
          <cell r="A65" t="str">
            <v>(II)</v>
          </cell>
        </row>
      </sheetData>
      <sheetData sheetId="754">
        <row r="65">
          <cell r="A65" t="str">
            <v>(II)</v>
          </cell>
        </row>
      </sheetData>
      <sheetData sheetId="755">
        <row r="65">
          <cell r="A65" t="str">
            <v>(II)</v>
          </cell>
        </row>
      </sheetData>
      <sheetData sheetId="756">
        <row r="65">
          <cell r="A65" t="str">
            <v>(II)</v>
          </cell>
        </row>
      </sheetData>
      <sheetData sheetId="757">
        <row r="65">
          <cell r="A65" t="str">
            <v>(II)</v>
          </cell>
        </row>
      </sheetData>
      <sheetData sheetId="758">
        <row r="65">
          <cell r="A65" t="str">
            <v>(II)</v>
          </cell>
        </row>
      </sheetData>
      <sheetData sheetId="759">
        <row r="65">
          <cell r="A65" t="str">
            <v>(II)</v>
          </cell>
        </row>
      </sheetData>
      <sheetData sheetId="760">
        <row r="65">
          <cell r="A65" t="str">
            <v>(II)</v>
          </cell>
        </row>
      </sheetData>
      <sheetData sheetId="761">
        <row r="65">
          <cell r="A65" t="str">
            <v>(II)</v>
          </cell>
        </row>
      </sheetData>
      <sheetData sheetId="762">
        <row r="65">
          <cell r="A65" t="str">
            <v>(II)</v>
          </cell>
        </row>
      </sheetData>
      <sheetData sheetId="763">
        <row r="65">
          <cell r="A65" t="str">
            <v>(II)</v>
          </cell>
        </row>
      </sheetData>
      <sheetData sheetId="764">
        <row r="65">
          <cell r="A65" t="str">
            <v>(II)</v>
          </cell>
        </row>
      </sheetData>
      <sheetData sheetId="765">
        <row r="65">
          <cell r="A65" t="str">
            <v>(II)</v>
          </cell>
        </row>
      </sheetData>
      <sheetData sheetId="766">
        <row r="65">
          <cell r="A65" t="str">
            <v>(II)</v>
          </cell>
        </row>
      </sheetData>
      <sheetData sheetId="767">
        <row r="65">
          <cell r="A65" t="str">
            <v>(II)</v>
          </cell>
        </row>
      </sheetData>
      <sheetData sheetId="768">
        <row r="65">
          <cell r="A65" t="str">
            <v>(II)</v>
          </cell>
        </row>
      </sheetData>
      <sheetData sheetId="769">
        <row r="65">
          <cell r="A65" t="str">
            <v>(II)</v>
          </cell>
        </row>
      </sheetData>
      <sheetData sheetId="770">
        <row r="65">
          <cell r="A65" t="str">
            <v>(II)</v>
          </cell>
        </row>
      </sheetData>
      <sheetData sheetId="771">
        <row r="65">
          <cell r="A65" t="str">
            <v>(II)</v>
          </cell>
        </row>
      </sheetData>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ow r="65">
          <cell r="A65" t="str">
            <v>(II)</v>
          </cell>
        </row>
      </sheetData>
      <sheetData sheetId="793">
        <row r="65">
          <cell r="A65" t="str">
            <v>(II)</v>
          </cell>
        </row>
      </sheetData>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ow r="65">
          <cell r="A65" t="str">
            <v>(II)</v>
          </cell>
        </row>
      </sheetData>
      <sheetData sheetId="804">
        <row r="65">
          <cell r="A65" t="str">
            <v>(II)</v>
          </cell>
        </row>
      </sheetData>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ow r="65">
          <cell r="A65" t="str">
            <v>(II)</v>
          </cell>
        </row>
      </sheetData>
      <sheetData sheetId="825">
        <row r="65">
          <cell r="A65" t="str">
            <v>(II)</v>
          </cell>
        </row>
      </sheetData>
      <sheetData sheetId="826">
        <row r="65">
          <cell r="A65" t="str">
            <v>(II)</v>
          </cell>
        </row>
      </sheetData>
      <sheetData sheetId="827">
        <row r="65">
          <cell r="A65" t="str">
            <v>(II)</v>
          </cell>
        </row>
      </sheetData>
      <sheetData sheetId="828">
        <row r="65">
          <cell r="A65" t="str">
            <v>(II)</v>
          </cell>
        </row>
      </sheetData>
      <sheetData sheetId="829">
        <row r="65">
          <cell r="A65" t="str">
            <v>(II)</v>
          </cell>
        </row>
      </sheetData>
      <sheetData sheetId="830">
        <row r="65">
          <cell r="A65" t="str">
            <v>(II)</v>
          </cell>
        </row>
      </sheetData>
      <sheetData sheetId="831">
        <row r="65">
          <cell r="A65" t="str">
            <v>(II)</v>
          </cell>
        </row>
      </sheetData>
      <sheetData sheetId="832">
        <row r="65">
          <cell r="A65" t="str">
            <v>(II)</v>
          </cell>
        </row>
      </sheetData>
      <sheetData sheetId="833">
        <row r="65">
          <cell r="A65" t="str">
            <v>(II)</v>
          </cell>
        </row>
      </sheetData>
      <sheetData sheetId="834">
        <row r="65">
          <cell r="A65" t="str">
            <v>(II)</v>
          </cell>
        </row>
      </sheetData>
      <sheetData sheetId="835">
        <row r="65">
          <cell r="A65" t="str">
            <v>(II)</v>
          </cell>
        </row>
      </sheetData>
      <sheetData sheetId="836">
        <row r="65">
          <cell r="A65" t="str">
            <v>(II)</v>
          </cell>
        </row>
      </sheetData>
      <sheetData sheetId="837">
        <row r="65">
          <cell r="A65" t="str">
            <v>(II)</v>
          </cell>
        </row>
      </sheetData>
      <sheetData sheetId="838">
        <row r="65">
          <cell r="A65" t="str">
            <v>(II)</v>
          </cell>
        </row>
      </sheetData>
      <sheetData sheetId="839">
        <row r="65">
          <cell r="A65" t="str">
            <v>(II)</v>
          </cell>
        </row>
      </sheetData>
      <sheetData sheetId="840">
        <row r="65">
          <cell r="A65" t="str">
            <v>(II)</v>
          </cell>
        </row>
      </sheetData>
      <sheetData sheetId="841">
        <row r="65">
          <cell r="A65" t="str">
            <v>(II)</v>
          </cell>
        </row>
      </sheetData>
      <sheetData sheetId="842">
        <row r="65">
          <cell r="A65" t="str">
            <v>(II)</v>
          </cell>
        </row>
      </sheetData>
      <sheetData sheetId="843">
        <row r="65">
          <cell r="A65" t="str">
            <v>(II)</v>
          </cell>
        </row>
      </sheetData>
      <sheetData sheetId="844">
        <row r="65">
          <cell r="A65" t="str">
            <v>(II)</v>
          </cell>
        </row>
      </sheetData>
      <sheetData sheetId="845">
        <row r="65">
          <cell r="A65" t="str">
            <v>(II)</v>
          </cell>
        </row>
      </sheetData>
      <sheetData sheetId="846">
        <row r="65">
          <cell r="A65" t="str">
            <v>(II)</v>
          </cell>
        </row>
      </sheetData>
      <sheetData sheetId="847">
        <row r="65">
          <cell r="A65" t="str">
            <v>(II)</v>
          </cell>
        </row>
      </sheetData>
      <sheetData sheetId="848">
        <row r="65">
          <cell r="A65" t="str">
            <v>(II)</v>
          </cell>
        </row>
      </sheetData>
      <sheetData sheetId="849">
        <row r="65">
          <cell r="A65" t="str">
            <v>(II)</v>
          </cell>
        </row>
      </sheetData>
      <sheetData sheetId="850">
        <row r="65">
          <cell r="A65" t="str">
            <v>(II)</v>
          </cell>
        </row>
      </sheetData>
      <sheetData sheetId="851">
        <row r="65">
          <cell r="A65" t="str">
            <v>(II)</v>
          </cell>
        </row>
      </sheetData>
      <sheetData sheetId="852">
        <row r="65">
          <cell r="A65" t="str">
            <v>(II)</v>
          </cell>
        </row>
      </sheetData>
      <sheetData sheetId="853">
        <row r="65">
          <cell r="A65" t="str">
            <v>(II)</v>
          </cell>
        </row>
      </sheetData>
      <sheetData sheetId="854">
        <row r="65">
          <cell r="A65" t="str">
            <v>(II)</v>
          </cell>
        </row>
      </sheetData>
      <sheetData sheetId="855">
        <row r="65">
          <cell r="A65" t="str">
            <v>(II)</v>
          </cell>
        </row>
      </sheetData>
      <sheetData sheetId="856">
        <row r="65">
          <cell r="A65" t="str">
            <v>(II)</v>
          </cell>
        </row>
      </sheetData>
      <sheetData sheetId="857">
        <row r="65">
          <cell r="A65" t="str">
            <v>(II)</v>
          </cell>
        </row>
      </sheetData>
      <sheetData sheetId="858">
        <row r="65">
          <cell r="A65" t="str">
            <v>(II)</v>
          </cell>
        </row>
      </sheetData>
      <sheetData sheetId="859">
        <row r="65">
          <cell r="A65" t="str">
            <v>(II)</v>
          </cell>
        </row>
      </sheetData>
      <sheetData sheetId="860">
        <row r="65">
          <cell r="A65" t="str">
            <v>(II)</v>
          </cell>
        </row>
      </sheetData>
      <sheetData sheetId="861">
        <row r="65">
          <cell r="A65" t="str">
            <v>(II)</v>
          </cell>
        </row>
      </sheetData>
      <sheetData sheetId="862">
        <row r="65">
          <cell r="A65" t="str">
            <v>(II)</v>
          </cell>
        </row>
      </sheetData>
      <sheetData sheetId="863">
        <row r="65">
          <cell r="A65" t="str">
            <v>(II)</v>
          </cell>
        </row>
      </sheetData>
      <sheetData sheetId="864">
        <row r="65">
          <cell r="A65" t="str">
            <v>(II)</v>
          </cell>
        </row>
      </sheetData>
      <sheetData sheetId="865">
        <row r="65">
          <cell r="A65" t="str">
            <v>(II)</v>
          </cell>
        </row>
      </sheetData>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ow r="65">
          <cell r="A65" t="str">
            <v>(II)</v>
          </cell>
        </row>
      </sheetData>
      <sheetData sheetId="919">
        <row r="65">
          <cell r="A65" t="str">
            <v>(II)</v>
          </cell>
        </row>
      </sheetData>
      <sheetData sheetId="920">
        <row r="65">
          <cell r="A65" t="str">
            <v>(II)</v>
          </cell>
        </row>
      </sheetData>
      <sheetData sheetId="921">
        <row r="65">
          <cell r="A65" t="str">
            <v>(II)</v>
          </cell>
        </row>
      </sheetData>
      <sheetData sheetId="922">
        <row r="65">
          <cell r="A65" t="str">
            <v>(II)</v>
          </cell>
        </row>
      </sheetData>
      <sheetData sheetId="923">
        <row r="65">
          <cell r="A65" t="str">
            <v>(II)</v>
          </cell>
        </row>
      </sheetData>
      <sheetData sheetId="924">
        <row r="65">
          <cell r="A65" t="str">
            <v>(II)</v>
          </cell>
        </row>
      </sheetData>
      <sheetData sheetId="925">
        <row r="65">
          <cell r="A65" t="str">
            <v>(II)</v>
          </cell>
        </row>
      </sheetData>
      <sheetData sheetId="926">
        <row r="65">
          <cell r="A65" t="str">
            <v>(II)</v>
          </cell>
        </row>
      </sheetData>
      <sheetData sheetId="927">
        <row r="65">
          <cell r="A65" t="str">
            <v>(II)</v>
          </cell>
        </row>
      </sheetData>
      <sheetData sheetId="928">
        <row r="65">
          <cell r="A65" t="str">
            <v>(II)</v>
          </cell>
        </row>
      </sheetData>
      <sheetData sheetId="929">
        <row r="65">
          <cell r="A65" t="str">
            <v>(II)</v>
          </cell>
        </row>
      </sheetData>
      <sheetData sheetId="930">
        <row r="65">
          <cell r="A65" t="str">
            <v>(II)</v>
          </cell>
        </row>
      </sheetData>
      <sheetData sheetId="931">
        <row r="65">
          <cell r="A65" t="str">
            <v>(II)</v>
          </cell>
        </row>
      </sheetData>
      <sheetData sheetId="932">
        <row r="65">
          <cell r="A65" t="str">
            <v>(II)</v>
          </cell>
        </row>
      </sheetData>
      <sheetData sheetId="933">
        <row r="65">
          <cell r="A65" t="str">
            <v>(II)</v>
          </cell>
        </row>
      </sheetData>
      <sheetData sheetId="934">
        <row r="65">
          <cell r="A65" t="str">
            <v>(II)</v>
          </cell>
        </row>
      </sheetData>
      <sheetData sheetId="935">
        <row r="65">
          <cell r="A65" t="str">
            <v>(II)</v>
          </cell>
        </row>
      </sheetData>
      <sheetData sheetId="936">
        <row r="65">
          <cell r="A65" t="str">
            <v>(II)</v>
          </cell>
        </row>
      </sheetData>
      <sheetData sheetId="937">
        <row r="65">
          <cell r="A65" t="str">
            <v>(II)</v>
          </cell>
        </row>
      </sheetData>
      <sheetData sheetId="938">
        <row r="65">
          <cell r="A65" t="str">
            <v>(II)</v>
          </cell>
        </row>
      </sheetData>
      <sheetData sheetId="939">
        <row r="65">
          <cell r="A65" t="str">
            <v>(II)</v>
          </cell>
        </row>
      </sheetData>
      <sheetData sheetId="940">
        <row r="65">
          <cell r="A65" t="str">
            <v>(II)</v>
          </cell>
        </row>
      </sheetData>
      <sheetData sheetId="941">
        <row r="65">
          <cell r="A65" t="str">
            <v>(II)</v>
          </cell>
        </row>
      </sheetData>
      <sheetData sheetId="942">
        <row r="65">
          <cell r="A65" t="str">
            <v>(II)</v>
          </cell>
        </row>
      </sheetData>
      <sheetData sheetId="943">
        <row r="65">
          <cell r="A65" t="str">
            <v>(II)</v>
          </cell>
        </row>
      </sheetData>
      <sheetData sheetId="944">
        <row r="65">
          <cell r="A65" t="str">
            <v>(II)</v>
          </cell>
        </row>
      </sheetData>
      <sheetData sheetId="945">
        <row r="65">
          <cell r="A65" t="str">
            <v>(II)</v>
          </cell>
        </row>
      </sheetData>
      <sheetData sheetId="946">
        <row r="65">
          <cell r="A65" t="str">
            <v>(II)</v>
          </cell>
        </row>
      </sheetData>
      <sheetData sheetId="947">
        <row r="65">
          <cell r="A65" t="str">
            <v>(II)</v>
          </cell>
        </row>
      </sheetData>
      <sheetData sheetId="948">
        <row r="65">
          <cell r="A65" t="str">
            <v>(II)</v>
          </cell>
        </row>
      </sheetData>
      <sheetData sheetId="949">
        <row r="65">
          <cell r="A65" t="str">
            <v>(II)</v>
          </cell>
        </row>
      </sheetData>
      <sheetData sheetId="950">
        <row r="65">
          <cell r="A65" t="str">
            <v>(II)</v>
          </cell>
        </row>
      </sheetData>
      <sheetData sheetId="951">
        <row r="65">
          <cell r="A65" t="str">
            <v>(II)</v>
          </cell>
        </row>
      </sheetData>
      <sheetData sheetId="952">
        <row r="65">
          <cell r="A65" t="str">
            <v>(II)</v>
          </cell>
        </row>
      </sheetData>
      <sheetData sheetId="953">
        <row r="65">
          <cell r="A65" t="str">
            <v>(II)</v>
          </cell>
        </row>
      </sheetData>
      <sheetData sheetId="954">
        <row r="65">
          <cell r="A65" t="str">
            <v>(II)</v>
          </cell>
        </row>
      </sheetData>
      <sheetData sheetId="955">
        <row r="65">
          <cell r="A65" t="str">
            <v>(II)</v>
          </cell>
        </row>
      </sheetData>
      <sheetData sheetId="956">
        <row r="65">
          <cell r="A65" t="str">
            <v>(II)</v>
          </cell>
        </row>
      </sheetData>
      <sheetData sheetId="957">
        <row r="65">
          <cell r="A65" t="str">
            <v>(II)</v>
          </cell>
        </row>
      </sheetData>
      <sheetData sheetId="958">
        <row r="65">
          <cell r="A65" t="str">
            <v>(II)</v>
          </cell>
        </row>
      </sheetData>
      <sheetData sheetId="959">
        <row r="65">
          <cell r="A65" t="str">
            <v>(II)</v>
          </cell>
        </row>
      </sheetData>
      <sheetData sheetId="960">
        <row r="65">
          <cell r="A65" t="str">
            <v>(II)</v>
          </cell>
        </row>
      </sheetData>
      <sheetData sheetId="961">
        <row r="65">
          <cell r="A65" t="str">
            <v>(II)</v>
          </cell>
        </row>
      </sheetData>
      <sheetData sheetId="962">
        <row r="65">
          <cell r="A65" t="str">
            <v>(II)</v>
          </cell>
        </row>
      </sheetData>
      <sheetData sheetId="963">
        <row r="65">
          <cell r="A65" t="str">
            <v>(II)</v>
          </cell>
        </row>
      </sheetData>
      <sheetData sheetId="964">
        <row r="65">
          <cell r="A65" t="str">
            <v>(II)</v>
          </cell>
        </row>
      </sheetData>
      <sheetData sheetId="965">
        <row r="65">
          <cell r="A65" t="str">
            <v>(II)</v>
          </cell>
        </row>
      </sheetData>
      <sheetData sheetId="966">
        <row r="65">
          <cell r="A65" t="str">
            <v>(II)</v>
          </cell>
        </row>
      </sheetData>
      <sheetData sheetId="967">
        <row r="65">
          <cell r="A65" t="str">
            <v>(II)</v>
          </cell>
        </row>
      </sheetData>
      <sheetData sheetId="968">
        <row r="65">
          <cell r="A65" t="str">
            <v>(II)</v>
          </cell>
        </row>
      </sheetData>
      <sheetData sheetId="969">
        <row r="65">
          <cell r="A65" t="str">
            <v>(II)</v>
          </cell>
        </row>
      </sheetData>
      <sheetData sheetId="970">
        <row r="65">
          <cell r="A65" t="str">
            <v>(II)</v>
          </cell>
        </row>
      </sheetData>
      <sheetData sheetId="971">
        <row r="65">
          <cell r="A65" t="str">
            <v>(II)</v>
          </cell>
        </row>
      </sheetData>
      <sheetData sheetId="972">
        <row r="65">
          <cell r="A65" t="str">
            <v>(II)</v>
          </cell>
        </row>
      </sheetData>
      <sheetData sheetId="973">
        <row r="65">
          <cell r="A65" t="str">
            <v>(II)</v>
          </cell>
        </row>
      </sheetData>
      <sheetData sheetId="974">
        <row r="65">
          <cell r="A65" t="str">
            <v>(II)</v>
          </cell>
        </row>
      </sheetData>
      <sheetData sheetId="975">
        <row r="65">
          <cell r="A65" t="str">
            <v>(II)</v>
          </cell>
        </row>
      </sheetData>
      <sheetData sheetId="976">
        <row r="65">
          <cell r="A65" t="str">
            <v>(II)</v>
          </cell>
        </row>
      </sheetData>
      <sheetData sheetId="977">
        <row r="65">
          <cell r="A65" t="str">
            <v>(II)</v>
          </cell>
        </row>
      </sheetData>
      <sheetData sheetId="978">
        <row r="65">
          <cell r="A65" t="str">
            <v>(II)</v>
          </cell>
        </row>
      </sheetData>
      <sheetData sheetId="979">
        <row r="65">
          <cell r="A65" t="str">
            <v>(II)</v>
          </cell>
        </row>
      </sheetData>
      <sheetData sheetId="980">
        <row r="65">
          <cell r="A65" t="str">
            <v>(II)</v>
          </cell>
        </row>
      </sheetData>
      <sheetData sheetId="981">
        <row r="65">
          <cell r="A65" t="str">
            <v>(II)</v>
          </cell>
        </row>
      </sheetData>
      <sheetData sheetId="982">
        <row r="65">
          <cell r="A65" t="str">
            <v>(II)</v>
          </cell>
        </row>
      </sheetData>
      <sheetData sheetId="983">
        <row r="65">
          <cell r="A65" t="str">
            <v>(II)</v>
          </cell>
        </row>
      </sheetData>
      <sheetData sheetId="984">
        <row r="65">
          <cell r="A65" t="str">
            <v>(II)</v>
          </cell>
        </row>
      </sheetData>
      <sheetData sheetId="985">
        <row r="65">
          <cell r="A65" t="str">
            <v>(II)</v>
          </cell>
        </row>
      </sheetData>
      <sheetData sheetId="986">
        <row r="65">
          <cell r="A65" t="str">
            <v>(II)</v>
          </cell>
        </row>
      </sheetData>
      <sheetData sheetId="987">
        <row r="65">
          <cell r="A65" t="str">
            <v>(II)</v>
          </cell>
        </row>
      </sheetData>
      <sheetData sheetId="988">
        <row r="65">
          <cell r="A65" t="str">
            <v>(II)</v>
          </cell>
        </row>
      </sheetData>
      <sheetData sheetId="989">
        <row r="65">
          <cell r="A65" t="str">
            <v>(II)</v>
          </cell>
        </row>
      </sheetData>
      <sheetData sheetId="990">
        <row r="65">
          <cell r="A65" t="str">
            <v>(II)</v>
          </cell>
        </row>
      </sheetData>
      <sheetData sheetId="991">
        <row r="65">
          <cell r="A65" t="str">
            <v>(II)</v>
          </cell>
        </row>
      </sheetData>
      <sheetData sheetId="992">
        <row r="65">
          <cell r="A65" t="str">
            <v>(II)</v>
          </cell>
        </row>
      </sheetData>
      <sheetData sheetId="993">
        <row r="65">
          <cell r="A65" t="str">
            <v>(II)</v>
          </cell>
        </row>
      </sheetData>
      <sheetData sheetId="994">
        <row r="65">
          <cell r="A65" t="str">
            <v>(II)</v>
          </cell>
        </row>
      </sheetData>
      <sheetData sheetId="995">
        <row r="65">
          <cell r="A65" t="str">
            <v>(II)</v>
          </cell>
        </row>
      </sheetData>
      <sheetData sheetId="996">
        <row r="65">
          <cell r="A65" t="str">
            <v>(II)</v>
          </cell>
        </row>
      </sheetData>
      <sheetData sheetId="997">
        <row r="65">
          <cell r="A65" t="str">
            <v>(II)</v>
          </cell>
        </row>
      </sheetData>
      <sheetData sheetId="998">
        <row r="65">
          <cell r="A65" t="str">
            <v>(II)</v>
          </cell>
        </row>
      </sheetData>
      <sheetData sheetId="999">
        <row r="65">
          <cell r="A65" t="str">
            <v>(II)</v>
          </cell>
        </row>
      </sheetData>
      <sheetData sheetId="1000">
        <row r="65">
          <cell r="A65" t="str">
            <v>(II)</v>
          </cell>
        </row>
      </sheetData>
      <sheetData sheetId="1001">
        <row r="65">
          <cell r="A65" t="str">
            <v>(II)</v>
          </cell>
        </row>
      </sheetData>
      <sheetData sheetId="1002">
        <row r="65">
          <cell r="A65" t="str">
            <v>(II)</v>
          </cell>
        </row>
      </sheetData>
      <sheetData sheetId="1003">
        <row r="65">
          <cell r="A65" t="str">
            <v>(II)</v>
          </cell>
        </row>
      </sheetData>
      <sheetData sheetId="1004">
        <row r="65">
          <cell r="A65" t="str">
            <v>(II)</v>
          </cell>
        </row>
      </sheetData>
      <sheetData sheetId="1005">
        <row r="65">
          <cell r="A65" t="str">
            <v>(II)</v>
          </cell>
        </row>
      </sheetData>
      <sheetData sheetId="1006">
        <row r="65">
          <cell r="A65" t="str">
            <v>(II)</v>
          </cell>
        </row>
      </sheetData>
      <sheetData sheetId="1007">
        <row r="65">
          <cell r="A65" t="str">
            <v>(II)</v>
          </cell>
        </row>
      </sheetData>
      <sheetData sheetId="1008">
        <row r="65">
          <cell r="A65" t="str">
            <v>(II)</v>
          </cell>
        </row>
      </sheetData>
      <sheetData sheetId="1009">
        <row r="65">
          <cell r="A65" t="str">
            <v>(II)</v>
          </cell>
        </row>
      </sheetData>
      <sheetData sheetId="1010">
        <row r="65">
          <cell r="A65" t="str">
            <v>(II)</v>
          </cell>
        </row>
      </sheetData>
      <sheetData sheetId="1011">
        <row r="65">
          <cell r="A65" t="str">
            <v>(II)</v>
          </cell>
        </row>
      </sheetData>
      <sheetData sheetId="1012">
        <row r="65">
          <cell r="A65" t="str">
            <v>(II)</v>
          </cell>
        </row>
      </sheetData>
      <sheetData sheetId="1013">
        <row r="65">
          <cell r="A65" t="str">
            <v>(II)</v>
          </cell>
        </row>
      </sheetData>
      <sheetData sheetId="1014">
        <row r="65">
          <cell r="A65" t="str">
            <v>(II)</v>
          </cell>
        </row>
      </sheetData>
      <sheetData sheetId="1015">
        <row r="65">
          <cell r="A65" t="str">
            <v>(II)</v>
          </cell>
        </row>
      </sheetData>
      <sheetData sheetId="1016">
        <row r="65">
          <cell r="A65" t="str">
            <v>(II)</v>
          </cell>
        </row>
      </sheetData>
      <sheetData sheetId="1017">
        <row r="65">
          <cell r="A65" t="str">
            <v>(II)</v>
          </cell>
        </row>
      </sheetData>
      <sheetData sheetId="1018">
        <row r="65">
          <cell r="A65" t="str">
            <v>(II)</v>
          </cell>
        </row>
      </sheetData>
      <sheetData sheetId="1019">
        <row r="65">
          <cell r="A65" t="str">
            <v>(II)</v>
          </cell>
        </row>
      </sheetData>
      <sheetData sheetId="1020">
        <row r="65">
          <cell r="A65" t="str">
            <v>(II)</v>
          </cell>
        </row>
      </sheetData>
      <sheetData sheetId="1021">
        <row r="65">
          <cell r="A65" t="str">
            <v>(II)</v>
          </cell>
        </row>
      </sheetData>
      <sheetData sheetId="1022">
        <row r="65">
          <cell r="A65" t="str">
            <v>(II)</v>
          </cell>
        </row>
      </sheetData>
      <sheetData sheetId="1023">
        <row r="65">
          <cell r="A65" t="str">
            <v>(II)</v>
          </cell>
        </row>
      </sheetData>
      <sheetData sheetId="1024">
        <row r="65">
          <cell r="A65" t="str">
            <v>(II)</v>
          </cell>
        </row>
      </sheetData>
      <sheetData sheetId="1025">
        <row r="65">
          <cell r="A65" t="str">
            <v>(II)</v>
          </cell>
        </row>
      </sheetData>
      <sheetData sheetId="1026">
        <row r="65">
          <cell r="A65" t="str">
            <v>(II)</v>
          </cell>
        </row>
      </sheetData>
      <sheetData sheetId="1027">
        <row r="65">
          <cell r="A65" t="str">
            <v>(II)</v>
          </cell>
        </row>
      </sheetData>
      <sheetData sheetId="1028">
        <row r="65">
          <cell r="A65" t="str">
            <v>(II)</v>
          </cell>
        </row>
      </sheetData>
      <sheetData sheetId="1029">
        <row r="65">
          <cell r="A65" t="str">
            <v>(II)</v>
          </cell>
        </row>
      </sheetData>
      <sheetData sheetId="1030">
        <row r="65">
          <cell r="A65" t="str">
            <v>(II)</v>
          </cell>
        </row>
      </sheetData>
      <sheetData sheetId="1031">
        <row r="65">
          <cell r="A65" t="str">
            <v>(II)</v>
          </cell>
        </row>
      </sheetData>
      <sheetData sheetId="1032">
        <row r="65">
          <cell r="A65" t="str">
            <v>(II)</v>
          </cell>
        </row>
      </sheetData>
      <sheetData sheetId="1033">
        <row r="65">
          <cell r="A65" t="str">
            <v>(II)</v>
          </cell>
        </row>
      </sheetData>
      <sheetData sheetId="1034">
        <row r="65">
          <cell r="A65" t="str">
            <v>(II)</v>
          </cell>
        </row>
      </sheetData>
      <sheetData sheetId="1035">
        <row r="65">
          <cell r="A65" t="str">
            <v>(II)</v>
          </cell>
        </row>
      </sheetData>
      <sheetData sheetId="1036">
        <row r="65">
          <cell r="A65" t="str">
            <v>(II)</v>
          </cell>
        </row>
      </sheetData>
      <sheetData sheetId="1037">
        <row r="65">
          <cell r="A65" t="str">
            <v>(II)</v>
          </cell>
        </row>
      </sheetData>
      <sheetData sheetId="1038">
        <row r="65">
          <cell r="A65" t="str">
            <v>(II)</v>
          </cell>
        </row>
      </sheetData>
      <sheetData sheetId="1039">
        <row r="65">
          <cell r="A65" t="str">
            <v>(II)</v>
          </cell>
        </row>
      </sheetData>
      <sheetData sheetId="1040">
        <row r="65">
          <cell r="A65" t="str">
            <v>(II)</v>
          </cell>
        </row>
      </sheetData>
      <sheetData sheetId="1041">
        <row r="65">
          <cell r="A65" t="str">
            <v>(II)</v>
          </cell>
        </row>
      </sheetData>
      <sheetData sheetId="1042">
        <row r="65">
          <cell r="A65" t="str">
            <v>(II)</v>
          </cell>
        </row>
      </sheetData>
      <sheetData sheetId="1043">
        <row r="65">
          <cell r="A65" t="str">
            <v>(II)</v>
          </cell>
        </row>
      </sheetData>
      <sheetData sheetId="1044">
        <row r="65">
          <cell r="A65" t="str">
            <v>(II)</v>
          </cell>
        </row>
      </sheetData>
      <sheetData sheetId="1045">
        <row r="65">
          <cell r="A65" t="str">
            <v>(II)</v>
          </cell>
        </row>
      </sheetData>
      <sheetData sheetId="1046">
        <row r="65">
          <cell r="A65" t="str">
            <v>(II)</v>
          </cell>
        </row>
      </sheetData>
      <sheetData sheetId="1047">
        <row r="65">
          <cell r="A65" t="str">
            <v>(II)</v>
          </cell>
        </row>
      </sheetData>
      <sheetData sheetId="1048">
        <row r="65">
          <cell r="A65" t="str">
            <v>(II)</v>
          </cell>
        </row>
      </sheetData>
      <sheetData sheetId="1049">
        <row r="65">
          <cell r="A65" t="str">
            <v>(II)</v>
          </cell>
        </row>
      </sheetData>
      <sheetData sheetId="1050">
        <row r="65">
          <cell r="A65" t="str">
            <v>(II)</v>
          </cell>
        </row>
      </sheetData>
      <sheetData sheetId="1051">
        <row r="65">
          <cell r="A65" t="str">
            <v>(II)</v>
          </cell>
        </row>
      </sheetData>
      <sheetData sheetId="1052">
        <row r="65">
          <cell r="A65" t="str">
            <v>(II)</v>
          </cell>
        </row>
      </sheetData>
      <sheetData sheetId="1053">
        <row r="65">
          <cell r="A65" t="str">
            <v>(II)</v>
          </cell>
        </row>
      </sheetData>
      <sheetData sheetId="1054">
        <row r="65">
          <cell r="A65" t="str">
            <v>(II)</v>
          </cell>
        </row>
      </sheetData>
      <sheetData sheetId="1055">
        <row r="65">
          <cell r="A65" t="str">
            <v>(II)</v>
          </cell>
        </row>
      </sheetData>
      <sheetData sheetId="1056">
        <row r="65">
          <cell r="A65" t="str">
            <v>(II)</v>
          </cell>
        </row>
      </sheetData>
      <sheetData sheetId="1057">
        <row r="65">
          <cell r="A65" t="str">
            <v>(II)</v>
          </cell>
        </row>
      </sheetData>
      <sheetData sheetId="1058">
        <row r="65">
          <cell r="A65" t="str">
            <v>(II)</v>
          </cell>
        </row>
      </sheetData>
      <sheetData sheetId="1059">
        <row r="65">
          <cell r="A65" t="str">
            <v>(II)</v>
          </cell>
        </row>
      </sheetData>
      <sheetData sheetId="1060">
        <row r="65">
          <cell r="A65" t="str">
            <v>(II)</v>
          </cell>
        </row>
      </sheetData>
      <sheetData sheetId="1061">
        <row r="65">
          <cell r="A65" t="str">
            <v>(II)</v>
          </cell>
        </row>
      </sheetData>
      <sheetData sheetId="1062">
        <row r="65">
          <cell r="A65" t="str">
            <v>(II)</v>
          </cell>
        </row>
      </sheetData>
      <sheetData sheetId="1063">
        <row r="65">
          <cell r="A65" t="str">
            <v>(II)</v>
          </cell>
        </row>
      </sheetData>
      <sheetData sheetId="1064">
        <row r="65">
          <cell r="A65" t="str">
            <v>(II)</v>
          </cell>
        </row>
      </sheetData>
      <sheetData sheetId="1065">
        <row r="65">
          <cell r="A65" t="str">
            <v>(II)</v>
          </cell>
        </row>
      </sheetData>
      <sheetData sheetId="1066">
        <row r="65">
          <cell r="A65" t="str">
            <v>(II)</v>
          </cell>
        </row>
      </sheetData>
      <sheetData sheetId="1067">
        <row r="65">
          <cell r="A65" t="str">
            <v>(II)</v>
          </cell>
        </row>
      </sheetData>
      <sheetData sheetId="1068">
        <row r="65">
          <cell r="A65" t="str">
            <v>(II)</v>
          </cell>
        </row>
      </sheetData>
      <sheetData sheetId="1069">
        <row r="65">
          <cell r="A65" t="str">
            <v>(II)</v>
          </cell>
        </row>
      </sheetData>
      <sheetData sheetId="1070">
        <row r="65">
          <cell r="A65" t="str">
            <v>(II)</v>
          </cell>
        </row>
      </sheetData>
      <sheetData sheetId="1071">
        <row r="65">
          <cell r="A65" t="str">
            <v>(II)</v>
          </cell>
        </row>
      </sheetData>
      <sheetData sheetId="1072">
        <row r="65">
          <cell r="A65" t="str">
            <v>(II)</v>
          </cell>
        </row>
      </sheetData>
      <sheetData sheetId="1073">
        <row r="65">
          <cell r="A65" t="str">
            <v>(II)</v>
          </cell>
        </row>
      </sheetData>
      <sheetData sheetId="1074">
        <row r="65">
          <cell r="A65" t="str">
            <v>(II)</v>
          </cell>
        </row>
      </sheetData>
      <sheetData sheetId="1075">
        <row r="65">
          <cell r="A65" t="str">
            <v>(II)</v>
          </cell>
        </row>
      </sheetData>
      <sheetData sheetId="1076">
        <row r="65">
          <cell r="A65" t="str">
            <v>(II)</v>
          </cell>
        </row>
      </sheetData>
      <sheetData sheetId="1077">
        <row r="65">
          <cell r="A65" t="str">
            <v>(II)</v>
          </cell>
        </row>
      </sheetData>
      <sheetData sheetId="1078">
        <row r="65">
          <cell r="A65" t="str">
            <v>(II)</v>
          </cell>
        </row>
      </sheetData>
      <sheetData sheetId="1079">
        <row r="65">
          <cell r="A65" t="str">
            <v>(II)</v>
          </cell>
        </row>
      </sheetData>
      <sheetData sheetId="1080">
        <row r="65">
          <cell r="A65" t="str">
            <v>(II)</v>
          </cell>
        </row>
      </sheetData>
      <sheetData sheetId="1081">
        <row r="65">
          <cell r="A65" t="str">
            <v>(II)</v>
          </cell>
        </row>
      </sheetData>
      <sheetData sheetId="1082">
        <row r="65">
          <cell r="A65" t="str">
            <v>(II)</v>
          </cell>
        </row>
      </sheetData>
      <sheetData sheetId="1083">
        <row r="65">
          <cell r="A65" t="str">
            <v>(II)</v>
          </cell>
        </row>
      </sheetData>
      <sheetData sheetId="1084">
        <row r="65">
          <cell r="A65" t="str">
            <v>(II)</v>
          </cell>
        </row>
      </sheetData>
      <sheetData sheetId="1085">
        <row r="65">
          <cell r="A65" t="str">
            <v>(II)</v>
          </cell>
        </row>
      </sheetData>
      <sheetData sheetId="1086">
        <row r="65">
          <cell r="A65" t="str">
            <v>(II)</v>
          </cell>
        </row>
      </sheetData>
      <sheetData sheetId="1087">
        <row r="65">
          <cell r="A65" t="str">
            <v>(II)</v>
          </cell>
        </row>
      </sheetData>
      <sheetData sheetId="1088">
        <row r="65">
          <cell r="A65" t="str">
            <v>(II)</v>
          </cell>
        </row>
      </sheetData>
      <sheetData sheetId="1089">
        <row r="65">
          <cell r="A65" t="str">
            <v>(II)</v>
          </cell>
        </row>
      </sheetData>
      <sheetData sheetId="1090">
        <row r="65">
          <cell r="A65" t="str">
            <v>(II)</v>
          </cell>
        </row>
      </sheetData>
      <sheetData sheetId="1091">
        <row r="65">
          <cell r="A65" t="str">
            <v>(II)</v>
          </cell>
        </row>
      </sheetData>
      <sheetData sheetId="1092">
        <row r="65">
          <cell r="A65" t="str">
            <v>(II)</v>
          </cell>
        </row>
      </sheetData>
      <sheetData sheetId="1093">
        <row r="65">
          <cell r="A65" t="str">
            <v>(II)</v>
          </cell>
        </row>
      </sheetData>
      <sheetData sheetId="1094">
        <row r="65">
          <cell r="A65" t="str">
            <v>(II)</v>
          </cell>
        </row>
      </sheetData>
      <sheetData sheetId="1095">
        <row r="65">
          <cell r="A65" t="str">
            <v>(II)</v>
          </cell>
        </row>
      </sheetData>
      <sheetData sheetId="1096">
        <row r="65">
          <cell r="A65" t="str">
            <v>(II)</v>
          </cell>
        </row>
      </sheetData>
      <sheetData sheetId="1097">
        <row r="65">
          <cell r="A65" t="str">
            <v>(II)</v>
          </cell>
        </row>
      </sheetData>
      <sheetData sheetId="1098">
        <row r="65">
          <cell r="A65" t="str">
            <v>(II)</v>
          </cell>
        </row>
      </sheetData>
      <sheetData sheetId="1099">
        <row r="65">
          <cell r="A65" t="str">
            <v>(II)</v>
          </cell>
        </row>
      </sheetData>
      <sheetData sheetId="1100">
        <row r="65">
          <cell r="A65" t="str">
            <v>(II)</v>
          </cell>
        </row>
      </sheetData>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ow r="65">
          <cell r="A65" t="str">
            <v>(II)</v>
          </cell>
        </row>
      </sheetData>
      <sheetData sheetId="1119">
        <row r="65">
          <cell r="A65" t="str">
            <v>(II)</v>
          </cell>
        </row>
      </sheetData>
      <sheetData sheetId="1120" refreshError="1"/>
      <sheetData sheetId="1121" refreshError="1"/>
      <sheetData sheetId="1122" refreshError="1"/>
      <sheetData sheetId="1123" refreshError="1"/>
      <sheetData sheetId="1124" refreshError="1"/>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ow r="65">
          <cell r="A65" t="str">
            <v>(II)</v>
          </cell>
        </row>
      </sheetData>
      <sheetData sheetId="1155">
        <row r="65">
          <cell r="A65" t="str">
            <v>(II)</v>
          </cell>
        </row>
      </sheetData>
      <sheetData sheetId="1156">
        <row r="65">
          <cell r="A65" t="str">
            <v>(II)</v>
          </cell>
        </row>
      </sheetData>
      <sheetData sheetId="1157">
        <row r="65">
          <cell r="A65" t="str">
            <v>(II)</v>
          </cell>
        </row>
      </sheetData>
      <sheetData sheetId="1158">
        <row r="65">
          <cell r="A65" t="str">
            <v>(II)</v>
          </cell>
        </row>
      </sheetData>
      <sheetData sheetId="1159"/>
      <sheetData sheetId="1160"/>
      <sheetData sheetId="1161">
        <row r="65">
          <cell r="A65" t="str">
            <v>(II)</v>
          </cell>
        </row>
      </sheetData>
      <sheetData sheetId="1162">
        <row r="65">
          <cell r="A65" t="str">
            <v>(II)</v>
          </cell>
        </row>
      </sheetData>
      <sheetData sheetId="1163"/>
      <sheetData sheetId="1164">
        <row r="65">
          <cell r="A65" t="str">
            <v>(II)</v>
          </cell>
        </row>
      </sheetData>
      <sheetData sheetId="1165">
        <row r="65">
          <cell r="A65" t="str">
            <v>(II)</v>
          </cell>
        </row>
      </sheetData>
      <sheetData sheetId="1166">
        <row r="65">
          <cell r="A65" t="str">
            <v>(II)</v>
          </cell>
        </row>
      </sheetData>
      <sheetData sheetId="1167"/>
      <sheetData sheetId="1168"/>
      <sheetData sheetId="1169">
        <row r="65">
          <cell r="A65" t="str">
            <v>(II)</v>
          </cell>
        </row>
      </sheetData>
      <sheetData sheetId="1170">
        <row r="65">
          <cell r="A65" t="str">
            <v>(II)</v>
          </cell>
        </row>
      </sheetData>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ow r="65">
          <cell r="A65" t="str">
            <v>(II)</v>
          </cell>
        </row>
      </sheetData>
      <sheetData sheetId="1189">
        <row r="65">
          <cell r="A65" t="str">
            <v>(II)</v>
          </cell>
        </row>
      </sheetData>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ow r="65">
          <cell r="A65" t="str">
            <v>(II)</v>
          </cell>
        </row>
      </sheetData>
      <sheetData sheetId="1216">
        <row r="65">
          <cell r="A65" t="str">
            <v>(II)</v>
          </cell>
        </row>
      </sheetData>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ow r="65">
          <cell r="A65" t="str">
            <v>(II)</v>
          </cell>
        </row>
      </sheetData>
      <sheetData sheetId="1234">
        <row r="65">
          <cell r="A65" t="str">
            <v>(II)</v>
          </cell>
        </row>
      </sheetData>
      <sheetData sheetId="1235">
        <row r="65">
          <cell r="A65" t="str">
            <v>(II)</v>
          </cell>
        </row>
      </sheetData>
      <sheetData sheetId="1236">
        <row r="65">
          <cell r="A65" t="str">
            <v>(II)</v>
          </cell>
        </row>
      </sheetData>
      <sheetData sheetId="1237">
        <row r="65">
          <cell r="A65" t="str">
            <v>(II)</v>
          </cell>
        </row>
      </sheetData>
      <sheetData sheetId="1238">
        <row r="65">
          <cell r="A65" t="str">
            <v>(II)</v>
          </cell>
        </row>
      </sheetData>
      <sheetData sheetId="1239">
        <row r="65">
          <cell r="A65" t="str">
            <v>(II)</v>
          </cell>
        </row>
      </sheetData>
      <sheetData sheetId="1240">
        <row r="65">
          <cell r="A65" t="str">
            <v>(II)</v>
          </cell>
        </row>
      </sheetData>
      <sheetData sheetId="1241">
        <row r="65">
          <cell r="A65" t="str">
            <v>(II)</v>
          </cell>
        </row>
      </sheetData>
      <sheetData sheetId="1242">
        <row r="65">
          <cell r="A65" t="str">
            <v>(II)</v>
          </cell>
        </row>
      </sheetData>
      <sheetData sheetId="1243">
        <row r="65">
          <cell r="A65" t="str">
            <v>(II)</v>
          </cell>
        </row>
      </sheetData>
      <sheetData sheetId="1244">
        <row r="65">
          <cell r="A65" t="str">
            <v>(II)</v>
          </cell>
        </row>
      </sheetData>
      <sheetData sheetId="1245">
        <row r="65">
          <cell r="A65" t="str">
            <v>(II)</v>
          </cell>
        </row>
      </sheetData>
      <sheetData sheetId="1246">
        <row r="65">
          <cell r="A65" t="str">
            <v>(II)</v>
          </cell>
        </row>
      </sheetData>
      <sheetData sheetId="1247">
        <row r="65">
          <cell r="A65" t="str">
            <v>(II)</v>
          </cell>
        </row>
      </sheetData>
      <sheetData sheetId="1248">
        <row r="65">
          <cell r="A65" t="str">
            <v>(II)</v>
          </cell>
        </row>
      </sheetData>
      <sheetData sheetId="1249">
        <row r="65">
          <cell r="A65" t="str">
            <v>(II)</v>
          </cell>
        </row>
      </sheetData>
      <sheetData sheetId="1250">
        <row r="65">
          <cell r="A65" t="str">
            <v>(II)</v>
          </cell>
        </row>
      </sheetData>
      <sheetData sheetId="1251">
        <row r="65">
          <cell r="A65" t="str">
            <v>(II)</v>
          </cell>
        </row>
      </sheetData>
      <sheetData sheetId="1252">
        <row r="65">
          <cell r="A65" t="str">
            <v>(II)</v>
          </cell>
        </row>
      </sheetData>
      <sheetData sheetId="1253">
        <row r="65">
          <cell r="A65" t="str">
            <v>(II)</v>
          </cell>
        </row>
      </sheetData>
      <sheetData sheetId="1254">
        <row r="65">
          <cell r="A65" t="str">
            <v>(II)</v>
          </cell>
        </row>
      </sheetData>
      <sheetData sheetId="1255">
        <row r="65">
          <cell r="A65" t="str">
            <v>(II)</v>
          </cell>
        </row>
      </sheetData>
      <sheetData sheetId="1256">
        <row r="65">
          <cell r="A65" t="str">
            <v>(II)</v>
          </cell>
        </row>
      </sheetData>
      <sheetData sheetId="1257">
        <row r="65">
          <cell r="A65" t="str">
            <v>(II)</v>
          </cell>
        </row>
      </sheetData>
      <sheetData sheetId="1258">
        <row r="65">
          <cell r="A65" t="str">
            <v>(II)</v>
          </cell>
        </row>
      </sheetData>
      <sheetData sheetId="1259">
        <row r="65">
          <cell r="A65" t="str">
            <v>(II)</v>
          </cell>
        </row>
      </sheetData>
      <sheetData sheetId="1260">
        <row r="65">
          <cell r="A65" t="str">
            <v>(II)</v>
          </cell>
        </row>
      </sheetData>
      <sheetData sheetId="1261">
        <row r="65">
          <cell r="A65" t="str">
            <v>(II)</v>
          </cell>
        </row>
      </sheetData>
      <sheetData sheetId="1262">
        <row r="65">
          <cell r="A65" t="str">
            <v>(II)</v>
          </cell>
        </row>
      </sheetData>
      <sheetData sheetId="1263">
        <row r="65">
          <cell r="A65" t="str">
            <v>(II)</v>
          </cell>
        </row>
      </sheetData>
      <sheetData sheetId="1264">
        <row r="65">
          <cell r="A65" t="str">
            <v>(II)</v>
          </cell>
        </row>
      </sheetData>
      <sheetData sheetId="1265">
        <row r="65">
          <cell r="A65" t="str">
            <v>(II)</v>
          </cell>
        </row>
      </sheetData>
      <sheetData sheetId="1266">
        <row r="65">
          <cell r="A65" t="str">
            <v>(II)</v>
          </cell>
        </row>
      </sheetData>
      <sheetData sheetId="1267">
        <row r="65">
          <cell r="A65" t="str">
            <v>(II)</v>
          </cell>
        </row>
      </sheetData>
      <sheetData sheetId="1268">
        <row r="65">
          <cell r="A65" t="str">
            <v>(II)</v>
          </cell>
        </row>
      </sheetData>
      <sheetData sheetId="1269">
        <row r="65">
          <cell r="A65" t="str">
            <v>(II)</v>
          </cell>
        </row>
      </sheetData>
      <sheetData sheetId="1270">
        <row r="65">
          <cell r="A65" t="str">
            <v>(II)</v>
          </cell>
        </row>
      </sheetData>
      <sheetData sheetId="1271">
        <row r="65">
          <cell r="A65" t="str">
            <v>(II)</v>
          </cell>
        </row>
      </sheetData>
      <sheetData sheetId="1272">
        <row r="65">
          <cell r="A65" t="str">
            <v>(II)</v>
          </cell>
        </row>
      </sheetData>
      <sheetData sheetId="1273">
        <row r="65">
          <cell r="A65" t="str">
            <v>(II)</v>
          </cell>
        </row>
      </sheetData>
      <sheetData sheetId="1274">
        <row r="65">
          <cell r="A65" t="str">
            <v>(II)</v>
          </cell>
        </row>
      </sheetData>
      <sheetData sheetId="1275">
        <row r="65">
          <cell r="A65" t="str">
            <v>(II)</v>
          </cell>
        </row>
      </sheetData>
      <sheetData sheetId="1276">
        <row r="65">
          <cell r="A65" t="str">
            <v>(II)</v>
          </cell>
        </row>
      </sheetData>
      <sheetData sheetId="1277">
        <row r="65">
          <cell r="A65" t="str">
            <v>(II)</v>
          </cell>
        </row>
      </sheetData>
      <sheetData sheetId="1278">
        <row r="65">
          <cell r="A65" t="str">
            <v>(II)</v>
          </cell>
        </row>
      </sheetData>
      <sheetData sheetId="1279">
        <row r="65">
          <cell r="A65" t="str">
            <v>(II)</v>
          </cell>
        </row>
      </sheetData>
      <sheetData sheetId="1280">
        <row r="65">
          <cell r="A65" t="str">
            <v>(II)</v>
          </cell>
        </row>
      </sheetData>
      <sheetData sheetId="1281">
        <row r="65">
          <cell r="A65" t="str">
            <v>(II)</v>
          </cell>
        </row>
      </sheetData>
      <sheetData sheetId="1282">
        <row r="65">
          <cell r="A65" t="str">
            <v>(II)</v>
          </cell>
        </row>
      </sheetData>
      <sheetData sheetId="1283">
        <row r="65">
          <cell r="A65" t="str">
            <v>(II)</v>
          </cell>
        </row>
      </sheetData>
      <sheetData sheetId="1284">
        <row r="65">
          <cell r="A65" t="str">
            <v>(II)</v>
          </cell>
        </row>
      </sheetData>
      <sheetData sheetId="1285">
        <row r="65">
          <cell r="A65" t="str">
            <v>(II)</v>
          </cell>
        </row>
      </sheetData>
      <sheetData sheetId="1286">
        <row r="65">
          <cell r="A65" t="str">
            <v>(II)</v>
          </cell>
        </row>
      </sheetData>
      <sheetData sheetId="1287">
        <row r="65">
          <cell r="A65" t="str">
            <v>(II)</v>
          </cell>
        </row>
      </sheetData>
      <sheetData sheetId="1288">
        <row r="65">
          <cell r="A65" t="str">
            <v>(II)</v>
          </cell>
        </row>
      </sheetData>
      <sheetData sheetId="1289">
        <row r="65">
          <cell r="A65" t="str">
            <v>(II)</v>
          </cell>
        </row>
      </sheetData>
      <sheetData sheetId="1290">
        <row r="65">
          <cell r="A65" t="str">
            <v>(II)</v>
          </cell>
        </row>
      </sheetData>
      <sheetData sheetId="1291">
        <row r="65">
          <cell r="A65" t="str">
            <v>(II)</v>
          </cell>
        </row>
      </sheetData>
      <sheetData sheetId="1292">
        <row r="65">
          <cell r="A65" t="str">
            <v>(II)</v>
          </cell>
        </row>
      </sheetData>
      <sheetData sheetId="1293">
        <row r="65">
          <cell r="A65" t="str">
            <v>(II)</v>
          </cell>
        </row>
      </sheetData>
      <sheetData sheetId="1294">
        <row r="65">
          <cell r="A65" t="str">
            <v>(II)</v>
          </cell>
        </row>
      </sheetData>
      <sheetData sheetId="1295">
        <row r="65">
          <cell r="A65" t="str">
            <v>(II)</v>
          </cell>
        </row>
      </sheetData>
      <sheetData sheetId="1296">
        <row r="65">
          <cell r="A65" t="str">
            <v>(II)</v>
          </cell>
        </row>
      </sheetData>
      <sheetData sheetId="1297">
        <row r="65">
          <cell r="A65" t="str">
            <v>(II)</v>
          </cell>
        </row>
      </sheetData>
      <sheetData sheetId="1298">
        <row r="65">
          <cell r="A65" t="str">
            <v>(II)</v>
          </cell>
        </row>
      </sheetData>
      <sheetData sheetId="1299">
        <row r="65">
          <cell r="A65" t="str">
            <v>(II)</v>
          </cell>
        </row>
      </sheetData>
      <sheetData sheetId="1300">
        <row r="65">
          <cell r="A65" t="str">
            <v>(II)</v>
          </cell>
        </row>
      </sheetData>
      <sheetData sheetId="1301">
        <row r="65">
          <cell r="A65" t="str">
            <v>(II)</v>
          </cell>
        </row>
      </sheetData>
      <sheetData sheetId="1302">
        <row r="65">
          <cell r="A65" t="str">
            <v>(II)</v>
          </cell>
        </row>
      </sheetData>
      <sheetData sheetId="1303">
        <row r="65">
          <cell r="A65" t="str">
            <v>(II)</v>
          </cell>
        </row>
      </sheetData>
      <sheetData sheetId="1304">
        <row r="65">
          <cell r="A65" t="str">
            <v>(II)</v>
          </cell>
        </row>
      </sheetData>
      <sheetData sheetId="1305">
        <row r="65">
          <cell r="A65" t="str">
            <v>(II)</v>
          </cell>
        </row>
      </sheetData>
      <sheetData sheetId="1306">
        <row r="65">
          <cell r="A65" t="str">
            <v>(II)</v>
          </cell>
        </row>
      </sheetData>
      <sheetData sheetId="1307">
        <row r="65">
          <cell r="A65" t="str">
            <v>(II)</v>
          </cell>
        </row>
      </sheetData>
      <sheetData sheetId="1308">
        <row r="65">
          <cell r="A65" t="str">
            <v>(II)</v>
          </cell>
        </row>
      </sheetData>
      <sheetData sheetId="1309">
        <row r="65">
          <cell r="A65" t="str">
            <v>(II)</v>
          </cell>
        </row>
      </sheetData>
      <sheetData sheetId="1310">
        <row r="65">
          <cell r="A65" t="str">
            <v>(II)</v>
          </cell>
        </row>
      </sheetData>
      <sheetData sheetId="1311">
        <row r="65">
          <cell r="A65" t="str">
            <v>(II)</v>
          </cell>
        </row>
      </sheetData>
      <sheetData sheetId="1312">
        <row r="65">
          <cell r="A65" t="str">
            <v>(II)</v>
          </cell>
        </row>
      </sheetData>
      <sheetData sheetId="1313">
        <row r="65">
          <cell r="A65" t="str">
            <v>(II)</v>
          </cell>
        </row>
      </sheetData>
      <sheetData sheetId="1314">
        <row r="65">
          <cell r="A65" t="str">
            <v>(II)</v>
          </cell>
        </row>
      </sheetData>
      <sheetData sheetId="1315">
        <row r="65">
          <cell r="A65" t="str">
            <v>(II)</v>
          </cell>
        </row>
      </sheetData>
      <sheetData sheetId="1316">
        <row r="65">
          <cell r="A65" t="str">
            <v>(II)</v>
          </cell>
        </row>
      </sheetData>
      <sheetData sheetId="1317">
        <row r="65">
          <cell r="A65" t="str">
            <v>(II)</v>
          </cell>
        </row>
      </sheetData>
      <sheetData sheetId="1318">
        <row r="65">
          <cell r="A65" t="str">
            <v>(II)</v>
          </cell>
        </row>
      </sheetData>
      <sheetData sheetId="1319">
        <row r="65">
          <cell r="A65" t="str">
            <v>(II)</v>
          </cell>
        </row>
      </sheetData>
      <sheetData sheetId="1320">
        <row r="65">
          <cell r="A65" t="str">
            <v>(II)</v>
          </cell>
        </row>
      </sheetData>
      <sheetData sheetId="1321">
        <row r="65">
          <cell r="A65" t="str">
            <v>(II)</v>
          </cell>
        </row>
      </sheetData>
      <sheetData sheetId="1322">
        <row r="65">
          <cell r="A65" t="str">
            <v>(II)</v>
          </cell>
        </row>
      </sheetData>
      <sheetData sheetId="1323">
        <row r="65">
          <cell r="A65" t="str">
            <v>(II)</v>
          </cell>
        </row>
      </sheetData>
      <sheetData sheetId="1324">
        <row r="65">
          <cell r="A65" t="str">
            <v>(II)</v>
          </cell>
        </row>
      </sheetData>
      <sheetData sheetId="1325">
        <row r="65">
          <cell r="A65" t="str">
            <v>(II)</v>
          </cell>
        </row>
      </sheetData>
      <sheetData sheetId="1326">
        <row r="65">
          <cell r="A65" t="str">
            <v>(II)</v>
          </cell>
        </row>
      </sheetData>
      <sheetData sheetId="1327">
        <row r="65">
          <cell r="A65" t="str">
            <v>(II)</v>
          </cell>
        </row>
      </sheetData>
      <sheetData sheetId="1328">
        <row r="65">
          <cell r="A65" t="str">
            <v>(II)</v>
          </cell>
        </row>
      </sheetData>
      <sheetData sheetId="1329">
        <row r="65">
          <cell r="A65" t="str">
            <v>(II)</v>
          </cell>
        </row>
      </sheetData>
      <sheetData sheetId="1330">
        <row r="65">
          <cell r="A65" t="str">
            <v>(II)</v>
          </cell>
        </row>
      </sheetData>
      <sheetData sheetId="1331">
        <row r="65">
          <cell r="A65" t="str">
            <v>(II)</v>
          </cell>
        </row>
      </sheetData>
      <sheetData sheetId="1332">
        <row r="65">
          <cell r="A65" t="str">
            <v>(II)</v>
          </cell>
        </row>
      </sheetData>
      <sheetData sheetId="1333">
        <row r="65">
          <cell r="A65" t="str">
            <v>(II)</v>
          </cell>
        </row>
      </sheetData>
      <sheetData sheetId="1334">
        <row r="65">
          <cell r="A65" t="str">
            <v>(II)</v>
          </cell>
        </row>
      </sheetData>
      <sheetData sheetId="1335">
        <row r="65">
          <cell r="A65" t="str">
            <v>(II)</v>
          </cell>
        </row>
      </sheetData>
      <sheetData sheetId="1336">
        <row r="65">
          <cell r="A65" t="str">
            <v>(II)</v>
          </cell>
        </row>
      </sheetData>
      <sheetData sheetId="1337">
        <row r="65">
          <cell r="A65" t="str">
            <v>(II)</v>
          </cell>
        </row>
      </sheetData>
      <sheetData sheetId="1338">
        <row r="65">
          <cell r="A65" t="str">
            <v>(II)</v>
          </cell>
        </row>
      </sheetData>
      <sheetData sheetId="1339">
        <row r="65">
          <cell r="A65" t="str">
            <v>(II)</v>
          </cell>
        </row>
      </sheetData>
      <sheetData sheetId="1340">
        <row r="65">
          <cell r="A65" t="str">
            <v>(II)</v>
          </cell>
        </row>
      </sheetData>
      <sheetData sheetId="1341">
        <row r="65">
          <cell r="A65" t="str">
            <v>(II)</v>
          </cell>
        </row>
      </sheetData>
      <sheetData sheetId="1342">
        <row r="65">
          <cell r="A65" t="str">
            <v>(II)</v>
          </cell>
        </row>
      </sheetData>
      <sheetData sheetId="1343">
        <row r="65">
          <cell r="A65" t="str">
            <v>(II)</v>
          </cell>
        </row>
      </sheetData>
      <sheetData sheetId="1344">
        <row r="65">
          <cell r="A65" t="str">
            <v>(II)</v>
          </cell>
        </row>
      </sheetData>
      <sheetData sheetId="1345">
        <row r="65">
          <cell r="A65" t="str">
            <v>(II)</v>
          </cell>
        </row>
      </sheetData>
      <sheetData sheetId="1346">
        <row r="65">
          <cell r="A65" t="str">
            <v>(II)</v>
          </cell>
        </row>
      </sheetData>
      <sheetData sheetId="1347">
        <row r="65">
          <cell r="A65" t="str">
            <v>(II)</v>
          </cell>
        </row>
      </sheetData>
      <sheetData sheetId="1348">
        <row r="65">
          <cell r="A65" t="str">
            <v>(II)</v>
          </cell>
        </row>
      </sheetData>
      <sheetData sheetId="1349">
        <row r="65">
          <cell r="A65" t="str">
            <v>(II)</v>
          </cell>
        </row>
      </sheetData>
      <sheetData sheetId="1350">
        <row r="65">
          <cell r="A65" t="str">
            <v>(II)</v>
          </cell>
        </row>
      </sheetData>
      <sheetData sheetId="1351">
        <row r="65">
          <cell r="A65" t="str">
            <v>(II)</v>
          </cell>
        </row>
      </sheetData>
      <sheetData sheetId="1352">
        <row r="65">
          <cell r="A65" t="str">
            <v>(II)</v>
          </cell>
        </row>
      </sheetData>
      <sheetData sheetId="1353">
        <row r="65">
          <cell r="A65" t="str">
            <v>(II)</v>
          </cell>
        </row>
      </sheetData>
      <sheetData sheetId="1354">
        <row r="65">
          <cell r="A65" t="str">
            <v>(II)</v>
          </cell>
        </row>
      </sheetData>
      <sheetData sheetId="1355">
        <row r="65">
          <cell r="A65" t="str">
            <v>(II)</v>
          </cell>
        </row>
      </sheetData>
      <sheetData sheetId="1356">
        <row r="65">
          <cell r="A65" t="str">
            <v>(II)</v>
          </cell>
        </row>
      </sheetData>
      <sheetData sheetId="1357">
        <row r="65">
          <cell r="A65" t="str">
            <v>(II)</v>
          </cell>
        </row>
      </sheetData>
      <sheetData sheetId="1358">
        <row r="65">
          <cell r="A65" t="str">
            <v>(II)</v>
          </cell>
        </row>
      </sheetData>
      <sheetData sheetId="1359">
        <row r="65">
          <cell r="A65" t="str">
            <v>(II)</v>
          </cell>
        </row>
      </sheetData>
      <sheetData sheetId="1360">
        <row r="65">
          <cell r="A65" t="str">
            <v>(II)</v>
          </cell>
        </row>
      </sheetData>
      <sheetData sheetId="1361">
        <row r="65">
          <cell r="A65" t="str">
            <v>(II)</v>
          </cell>
        </row>
      </sheetData>
      <sheetData sheetId="1362">
        <row r="65">
          <cell r="A65" t="str">
            <v>(II)</v>
          </cell>
        </row>
      </sheetData>
      <sheetData sheetId="1363">
        <row r="65">
          <cell r="A65" t="str">
            <v>(II)</v>
          </cell>
        </row>
      </sheetData>
      <sheetData sheetId="1364">
        <row r="65">
          <cell r="A65" t="str">
            <v>(II)</v>
          </cell>
        </row>
      </sheetData>
      <sheetData sheetId="1365">
        <row r="65">
          <cell r="A65" t="str">
            <v>(II)</v>
          </cell>
        </row>
      </sheetData>
      <sheetData sheetId="1366">
        <row r="65">
          <cell r="A65" t="str">
            <v>(II)</v>
          </cell>
        </row>
      </sheetData>
      <sheetData sheetId="1367">
        <row r="65">
          <cell r="A65" t="str">
            <v>(II)</v>
          </cell>
        </row>
      </sheetData>
      <sheetData sheetId="1368">
        <row r="65">
          <cell r="A65" t="str">
            <v>(II)</v>
          </cell>
        </row>
      </sheetData>
      <sheetData sheetId="1369">
        <row r="65">
          <cell r="A65" t="str">
            <v>(II)</v>
          </cell>
        </row>
      </sheetData>
      <sheetData sheetId="1370">
        <row r="65">
          <cell r="A65" t="str">
            <v>(II)</v>
          </cell>
        </row>
      </sheetData>
      <sheetData sheetId="1371">
        <row r="65">
          <cell r="A65" t="str">
            <v>(II)</v>
          </cell>
        </row>
      </sheetData>
      <sheetData sheetId="1372">
        <row r="65">
          <cell r="A65" t="str">
            <v>(II)</v>
          </cell>
        </row>
      </sheetData>
      <sheetData sheetId="1373">
        <row r="65">
          <cell r="A65" t="str">
            <v>(II)</v>
          </cell>
        </row>
      </sheetData>
      <sheetData sheetId="1374">
        <row r="65">
          <cell r="A65" t="str">
            <v>(II)</v>
          </cell>
        </row>
      </sheetData>
      <sheetData sheetId="1375">
        <row r="65">
          <cell r="A65" t="str">
            <v>(II)</v>
          </cell>
        </row>
      </sheetData>
      <sheetData sheetId="1376">
        <row r="65">
          <cell r="A65" t="str">
            <v>(II)</v>
          </cell>
        </row>
      </sheetData>
      <sheetData sheetId="1377">
        <row r="65">
          <cell r="A65" t="str">
            <v>(II)</v>
          </cell>
        </row>
      </sheetData>
      <sheetData sheetId="1378">
        <row r="65">
          <cell r="A65" t="str">
            <v>(II)</v>
          </cell>
        </row>
      </sheetData>
      <sheetData sheetId="1379">
        <row r="65">
          <cell r="A65" t="str">
            <v>(II)</v>
          </cell>
        </row>
      </sheetData>
      <sheetData sheetId="1380">
        <row r="65">
          <cell r="A65" t="str">
            <v>(II)</v>
          </cell>
        </row>
      </sheetData>
      <sheetData sheetId="1381">
        <row r="65">
          <cell r="A65" t="str">
            <v>(II)</v>
          </cell>
        </row>
      </sheetData>
      <sheetData sheetId="1382">
        <row r="65">
          <cell r="A65" t="str">
            <v>(II)</v>
          </cell>
        </row>
      </sheetData>
      <sheetData sheetId="1383">
        <row r="65">
          <cell r="A65" t="str">
            <v>(II)</v>
          </cell>
        </row>
      </sheetData>
      <sheetData sheetId="1384">
        <row r="65">
          <cell r="A65" t="str">
            <v>(II)</v>
          </cell>
        </row>
      </sheetData>
      <sheetData sheetId="1385">
        <row r="65">
          <cell r="A65" t="str">
            <v>(II)</v>
          </cell>
        </row>
      </sheetData>
      <sheetData sheetId="1386">
        <row r="65">
          <cell r="A65" t="str">
            <v>(II)</v>
          </cell>
        </row>
      </sheetData>
      <sheetData sheetId="1387">
        <row r="65">
          <cell r="A65" t="str">
            <v>(II)</v>
          </cell>
        </row>
      </sheetData>
      <sheetData sheetId="1388">
        <row r="65">
          <cell r="A65" t="str">
            <v>(II)</v>
          </cell>
        </row>
      </sheetData>
      <sheetData sheetId="1389">
        <row r="65">
          <cell r="A65" t="str">
            <v>(II)</v>
          </cell>
        </row>
      </sheetData>
      <sheetData sheetId="1390">
        <row r="65">
          <cell r="A65" t="str">
            <v>(II)</v>
          </cell>
        </row>
      </sheetData>
      <sheetData sheetId="1391">
        <row r="65">
          <cell r="A65" t="str">
            <v>(II)</v>
          </cell>
        </row>
      </sheetData>
      <sheetData sheetId="1392">
        <row r="65">
          <cell r="A65" t="str">
            <v>(II)</v>
          </cell>
        </row>
      </sheetData>
      <sheetData sheetId="1393">
        <row r="65">
          <cell r="A65" t="str">
            <v>(II)</v>
          </cell>
        </row>
      </sheetData>
      <sheetData sheetId="1394">
        <row r="65">
          <cell r="A65" t="str">
            <v>(II)</v>
          </cell>
        </row>
      </sheetData>
      <sheetData sheetId="1395">
        <row r="65">
          <cell r="A65" t="str">
            <v>(II)</v>
          </cell>
        </row>
      </sheetData>
      <sheetData sheetId="1396">
        <row r="65">
          <cell r="A65" t="str">
            <v>(II)</v>
          </cell>
        </row>
      </sheetData>
      <sheetData sheetId="1397">
        <row r="65">
          <cell r="A65" t="str">
            <v>(II)</v>
          </cell>
        </row>
      </sheetData>
      <sheetData sheetId="1398">
        <row r="65">
          <cell r="A65" t="str">
            <v>(II)</v>
          </cell>
        </row>
      </sheetData>
      <sheetData sheetId="1399">
        <row r="65">
          <cell r="A65" t="str">
            <v>(II)</v>
          </cell>
        </row>
      </sheetData>
      <sheetData sheetId="1400">
        <row r="65">
          <cell r="A65" t="str">
            <v>(II)</v>
          </cell>
        </row>
      </sheetData>
      <sheetData sheetId="1401">
        <row r="65">
          <cell r="A65" t="str">
            <v>(II)</v>
          </cell>
        </row>
      </sheetData>
      <sheetData sheetId="1402">
        <row r="65">
          <cell r="A65" t="str">
            <v>(II)</v>
          </cell>
        </row>
      </sheetData>
      <sheetData sheetId="1403">
        <row r="65">
          <cell r="A65" t="str">
            <v>(II)</v>
          </cell>
        </row>
      </sheetData>
      <sheetData sheetId="1404">
        <row r="65">
          <cell r="A65" t="str">
            <v>(II)</v>
          </cell>
        </row>
      </sheetData>
      <sheetData sheetId="1405">
        <row r="65">
          <cell r="A65" t="str">
            <v>(II)</v>
          </cell>
        </row>
      </sheetData>
      <sheetData sheetId="1406">
        <row r="65">
          <cell r="A65" t="str">
            <v>(II)</v>
          </cell>
        </row>
      </sheetData>
      <sheetData sheetId="1407">
        <row r="65">
          <cell r="A65" t="str">
            <v>(II)</v>
          </cell>
        </row>
      </sheetData>
      <sheetData sheetId="1408">
        <row r="65">
          <cell r="A65" t="str">
            <v>(II)</v>
          </cell>
        </row>
      </sheetData>
      <sheetData sheetId="1409">
        <row r="65">
          <cell r="A65" t="str">
            <v>(II)</v>
          </cell>
        </row>
      </sheetData>
      <sheetData sheetId="1410">
        <row r="65">
          <cell r="A65" t="str">
            <v>(II)</v>
          </cell>
        </row>
      </sheetData>
      <sheetData sheetId="1411">
        <row r="65">
          <cell r="A65" t="str">
            <v>(II)</v>
          </cell>
        </row>
      </sheetData>
      <sheetData sheetId="1412">
        <row r="65">
          <cell r="A65" t="str">
            <v>(II)</v>
          </cell>
        </row>
      </sheetData>
      <sheetData sheetId="1413">
        <row r="65">
          <cell r="A65" t="str">
            <v>(II)</v>
          </cell>
        </row>
      </sheetData>
      <sheetData sheetId="1414">
        <row r="65">
          <cell r="A65" t="str">
            <v>(II)</v>
          </cell>
        </row>
      </sheetData>
      <sheetData sheetId="1415">
        <row r="65">
          <cell r="A65" t="str">
            <v>(II)</v>
          </cell>
        </row>
      </sheetData>
      <sheetData sheetId="1416">
        <row r="65">
          <cell r="A65" t="str">
            <v>(II)</v>
          </cell>
        </row>
      </sheetData>
      <sheetData sheetId="1417">
        <row r="65">
          <cell r="A65" t="str">
            <v>(II)</v>
          </cell>
        </row>
      </sheetData>
      <sheetData sheetId="1418">
        <row r="65">
          <cell r="A65" t="str">
            <v>(II)</v>
          </cell>
        </row>
      </sheetData>
      <sheetData sheetId="1419">
        <row r="65">
          <cell r="A65" t="str">
            <v>(II)</v>
          </cell>
        </row>
      </sheetData>
      <sheetData sheetId="1420">
        <row r="65">
          <cell r="A65" t="str">
            <v>(II)</v>
          </cell>
        </row>
      </sheetData>
      <sheetData sheetId="1421">
        <row r="65">
          <cell r="A65" t="str">
            <v>(II)</v>
          </cell>
        </row>
      </sheetData>
      <sheetData sheetId="1422">
        <row r="65">
          <cell r="A65" t="str">
            <v>(II)</v>
          </cell>
        </row>
      </sheetData>
      <sheetData sheetId="1423">
        <row r="65">
          <cell r="A65" t="str">
            <v>(II)</v>
          </cell>
        </row>
      </sheetData>
      <sheetData sheetId="1424">
        <row r="65">
          <cell r="A65" t="str">
            <v>(II)</v>
          </cell>
        </row>
      </sheetData>
      <sheetData sheetId="1425">
        <row r="65">
          <cell r="A65" t="str">
            <v>(II)</v>
          </cell>
        </row>
      </sheetData>
      <sheetData sheetId="1426">
        <row r="65">
          <cell r="A65" t="str">
            <v>(II)</v>
          </cell>
        </row>
      </sheetData>
      <sheetData sheetId="1427">
        <row r="65">
          <cell r="A65" t="str">
            <v>(II)</v>
          </cell>
        </row>
      </sheetData>
      <sheetData sheetId="1428">
        <row r="65">
          <cell r="A65" t="str">
            <v>(II)</v>
          </cell>
        </row>
      </sheetData>
      <sheetData sheetId="1429">
        <row r="65">
          <cell r="A65" t="str">
            <v>(II)</v>
          </cell>
        </row>
      </sheetData>
      <sheetData sheetId="1430">
        <row r="65">
          <cell r="A65" t="str">
            <v>(II)</v>
          </cell>
        </row>
      </sheetData>
      <sheetData sheetId="1431">
        <row r="65">
          <cell r="A65" t="str">
            <v>(II)</v>
          </cell>
        </row>
      </sheetData>
      <sheetData sheetId="1432">
        <row r="65">
          <cell r="A65" t="str">
            <v>(II)</v>
          </cell>
        </row>
      </sheetData>
      <sheetData sheetId="1433">
        <row r="65">
          <cell r="A65" t="str">
            <v>(II)</v>
          </cell>
        </row>
      </sheetData>
      <sheetData sheetId="1434">
        <row r="65">
          <cell r="A65" t="str">
            <v>(II)</v>
          </cell>
        </row>
      </sheetData>
      <sheetData sheetId="1435">
        <row r="65">
          <cell r="A65" t="str">
            <v>(II)</v>
          </cell>
        </row>
      </sheetData>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ow r="65">
          <cell r="A65" t="str">
            <v>(II)</v>
          </cell>
        </row>
      </sheetData>
      <sheetData sheetId="1446"/>
      <sheetData sheetId="1447"/>
      <sheetData sheetId="1448">
        <row r="65">
          <cell r="A65" t="str">
            <v>(II)</v>
          </cell>
        </row>
      </sheetData>
      <sheetData sheetId="1449"/>
      <sheetData sheetId="1450"/>
      <sheetData sheetId="1451"/>
      <sheetData sheetId="1452"/>
      <sheetData sheetId="1453"/>
      <sheetData sheetId="1454"/>
      <sheetData sheetId="1455">
        <row r="65">
          <cell r="A65" t="str">
            <v>(II)</v>
          </cell>
        </row>
      </sheetData>
      <sheetData sheetId="1456"/>
      <sheetData sheetId="1457"/>
      <sheetData sheetId="1458">
        <row r="65">
          <cell r="A65" t="str">
            <v>(II)</v>
          </cell>
        </row>
      </sheetData>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ow r="65">
          <cell r="A65" t="str">
            <v>(II)</v>
          </cell>
        </row>
      </sheetData>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ow r="65">
          <cell r="A65" t="str">
            <v>(II)</v>
          </cell>
        </row>
      </sheetData>
      <sheetData sheetId="1557" refreshError="1"/>
      <sheetData sheetId="1558">
        <row r="65">
          <cell r="A65" t="str">
            <v>(II)</v>
          </cell>
        </row>
      </sheetData>
      <sheetData sheetId="1559">
        <row r="65">
          <cell r="A65" t="str">
            <v>(II)</v>
          </cell>
        </row>
      </sheetData>
      <sheetData sheetId="1560">
        <row r="65">
          <cell r="A65" t="str">
            <v>(II)</v>
          </cell>
        </row>
      </sheetData>
      <sheetData sheetId="1561">
        <row r="65">
          <cell r="A65" t="str">
            <v>(II)</v>
          </cell>
        </row>
      </sheetData>
      <sheetData sheetId="1562">
        <row r="65">
          <cell r="A65" t="str">
            <v>(II)</v>
          </cell>
        </row>
      </sheetData>
      <sheetData sheetId="1563">
        <row r="65">
          <cell r="A65" t="str">
            <v>(II)</v>
          </cell>
        </row>
      </sheetData>
      <sheetData sheetId="1564">
        <row r="65">
          <cell r="A65" t="str">
            <v>(II)</v>
          </cell>
        </row>
      </sheetData>
      <sheetData sheetId="1565">
        <row r="65">
          <cell r="A65" t="str">
            <v>(II)</v>
          </cell>
        </row>
      </sheetData>
      <sheetData sheetId="1566">
        <row r="65">
          <cell r="A65" t="str">
            <v>(II)</v>
          </cell>
        </row>
      </sheetData>
      <sheetData sheetId="1567">
        <row r="65">
          <cell r="A65" t="str">
            <v>(II)</v>
          </cell>
        </row>
      </sheetData>
      <sheetData sheetId="1568">
        <row r="65">
          <cell r="A65" t="str">
            <v>(II)</v>
          </cell>
        </row>
      </sheetData>
      <sheetData sheetId="1569">
        <row r="65">
          <cell r="A65" t="str">
            <v>(II)</v>
          </cell>
        </row>
      </sheetData>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ow r="65">
          <cell r="A65" t="str">
            <v>(II)</v>
          </cell>
        </row>
      </sheetData>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ow r="65">
          <cell r="A65" t="str">
            <v>(II)</v>
          </cell>
        </row>
      </sheetData>
      <sheetData sheetId="1655">
        <row r="65">
          <cell r="A65" t="str">
            <v>(II)</v>
          </cell>
        </row>
      </sheetData>
      <sheetData sheetId="1656">
        <row r="65">
          <cell r="A65" t="str">
            <v>(II)</v>
          </cell>
        </row>
      </sheetData>
      <sheetData sheetId="1657">
        <row r="65">
          <cell r="A65" t="str">
            <v>(II)</v>
          </cell>
        </row>
      </sheetData>
      <sheetData sheetId="1658">
        <row r="65">
          <cell r="A65" t="str">
            <v>(II)</v>
          </cell>
        </row>
      </sheetData>
      <sheetData sheetId="1659">
        <row r="65">
          <cell r="A65" t="str">
            <v>(II)</v>
          </cell>
        </row>
      </sheetData>
      <sheetData sheetId="1660">
        <row r="65">
          <cell r="A65" t="str">
            <v>(II)</v>
          </cell>
        </row>
      </sheetData>
      <sheetData sheetId="1661">
        <row r="65">
          <cell r="A65" t="str">
            <v>(II)</v>
          </cell>
        </row>
      </sheetData>
      <sheetData sheetId="1662">
        <row r="65">
          <cell r="A65" t="str">
            <v>(II)</v>
          </cell>
        </row>
      </sheetData>
      <sheetData sheetId="1663">
        <row r="65">
          <cell r="A65" t="str">
            <v>(II)</v>
          </cell>
        </row>
      </sheetData>
      <sheetData sheetId="1664">
        <row r="65">
          <cell r="A65" t="str">
            <v>(II)</v>
          </cell>
        </row>
      </sheetData>
      <sheetData sheetId="1665">
        <row r="65">
          <cell r="A65" t="str">
            <v>(II)</v>
          </cell>
        </row>
      </sheetData>
      <sheetData sheetId="1666">
        <row r="65">
          <cell r="A65" t="str">
            <v>(II)</v>
          </cell>
        </row>
      </sheetData>
      <sheetData sheetId="1667">
        <row r="65">
          <cell r="A65" t="str">
            <v>(II)</v>
          </cell>
        </row>
      </sheetData>
      <sheetData sheetId="1668">
        <row r="65">
          <cell r="A65" t="str">
            <v>(II)</v>
          </cell>
        </row>
      </sheetData>
      <sheetData sheetId="1669">
        <row r="65">
          <cell r="A65" t="str">
            <v>(II)</v>
          </cell>
        </row>
      </sheetData>
      <sheetData sheetId="1670">
        <row r="65">
          <cell r="A65" t="str">
            <v>(II)</v>
          </cell>
        </row>
      </sheetData>
      <sheetData sheetId="1671">
        <row r="65">
          <cell r="A65" t="str">
            <v>(II)</v>
          </cell>
        </row>
      </sheetData>
      <sheetData sheetId="1672">
        <row r="65">
          <cell r="A65" t="str">
            <v>(II)</v>
          </cell>
        </row>
      </sheetData>
      <sheetData sheetId="1673">
        <row r="65">
          <cell r="A65" t="str">
            <v>(II)</v>
          </cell>
        </row>
      </sheetData>
      <sheetData sheetId="1674">
        <row r="65">
          <cell r="A65" t="str">
            <v>(II)</v>
          </cell>
        </row>
      </sheetData>
      <sheetData sheetId="1675">
        <row r="65">
          <cell r="A65" t="str">
            <v>(II)</v>
          </cell>
        </row>
      </sheetData>
      <sheetData sheetId="1676"/>
      <sheetData sheetId="1677">
        <row r="65">
          <cell r="A65" t="str">
            <v>(II)</v>
          </cell>
        </row>
      </sheetData>
      <sheetData sheetId="1678">
        <row r="65">
          <cell r="A65" t="str">
            <v>(II)</v>
          </cell>
        </row>
      </sheetData>
      <sheetData sheetId="1679"/>
      <sheetData sheetId="1680">
        <row r="65">
          <cell r="A65" t="str">
            <v>(II)</v>
          </cell>
        </row>
      </sheetData>
      <sheetData sheetId="1681">
        <row r="65">
          <cell r="A65" t="str">
            <v>(II)</v>
          </cell>
        </row>
      </sheetData>
      <sheetData sheetId="1682">
        <row r="65">
          <cell r="A65" t="str">
            <v>(II)</v>
          </cell>
        </row>
      </sheetData>
      <sheetData sheetId="1683"/>
      <sheetData sheetId="1684">
        <row r="65">
          <cell r="A65" t="str">
            <v>(II)</v>
          </cell>
        </row>
      </sheetData>
      <sheetData sheetId="1685">
        <row r="65">
          <cell r="A65" t="str">
            <v>(II)</v>
          </cell>
        </row>
      </sheetData>
      <sheetData sheetId="1686"/>
      <sheetData sheetId="1687"/>
      <sheetData sheetId="1688">
        <row r="65">
          <cell r="A65" t="str">
            <v>(II)</v>
          </cell>
        </row>
      </sheetData>
      <sheetData sheetId="1689">
        <row r="65">
          <cell r="A65" t="str">
            <v>(II)</v>
          </cell>
        </row>
      </sheetData>
      <sheetData sheetId="1690"/>
      <sheetData sheetId="1691">
        <row r="65">
          <cell r="A65" t="str">
            <v>(II)</v>
          </cell>
        </row>
      </sheetData>
      <sheetData sheetId="1692">
        <row r="65">
          <cell r="A65" t="str">
            <v>(II)</v>
          </cell>
        </row>
      </sheetData>
      <sheetData sheetId="1693">
        <row r="65">
          <cell r="A65" t="str">
            <v>(II)</v>
          </cell>
        </row>
      </sheetData>
      <sheetData sheetId="1694"/>
      <sheetData sheetId="1695">
        <row r="65">
          <cell r="A65" t="str">
            <v>(II)</v>
          </cell>
        </row>
      </sheetData>
      <sheetData sheetId="1696">
        <row r="65">
          <cell r="A65" t="str">
            <v>(II)</v>
          </cell>
        </row>
      </sheetData>
      <sheetData sheetId="1697">
        <row r="65">
          <cell r="A65" t="str">
            <v>(II)</v>
          </cell>
        </row>
      </sheetData>
      <sheetData sheetId="1698">
        <row r="65">
          <cell r="A65" t="str">
            <v>(II)</v>
          </cell>
        </row>
      </sheetData>
      <sheetData sheetId="1699">
        <row r="65">
          <cell r="A65" t="str">
            <v>(II)</v>
          </cell>
        </row>
      </sheetData>
      <sheetData sheetId="1700">
        <row r="65">
          <cell r="A65" t="str">
            <v>(II)</v>
          </cell>
        </row>
      </sheetData>
      <sheetData sheetId="1701">
        <row r="65">
          <cell r="A65" t="str">
            <v>(II)</v>
          </cell>
        </row>
      </sheetData>
      <sheetData sheetId="1702">
        <row r="65">
          <cell r="A65" t="str">
            <v>(II)</v>
          </cell>
        </row>
      </sheetData>
      <sheetData sheetId="1703">
        <row r="65">
          <cell r="A65" t="str">
            <v>(II)</v>
          </cell>
        </row>
      </sheetData>
      <sheetData sheetId="1704"/>
      <sheetData sheetId="1705">
        <row r="65">
          <cell r="A65" t="str">
            <v>(II)</v>
          </cell>
        </row>
      </sheetData>
      <sheetData sheetId="1706">
        <row r="65">
          <cell r="A65" t="str">
            <v>(II)</v>
          </cell>
        </row>
      </sheetData>
      <sheetData sheetId="1707">
        <row r="65">
          <cell r="A65" t="str">
            <v>(II)</v>
          </cell>
        </row>
      </sheetData>
      <sheetData sheetId="1708">
        <row r="65">
          <cell r="A65" t="str">
            <v>(II)</v>
          </cell>
        </row>
      </sheetData>
      <sheetData sheetId="1709">
        <row r="65">
          <cell r="A65" t="str">
            <v>(II)</v>
          </cell>
        </row>
      </sheetData>
      <sheetData sheetId="1710">
        <row r="65">
          <cell r="A65" t="str">
            <v>(II)</v>
          </cell>
        </row>
      </sheetData>
      <sheetData sheetId="1711">
        <row r="65">
          <cell r="A65" t="str">
            <v>(II)</v>
          </cell>
        </row>
      </sheetData>
      <sheetData sheetId="1712">
        <row r="65">
          <cell r="A65" t="str">
            <v>(II)</v>
          </cell>
        </row>
      </sheetData>
      <sheetData sheetId="1713">
        <row r="65">
          <cell r="A65" t="str">
            <v>(II)</v>
          </cell>
        </row>
      </sheetData>
      <sheetData sheetId="1714">
        <row r="65">
          <cell r="A65" t="str">
            <v>(II)</v>
          </cell>
        </row>
      </sheetData>
      <sheetData sheetId="1715">
        <row r="65">
          <cell r="A65" t="str">
            <v>(II)</v>
          </cell>
        </row>
      </sheetData>
      <sheetData sheetId="1716">
        <row r="65">
          <cell r="A65" t="str">
            <v>(II)</v>
          </cell>
        </row>
      </sheetData>
      <sheetData sheetId="1717">
        <row r="65">
          <cell r="A65" t="str">
            <v>(II)</v>
          </cell>
        </row>
      </sheetData>
      <sheetData sheetId="1718">
        <row r="65">
          <cell r="A65" t="str">
            <v>(II)</v>
          </cell>
        </row>
      </sheetData>
      <sheetData sheetId="1719">
        <row r="65">
          <cell r="A65" t="str">
            <v>(II)</v>
          </cell>
        </row>
      </sheetData>
      <sheetData sheetId="1720">
        <row r="65">
          <cell r="A65" t="str">
            <v>(II)</v>
          </cell>
        </row>
      </sheetData>
      <sheetData sheetId="1721">
        <row r="65">
          <cell r="A65" t="str">
            <v>(II)</v>
          </cell>
        </row>
      </sheetData>
      <sheetData sheetId="1722">
        <row r="65">
          <cell r="A65" t="str">
            <v>(II)</v>
          </cell>
        </row>
      </sheetData>
      <sheetData sheetId="1723">
        <row r="65">
          <cell r="A65" t="str">
            <v>(II)</v>
          </cell>
        </row>
      </sheetData>
      <sheetData sheetId="1724">
        <row r="65">
          <cell r="A65" t="str">
            <v>(II)</v>
          </cell>
        </row>
      </sheetData>
      <sheetData sheetId="1725">
        <row r="65">
          <cell r="A65" t="str">
            <v>(II)</v>
          </cell>
        </row>
      </sheetData>
      <sheetData sheetId="1726">
        <row r="65">
          <cell r="A65" t="str">
            <v>(II)</v>
          </cell>
        </row>
      </sheetData>
      <sheetData sheetId="1727">
        <row r="65">
          <cell r="A65" t="str">
            <v>(II)</v>
          </cell>
        </row>
      </sheetData>
      <sheetData sheetId="1728">
        <row r="65">
          <cell r="A65" t="str">
            <v>(II)</v>
          </cell>
        </row>
      </sheetData>
      <sheetData sheetId="1729">
        <row r="65">
          <cell r="A65" t="str">
            <v>(II)</v>
          </cell>
        </row>
      </sheetData>
      <sheetData sheetId="1730">
        <row r="65">
          <cell r="A65" t="str">
            <v>(II)</v>
          </cell>
        </row>
      </sheetData>
      <sheetData sheetId="1731">
        <row r="65">
          <cell r="A65" t="str">
            <v>(II)</v>
          </cell>
        </row>
      </sheetData>
      <sheetData sheetId="1732">
        <row r="65">
          <cell r="A65" t="str">
            <v>(II)</v>
          </cell>
        </row>
      </sheetData>
      <sheetData sheetId="1733">
        <row r="65">
          <cell r="A65" t="str">
            <v>(II)</v>
          </cell>
        </row>
      </sheetData>
      <sheetData sheetId="1734">
        <row r="65">
          <cell r="A65" t="str">
            <v>(II)</v>
          </cell>
        </row>
      </sheetData>
      <sheetData sheetId="1735">
        <row r="65">
          <cell r="A65" t="str">
            <v>(II)</v>
          </cell>
        </row>
      </sheetData>
      <sheetData sheetId="1736">
        <row r="65">
          <cell r="A65" t="str">
            <v>(II)</v>
          </cell>
        </row>
      </sheetData>
      <sheetData sheetId="1737">
        <row r="65">
          <cell r="A65" t="str">
            <v>(II)</v>
          </cell>
        </row>
      </sheetData>
      <sheetData sheetId="1738">
        <row r="65">
          <cell r="A65" t="str">
            <v>(II)</v>
          </cell>
        </row>
      </sheetData>
      <sheetData sheetId="1739">
        <row r="65">
          <cell r="A65" t="str">
            <v>(II)</v>
          </cell>
        </row>
      </sheetData>
      <sheetData sheetId="1740">
        <row r="65">
          <cell r="A65" t="str">
            <v>(II)</v>
          </cell>
        </row>
      </sheetData>
      <sheetData sheetId="1741">
        <row r="65">
          <cell r="A65" t="str">
            <v>(II)</v>
          </cell>
        </row>
      </sheetData>
      <sheetData sheetId="1742">
        <row r="65">
          <cell r="A65" t="str">
            <v>(II)</v>
          </cell>
        </row>
      </sheetData>
      <sheetData sheetId="1743">
        <row r="65">
          <cell r="A65" t="str">
            <v>(II)</v>
          </cell>
        </row>
      </sheetData>
      <sheetData sheetId="1744"/>
      <sheetData sheetId="1745">
        <row r="65">
          <cell r="A65" t="str">
            <v>(II)</v>
          </cell>
        </row>
      </sheetData>
      <sheetData sheetId="1746">
        <row r="65">
          <cell r="A65" t="str">
            <v>(II)</v>
          </cell>
        </row>
      </sheetData>
      <sheetData sheetId="1747">
        <row r="65">
          <cell r="A65" t="str">
            <v>(II)</v>
          </cell>
        </row>
      </sheetData>
      <sheetData sheetId="1748">
        <row r="65">
          <cell r="A65" t="str">
            <v>(II)</v>
          </cell>
        </row>
      </sheetData>
      <sheetData sheetId="1749"/>
      <sheetData sheetId="1750">
        <row r="65">
          <cell r="A65" t="str">
            <v>(II)</v>
          </cell>
        </row>
      </sheetData>
      <sheetData sheetId="1751"/>
      <sheetData sheetId="1752">
        <row r="65">
          <cell r="A65" t="str">
            <v>(II)</v>
          </cell>
        </row>
      </sheetData>
      <sheetData sheetId="1753">
        <row r="65">
          <cell r="A65" t="str">
            <v>(II)</v>
          </cell>
        </row>
      </sheetData>
      <sheetData sheetId="1754"/>
      <sheetData sheetId="1755"/>
      <sheetData sheetId="1756">
        <row r="65">
          <cell r="A65" t="str">
            <v>(II)</v>
          </cell>
        </row>
      </sheetData>
      <sheetData sheetId="1757"/>
      <sheetData sheetId="1758"/>
      <sheetData sheetId="1759"/>
      <sheetData sheetId="1760">
        <row r="65">
          <cell r="A65" t="str">
            <v>(II)</v>
          </cell>
        </row>
      </sheetData>
      <sheetData sheetId="1761">
        <row r="65">
          <cell r="A65" t="str">
            <v>(II)</v>
          </cell>
        </row>
      </sheetData>
      <sheetData sheetId="1762"/>
      <sheetData sheetId="1763">
        <row r="65">
          <cell r="A65" t="str">
            <v>(II)</v>
          </cell>
        </row>
      </sheetData>
      <sheetData sheetId="1764">
        <row r="65">
          <cell r="A65" t="str">
            <v>(II)</v>
          </cell>
        </row>
      </sheetData>
      <sheetData sheetId="1765"/>
      <sheetData sheetId="1766"/>
      <sheetData sheetId="1767">
        <row r="65">
          <cell r="A65" t="str">
            <v>(II)</v>
          </cell>
        </row>
      </sheetData>
      <sheetData sheetId="1768">
        <row r="65">
          <cell r="A65" t="str">
            <v>(II)</v>
          </cell>
        </row>
      </sheetData>
      <sheetData sheetId="1769">
        <row r="65">
          <cell r="A65" t="str">
            <v>(II)</v>
          </cell>
        </row>
      </sheetData>
      <sheetData sheetId="1770"/>
      <sheetData sheetId="1771">
        <row r="65">
          <cell r="A65" t="str">
            <v>(II)</v>
          </cell>
        </row>
      </sheetData>
      <sheetData sheetId="1772">
        <row r="65">
          <cell r="A65" t="str">
            <v>(II)</v>
          </cell>
        </row>
      </sheetData>
      <sheetData sheetId="1773">
        <row r="65">
          <cell r="A65" t="str">
            <v>(II)</v>
          </cell>
        </row>
      </sheetData>
      <sheetData sheetId="1774">
        <row r="65">
          <cell r="A65" t="str">
            <v>(II)</v>
          </cell>
        </row>
      </sheetData>
      <sheetData sheetId="1775">
        <row r="65">
          <cell r="A65" t="str">
            <v>(II)</v>
          </cell>
        </row>
      </sheetData>
      <sheetData sheetId="1776">
        <row r="65">
          <cell r="A65" t="str">
            <v>(II)</v>
          </cell>
        </row>
      </sheetData>
      <sheetData sheetId="1777">
        <row r="65">
          <cell r="A65" t="str">
            <v>(II)</v>
          </cell>
        </row>
      </sheetData>
      <sheetData sheetId="1778">
        <row r="65">
          <cell r="A65" t="str">
            <v>(II)</v>
          </cell>
        </row>
      </sheetData>
      <sheetData sheetId="1779">
        <row r="65">
          <cell r="A65" t="str">
            <v>(II)</v>
          </cell>
        </row>
      </sheetData>
      <sheetData sheetId="1780">
        <row r="65">
          <cell r="A65" t="str">
            <v>(II)</v>
          </cell>
        </row>
      </sheetData>
      <sheetData sheetId="1781">
        <row r="65">
          <cell r="A65" t="str">
            <v>(II)</v>
          </cell>
        </row>
      </sheetData>
      <sheetData sheetId="1782">
        <row r="65">
          <cell r="A65" t="str">
            <v>(II)</v>
          </cell>
        </row>
      </sheetData>
      <sheetData sheetId="1783">
        <row r="65">
          <cell r="A65" t="str">
            <v>(II)</v>
          </cell>
        </row>
      </sheetData>
      <sheetData sheetId="1784">
        <row r="65">
          <cell r="A65" t="str">
            <v>(II)</v>
          </cell>
        </row>
      </sheetData>
      <sheetData sheetId="1785">
        <row r="65">
          <cell r="A65" t="str">
            <v>(II)</v>
          </cell>
        </row>
      </sheetData>
      <sheetData sheetId="1786">
        <row r="65">
          <cell r="A65" t="str">
            <v>(II)</v>
          </cell>
        </row>
      </sheetData>
      <sheetData sheetId="1787">
        <row r="65">
          <cell r="A65" t="str">
            <v>(II)</v>
          </cell>
        </row>
      </sheetData>
      <sheetData sheetId="1788">
        <row r="65">
          <cell r="A65" t="str">
            <v>(II)</v>
          </cell>
        </row>
      </sheetData>
      <sheetData sheetId="1789">
        <row r="65">
          <cell r="A65" t="str">
            <v>(II)</v>
          </cell>
        </row>
      </sheetData>
      <sheetData sheetId="1790">
        <row r="65">
          <cell r="A65" t="str">
            <v>(II)</v>
          </cell>
        </row>
      </sheetData>
      <sheetData sheetId="1791">
        <row r="65">
          <cell r="A65" t="str">
            <v>(II)</v>
          </cell>
        </row>
      </sheetData>
      <sheetData sheetId="1792">
        <row r="65">
          <cell r="A65" t="str">
            <v>(II)</v>
          </cell>
        </row>
      </sheetData>
      <sheetData sheetId="1793">
        <row r="65">
          <cell r="A65" t="str">
            <v>(II)</v>
          </cell>
        </row>
      </sheetData>
      <sheetData sheetId="1794">
        <row r="65">
          <cell r="A65" t="str">
            <v>(II)</v>
          </cell>
        </row>
      </sheetData>
      <sheetData sheetId="1795">
        <row r="65">
          <cell r="A65" t="str">
            <v>(II)</v>
          </cell>
        </row>
      </sheetData>
      <sheetData sheetId="1796">
        <row r="65">
          <cell r="A65" t="str">
            <v>(II)</v>
          </cell>
        </row>
      </sheetData>
      <sheetData sheetId="1797">
        <row r="65">
          <cell r="A65" t="str">
            <v>(II)</v>
          </cell>
        </row>
      </sheetData>
      <sheetData sheetId="1798">
        <row r="65">
          <cell r="A65" t="str">
            <v>(II)</v>
          </cell>
        </row>
      </sheetData>
      <sheetData sheetId="1799">
        <row r="65">
          <cell r="A65" t="str">
            <v>(II)</v>
          </cell>
        </row>
      </sheetData>
      <sheetData sheetId="1800">
        <row r="65">
          <cell r="A65" t="str">
            <v>(II)</v>
          </cell>
        </row>
      </sheetData>
      <sheetData sheetId="1801">
        <row r="65">
          <cell r="A65" t="str">
            <v>(II)</v>
          </cell>
        </row>
      </sheetData>
      <sheetData sheetId="1802">
        <row r="65">
          <cell r="A65" t="str">
            <v>(II)</v>
          </cell>
        </row>
      </sheetData>
      <sheetData sheetId="1803">
        <row r="65">
          <cell r="A65" t="str">
            <v>(II)</v>
          </cell>
        </row>
      </sheetData>
      <sheetData sheetId="1804">
        <row r="65">
          <cell r="A65" t="str">
            <v>(II)</v>
          </cell>
        </row>
      </sheetData>
      <sheetData sheetId="1805"/>
      <sheetData sheetId="1806">
        <row r="65">
          <cell r="A65" t="str">
            <v>(II)</v>
          </cell>
        </row>
      </sheetData>
      <sheetData sheetId="1807">
        <row r="65">
          <cell r="A65" t="str">
            <v>(II)</v>
          </cell>
        </row>
      </sheetData>
      <sheetData sheetId="1808">
        <row r="65">
          <cell r="A65" t="str">
            <v>(II)</v>
          </cell>
        </row>
      </sheetData>
      <sheetData sheetId="1809">
        <row r="65">
          <cell r="A65" t="str">
            <v>(II)</v>
          </cell>
        </row>
      </sheetData>
      <sheetData sheetId="1810">
        <row r="65">
          <cell r="A65" t="str">
            <v>(II)</v>
          </cell>
        </row>
      </sheetData>
      <sheetData sheetId="1811">
        <row r="65">
          <cell r="A65" t="str">
            <v>(II)</v>
          </cell>
        </row>
      </sheetData>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row r="65">
          <cell r="A65" t="str">
            <v>(II)</v>
          </cell>
        </row>
      </sheetData>
      <sheetData sheetId="1849"/>
      <sheetData sheetId="1850"/>
      <sheetData sheetId="1851"/>
      <sheetData sheetId="1852">
        <row r="65">
          <cell r="A65" t="str">
            <v>(II)</v>
          </cell>
        </row>
      </sheetData>
      <sheetData sheetId="1853">
        <row r="65">
          <cell r="A65" t="str">
            <v>(II)</v>
          </cell>
        </row>
      </sheetData>
      <sheetData sheetId="1854"/>
      <sheetData sheetId="1855">
        <row r="65">
          <cell r="A65" t="str">
            <v>(II)</v>
          </cell>
        </row>
      </sheetData>
      <sheetData sheetId="1856">
        <row r="65">
          <cell r="A65" t="str">
            <v>(II)</v>
          </cell>
        </row>
      </sheetData>
      <sheetData sheetId="1857"/>
      <sheetData sheetId="1858"/>
      <sheetData sheetId="1859">
        <row r="65">
          <cell r="A65" t="str">
            <v>(II)</v>
          </cell>
        </row>
      </sheetData>
      <sheetData sheetId="1860">
        <row r="65">
          <cell r="A65" t="str">
            <v>(II)</v>
          </cell>
        </row>
      </sheetData>
      <sheetData sheetId="1861">
        <row r="65">
          <cell r="A65" t="str">
            <v>(II)</v>
          </cell>
        </row>
      </sheetData>
      <sheetData sheetId="1862"/>
      <sheetData sheetId="1863">
        <row r="65">
          <cell r="A65" t="str">
            <v>(II)</v>
          </cell>
        </row>
      </sheetData>
      <sheetData sheetId="1864">
        <row r="65">
          <cell r="A65" t="str">
            <v>(II)</v>
          </cell>
        </row>
      </sheetData>
      <sheetData sheetId="1865"/>
      <sheetData sheetId="1866">
        <row r="65">
          <cell r="A65" t="str">
            <v>(II)</v>
          </cell>
        </row>
      </sheetData>
      <sheetData sheetId="1867">
        <row r="65">
          <cell r="A65" t="str">
            <v>(II)</v>
          </cell>
        </row>
      </sheetData>
      <sheetData sheetId="1868">
        <row r="65">
          <cell r="A65" t="str">
            <v>(II)</v>
          </cell>
        </row>
      </sheetData>
      <sheetData sheetId="1869">
        <row r="65">
          <cell r="A65" t="str">
            <v>(II)</v>
          </cell>
        </row>
      </sheetData>
      <sheetData sheetId="1870">
        <row r="65">
          <cell r="A65" t="str">
            <v>(II)</v>
          </cell>
        </row>
      </sheetData>
      <sheetData sheetId="1871">
        <row r="65">
          <cell r="A65" t="str">
            <v>(II)</v>
          </cell>
        </row>
      </sheetData>
      <sheetData sheetId="1872">
        <row r="65">
          <cell r="A65" t="str">
            <v>(II)</v>
          </cell>
        </row>
      </sheetData>
      <sheetData sheetId="1873"/>
      <sheetData sheetId="1874">
        <row r="65">
          <cell r="A65" t="str">
            <v>(II)</v>
          </cell>
        </row>
      </sheetData>
      <sheetData sheetId="1875">
        <row r="65">
          <cell r="A65" t="str">
            <v>(II)</v>
          </cell>
        </row>
      </sheetData>
      <sheetData sheetId="1876">
        <row r="65">
          <cell r="A65" t="str">
            <v>(II)</v>
          </cell>
        </row>
      </sheetData>
      <sheetData sheetId="1877"/>
      <sheetData sheetId="1878">
        <row r="65">
          <cell r="A65" t="str">
            <v>(II)</v>
          </cell>
        </row>
      </sheetData>
      <sheetData sheetId="1879">
        <row r="65">
          <cell r="A65" t="str">
            <v>(II)</v>
          </cell>
        </row>
      </sheetData>
      <sheetData sheetId="1880"/>
      <sheetData sheetId="1881"/>
      <sheetData sheetId="1882">
        <row r="65">
          <cell r="A65" t="str">
            <v>(II)</v>
          </cell>
        </row>
      </sheetData>
      <sheetData sheetId="1883">
        <row r="65">
          <cell r="A65" t="str">
            <v>(II)</v>
          </cell>
        </row>
      </sheetData>
      <sheetData sheetId="1884"/>
      <sheetData sheetId="1885"/>
      <sheetData sheetId="1886">
        <row r="65">
          <cell r="A65" t="str">
            <v>(II)</v>
          </cell>
        </row>
      </sheetData>
      <sheetData sheetId="1887"/>
      <sheetData sheetId="1888"/>
      <sheetData sheetId="1889"/>
      <sheetData sheetId="1890"/>
      <sheetData sheetId="1891"/>
      <sheetData sheetId="1892"/>
      <sheetData sheetId="1893"/>
      <sheetData sheetId="1894">
        <row r="65">
          <cell r="A65" t="str">
            <v>(II)</v>
          </cell>
        </row>
      </sheetData>
      <sheetData sheetId="1895"/>
      <sheetData sheetId="1896"/>
      <sheetData sheetId="1897"/>
      <sheetData sheetId="1898"/>
      <sheetData sheetId="1899"/>
      <sheetData sheetId="1900"/>
      <sheetData sheetId="1901"/>
      <sheetData sheetId="1902"/>
      <sheetData sheetId="1903">
        <row r="65">
          <cell r="A65" t="str">
            <v>(II)</v>
          </cell>
        </row>
      </sheetData>
      <sheetData sheetId="1904"/>
      <sheetData sheetId="1905"/>
      <sheetData sheetId="1906"/>
      <sheetData sheetId="1907">
        <row r="65">
          <cell r="A65" t="str">
            <v>(II)</v>
          </cell>
        </row>
      </sheetData>
      <sheetData sheetId="1908"/>
      <sheetData sheetId="1909">
        <row r="65">
          <cell r="A65" t="str">
            <v>(II)</v>
          </cell>
        </row>
      </sheetData>
      <sheetData sheetId="1910"/>
      <sheetData sheetId="1911">
        <row r="65">
          <cell r="A65" t="str">
            <v>(II)</v>
          </cell>
        </row>
      </sheetData>
      <sheetData sheetId="1912"/>
      <sheetData sheetId="1913">
        <row r="65">
          <cell r="A65" t="str">
            <v>(II)</v>
          </cell>
        </row>
      </sheetData>
      <sheetData sheetId="1914">
        <row r="65">
          <cell r="A65" t="str">
            <v>(II)</v>
          </cell>
        </row>
      </sheetData>
      <sheetData sheetId="1915">
        <row r="65">
          <cell r="A65" t="str">
            <v>(II)</v>
          </cell>
        </row>
      </sheetData>
      <sheetData sheetId="1916">
        <row r="65">
          <cell r="A65" t="str">
            <v>(II)</v>
          </cell>
        </row>
      </sheetData>
      <sheetData sheetId="1917">
        <row r="65">
          <cell r="A65" t="str">
            <v>(II)</v>
          </cell>
        </row>
      </sheetData>
      <sheetData sheetId="1918"/>
      <sheetData sheetId="1919">
        <row r="65">
          <cell r="A65" t="str">
            <v>(II)</v>
          </cell>
        </row>
      </sheetData>
      <sheetData sheetId="1920">
        <row r="65">
          <cell r="A65" t="str">
            <v>(II)</v>
          </cell>
        </row>
      </sheetData>
      <sheetData sheetId="1921">
        <row r="65">
          <cell r="A65" t="str">
            <v>(II)</v>
          </cell>
        </row>
      </sheetData>
      <sheetData sheetId="1922">
        <row r="65">
          <cell r="A65" t="str">
            <v>(II)</v>
          </cell>
        </row>
      </sheetData>
      <sheetData sheetId="1923">
        <row r="65">
          <cell r="A65" t="str">
            <v>(II)</v>
          </cell>
        </row>
      </sheetData>
      <sheetData sheetId="1924">
        <row r="65">
          <cell r="A65" t="str">
            <v>(II)</v>
          </cell>
        </row>
      </sheetData>
      <sheetData sheetId="1925">
        <row r="65">
          <cell r="A65" t="str">
            <v>(II)</v>
          </cell>
        </row>
      </sheetData>
      <sheetData sheetId="1926"/>
      <sheetData sheetId="1927">
        <row r="65">
          <cell r="A65" t="str">
            <v>(II)</v>
          </cell>
        </row>
      </sheetData>
      <sheetData sheetId="1928">
        <row r="65">
          <cell r="A65" t="str">
            <v>(II)</v>
          </cell>
        </row>
      </sheetData>
      <sheetData sheetId="1929">
        <row r="65">
          <cell r="A65" t="str">
            <v>(II)</v>
          </cell>
        </row>
      </sheetData>
      <sheetData sheetId="1930">
        <row r="65">
          <cell r="A65" t="str">
            <v>(II)</v>
          </cell>
        </row>
      </sheetData>
      <sheetData sheetId="1931">
        <row r="65">
          <cell r="A65" t="str">
            <v>(II)</v>
          </cell>
        </row>
      </sheetData>
      <sheetData sheetId="1932">
        <row r="65">
          <cell r="A65" t="str">
            <v>(II)</v>
          </cell>
        </row>
      </sheetData>
      <sheetData sheetId="1933">
        <row r="65">
          <cell r="A65" t="str">
            <v>(II)</v>
          </cell>
        </row>
      </sheetData>
      <sheetData sheetId="1934">
        <row r="65">
          <cell r="A65" t="str">
            <v>(II)</v>
          </cell>
        </row>
      </sheetData>
      <sheetData sheetId="1935">
        <row r="65">
          <cell r="A65" t="str">
            <v>(II)</v>
          </cell>
        </row>
      </sheetData>
      <sheetData sheetId="1936">
        <row r="65">
          <cell r="A65" t="str">
            <v>(II)</v>
          </cell>
        </row>
      </sheetData>
      <sheetData sheetId="1937">
        <row r="65">
          <cell r="A65" t="str">
            <v>(II)</v>
          </cell>
        </row>
      </sheetData>
      <sheetData sheetId="1938">
        <row r="65">
          <cell r="A65" t="str">
            <v>(II)</v>
          </cell>
        </row>
      </sheetData>
      <sheetData sheetId="1939">
        <row r="65">
          <cell r="A65" t="str">
            <v>(II)</v>
          </cell>
        </row>
      </sheetData>
      <sheetData sheetId="1940">
        <row r="65">
          <cell r="A65" t="str">
            <v>(II)</v>
          </cell>
        </row>
      </sheetData>
      <sheetData sheetId="1941">
        <row r="65">
          <cell r="A65" t="str">
            <v>(II)</v>
          </cell>
        </row>
      </sheetData>
      <sheetData sheetId="1942">
        <row r="65">
          <cell r="A65" t="str">
            <v>(II)</v>
          </cell>
        </row>
      </sheetData>
      <sheetData sheetId="1943">
        <row r="65">
          <cell r="A65" t="str">
            <v>(II)</v>
          </cell>
        </row>
      </sheetData>
      <sheetData sheetId="1944">
        <row r="65">
          <cell r="A65" t="str">
            <v>(II)</v>
          </cell>
        </row>
      </sheetData>
      <sheetData sheetId="1945">
        <row r="65">
          <cell r="A65" t="str">
            <v>(II)</v>
          </cell>
        </row>
      </sheetData>
      <sheetData sheetId="1946">
        <row r="65">
          <cell r="A65" t="str">
            <v>(II)</v>
          </cell>
        </row>
      </sheetData>
      <sheetData sheetId="1947">
        <row r="65">
          <cell r="A65" t="str">
            <v>(II)</v>
          </cell>
        </row>
      </sheetData>
      <sheetData sheetId="1948">
        <row r="65">
          <cell r="A65" t="str">
            <v>(II)</v>
          </cell>
        </row>
      </sheetData>
      <sheetData sheetId="1949">
        <row r="65">
          <cell r="A65" t="str">
            <v>(II)</v>
          </cell>
        </row>
      </sheetData>
      <sheetData sheetId="1950">
        <row r="65">
          <cell r="A65" t="str">
            <v>(II)</v>
          </cell>
        </row>
      </sheetData>
      <sheetData sheetId="1951">
        <row r="65">
          <cell r="A65" t="str">
            <v>(II)</v>
          </cell>
        </row>
      </sheetData>
      <sheetData sheetId="1952">
        <row r="65">
          <cell r="A65" t="str">
            <v>(II)</v>
          </cell>
        </row>
      </sheetData>
      <sheetData sheetId="1953">
        <row r="65">
          <cell r="A65" t="str">
            <v>(II)</v>
          </cell>
        </row>
      </sheetData>
      <sheetData sheetId="1954">
        <row r="65">
          <cell r="A65" t="str">
            <v>(II)</v>
          </cell>
        </row>
      </sheetData>
      <sheetData sheetId="1955">
        <row r="65">
          <cell r="A65" t="str">
            <v>(II)</v>
          </cell>
        </row>
      </sheetData>
      <sheetData sheetId="1956">
        <row r="65">
          <cell r="A65" t="str">
            <v>(II)</v>
          </cell>
        </row>
      </sheetData>
      <sheetData sheetId="1957">
        <row r="65">
          <cell r="A65" t="str">
            <v>(II)</v>
          </cell>
        </row>
      </sheetData>
      <sheetData sheetId="1958">
        <row r="65">
          <cell r="A65" t="str">
            <v>(II)</v>
          </cell>
        </row>
      </sheetData>
      <sheetData sheetId="1959"/>
      <sheetData sheetId="1960">
        <row r="65">
          <cell r="A65" t="str">
            <v>(II)</v>
          </cell>
        </row>
      </sheetData>
      <sheetData sheetId="1961">
        <row r="65">
          <cell r="A65" t="str">
            <v>(II)</v>
          </cell>
        </row>
      </sheetData>
      <sheetData sheetId="1962"/>
      <sheetData sheetId="1963"/>
      <sheetData sheetId="1964">
        <row r="65">
          <cell r="A65" t="str">
            <v>(II)</v>
          </cell>
        </row>
      </sheetData>
      <sheetData sheetId="1965">
        <row r="65">
          <cell r="A65" t="str">
            <v>(II)</v>
          </cell>
        </row>
      </sheetData>
      <sheetData sheetId="1966"/>
      <sheetData sheetId="1967"/>
      <sheetData sheetId="1968">
        <row r="65">
          <cell r="A65" t="str">
            <v>(II)</v>
          </cell>
        </row>
      </sheetData>
      <sheetData sheetId="1969"/>
      <sheetData sheetId="1970"/>
      <sheetData sheetId="1971"/>
      <sheetData sheetId="1972">
        <row r="65">
          <cell r="A65" t="str">
            <v>(II)</v>
          </cell>
        </row>
      </sheetData>
      <sheetData sheetId="1973"/>
      <sheetData sheetId="1974"/>
      <sheetData sheetId="1975"/>
      <sheetData sheetId="1976">
        <row r="65">
          <cell r="A65" t="str">
            <v>(II)</v>
          </cell>
        </row>
      </sheetData>
      <sheetData sheetId="1977"/>
      <sheetData sheetId="1978">
        <row r="65">
          <cell r="A65" t="str">
            <v>(II)</v>
          </cell>
        </row>
      </sheetData>
      <sheetData sheetId="1979"/>
      <sheetData sheetId="1980">
        <row r="65">
          <cell r="A65" t="str">
            <v>(II)</v>
          </cell>
        </row>
      </sheetData>
      <sheetData sheetId="1981"/>
      <sheetData sheetId="1982">
        <row r="65">
          <cell r="A65" t="str">
            <v>(II)</v>
          </cell>
        </row>
      </sheetData>
      <sheetData sheetId="1983">
        <row r="65">
          <cell r="A65" t="str">
            <v>(II)</v>
          </cell>
        </row>
      </sheetData>
      <sheetData sheetId="1984">
        <row r="65">
          <cell r="A65" t="str">
            <v>(II)</v>
          </cell>
        </row>
      </sheetData>
      <sheetData sheetId="1985">
        <row r="65">
          <cell r="A65" t="str">
            <v>(II)</v>
          </cell>
        </row>
      </sheetData>
      <sheetData sheetId="1986">
        <row r="65">
          <cell r="A65" t="str">
            <v>(II)</v>
          </cell>
        </row>
      </sheetData>
      <sheetData sheetId="1987"/>
      <sheetData sheetId="1988"/>
      <sheetData sheetId="1989">
        <row r="65">
          <cell r="A65" t="str">
            <v>(II)</v>
          </cell>
        </row>
      </sheetData>
      <sheetData sheetId="1990">
        <row r="65">
          <cell r="A65" t="str">
            <v>(II)</v>
          </cell>
        </row>
      </sheetData>
      <sheetData sheetId="1991">
        <row r="65">
          <cell r="A65" t="str">
            <v>(II)</v>
          </cell>
        </row>
      </sheetData>
      <sheetData sheetId="1992">
        <row r="65">
          <cell r="A65" t="str">
            <v>(II)</v>
          </cell>
        </row>
      </sheetData>
      <sheetData sheetId="1993">
        <row r="65">
          <cell r="A65" t="str">
            <v>(II)</v>
          </cell>
        </row>
      </sheetData>
      <sheetData sheetId="1994">
        <row r="65">
          <cell r="A65" t="str">
            <v>(II)</v>
          </cell>
        </row>
      </sheetData>
      <sheetData sheetId="1995">
        <row r="65">
          <cell r="A65" t="str">
            <v>(II)</v>
          </cell>
        </row>
      </sheetData>
      <sheetData sheetId="1996">
        <row r="65">
          <cell r="A65" t="str">
            <v>(II)</v>
          </cell>
        </row>
      </sheetData>
      <sheetData sheetId="1997">
        <row r="65">
          <cell r="A65" t="str">
            <v>(II)</v>
          </cell>
        </row>
      </sheetData>
      <sheetData sheetId="1998">
        <row r="65">
          <cell r="A65" t="str">
            <v>(II)</v>
          </cell>
        </row>
      </sheetData>
      <sheetData sheetId="1999">
        <row r="65">
          <cell r="A65" t="str">
            <v>(II)</v>
          </cell>
        </row>
      </sheetData>
      <sheetData sheetId="2000">
        <row r="65">
          <cell r="A65" t="str">
            <v>(II)</v>
          </cell>
        </row>
      </sheetData>
      <sheetData sheetId="2001">
        <row r="65">
          <cell r="A65" t="str">
            <v>(II)</v>
          </cell>
        </row>
      </sheetData>
      <sheetData sheetId="2002">
        <row r="65">
          <cell r="A65" t="str">
            <v>(II)</v>
          </cell>
        </row>
      </sheetData>
      <sheetData sheetId="2003">
        <row r="65">
          <cell r="A65" t="str">
            <v>(II)</v>
          </cell>
        </row>
      </sheetData>
      <sheetData sheetId="2004">
        <row r="65">
          <cell r="A65" t="str">
            <v>(II)</v>
          </cell>
        </row>
      </sheetData>
      <sheetData sheetId="2005">
        <row r="65">
          <cell r="A65" t="str">
            <v>(II)</v>
          </cell>
        </row>
      </sheetData>
      <sheetData sheetId="2006">
        <row r="65">
          <cell r="A65" t="str">
            <v>(II)</v>
          </cell>
        </row>
      </sheetData>
      <sheetData sheetId="2007">
        <row r="65">
          <cell r="A65" t="str">
            <v>(II)</v>
          </cell>
        </row>
      </sheetData>
      <sheetData sheetId="2008">
        <row r="65">
          <cell r="A65" t="str">
            <v>(II)</v>
          </cell>
        </row>
      </sheetData>
      <sheetData sheetId="2009">
        <row r="65">
          <cell r="A65" t="str">
            <v>(II)</v>
          </cell>
        </row>
      </sheetData>
      <sheetData sheetId="2010">
        <row r="65">
          <cell r="A65" t="str">
            <v>(II)</v>
          </cell>
        </row>
      </sheetData>
      <sheetData sheetId="2011">
        <row r="65">
          <cell r="A65" t="str">
            <v>(II)</v>
          </cell>
        </row>
      </sheetData>
      <sheetData sheetId="2012">
        <row r="65">
          <cell r="A65" t="str">
            <v>(II)</v>
          </cell>
        </row>
      </sheetData>
      <sheetData sheetId="2013">
        <row r="65">
          <cell r="A65" t="str">
            <v>(II)</v>
          </cell>
        </row>
      </sheetData>
      <sheetData sheetId="2014">
        <row r="65">
          <cell r="A65" t="str">
            <v>(II)</v>
          </cell>
        </row>
      </sheetData>
      <sheetData sheetId="2015">
        <row r="65">
          <cell r="A65" t="str">
            <v>(II)</v>
          </cell>
        </row>
      </sheetData>
      <sheetData sheetId="2016">
        <row r="65">
          <cell r="A65" t="str">
            <v>(II)</v>
          </cell>
        </row>
      </sheetData>
      <sheetData sheetId="2017">
        <row r="65">
          <cell r="A65" t="str">
            <v>(II)</v>
          </cell>
        </row>
      </sheetData>
      <sheetData sheetId="2018">
        <row r="65">
          <cell r="A65" t="str">
            <v>(II)</v>
          </cell>
        </row>
      </sheetData>
      <sheetData sheetId="2019">
        <row r="65">
          <cell r="A65" t="str">
            <v>(II)</v>
          </cell>
        </row>
      </sheetData>
      <sheetData sheetId="2020">
        <row r="65">
          <cell r="A65" t="str">
            <v>(II)</v>
          </cell>
        </row>
      </sheetData>
      <sheetData sheetId="2021">
        <row r="65">
          <cell r="A65" t="str">
            <v>(II)</v>
          </cell>
        </row>
      </sheetData>
      <sheetData sheetId="2022">
        <row r="65">
          <cell r="A65" t="str">
            <v>(II)</v>
          </cell>
        </row>
      </sheetData>
      <sheetData sheetId="2023">
        <row r="65">
          <cell r="A65" t="str">
            <v>(II)</v>
          </cell>
        </row>
      </sheetData>
      <sheetData sheetId="2024">
        <row r="65">
          <cell r="A65" t="str">
            <v>(II)</v>
          </cell>
        </row>
      </sheetData>
      <sheetData sheetId="2025">
        <row r="65">
          <cell r="A65" t="str">
            <v>(II)</v>
          </cell>
        </row>
      </sheetData>
      <sheetData sheetId="2026">
        <row r="65">
          <cell r="A65" t="str">
            <v>(II)</v>
          </cell>
        </row>
      </sheetData>
      <sheetData sheetId="2027">
        <row r="65">
          <cell r="A65" t="str">
            <v>(II)</v>
          </cell>
        </row>
      </sheetData>
      <sheetData sheetId="2028"/>
      <sheetData sheetId="2029">
        <row r="65">
          <cell r="A65" t="str">
            <v>(II)</v>
          </cell>
        </row>
      </sheetData>
      <sheetData sheetId="2030">
        <row r="65">
          <cell r="A65" t="str">
            <v>(II)</v>
          </cell>
        </row>
      </sheetData>
      <sheetData sheetId="2031">
        <row r="65">
          <cell r="A65" t="str">
            <v>(II)</v>
          </cell>
        </row>
      </sheetData>
      <sheetData sheetId="2032"/>
      <sheetData sheetId="2033">
        <row r="65">
          <cell r="A65" t="str">
            <v>(II)</v>
          </cell>
        </row>
      </sheetData>
      <sheetData sheetId="2034">
        <row r="65">
          <cell r="A65" t="str">
            <v>(II)</v>
          </cell>
        </row>
      </sheetData>
      <sheetData sheetId="2035"/>
      <sheetData sheetId="2036"/>
      <sheetData sheetId="2037"/>
      <sheetData sheetId="2038"/>
      <sheetData sheetId="2039">
        <row r="65">
          <cell r="A65" t="str">
            <v>(II)</v>
          </cell>
        </row>
      </sheetData>
      <sheetData sheetId="2040"/>
      <sheetData sheetId="2041"/>
      <sheetData sheetId="2042"/>
      <sheetData sheetId="2043">
        <row r="65">
          <cell r="A65" t="str">
            <v>(II)</v>
          </cell>
        </row>
      </sheetData>
      <sheetData sheetId="2044">
        <row r="65">
          <cell r="A65" t="str">
            <v>(II)</v>
          </cell>
        </row>
      </sheetData>
      <sheetData sheetId="2045"/>
      <sheetData sheetId="2046">
        <row r="65">
          <cell r="A65" t="str">
            <v>(II)</v>
          </cell>
        </row>
      </sheetData>
      <sheetData sheetId="2047">
        <row r="65">
          <cell r="A65" t="str">
            <v>(II)</v>
          </cell>
        </row>
      </sheetData>
      <sheetData sheetId="2048"/>
      <sheetData sheetId="2049"/>
      <sheetData sheetId="2050">
        <row r="65">
          <cell r="A65" t="str">
            <v>(II)</v>
          </cell>
        </row>
      </sheetData>
      <sheetData sheetId="2051">
        <row r="65">
          <cell r="A65" t="str">
            <v>(II)</v>
          </cell>
        </row>
      </sheetData>
      <sheetData sheetId="2052">
        <row r="65">
          <cell r="A65" t="str">
            <v>(II)</v>
          </cell>
        </row>
      </sheetData>
      <sheetData sheetId="2053"/>
      <sheetData sheetId="2054">
        <row r="65">
          <cell r="A65" t="str">
            <v>(II)</v>
          </cell>
        </row>
      </sheetData>
      <sheetData sheetId="2055">
        <row r="65">
          <cell r="A65" t="str">
            <v>(II)</v>
          </cell>
        </row>
      </sheetData>
      <sheetData sheetId="2056">
        <row r="65">
          <cell r="A65" t="str">
            <v>(II)</v>
          </cell>
        </row>
      </sheetData>
      <sheetData sheetId="2057">
        <row r="65">
          <cell r="A65" t="str">
            <v>(II)</v>
          </cell>
        </row>
      </sheetData>
      <sheetData sheetId="2058">
        <row r="65">
          <cell r="A65" t="str">
            <v>(II)</v>
          </cell>
        </row>
      </sheetData>
      <sheetData sheetId="2059">
        <row r="65">
          <cell r="A65" t="str">
            <v>(II)</v>
          </cell>
        </row>
      </sheetData>
      <sheetData sheetId="2060">
        <row r="65">
          <cell r="A65" t="str">
            <v>(II)</v>
          </cell>
        </row>
      </sheetData>
      <sheetData sheetId="2061">
        <row r="65">
          <cell r="A65" t="str">
            <v>(II)</v>
          </cell>
        </row>
      </sheetData>
      <sheetData sheetId="2062">
        <row r="65">
          <cell r="A65" t="str">
            <v>(II)</v>
          </cell>
        </row>
      </sheetData>
      <sheetData sheetId="2063">
        <row r="65">
          <cell r="A65" t="str">
            <v>(II)</v>
          </cell>
        </row>
      </sheetData>
      <sheetData sheetId="2064">
        <row r="65">
          <cell r="A65" t="str">
            <v>(II)</v>
          </cell>
        </row>
      </sheetData>
      <sheetData sheetId="2065">
        <row r="65">
          <cell r="A65" t="str">
            <v>(II)</v>
          </cell>
        </row>
      </sheetData>
      <sheetData sheetId="2066">
        <row r="65">
          <cell r="A65" t="str">
            <v>(II)</v>
          </cell>
        </row>
      </sheetData>
      <sheetData sheetId="2067">
        <row r="65">
          <cell r="A65" t="str">
            <v>(II)</v>
          </cell>
        </row>
      </sheetData>
      <sheetData sheetId="2068">
        <row r="65">
          <cell r="A65" t="str">
            <v>(II)</v>
          </cell>
        </row>
      </sheetData>
      <sheetData sheetId="2069">
        <row r="65">
          <cell r="A65" t="str">
            <v>(II)</v>
          </cell>
        </row>
      </sheetData>
      <sheetData sheetId="2070">
        <row r="65">
          <cell r="A65" t="str">
            <v>(II)</v>
          </cell>
        </row>
      </sheetData>
      <sheetData sheetId="2071">
        <row r="65">
          <cell r="A65" t="str">
            <v>(II)</v>
          </cell>
        </row>
      </sheetData>
      <sheetData sheetId="2072">
        <row r="65">
          <cell r="A65" t="str">
            <v>(II)</v>
          </cell>
        </row>
      </sheetData>
      <sheetData sheetId="2073">
        <row r="65">
          <cell r="A65" t="str">
            <v>(II)</v>
          </cell>
        </row>
      </sheetData>
      <sheetData sheetId="2074">
        <row r="65">
          <cell r="A65" t="str">
            <v>(II)</v>
          </cell>
        </row>
      </sheetData>
      <sheetData sheetId="2075">
        <row r="65">
          <cell r="A65" t="str">
            <v>(II)</v>
          </cell>
        </row>
      </sheetData>
      <sheetData sheetId="2076">
        <row r="65">
          <cell r="A65" t="str">
            <v>(II)</v>
          </cell>
        </row>
      </sheetData>
      <sheetData sheetId="2077">
        <row r="65">
          <cell r="A65" t="str">
            <v>(II)</v>
          </cell>
        </row>
      </sheetData>
      <sheetData sheetId="2078">
        <row r="65">
          <cell r="A65" t="str">
            <v>(II)</v>
          </cell>
        </row>
      </sheetData>
      <sheetData sheetId="2079">
        <row r="65">
          <cell r="A65" t="str">
            <v>(II)</v>
          </cell>
        </row>
      </sheetData>
      <sheetData sheetId="2080">
        <row r="65">
          <cell r="A65" t="str">
            <v>(II)</v>
          </cell>
        </row>
      </sheetData>
      <sheetData sheetId="2081">
        <row r="65">
          <cell r="A65" t="str">
            <v>(II)</v>
          </cell>
        </row>
      </sheetData>
      <sheetData sheetId="2082">
        <row r="65">
          <cell r="A65" t="str">
            <v>(II)</v>
          </cell>
        </row>
      </sheetData>
      <sheetData sheetId="2083">
        <row r="65">
          <cell r="A65" t="str">
            <v>(II)</v>
          </cell>
        </row>
      </sheetData>
      <sheetData sheetId="2084">
        <row r="65">
          <cell r="A65" t="str">
            <v>(II)</v>
          </cell>
        </row>
      </sheetData>
      <sheetData sheetId="2085">
        <row r="65">
          <cell r="A65" t="str">
            <v>(II)</v>
          </cell>
        </row>
      </sheetData>
      <sheetData sheetId="2086">
        <row r="65">
          <cell r="A65" t="str">
            <v>(II)</v>
          </cell>
        </row>
      </sheetData>
      <sheetData sheetId="2087">
        <row r="65">
          <cell r="A65" t="str">
            <v>(II)</v>
          </cell>
        </row>
      </sheetData>
      <sheetData sheetId="2088">
        <row r="65">
          <cell r="A65" t="str">
            <v>(II)</v>
          </cell>
        </row>
      </sheetData>
      <sheetData sheetId="2089">
        <row r="65">
          <cell r="A65" t="str">
            <v>(II)</v>
          </cell>
        </row>
      </sheetData>
      <sheetData sheetId="2090">
        <row r="65">
          <cell r="A65" t="str">
            <v>(II)</v>
          </cell>
        </row>
      </sheetData>
      <sheetData sheetId="2091">
        <row r="65">
          <cell r="A65" t="str">
            <v>(II)</v>
          </cell>
        </row>
      </sheetData>
      <sheetData sheetId="2092">
        <row r="65">
          <cell r="A65" t="str">
            <v>(II)</v>
          </cell>
        </row>
      </sheetData>
      <sheetData sheetId="2093"/>
      <sheetData sheetId="2094">
        <row r="65">
          <cell r="A65" t="str">
            <v>(II)</v>
          </cell>
        </row>
      </sheetData>
      <sheetData sheetId="2095">
        <row r="65">
          <cell r="A65" t="str">
            <v>(II)</v>
          </cell>
        </row>
      </sheetData>
      <sheetData sheetId="2096">
        <row r="65">
          <cell r="A65" t="str">
            <v>(II)</v>
          </cell>
        </row>
      </sheetData>
      <sheetData sheetId="2097">
        <row r="65">
          <cell r="A65" t="str">
            <v>(II)</v>
          </cell>
        </row>
      </sheetData>
      <sheetData sheetId="2098">
        <row r="65">
          <cell r="A65" t="str">
            <v>(II)</v>
          </cell>
        </row>
      </sheetData>
      <sheetData sheetId="2099">
        <row r="65">
          <cell r="A65" t="str">
            <v>(II)</v>
          </cell>
        </row>
      </sheetData>
      <sheetData sheetId="2100"/>
      <sheetData sheetId="2101"/>
      <sheetData sheetId="2102"/>
      <sheetData sheetId="2103"/>
      <sheetData sheetId="2104"/>
      <sheetData sheetId="2105"/>
      <sheetData sheetId="2106"/>
      <sheetData sheetId="2107"/>
      <sheetData sheetId="2108"/>
      <sheetData sheetId="2109"/>
      <sheetData sheetId="2110"/>
      <sheetData sheetId="2111">
        <row r="65">
          <cell r="A65" t="str">
            <v>(II)</v>
          </cell>
        </row>
      </sheetData>
      <sheetData sheetId="2112"/>
      <sheetData sheetId="2113">
        <row r="65">
          <cell r="A65" t="str">
            <v>(II)</v>
          </cell>
        </row>
      </sheetData>
      <sheetData sheetId="2114"/>
      <sheetData sheetId="2115">
        <row r="65">
          <cell r="A65" t="str">
            <v>(II)</v>
          </cell>
        </row>
      </sheetData>
      <sheetData sheetId="2116">
        <row r="65">
          <cell r="A65" t="str">
            <v>(II)</v>
          </cell>
        </row>
      </sheetData>
      <sheetData sheetId="2117">
        <row r="65">
          <cell r="A65" t="str">
            <v>(II)</v>
          </cell>
        </row>
      </sheetData>
      <sheetData sheetId="2118">
        <row r="65">
          <cell r="A65" t="str">
            <v>(II)</v>
          </cell>
        </row>
      </sheetData>
      <sheetData sheetId="2119">
        <row r="65">
          <cell r="A65" t="str">
            <v>(II)</v>
          </cell>
        </row>
      </sheetData>
      <sheetData sheetId="2120">
        <row r="65">
          <cell r="A65" t="str">
            <v>(II)</v>
          </cell>
        </row>
      </sheetData>
      <sheetData sheetId="2121">
        <row r="65">
          <cell r="A65" t="str">
            <v>(II)</v>
          </cell>
        </row>
      </sheetData>
      <sheetData sheetId="2122">
        <row r="65">
          <cell r="A65" t="str">
            <v>(II)</v>
          </cell>
        </row>
      </sheetData>
      <sheetData sheetId="2123">
        <row r="65">
          <cell r="A65" t="str">
            <v>(II)</v>
          </cell>
        </row>
      </sheetData>
      <sheetData sheetId="2124">
        <row r="65">
          <cell r="A65" t="str">
            <v>(II)</v>
          </cell>
        </row>
      </sheetData>
      <sheetData sheetId="2125">
        <row r="65">
          <cell r="A65" t="str">
            <v>(II)</v>
          </cell>
        </row>
      </sheetData>
      <sheetData sheetId="2126">
        <row r="65">
          <cell r="A65" t="str">
            <v>(II)</v>
          </cell>
        </row>
      </sheetData>
      <sheetData sheetId="2127">
        <row r="65">
          <cell r="A65" t="str">
            <v>(II)</v>
          </cell>
        </row>
      </sheetData>
      <sheetData sheetId="2128">
        <row r="65">
          <cell r="A65" t="str">
            <v>(II)</v>
          </cell>
        </row>
      </sheetData>
      <sheetData sheetId="2129">
        <row r="65">
          <cell r="A65" t="str">
            <v>(II)</v>
          </cell>
        </row>
      </sheetData>
      <sheetData sheetId="2130">
        <row r="65">
          <cell r="A65" t="str">
            <v>(II)</v>
          </cell>
        </row>
      </sheetData>
      <sheetData sheetId="2131">
        <row r="65">
          <cell r="A65" t="str">
            <v>(II)</v>
          </cell>
        </row>
      </sheetData>
      <sheetData sheetId="2132">
        <row r="65">
          <cell r="A65" t="str">
            <v>(II)</v>
          </cell>
        </row>
      </sheetData>
      <sheetData sheetId="2133">
        <row r="65">
          <cell r="A65" t="str">
            <v>(II)</v>
          </cell>
        </row>
      </sheetData>
      <sheetData sheetId="2134">
        <row r="65">
          <cell r="A65" t="str">
            <v>(II)</v>
          </cell>
        </row>
      </sheetData>
      <sheetData sheetId="2135">
        <row r="65">
          <cell r="A65" t="str">
            <v>(II)</v>
          </cell>
        </row>
      </sheetData>
      <sheetData sheetId="2136">
        <row r="65">
          <cell r="A65" t="str">
            <v>(II)</v>
          </cell>
        </row>
      </sheetData>
      <sheetData sheetId="2137">
        <row r="65">
          <cell r="A65" t="str">
            <v>(II)</v>
          </cell>
        </row>
      </sheetData>
      <sheetData sheetId="2138">
        <row r="65">
          <cell r="A65" t="str">
            <v>(II)</v>
          </cell>
        </row>
      </sheetData>
      <sheetData sheetId="2139">
        <row r="65">
          <cell r="A65" t="str">
            <v>(II)</v>
          </cell>
        </row>
      </sheetData>
      <sheetData sheetId="2140">
        <row r="65">
          <cell r="A65" t="str">
            <v>(II)</v>
          </cell>
        </row>
      </sheetData>
      <sheetData sheetId="2141">
        <row r="65">
          <cell r="A65" t="str">
            <v>(II)</v>
          </cell>
        </row>
      </sheetData>
      <sheetData sheetId="2142">
        <row r="65">
          <cell r="A65" t="str">
            <v>(II)</v>
          </cell>
        </row>
      </sheetData>
      <sheetData sheetId="2143">
        <row r="65">
          <cell r="A65" t="str">
            <v>(II)</v>
          </cell>
        </row>
      </sheetData>
      <sheetData sheetId="2144">
        <row r="65">
          <cell r="A65" t="str">
            <v>(II)</v>
          </cell>
        </row>
      </sheetData>
      <sheetData sheetId="2145">
        <row r="65">
          <cell r="A65" t="str">
            <v>(II)</v>
          </cell>
        </row>
      </sheetData>
      <sheetData sheetId="2146">
        <row r="65">
          <cell r="A65" t="str">
            <v>(II)</v>
          </cell>
        </row>
      </sheetData>
      <sheetData sheetId="2147">
        <row r="65">
          <cell r="A65" t="str">
            <v>(II)</v>
          </cell>
        </row>
      </sheetData>
      <sheetData sheetId="2148">
        <row r="65">
          <cell r="A65" t="str">
            <v>(II)</v>
          </cell>
        </row>
      </sheetData>
      <sheetData sheetId="2149">
        <row r="65">
          <cell r="A65" t="str">
            <v>(II)</v>
          </cell>
        </row>
      </sheetData>
      <sheetData sheetId="2150">
        <row r="65">
          <cell r="A65" t="str">
            <v>(II)</v>
          </cell>
        </row>
      </sheetData>
      <sheetData sheetId="2151">
        <row r="65">
          <cell r="A65" t="str">
            <v>(II)</v>
          </cell>
        </row>
      </sheetData>
      <sheetData sheetId="2152">
        <row r="65">
          <cell r="A65" t="str">
            <v>(II)</v>
          </cell>
        </row>
      </sheetData>
      <sheetData sheetId="2153">
        <row r="65">
          <cell r="A65" t="str">
            <v>(II)</v>
          </cell>
        </row>
      </sheetData>
      <sheetData sheetId="2154"/>
      <sheetData sheetId="2155">
        <row r="65">
          <cell r="A65" t="str">
            <v>(II)</v>
          </cell>
        </row>
      </sheetData>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row r="65">
          <cell r="A65" t="str">
            <v>(II)</v>
          </cell>
        </row>
      </sheetData>
      <sheetData sheetId="2180">
        <row r="65">
          <cell r="A65" t="str">
            <v>(II)</v>
          </cell>
        </row>
      </sheetData>
      <sheetData sheetId="2181">
        <row r="65">
          <cell r="A65" t="str">
            <v>(II)</v>
          </cell>
        </row>
      </sheetData>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row r="65">
          <cell r="A65" t="str">
            <v>(II)</v>
          </cell>
        </row>
      </sheetData>
      <sheetData sheetId="2241">
        <row r="65">
          <cell r="A65" t="str">
            <v>(II)</v>
          </cell>
        </row>
      </sheetData>
      <sheetData sheetId="2242">
        <row r="65">
          <cell r="A65" t="str">
            <v>(II)</v>
          </cell>
        </row>
      </sheetData>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sheetData sheetId="2397"/>
      <sheetData sheetId="2398">
        <row r="65">
          <cell r="A65" t="str">
            <v>(II)</v>
          </cell>
        </row>
      </sheetData>
      <sheetData sheetId="2399">
        <row r="65">
          <cell r="A65" t="str">
            <v>(II)</v>
          </cell>
        </row>
      </sheetData>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row r="65">
          <cell r="A65" t="str">
            <v>(II)</v>
          </cell>
        </row>
      </sheetData>
      <sheetData sheetId="2414">
        <row r="65">
          <cell r="A65" t="str">
            <v>(II)</v>
          </cell>
        </row>
      </sheetData>
      <sheetData sheetId="2415">
        <row r="65">
          <cell r="A65" t="str">
            <v>(II)</v>
          </cell>
        </row>
      </sheetData>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row r="65">
          <cell r="A65" t="str">
            <v>(II)</v>
          </cell>
        </row>
      </sheetData>
      <sheetData sheetId="2497">
        <row r="65">
          <cell r="A65" t="str">
            <v>(II)</v>
          </cell>
        </row>
      </sheetData>
      <sheetData sheetId="2498">
        <row r="65">
          <cell r="A65" t="str">
            <v>(II)</v>
          </cell>
        </row>
      </sheetData>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row r="65">
          <cell r="A65" t="str">
            <v>(II)</v>
          </cell>
        </row>
      </sheetData>
      <sheetData sheetId="2513">
        <row r="65">
          <cell r="A65" t="str">
            <v>(II)</v>
          </cell>
        </row>
      </sheetData>
      <sheetData sheetId="2514">
        <row r="65">
          <cell r="A65" t="str">
            <v>(II)</v>
          </cell>
        </row>
      </sheetData>
      <sheetData sheetId="2515">
        <row r="65">
          <cell r="A65" t="str">
            <v>(II)</v>
          </cell>
        </row>
      </sheetData>
      <sheetData sheetId="2516">
        <row r="65">
          <cell r="A65" t="str">
            <v>(II)</v>
          </cell>
        </row>
      </sheetData>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row r="65">
          <cell r="A65" t="str">
            <v>(II)</v>
          </cell>
        </row>
      </sheetData>
      <sheetData sheetId="2530">
        <row r="65">
          <cell r="A65" t="str">
            <v>(II)</v>
          </cell>
        </row>
      </sheetData>
      <sheetData sheetId="2531">
        <row r="65">
          <cell r="A65" t="str">
            <v>(II)</v>
          </cell>
        </row>
      </sheetData>
      <sheetData sheetId="2532">
        <row r="65">
          <cell r="A65" t="str">
            <v>(II)</v>
          </cell>
        </row>
      </sheetData>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row r="65">
          <cell r="A65" t="str">
            <v>(II)</v>
          </cell>
        </row>
      </sheetData>
      <sheetData sheetId="2621">
        <row r="65">
          <cell r="A65" t="str">
            <v>(II)</v>
          </cell>
        </row>
      </sheetData>
      <sheetData sheetId="2622">
        <row r="65">
          <cell r="A65" t="str">
            <v>(II)</v>
          </cell>
        </row>
      </sheetData>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row r="65">
          <cell r="A65" t="str">
            <v>(II)</v>
          </cell>
        </row>
      </sheetData>
      <sheetData sheetId="2637">
        <row r="65">
          <cell r="A65" t="str">
            <v>(II)</v>
          </cell>
        </row>
      </sheetData>
      <sheetData sheetId="2638">
        <row r="65">
          <cell r="A65" t="str">
            <v>(II)</v>
          </cell>
        </row>
      </sheetData>
      <sheetData sheetId="2639">
        <row r="65">
          <cell r="A65" t="str">
            <v>(II)</v>
          </cell>
        </row>
      </sheetData>
      <sheetData sheetId="2640">
        <row r="65">
          <cell r="A65" t="str">
            <v>(II)</v>
          </cell>
        </row>
      </sheetData>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row r="65">
          <cell r="A65" t="str">
            <v>(II)</v>
          </cell>
        </row>
      </sheetData>
      <sheetData sheetId="2654">
        <row r="65">
          <cell r="A65" t="str">
            <v>(II)</v>
          </cell>
        </row>
      </sheetData>
      <sheetData sheetId="2655">
        <row r="65">
          <cell r="A65" t="str">
            <v>(II)</v>
          </cell>
        </row>
      </sheetData>
      <sheetData sheetId="2656">
        <row r="65">
          <cell r="A65" t="str">
            <v>(II)</v>
          </cell>
        </row>
      </sheetData>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row r="65">
          <cell r="A65" t="str">
            <v>(II)</v>
          </cell>
        </row>
      </sheetData>
      <sheetData sheetId="2745">
        <row r="65">
          <cell r="A65" t="str">
            <v>(II)</v>
          </cell>
        </row>
      </sheetData>
      <sheetData sheetId="2746">
        <row r="65">
          <cell r="A65" t="str">
            <v>(II)</v>
          </cell>
        </row>
      </sheetData>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row r="65">
          <cell r="A65" t="str">
            <v>(II)</v>
          </cell>
        </row>
      </sheetData>
      <sheetData sheetId="2761">
        <row r="65">
          <cell r="A65" t="str">
            <v>(II)</v>
          </cell>
        </row>
      </sheetData>
      <sheetData sheetId="2762">
        <row r="65">
          <cell r="A65" t="str">
            <v>(II)</v>
          </cell>
        </row>
      </sheetData>
      <sheetData sheetId="2763">
        <row r="65">
          <cell r="A65" t="str">
            <v>(II)</v>
          </cell>
        </row>
      </sheetData>
      <sheetData sheetId="2764">
        <row r="65">
          <cell r="A65" t="str">
            <v>(II)</v>
          </cell>
        </row>
      </sheetData>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row r="65">
          <cell r="A65" t="str">
            <v>(II)</v>
          </cell>
        </row>
      </sheetData>
      <sheetData sheetId="2778">
        <row r="65">
          <cell r="A65" t="str">
            <v>(II)</v>
          </cell>
        </row>
      </sheetData>
      <sheetData sheetId="2779">
        <row r="65">
          <cell r="A65" t="str">
            <v>(II)</v>
          </cell>
        </row>
      </sheetData>
      <sheetData sheetId="2780">
        <row r="65">
          <cell r="A65" t="str">
            <v>(II)</v>
          </cell>
        </row>
      </sheetData>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row r="65">
          <cell r="A65" t="str">
            <v>(II)</v>
          </cell>
        </row>
      </sheetData>
      <sheetData sheetId="2887">
        <row r="65">
          <cell r="A65" t="str">
            <v>(II)</v>
          </cell>
        </row>
      </sheetData>
      <sheetData sheetId="2888">
        <row r="65">
          <cell r="A65" t="str">
            <v>(II)</v>
          </cell>
        </row>
      </sheetData>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row r="65">
          <cell r="A65" t="str">
            <v>(II)</v>
          </cell>
        </row>
      </sheetData>
      <sheetData sheetId="2902">
        <row r="65">
          <cell r="A65" t="str">
            <v>(II)</v>
          </cell>
        </row>
      </sheetData>
      <sheetData sheetId="2903">
        <row r="65">
          <cell r="A65" t="str">
            <v>(II)</v>
          </cell>
        </row>
      </sheetData>
      <sheetData sheetId="2904">
        <row r="65">
          <cell r="A65" t="str">
            <v>(II)</v>
          </cell>
        </row>
      </sheetData>
      <sheetData sheetId="2905"/>
      <sheetData sheetId="2906">
        <row r="65">
          <cell r="A65" t="str">
            <v>(II)</v>
          </cell>
        </row>
      </sheetData>
      <sheetData sheetId="2907">
        <row r="65">
          <cell r="A65" t="str">
            <v>(II)</v>
          </cell>
        </row>
      </sheetData>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row r="65">
          <cell r="A65" t="str">
            <v>(II)</v>
          </cell>
        </row>
      </sheetData>
      <sheetData sheetId="2923">
        <row r="65">
          <cell r="A65" t="str">
            <v>(II)</v>
          </cell>
        </row>
      </sheetData>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row r="65">
          <cell r="A65" t="str">
            <v>(II)</v>
          </cell>
        </row>
      </sheetData>
      <sheetData sheetId="3011">
        <row r="65">
          <cell r="A65" t="str">
            <v>(II)</v>
          </cell>
        </row>
      </sheetData>
      <sheetData sheetId="3012">
        <row r="65">
          <cell r="A65" t="str">
            <v>(II)</v>
          </cell>
        </row>
      </sheetData>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row r="65">
          <cell r="A65" t="str">
            <v>(II)</v>
          </cell>
        </row>
      </sheetData>
      <sheetData sheetId="3026">
        <row r="65">
          <cell r="A65" t="str">
            <v>(II)</v>
          </cell>
        </row>
      </sheetData>
      <sheetData sheetId="3027">
        <row r="65">
          <cell r="A65" t="str">
            <v>(II)</v>
          </cell>
        </row>
      </sheetData>
      <sheetData sheetId="3028">
        <row r="65">
          <cell r="A65" t="str">
            <v>(II)</v>
          </cell>
        </row>
      </sheetData>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row r="65">
          <cell r="A65" t="str">
            <v>(II)</v>
          </cell>
        </row>
      </sheetData>
      <sheetData sheetId="3135">
        <row r="65">
          <cell r="A65" t="str">
            <v>(II)</v>
          </cell>
        </row>
      </sheetData>
      <sheetData sheetId="3136">
        <row r="65">
          <cell r="A65" t="str">
            <v>(II)</v>
          </cell>
        </row>
      </sheetData>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row r="65">
          <cell r="A65" t="str">
            <v>(II)</v>
          </cell>
        </row>
      </sheetData>
      <sheetData sheetId="3150">
        <row r="65">
          <cell r="A65" t="str">
            <v>(II)</v>
          </cell>
        </row>
      </sheetData>
      <sheetData sheetId="3151">
        <row r="65">
          <cell r="A65" t="str">
            <v>(II)</v>
          </cell>
        </row>
      </sheetData>
      <sheetData sheetId="3152">
        <row r="65">
          <cell r="A65" t="str">
            <v>(II)</v>
          </cell>
        </row>
      </sheetData>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refreshError="1"/>
      <sheetData sheetId="3231" refreshError="1"/>
      <sheetData sheetId="3232" refreshError="1"/>
      <sheetData sheetId="3233" refreshError="1"/>
      <sheetData sheetId="3234" refreshError="1"/>
      <sheetData sheetId="3235" refreshError="1"/>
      <sheetData sheetId="3236" refreshError="1"/>
      <sheetData sheetId="3237">
        <row r="65">
          <cell r="A65" t="str">
            <v>(II)</v>
          </cell>
        </row>
      </sheetData>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 Depreciation "/>
      <sheetName val="Introduction"/>
      <sheetName val="Report"/>
      <sheetName val="operating statistics (EXTN..)"/>
      <sheetName val="Half yearly"/>
      <sheetName val="Operating Statistics"/>
      <sheetName val="EVA summary"/>
      <sheetName val="EVA2"/>
      <sheetName val="Financials"/>
      <sheetName val="Cahsflow"/>
      <sheetName val="Capex &amp; Depreciation "/>
      <sheetName val="Debt (2)"/>
      <sheetName val="Rights Factor"/>
      <sheetName val="Capital History"/>
      <sheetName val="market price"/>
      <sheetName val="One Pager"/>
      <sheetName val="First Page"/>
      <sheetName val="Fin"/>
      <sheetName val="Opstats"/>
      <sheetName val="CF"/>
      <sheetName val="DCF"/>
      <sheetName val="Quarterely"/>
      <sheetName val="Tables"/>
      <sheetName val="Dupont"/>
      <sheetName val="OI"/>
      <sheetName val="Interest"/>
      <sheetName val="Depreciation"/>
      <sheetName val="Tax"/>
      <sheetName val="Fin'l data"/>
      <sheetName val="Queries"/>
      <sheetName val="People"/>
      <sheetName val="M&amp;A"/>
      <sheetName val="F Page"/>
      <sheetName val="Soaps"/>
      <sheetName val="Det"/>
      <sheetName val="PP"/>
      <sheetName val="Teacof"/>
      <sheetName val="caphis"/>
      <sheetName val="Data"/>
      <sheetName val="Contr."/>
      <sheetName val="BBSales"/>
      <sheetName val="Ponsale"/>
      <sheetName val="sales"/>
      <sheetName val="Gross margin"/>
      <sheetName val="Prest."/>
      <sheetName val="summdata"/>
      <sheetName val="PROJECTH"/>
      <sheetName val="BS"/>
      <sheetName val="%growth"/>
      <sheetName val="%growth2"/>
      <sheetName val="mktshr"/>
      <sheetName val="Sheet4"/>
      <sheetName val="HY"/>
      <sheetName val="Tables 99"/>
      <sheetName val="Tables98"/>
      <sheetName val="Cost of cap."/>
      <sheetName val="Value dr."/>
      <sheetName val="HLL-Fin"/>
      <sheetName val="HLL-Fr. Cash"/>
      <sheetName val="BBFRC"/>
      <sheetName val="BBFD"/>
      <sheetName val="BBKV"/>
      <sheetName val="BBP&amp;L"/>
      <sheetName val="BBBS"/>
      <sheetName val="BBFF"/>
      <sheetName val="BBRM"/>
      <sheetName val="old DC"/>
      <sheetName val="Sheet3 (2)"/>
      <sheetName val="PetroChina"/>
      <sheetName val="International"/>
      <sheetName val="Page 10"/>
      <sheetName val="Figures"/>
      <sheetName val="projections"/>
      <sheetName val="consumption"/>
      <sheetName val="excise"/>
      <sheetName val="demo"/>
      <sheetName val="global"/>
      <sheetName val="rural"/>
      <sheetName val="q-details"/>
      <sheetName val="General"/>
      <sheetName val="Graphs"/>
      <sheetName val="Fr. Cash"/>
      <sheetName val="key ass"/>
      <sheetName val="Q-pres"/>
      <sheetName val="Q-dbase"/>
      <sheetName val="DCF-GS"/>
      <sheetName val="PGHH"/>
      <sheetName val="Unilever -qtrly"/>
      <sheetName val="Unilever"/>
      <sheetName val="Assumptions"/>
      <sheetName val="Calcs"/>
      <sheetName val="Cap"/>
      <sheetName val="Crude"/>
      <sheetName val="DRI"/>
      <sheetName val="Balances"/>
      <sheetName val="Metallics"/>
      <sheetName val="iron ore imports"/>
      <sheetName val="Iron ore"/>
      <sheetName val="template"/>
      <sheetName val="P&amp;L"/>
    </sheetNames>
    <sheetDataSet>
      <sheetData sheetId="0" refreshError="1"/>
      <sheetData sheetId="1" refreshError="1">
        <row r="7">
          <cell r="E7" t="str">
            <v>Merged entity (HLL)</v>
          </cell>
        </row>
        <row r="14">
          <cell r="E14" t="str">
            <v>Rs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face"/>
      <sheetName val="Global format"/>
      <sheetName val="summary"/>
      <sheetName val="product mix"/>
      <sheetName val="qtr"/>
      <sheetName val="raw material co"/>
      <sheetName val="Other income"/>
      <sheetName val="Income"/>
      <sheetName val="balance sheet"/>
      <sheetName val="Working capital"/>
      <sheetName val="cashflow statem"/>
      <sheetName val="CDSS"/>
      <sheetName val="CASL"/>
      <sheetName val="Consol"/>
      <sheetName val="DCF"/>
      <sheetName val="parent"/>
      <sheetName val="Sheet10"/>
    </sheetNames>
    <sheetDataSet>
      <sheetData sheetId="0" refreshError="1">
        <row r="2">
          <cell r="B2" t="str">
            <v>Interface Revision</v>
          </cell>
        </row>
        <row r="29">
          <cell r="B29" t="str">
            <v>+"As at "&amp;@&lt;&lt;XL&gt;&gt;TEXT($C$26,"MMM YY");As at Jan 00; ERR</v>
          </cell>
          <cell r="E29">
            <v>1990</v>
          </cell>
          <cell r="F29">
            <v>1991</v>
          </cell>
          <cell r="G29">
            <v>1992</v>
          </cell>
          <cell r="H29">
            <v>1993</v>
          </cell>
          <cell r="I29">
            <v>1994</v>
          </cell>
          <cell r="J29" t="str">
            <v>1995</v>
          </cell>
          <cell r="K29" t="str">
            <v>1996</v>
          </cell>
          <cell r="L29" t="str">
            <v>1997</v>
          </cell>
          <cell r="M29" t="str">
            <v>1998</v>
          </cell>
          <cell r="N29" t="str">
            <v>1999</v>
          </cell>
          <cell r="O29" t="str">
            <v>2000</v>
          </cell>
        </row>
        <row r="30">
          <cell r="D30" t="str">
            <v>Units</v>
          </cell>
          <cell r="E30" t="str">
            <v>A</v>
          </cell>
          <cell r="F30" t="str">
            <v>A</v>
          </cell>
          <cell r="G30" t="str">
            <v>A</v>
          </cell>
          <cell r="H30" t="str">
            <v>A</v>
          </cell>
          <cell r="I30" t="str">
            <v>A</v>
          </cell>
          <cell r="J30" t="str">
            <v>F</v>
          </cell>
          <cell r="K30" t="str">
            <v>F</v>
          </cell>
          <cell r="L30" t="str">
            <v>F</v>
          </cell>
          <cell r="M30" t="str">
            <v>F</v>
          </cell>
          <cell r="N30" t="str">
            <v>F</v>
          </cell>
          <cell r="O30" t="str">
            <v>F</v>
          </cell>
        </row>
        <row r="31">
          <cell r="B31" t="str">
            <v>Capitalisation</v>
          </cell>
          <cell r="C31" t="str">
            <v>Number of ords</v>
          </cell>
        </row>
        <row r="32">
          <cell r="C32" t="str">
            <v>Number of prefs</v>
          </cell>
        </row>
        <row r="33">
          <cell r="C33" t="str">
            <v>Share price (ords)</v>
          </cell>
        </row>
        <row r="34">
          <cell r="C34" t="str">
            <v>Share price (prefs)</v>
          </cell>
        </row>
        <row r="35">
          <cell r="B35" t="str">
            <v>Physical data</v>
          </cell>
          <cell r="C35" t="str">
            <v>A</v>
          </cell>
        </row>
        <row r="36">
          <cell r="C36" t="str">
            <v>B</v>
          </cell>
        </row>
        <row r="37">
          <cell r="B37" t="str">
            <v>Profit and loss</v>
          </cell>
          <cell r="C37" t="str">
            <v>Revenue</v>
          </cell>
        </row>
        <row r="38">
          <cell r="C38" t="str">
            <v>Gross profit</v>
          </cell>
        </row>
        <row r="39">
          <cell r="C39" t="str">
            <v>Depreciation &amp; amortisation</v>
          </cell>
        </row>
        <row r="40">
          <cell r="C40" t="str">
            <v>Operating profit</v>
          </cell>
        </row>
        <row r="41">
          <cell r="C41" t="str">
            <v>Associate Income</v>
          </cell>
        </row>
        <row r="42">
          <cell r="C42" t="str">
            <v>Net financial charges</v>
          </cell>
        </row>
        <row r="43">
          <cell r="C43" t="str">
            <v>Other Income</v>
          </cell>
        </row>
        <row r="44">
          <cell r="C44" t="str">
            <v>Exceptional Items</v>
          </cell>
        </row>
        <row r="45">
          <cell r="C45" t="str">
            <v>Recurring Pre-Tax profit</v>
          </cell>
        </row>
        <row r="46">
          <cell r="C46" t="str">
            <v>Recurring Tax charge</v>
          </cell>
        </row>
        <row r="47">
          <cell r="C47" t="str">
            <v>Recurring Net profit</v>
          </cell>
        </row>
        <row r="48">
          <cell r="C48" t="str">
            <v>Minorities Interest PL</v>
          </cell>
        </row>
        <row r="49">
          <cell r="C49" t="str">
            <v>Recurring Attributable profit</v>
          </cell>
        </row>
        <row r="50">
          <cell r="B50" t="str">
            <v>Balance sheet</v>
          </cell>
          <cell r="C50" t="str">
            <v>Shareholders funds</v>
          </cell>
        </row>
        <row r="51">
          <cell r="C51" t="str">
            <v>Minorities Interest BS</v>
          </cell>
        </row>
        <row r="52">
          <cell r="C52" t="str">
            <v>Long term debt</v>
          </cell>
        </row>
        <row r="53">
          <cell r="C53" t="str">
            <v>Short term debt</v>
          </cell>
        </row>
        <row r="54">
          <cell r="C54" t="str">
            <v>Cash &amp; ST Investments</v>
          </cell>
        </row>
        <row r="55">
          <cell r="C55" t="str">
            <v>Fixed assets</v>
          </cell>
        </row>
        <row r="56">
          <cell r="C56" t="str">
            <v>Associates</v>
          </cell>
        </row>
        <row r="57">
          <cell r="C57" t="str">
            <v>Current assets (exc cash)</v>
          </cell>
        </row>
        <row r="58">
          <cell r="C58" t="str">
            <v>Other Assets</v>
          </cell>
        </row>
        <row r="59">
          <cell r="C59" t="str">
            <v>Current Liabilities (exc cash)</v>
          </cell>
        </row>
        <row r="60">
          <cell r="C60" t="str">
            <v>Other Liabilities</v>
          </cell>
        </row>
        <row r="61">
          <cell r="C61" t="str">
            <v>Provisions</v>
          </cell>
        </row>
        <row r="62">
          <cell r="B62" t="str">
            <v xml:space="preserve">Cashflow </v>
          </cell>
          <cell r="C62" t="str">
            <v>Cashflow from Operations</v>
          </cell>
        </row>
        <row r="63">
          <cell r="C63" t="str">
            <v>Cashflow from investing &amp; servicing of finance</v>
          </cell>
        </row>
        <row r="64">
          <cell r="C64" t="str">
            <v>Cashflow from taxation</v>
          </cell>
        </row>
        <row r="65">
          <cell r="C65" t="str">
            <v>Cashflow from investing activities</v>
          </cell>
        </row>
        <row r="66">
          <cell r="C66" t="str">
            <v>Cashflow from financing</v>
          </cell>
        </row>
        <row r="67">
          <cell r="C67" t="str">
            <v>Cashflow from other</v>
          </cell>
        </row>
        <row r="68">
          <cell r="B68" t="str">
            <v>Per Share Data</v>
          </cell>
          <cell r="C68" t="str">
            <v>Peak EPS</v>
          </cell>
        </row>
        <row r="69">
          <cell r="C69" t="str">
            <v>Basic recurring EPS</v>
          </cell>
        </row>
        <row r="70">
          <cell r="C70" t="str">
            <v>Fully diluted recurring EPS</v>
          </cell>
        </row>
        <row r="71">
          <cell r="C71" t="str">
            <v>Dividend per share</v>
          </cell>
        </row>
        <row r="72">
          <cell r="C72" t="str">
            <v>NAV per Share (at market)</v>
          </cell>
        </row>
        <row r="73">
          <cell r="C73" t="str">
            <v>Book net asset Value per share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Internet"/>
      <sheetName val="misslink"/>
      <sheetName val="PageTwo"/>
      <sheetName val="Page One"/>
      <sheetName val="main"/>
      <sheetName val="PRICES"/>
      <sheetName val="ll"/>
      <sheetName val="BS"/>
      <sheetName val="COsting"/>
      <sheetName val="ASK RJ template"/>
      <sheetName val="ASKRJ template"/>
      <sheetName val="Income Statement_VDF"/>
      <sheetName val="Summary Page_VDF"/>
      <sheetName val="Invested capital_VDF"/>
      <sheetName val="NOPAT_VDF"/>
      <sheetName val="WACC_VDF"/>
      <sheetName val="DCF_VDF"/>
      <sheetName val="PV of Op Leases_VDF"/>
      <sheetName val="Forecasts_VDF (2)"/>
      <sheetName val="model"/>
      <sheetName val="volumes"/>
      <sheetName val="pl"/>
      <sheetName val="prod"/>
      <sheetName val="Dummy"/>
      <sheetName val="#REF"/>
      <sheetName val="Text"/>
      <sheetName val="Earnings model"/>
      <sheetName val="debt"/>
      <sheetName val="eval"/>
      <sheetName val="Projections"/>
      <sheetName val="Other"/>
      <sheetName val="R&amp;M"/>
      <sheetName val="chems"/>
      <sheetName val="SNAM"/>
      <sheetName val="groupE&amp;P"/>
      <sheetName val="RoW"/>
      <sheetName val="North Sea"/>
      <sheetName val="West Africa"/>
      <sheetName val="Italy"/>
      <sheetName val="North Africa"/>
      <sheetName val="Oilservice"/>
      <sheetName val="assms"/>
      <sheetName val="Accounting"/>
      <sheetName val="Margins"/>
      <sheetName val="India"/>
      <sheetName val="Template"/>
      <sheetName val="P&amp;L(F)"/>
      <sheetName val="Backpage"/>
      <sheetName val="UploaderV4"/>
      <sheetName val="Inqupdate"/>
      <sheetName val="JLR"/>
      <sheetName val="Standalone Fin"/>
      <sheetName val="Stand alone Main"/>
      <sheetName val="Screener5"/>
      <sheetName val="q"/>
      <sheetName val="Interface"/>
      <sheetName val="NIRAJ"/>
      <sheetName val="Standalone"/>
      <sheetName val="Revenue Model"/>
      <sheetName val="QTR- OLD"/>
      <sheetName val="New Output"/>
      <sheetName val="Output"/>
      <sheetName val="Qtr."/>
      <sheetName val="Fin"/>
      <sheetName val="Review"/>
      <sheetName val="Qtr Segment"/>
      <sheetName val="To Word New 1"/>
      <sheetName val="Bk up Bal Sh"/>
      <sheetName val="Bk up P&amp;L"/>
      <sheetName val="Charts"/>
      <sheetName val="Valuation"/>
      <sheetName val="Print sheet"/>
      <sheetName val="Kirloskar"/>
      <sheetName val="profit"/>
      <sheetName val="GPS"/>
      <sheetName val="Checklist"/>
      <sheetName val="Checklist_Support"/>
      <sheetName val="Annual Summary"/>
      <sheetName val="Quarterly summary"/>
      <sheetName val="Quaterly"/>
      <sheetName val="Metrics"/>
      <sheetName val="CF"/>
      <sheetName val="Skills and career break-up"/>
      <sheetName val="BS_ACE"/>
      <sheetName val="Ratios"/>
      <sheetName val="BS Half Yearly"/>
      <sheetName val="PL_ACE"/>
      <sheetName val="S_PL"/>
      <sheetName val="S_BS"/>
      <sheetName val="S_CF"/>
      <sheetName val="CF_ACE"/>
      <sheetName val="Qtr_Consol"/>
      <sheetName val="Qtr_Stand"/>
      <sheetName val="PL Ace Stand"/>
      <sheetName val="BS Ace Stand"/>
      <sheetName val="CF Ace Stand"/>
      <sheetName val="Other business"/>
      <sheetName val="CLS"/>
      <sheetName val="Financials"/>
      <sheetName val="Profile"/>
      <sheetName val="Input"/>
      <sheetName val="CapEx"/>
      <sheetName val="Page_One"/>
      <sheetName val="ASK_RJ_template"/>
      <sheetName val="ASKRJ_template"/>
      <sheetName val="Income_Statement_VDF"/>
      <sheetName val="Summary_Page_VDF"/>
      <sheetName val="Invested_capital_VDF"/>
      <sheetName val="PV_of_Op_Leases_VDF"/>
      <sheetName val="Forecasts_VDF_(2)"/>
      <sheetName val="Earnings_model"/>
      <sheetName val="North_Sea"/>
      <sheetName val="West_Africa"/>
      <sheetName val="North_Africa"/>
      <sheetName val="Standalone_Fin"/>
      <sheetName val="Stand_alone_Main"/>
      <sheetName val="Revenue_Model"/>
      <sheetName val="QTR-_OLD"/>
      <sheetName val="New_Output"/>
      <sheetName val="Qtr_"/>
      <sheetName val="Qtr_Segment"/>
      <sheetName val="To_Word_New_1"/>
      <sheetName val="Bk_up_Bal_Sh"/>
      <sheetName val="Bk_up_P&amp;L"/>
      <sheetName val="Print_sheet"/>
      <sheetName val="Qtrly_Template"/>
      <sheetName val="chem"/>
      <sheetName val="QQ"/>
      <sheetName val="Gas cost old data"/>
      <sheetName val="AOOual"/>
      <sheetName val="finsumm"/>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Mp1"/>
      <sheetName val="MMp2"/>
      <sheetName val="MMp3"/>
      <sheetName val="MMp4"/>
      <sheetName val="Price"/>
      <sheetName val="RDB"/>
      <sheetName val="other stuff"/>
      <sheetName val="stresstest"/>
      <sheetName val="other_stuff"/>
      <sheetName val="HKMod2"/>
      <sheetName val="Data"/>
      <sheetName val="databox"/>
    </sheetNames>
    <sheetDataSet>
      <sheetData sheetId="0" refreshError="1"/>
      <sheetData sheetId="1" refreshError="1"/>
      <sheetData sheetId="2" refreshError="1"/>
      <sheetData sheetId="3" refreshError="1"/>
      <sheetData sheetId="4" refreshError="1"/>
      <sheetData sheetId="5" refreshError="1"/>
      <sheetData sheetId="6" refreshError="1">
        <row r="1">
          <cell r="E1" t="str">
            <v>FY1993</v>
          </cell>
          <cell r="F1" t="str">
            <v>FY1994</v>
          </cell>
          <cell r="G1" t="str">
            <v>FY1995</v>
          </cell>
          <cell r="H1" t="str">
            <v>FY1996</v>
          </cell>
          <cell r="I1" t="str">
            <v>FY1997</v>
          </cell>
          <cell r="J1" t="str">
            <v>FY1998</v>
          </cell>
          <cell r="K1" t="str">
            <v>FY1999</v>
          </cell>
          <cell r="L1" t="str">
            <v>FY2000</v>
          </cell>
          <cell r="M1" t="str">
            <v>FY2001</v>
          </cell>
          <cell r="N1" t="str">
            <v>FY2002</v>
          </cell>
          <cell r="O1" t="str">
            <v>FY2003</v>
          </cell>
          <cell r="P1" t="str">
            <v>FY2004</v>
          </cell>
          <cell r="Q1" t="str">
            <v>FY2005</v>
          </cell>
        </row>
        <row r="2">
          <cell r="D2" t="str">
            <v>icd</v>
          </cell>
          <cell r="H2">
            <v>35430</v>
          </cell>
          <cell r="I2">
            <v>35795</v>
          </cell>
          <cell r="J2">
            <v>36160</v>
          </cell>
          <cell r="K2">
            <v>36525</v>
          </cell>
          <cell r="L2">
            <v>36891</v>
          </cell>
          <cell r="M2">
            <v>37256</v>
          </cell>
          <cell r="N2">
            <v>37621</v>
          </cell>
          <cell r="O2">
            <v>37986</v>
          </cell>
          <cell r="P2">
            <v>38352</v>
          </cell>
          <cell r="Q2">
            <v>38717</v>
          </cell>
        </row>
        <row r="3">
          <cell r="D3" t="str">
            <v>bae</v>
          </cell>
          <cell r="H3">
            <v>0</v>
          </cell>
          <cell r="I3">
            <v>0</v>
          </cell>
          <cell r="J3">
            <v>0</v>
          </cell>
          <cell r="K3">
            <v>0</v>
          </cell>
          <cell r="L3">
            <v>0</v>
          </cell>
          <cell r="M3">
            <v>0</v>
          </cell>
          <cell r="N3">
            <v>0</v>
          </cell>
          <cell r="O3">
            <v>0</v>
          </cell>
          <cell r="P3">
            <v>0</v>
          </cell>
          <cell r="Q3">
            <v>0</v>
          </cell>
        </row>
        <row r="4">
          <cell r="D4" t="str">
            <v>bao</v>
          </cell>
          <cell r="H4">
            <v>0</v>
          </cell>
          <cell r="I4">
            <v>0</v>
          </cell>
          <cell r="J4">
            <v>0</v>
          </cell>
          <cell r="K4">
            <v>0</v>
          </cell>
          <cell r="L4">
            <v>0</v>
          </cell>
          <cell r="M4">
            <v>0</v>
          </cell>
          <cell r="N4">
            <v>0</v>
          </cell>
          <cell r="O4">
            <v>0</v>
          </cell>
          <cell r="P4">
            <v>0</v>
          </cell>
          <cell r="Q4">
            <v>0</v>
          </cell>
        </row>
        <row r="5">
          <cell r="D5" t="str">
            <v>bap</v>
          </cell>
          <cell r="H5">
            <v>53795744</v>
          </cell>
          <cell r="I5">
            <v>40698824</v>
          </cell>
          <cell r="J5">
            <v>94436464</v>
          </cell>
          <cell r="K5">
            <v>131190392</v>
          </cell>
          <cell r="L5">
            <v>164113840</v>
          </cell>
          <cell r="M5">
            <v>189861408</v>
          </cell>
          <cell r="N5">
            <v>220762112</v>
          </cell>
          <cell r="O5">
            <v>266012064</v>
          </cell>
          <cell r="P5">
            <v>320214336</v>
          </cell>
          <cell r="Q5">
            <v>385928800</v>
          </cell>
        </row>
        <row r="6">
          <cell r="D6" t="str">
            <v>bat</v>
          </cell>
          <cell r="H6">
            <v>306262112</v>
          </cell>
          <cell r="I6">
            <v>428096576</v>
          </cell>
          <cell r="J6">
            <v>537299648</v>
          </cell>
          <cell r="K6">
            <v>750052032</v>
          </cell>
          <cell r="L6">
            <v>974292672</v>
          </cell>
          <cell r="M6">
            <v>1192921984</v>
          </cell>
          <cell r="N6">
            <v>1728591744</v>
          </cell>
          <cell r="O6">
            <v>2071773824</v>
          </cell>
          <cell r="P6">
            <v>2429164288</v>
          </cell>
          <cell r="Q6">
            <v>2840185344</v>
          </cell>
        </row>
        <row r="7">
          <cell r="D7" t="str">
            <v>bay</v>
          </cell>
          <cell r="H7">
            <v>0</v>
          </cell>
          <cell r="I7">
            <v>0</v>
          </cell>
          <cell r="J7">
            <v>0</v>
          </cell>
          <cell r="K7">
            <v>0</v>
          </cell>
          <cell r="L7">
            <v>0</v>
          </cell>
          <cell r="M7">
            <v>0</v>
          </cell>
          <cell r="N7">
            <v>0</v>
          </cell>
          <cell r="O7">
            <v>0</v>
          </cell>
          <cell r="P7">
            <v>0</v>
          </cell>
          <cell r="Q7">
            <v>0</v>
          </cell>
        </row>
        <row r="8">
          <cell r="D8" t="str">
            <v>bcb</v>
          </cell>
          <cell r="H8">
            <v>0</v>
          </cell>
          <cell r="I8">
            <v>0</v>
          </cell>
          <cell r="J8">
            <v>0</v>
          </cell>
          <cell r="K8">
            <v>0</v>
          </cell>
          <cell r="L8">
            <v>0</v>
          </cell>
          <cell r="M8">
            <v>0</v>
          </cell>
          <cell r="N8">
            <v>0</v>
          </cell>
          <cell r="O8">
            <v>0</v>
          </cell>
          <cell r="P8">
            <v>0</v>
          </cell>
          <cell r="Q8">
            <v>0</v>
          </cell>
        </row>
        <row r="9">
          <cell r="D9" t="str">
            <v>bce</v>
          </cell>
          <cell r="H9">
            <v>54924348</v>
          </cell>
          <cell r="I9">
            <v>50094848</v>
          </cell>
          <cell r="J9">
            <v>246852496</v>
          </cell>
          <cell r="K9">
            <v>550000000</v>
          </cell>
          <cell r="L9">
            <v>453159968</v>
          </cell>
          <cell r="M9">
            <v>616497984</v>
          </cell>
          <cell r="N9">
            <v>890733120</v>
          </cell>
          <cell r="O9">
            <v>1067572864</v>
          </cell>
          <cell r="P9">
            <v>1251734016</v>
          </cell>
          <cell r="Q9">
            <v>1463530752</v>
          </cell>
        </row>
        <row r="10">
          <cell r="D10" t="str">
            <v>bcm</v>
          </cell>
          <cell r="H10">
            <v>0</v>
          </cell>
          <cell r="I10">
            <v>0</v>
          </cell>
          <cell r="J10">
            <v>0</v>
          </cell>
          <cell r="K10">
            <v>0</v>
          </cell>
          <cell r="L10">
            <v>0</v>
          </cell>
          <cell r="M10">
            <v>0</v>
          </cell>
          <cell r="N10">
            <v>0</v>
          </cell>
          <cell r="O10">
            <v>0</v>
          </cell>
          <cell r="P10">
            <v>0</v>
          </cell>
          <cell r="Q10">
            <v>0</v>
          </cell>
        </row>
        <row r="11">
          <cell r="D11" t="str">
            <v>bdp</v>
          </cell>
          <cell r="H11">
            <v>5543547</v>
          </cell>
          <cell r="I11">
            <v>18429880</v>
          </cell>
          <cell r="J11">
            <v>26155282</v>
          </cell>
          <cell r="K11">
            <v>47298416</v>
          </cell>
          <cell r="L11">
            <v>53568344</v>
          </cell>
          <cell r="M11">
            <v>60264388</v>
          </cell>
          <cell r="N11">
            <v>66960432</v>
          </cell>
          <cell r="O11">
            <v>73656472</v>
          </cell>
          <cell r="P11">
            <v>80352520</v>
          </cell>
          <cell r="Q11">
            <v>93744608</v>
          </cell>
        </row>
        <row r="12">
          <cell r="D12" t="str">
            <v>bia</v>
          </cell>
          <cell r="H12">
            <v>1200853</v>
          </cell>
          <cell r="I12">
            <v>14084915</v>
          </cell>
          <cell r="J12">
            <v>74543040</v>
          </cell>
          <cell r="K12">
            <v>275000000</v>
          </cell>
          <cell r="L12">
            <v>500000000</v>
          </cell>
          <cell r="M12">
            <v>800000000</v>
          </cell>
          <cell r="N12">
            <v>1200000000</v>
          </cell>
          <cell r="O12">
            <v>1620000000</v>
          </cell>
          <cell r="P12">
            <v>2100000000</v>
          </cell>
          <cell r="Q12">
            <v>2500000000</v>
          </cell>
        </row>
        <row r="13">
          <cell r="D13" t="str">
            <v>bin</v>
          </cell>
          <cell r="H13">
            <v>2000000</v>
          </cell>
          <cell r="I13">
            <v>2000000</v>
          </cell>
          <cell r="J13">
            <v>0</v>
          </cell>
          <cell r="K13">
            <v>350000000</v>
          </cell>
          <cell r="L13">
            <v>400000000</v>
          </cell>
          <cell r="M13">
            <v>500000000</v>
          </cell>
          <cell r="N13">
            <v>600000000</v>
          </cell>
          <cell r="O13">
            <v>1550000000</v>
          </cell>
          <cell r="P13">
            <v>2670000128</v>
          </cell>
          <cell r="Q13">
            <v>4009999872</v>
          </cell>
        </row>
        <row r="14">
          <cell r="D14" t="str">
            <v>bio</v>
          </cell>
          <cell r="H14">
            <v>0</v>
          </cell>
          <cell r="I14">
            <v>0</v>
          </cell>
          <cell r="J14">
            <v>0</v>
          </cell>
          <cell r="K14">
            <v>0</v>
          </cell>
          <cell r="L14">
            <v>0</v>
          </cell>
          <cell r="M14">
            <v>0</v>
          </cell>
          <cell r="N14">
            <v>0</v>
          </cell>
          <cell r="O14">
            <v>0</v>
          </cell>
          <cell r="P14">
            <v>0</v>
          </cell>
          <cell r="Q14">
            <v>0</v>
          </cell>
        </row>
        <row r="15">
          <cell r="D15" t="str">
            <v>bir</v>
          </cell>
          <cell r="H15">
            <v>23261536</v>
          </cell>
          <cell r="I15">
            <v>43940052</v>
          </cell>
          <cell r="J15">
            <v>78482824</v>
          </cell>
          <cell r="K15">
            <v>109559360</v>
          </cell>
          <cell r="L15">
            <v>142313968</v>
          </cell>
          <cell r="M15">
            <v>174248928</v>
          </cell>
          <cell r="N15">
            <v>223700112</v>
          </cell>
          <cell r="O15">
            <v>268111904</v>
          </cell>
          <cell r="P15">
            <v>342940832</v>
          </cell>
          <cell r="Q15">
            <v>400967328</v>
          </cell>
        </row>
        <row r="16">
          <cell r="D16" t="str">
            <v>bit</v>
          </cell>
          <cell r="H16">
            <v>0</v>
          </cell>
          <cell r="I16">
            <v>0</v>
          </cell>
          <cell r="J16">
            <v>0</v>
          </cell>
          <cell r="K16">
            <v>0</v>
          </cell>
          <cell r="L16">
            <v>0</v>
          </cell>
          <cell r="M16">
            <v>0</v>
          </cell>
          <cell r="N16">
            <v>0</v>
          </cell>
          <cell r="O16">
            <v>0</v>
          </cell>
          <cell r="P16">
            <v>0</v>
          </cell>
          <cell r="Q16">
            <v>0</v>
          </cell>
        </row>
        <row r="17">
          <cell r="D17" t="str">
            <v>bll</v>
          </cell>
          <cell r="H17">
            <v>0</v>
          </cell>
          <cell r="I17">
            <v>0</v>
          </cell>
          <cell r="J17">
            <v>0</v>
          </cell>
          <cell r="K17">
            <v>0</v>
          </cell>
          <cell r="L17">
            <v>0</v>
          </cell>
          <cell r="M17">
            <v>0</v>
          </cell>
          <cell r="N17">
            <v>0</v>
          </cell>
          <cell r="O17">
            <v>0</v>
          </cell>
          <cell r="P17">
            <v>0</v>
          </cell>
          <cell r="Q17">
            <v>0</v>
          </cell>
        </row>
        <row r="18">
          <cell r="D18" t="str">
            <v>blt</v>
          </cell>
          <cell r="H18">
            <v>351579552</v>
          </cell>
          <cell r="I18">
            <v>438047840</v>
          </cell>
          <cell r="J18">
            <v>611243840</v>
          </cell>
          <cell r="K18">
            <v>529160960</v>
          </cell>
          <cell r="L18">
            <v>404878432</v>
          </cell>
          <cell r="M18">
            <v>265035056</v>
          </cell>
          <cell r="N18">
            <v>34599924</v>
          </cell>
          <cell r="O18">
            <v>6176887</v>
          </cell>
          <cell r="P18">
            <v>21927154</v>
          </cell>
          <cell r="Q18">
            <v>9509450</v>
          </cell>
        </row>
        <row r="19">
          <cell r="D19" t="str">
            <v>bmi</v>
          </cell>
          <cell r="H19">
            <v>0</v>
          </cell>
          <cell r="I19">
            <v>0</v>
          </cell>
          <cell r="J19">
            <v>0</v>
          </cell>
          <cell r="K19">
            <v>0</v>
          </cell>
          <cell r="L19">
            <v>0</v>
          </cell>
          <cell r="M19">
            <v>0</v>
          </cell>
          <cell r="N19">
            <v>0</v>
          </cell>
          <cell r="O19">
            <v>0</v>
          </cell>
          <cell r="P19">
            <v>0</v>
          </cell>
          <cell r="Q19">
            <v>0</v>
          </cell>
        </row>
        <row r="20">
          <cell r="D20" t="str">
            <v>bnf</v>
          </cell>
          <cell r="H20">
            <v>258551104</v>
          </cell>
          <cell r="I20">
            <v>350996384</v>
          </cell>
          <cell r="J20">
            <v>500096480</v>
          </cell>
          <cell r="K20">
            <v>1045086912</v>
          </cell>
          <cell r="L20">
            <v>1368240512</v>
          </cell>
          <cell r="M20">
            <v>1749078656</v>
          </cell>
          <cell r="N20">
            <v>1956833024</v>
          </cell>
          <cell r="O20">
            <v>2143811968</v>
          </cell>
          <cell r="P20">
            <v>2312092928</v>
          </cell>
          <cell r="Q20">
            <v>2463545856</v>
          </cell>
        </row>
        <row r="21">
          <cell r="D21" t="str">
            <v>bol</v>
          </cell>
          <cell r="H21">
            <v>14776694</v>
          </cell>
          <cell r="I21">
            <v>23475464</v>
          </cell>
          <cell r="J21">
            <v>13500029</v>
          </cell>
          <cell r="K21">
            <v>14850032</v>
          </cell>
          <cell r="L21">
            <v>16335035</v>
          </cell>
          <cell r="M21">
            <v>17968538</v>
          </cell>
          <cell r="N21">
            <v>19765392</v>
          </cell>
          <cell r="O21">
            <v>21741932</v>
          </cell>
          <cell r="P21">
            <v>23916124</v>
          </cell>
          <cell r="Q21">
            <v>26307738</v>
          </cell>
        </row>
        <row r="22">
          <cell r="D22" t="str">
            <v>bor</v>
          </cell>
          <cell r="H22">
            <v>0</v>
          </cell>
          <cell r="I22">
            <v>0</v>
          </cell>
          <cell r="J22">
            <v>0</v>
          </cell>
          <cell r="K22">
            <v>0</v>
          </cell>
          <cell r="L22">
            <v>0</v>
          </cell>
          <cell r="M22">
            <v>0</v>
          </cell>
          <cell r="N22">
            <v>0</v>
          </cell>
          <cell r="O22">
            <v>0</v>
          </cell>
          <cell r="P22">
            <v>0</v>
          </cell>
          <cell r="Q22">
            <v>0</v>
          </cell>
        </row>
        <row r="23">
          <cell r="D23" t="str">
            <v>bot</v>
          </cell>
          <cell r="H23">
            <v>12284</v>
          </cell>
          <cell r="I23">
            <v>10237</v>
          </cell>
          <cell r="J23">
            <v>0</v>
          </cell>
          <cell r="K23">
            <v>0</v>
          </cell>
          <cell r="L23">
            <v>0</v>
          </cell>
          <cell r="M23">
            <v>0</v>
          </cell>
          <cell r="N23">
            <v>0</v>
          </cell>
          <cell r="O23">
            <v>0</v>
          </cell>
          <cell r="P23">
            <v>0</v>
          </cell>
          <cell r="Q23">
            <v>0</v>
          </cell>
        </row>
        <row r="24">
          <cell r="D24" t="str">
            <v>bpu</v>
          </cell>
          <cell r="H24">
            <v>111696240</v>
          </cell>
          <cell r="I24">
            <v>111696240</v>
          </cell>
          <cell r="J24">
            <v>111696240</v>
          </cell>
          <cell r="K24">
            <v>125096240</v>
          </cell>
          <cell r="L24">
            <v>125096240</v>
          </cell>
          <cell r="M24">
            <v>125096240</v>
          </cell>
          <cell r="N24">
            <v>125096240</v>
          </cell>
          <cell r="O24">
            <v>125096240</v>
          </cell>
          <cell r="P24">
            <v>125096240</v>
          </cell>
          <cell r="Q24">
            <v>125096240</v>
          </cell>
        </row>
        <row r="25">
          <cell r="D25" t="str">
            <v>bre</v>
          </cell>
          <cell r="H25">
            <v>179585024</v>
          </cell>
          <cell r="I25">
            <v>367428288</v>
          </cell>
          <cell r="J25">
            <v>678515072</v>
          </cell>
          <cell r="K25">
            <v>2312692224</v>
          </cell>
          <cell r="L25">
            <v>3121852928</v>
          </cell>
          <cell r="M25">
            <v>4356324352</v>
          </cell>
          <cell r="N25">
            <v>6044720640</v>
          </cell>
          <cell r="O25">
            <v>8091820544</v>
          </cell>
          <cell r="P25">
            <v>10375347200</v>
          </cell>
          <cell r="Q25">
            <v>12863738880</v>
          </cell>
        </row>
        <row r="26">
          <cell r="D26" t="str">
            <v>bst</v>
          </cell>
          <cell r="H26">
            <v>0</v>
          </cell>
          <cell r="I26">
            <v>0</v>
          </cell>
          <cell r="J26">
            <v>0</v>
          </cell>
          <cell r="K26">
            <v>0</v>
          </cell>
          <cell r="L26">
            <v>0</v>
          </cell>
          <cell r="M26">
            <v>0</v>
          </cell>
          <cell r="N26">
            <v>0</v>
          </cell>
          <cell r="O26">
            <v>0</v>
          </cell>
          <cell r="P26">
            <v>0</v>
          </cell>
          <cell r="Q26">
            <v>0</v>
          </cell>
        </row>
        <row r="27">
          <cell r="D27" t="str">
            <v>btd</v>
          </cell>
          <cell r="H27">
            <v>0</v>
          </cell>
          <cell r="I27">
            <v>0</v>
          </cell>
          <cell r="J27">
            <v>0</v>
          </cell>
          <cell r="K27">
            <v>0</v>
          </cell>
          <cell r="L27">
            <v>0</v>
          </cell>
          <cell r="M27">
            <v>0</v>
          </cell>
          <cell r="N27">
            <v>0</v>
          </cell>
          <cell r="O27">
            <v>0</v>
          </cell>
          <cell r="P27">
            <v>0</v>
          </cell>
          <cell r="Q27">
            <v>0</v>
          </cell>
        </row>
        <row r="28">
          <cell r="D28" t="str">
            <v>btp</v>
          </cell>
          <cell r="H28">
            <v>18055000</v>
          </cell>
          <cell r="I28">
            <v>76840000</v>
          </cell>
          <cell r="J28">
            <v>72406680</v>
          </cell>
          <cell r="K28">
            <v>120152816</v>
          </cell>
          <cell r="L28">
            <v>170479360</v>
          </cell>
          <cell r="M28">
            <v>255846064</v>
          </cell>
          <cell r="N28">
            <v>346866848</v>
          </cell>
          <cell r="O28">
            <v>419071584</v>
          </cell>
          <cell r="P28">
            <v>467113888</v>
          </cell>
          <cell r="Q28">
            <v>510242496</v>
          </cell>
        </row>
        <row r="29">
          <cell r="D29" t="str">
            <v>bcl</v>
          </cell>
          <cell r="H29">
            <v>92170984</v>
          </cell>
          <cell r="I29">
            <v>159444160</v>
          </cell>
          <cell r="J29">
            <v>206498464</v>
          </cell>
          <cell r="K29">
            <v>313491648</v>
          </cell>
          <cell r="L29">
            <v>404496608</v>
          </cell>
          <cell r="M29">
            <v>523940384</v>
          </cell>
          <cell r="N29">
            <v>654354816</v>
          </cell>
          <cell r="O29">
            <v>780482048</v>
          </cell>
          <cell r="P29">
            <v>891596864</v>
          </cell>
          <cell r="Q29">
            <v>1016223616</v>
          </cell>
        </row>
        <row r="30">
          <cell r="D30" t="str">
            <v>bca</v>
          </cell>
          <cell r="H30">
            <v>473267584</v>
          </cell>
          <cell r="I30">
            <v>703087104</v>
          </cell>
          <cell r="J30">
            <v>1022401152</v>
          </cell>
          <cell r="K30">
            <v>1585354240</v>
          </cell>
          <cell r="L30">
            <v>1763083648</v>
          </cell>
          <cell r="M30">
            <v>2196317696</v>
          </cell>
          <cell r="N30">
            <v>3076938496</v>
          </cell>
          <cell r="O30">
            <v>3664763648</v>
          </cell>
          <cell r="P30">
            <v>4306874880</v>
          </cell>
          <cell r="Q30">
            <v>5016022528</v>
          </cell>
        </row>
        <row r="31">
          <cell r="D31" t="str">
            <v>bet</v>
          </cell>
          <cell r="H31">
            <v>0</v>
          </cell>
          <cell r="I31">
            <v>0</v>
          </cell>
          <cell r="J31">
            <v>0</v>
          </cell>
          <cell r="K31">
            <v>0</v>
          </cell>
          <cell r="L31">
            <v>0</v>
          </cell>
          <cell r="M31">
            <v>0</v>
          </cell>
          <cell r="N31">
            <v>0</v>
          </cell>
          <cell r="O31">
            <v>0</v>
          </cell>
          <cell r="P31">
            <v>0</v>
          </cell>
          <cell r="Q31">
            <v>0</v>
          </cell>
        </row>
        <row r="32">
          <cell r="D32" t="str">
            <v>bta</v>
          </cell>
          <cell r="H32">
            <v>735031808</v>
          </cell>
          <cell r="I32">
            <v>1076616576</v>
          </cell>
          <cell r="J32">
            <v>1607971584</v>
          </cell>
          <cell r="K32">
            <v>3280441088</v>
          </cell>
          <cell r="L32">
            <v>4056324096</v>
          </cell>
          <cell r="M32">
            <v>5270396416</v>
          </cell>
          <cell r="N32">
            <v>6858771456</v>
          </cell>
          <cell r="O32">
            <v>9003575296</v>
          </cell>
          <cell r="P32">
            <v>11413967872</v>
          </cell>
          <cell r="Q32">
            <v>14014568448</v>
          </cell>
        </row>
        <row r="33">
          <cell r="D33" t="str">
            <v>bsf</v>
          </cell>
          <cell r="H33">
            <v>291281280</v>
          </cell>
          <cell r="I33">
            <v>479124544</v>
          </cell>
          <cell r="J33">
            <v>790211328</v>
          </cell>
          <cell r="K33">
            <v>2437788416</v>
          </cell>
          <cell r="L33">
            <v>3246949120</v>
          </cell>
          <cell r="M33">
            <v>4481420800</v>
          </cell>
          <cell r="N33">
            <v>6169817088</v>
          </cell>
          <cell r="O33">
            <v>8216916480</v>
          </cell>
          <cell r="P33">
            <v>10500443136</v>
          </cell>
          <cell r="Q33">
            <v>12988834816</v>
          </cell>
        </row>
        <row r="34">
          <cell r="D34" t="str">
            <v>cac</v>
          </cell>
          <cell r="H34">
            <v>0</v>
          </cell>
          <cell r="I34">
            <v>0</v>
          </cell>
          <cell r="J34">
            <v>0</v>
          </cell>
          <cell r="K34">
            <v>0</v>
          </cell>
          <cell r="L34">
            <v>0</v>
          </cell>
          <cell r="M34">
            <v>0</v>
          </cell>
          <cell r="N34">
            <v>0</v>
          </cell>
          <cell r="O34">
            <v>0</v>
          </cell>
          <cell r="P34">
            <v>0</v>
          </cell>
          <cell r="Q34">
            <v>0</v>
          </cell>
        </row>
        <row r="35">
          <cell r="D35" t="str">
            <v>cam</v>
          </cell>
          <cell r="H35">
            <v>0</v>
          </cell>
          <cell r="I35">
            <v>0</v>
          </cell>
          <cell r="J35">
            <v>0</v>
          </cell>
          <cell r="K35">
            <v>0</v>
          </cell>
          <cell r="L35">
            <v>0</v>
          </cell>
          <cell r="M35">
            <v>0</v>
          </cell>
          <cell r="N35">
            <v>0</v>
          </cell>
          <cell r="O35">
            <v>0</v>
          </cell>
          <cell r="P35">
            <v>0</v>
          </cell>
          <cell r="Q35">
            <v>0</v>
          </cell>
        </row>
        <row r="36">
          <cell r="D36" t="str">
            <v>cce</v>
          </cell>
          <cell r="H36">
            <v>-87796888</v>
          </cell>
          <cell r="I36">
            <v>-148939376</v>
          </cell>
          <cell r="J36">
            <v>-229363200</v>
          </cell>
          <cell r="K36">
            <v>-700000000</v>
          </cell>
          <cell r="L36">
            <v>-500000000</v>
          </cell>
          <cell r="M36">
            <v>-600000000</v>
          </cell>
          <cell r="N36">
            <v>-450000000</v>
          </cell>
          <cell r="O36">
            <v>-450000000</v>
          </cell>
          <cell r="P36">
            <v>-450000000</v>
          </cell>
          <cell r="Q36">
            <v>-450000000</v>
          </cell>
        </row>
        <row r="37">
          <cell r="D37" t="str">
            <v>cde</v>
          </cell>
          <cell r="H37">
            <v>18099356</v>
          </cell>
          <cell r="I37">
            <v>50674400</v>
          </cell>
          <cell r="J37">
            <v>80386032</v>
          </cell>
          <cell r="K37">
            <v>140940528</v>
          </cell>
          <cell r="L37">
            <v>176846480</v>
          </cell>
          <cell r="M37">
            <v>219161824</v>
          </cell>
          <cell r="N37">
            <v>242245648</v>
          </cell>
          <cell r="O37">
            <v>263021072</v>
          </cell>
          <cell r="P37">
            <v>281718976</v>
          </cell>
          <cell r="Q37">
            <v>298547072</v>
          </cell>
        </row>
        <row r="38">
          <cell r="D38" t="str">
            <v>cdi</v>
          </cell>
          <cell r="H38">
            <v>0</v>
          </cell>
          <cell r="I38">
            <v>0</v>
          </cell>
          <cell r="J38">
            <v>0</v>
          </cell>
          <cell r="K38">
            <v>0</v>
          </cell>
          <cell r="L38">
            <v>0</v>
          </cell>
          <cell r="M38">
            <v>0</v>
          </cell>
          <cell r="N38">
            <v>0</v>
          </cell>
          <cell r="O38">
            <v>0</v>
          </cell>
          <cell r="P38">
            <v>0</v>
          </cell>
          <cell r="Q38">
            <v>0</v>
          </cell>
        </row>
        <row r="39">
          <cell r="D39" t="str">
            <v>cdp</v>
          </cell>
          <cell r="H39">
            <v>-29418</v>
          </cell>
          <cell r="I39">
            <v>-5543546.5</v>
          </cell>
          <cell r="J39">
            <v>-18429296</v>
          </cell>
          <cell r="K39">
            <v>-26155282</v>
          </cell>
          <cell r="L39">
            <v>-47298416</v>
          </cell>
          <cell r="M39">
            <v>-53568344</v>
          </cell>
          <cell r="N39">
            <v>-60264388</v>
          </cell>
          <cell r="O39">
            <v>-66960432</v>
          </cell>
          <cell r="P39">
            <v>-73656472</v>
          </cell>
          <cell r="Q39">
            <v>-80352520</v>
          </cell>
        </row>
        <row r="40">
          <cell r="D40" t="str">
            <v>cfx</v>
          </cell>
          <cell r="H40">
            <v>0</v>
          </cell>
          <cell r="I40">
            <v>0</v>
          </cell>
          <cell r="J40">
            <v>0</v>
          </cell>
          <cell r="K40">
            <v>0</v>
          </cell>
          <cell r="L40">
            <v>0</v>
          </cell>
          <cell r="M40">
            <v>0</v>
          </cell>
          <cell r="N40">
            <v>0</v>
          </cell>
          <cell r="O40">
            <v>0</v>
          </cell>
          <cell r="P40">
            <v>0</v>
          </cell>
          <cell r="Q40">
            <v>0</v>
          </cell>
        </row>
        <row r="41">
          <cell r="D41" t="str">
            <v>cii</v>
          </cell>
          <cell r="H41">
            <v>2773461</v>
          </cell>
          <cell r="I41">
            <v>3784307</v>
          </cell>
          <cell r="J41">
            <v>8291453</v>
          </cell>
          <cell r="K41">
            <v>20969422</v>
          </cell>
          <cell r="L41">
            <v>28932678</v>
          </cell>
          <cell r="M41">
            <v>33377872</v>
          </cell>
          <cell r="N41">
            <v>42489864</v>
          </cell>
          <cell r="O41">
            <v>60784124</v>
          </cell>
          <cell r="P41">
            <v>89034344</v>
          </cell>
          <cell r="Q41">
            <v>122322176</v>
          </cell>
        </row>
        <row r="42">
          <cell r="D42" t="str">
            <v>civ</v>
          </cell>
          <cell r="H42">
            <v>-2000000</v>
          </cell>
          <cell r="I42">
            <v>-12884062</v>
          </cell>
          <cell r="J42">
            <v>-58458120</v>
          </cell>
          <cell r="K42">
            <v>-550456960</v>
          </cell>
          <cell r="L42">
            <v>-275000000</v>
          </cell>
          <cell r="M42">
            <v>-400000000</v>
          </cell>
          <cell r="N42">
            <v>-500000000</v>
          </cell>
          <cell r="O42">
            <v>-1370000000</v>
          </cell>
          <cell r="P42">
            <v>-1600000000</v>
          </cell>
          <cell r="Q42">
            <v>-1740000000</v>
          </cell>
        </row>
        <row r="43">
          <cell r="D43" t="str">
            <v>cni</v>
          </cell>
          <cell r="H43">
            <v>-81345904</v>
          </cell>
          <cell r="I43">
            <v>-80498080</v>
          </cell>
          <cell r="J43">
            <v>-103369824</v>
          </cell>
          <cell r="K43">
            <v>-79466768</v>
          </cell>
          <cell r="L43">
            <v>-58231772</v>
          </cell>
          <cell r="M43">
            <v>-37346108</v>
          </cell>
          <cell r="N43">
            <v>-14833574</v>
          </cell>
          <cell r="O43">
            <v>-1834956.375</v>
          </cell>
          <cell r="P43">
            <v>-1264681.875</v>
          </cell>
          <cell r="Q43">
            <v>-1414647.25</v>
          </cell>
        </row>
        <row r="44">
          <cell r="D44" t="str">
            <v>coi</v>
          </cell>
          <cell r="H44">
            <v>22166928</v>
          </cell>
          <cell r="I44">
            <v>-83437296</v>
          </cell>
          <cell r="J44">
            <v>11214029</v>
          </cell>
          <cell r="K44">
            <v>-14626615</v>
          </cell>
          <cell r="L44">
            <v>-16089276</v>
          </cell>
          <cell r="M44">
            <v>-17698204</v>
          </cell>
          <cell r="N44">
            <v>-19468024</v>
          </cell>
          <cell r="O44">
            <v>-21414826</v>
          </cell>
          <cell r="P44">
            <v>-23556310</v>
          </cell>
          <cell r="Q44">
            <v>-25911940</v>
          </cell>
        </row>
        <row r="45">
          <cell r="D45" t="str">
            <v>cot</v>
          </cell>
          <cell r="H45">
            <v>-222033</v>
          </cell>
          <cell r="I45">
            <v>-616160</v>
          </cell>
          <cell r="J45">
            <v>-4605763</v>
          </cell>
          <cell r="K45">
            <v>0</v>
          </cell>
          <cell r="L45">
            <v>0</v>
          </cell>
          <cell r="M45">
            <v>0</v>
          </cell>
          <cell r="N45">
            <v>0</v>
          </cell>
          <cell r="O45">
            <v>0</v>
          </cell>
          <cell r="P45">
            <v>0</v>
          </cell>
          <cell r="Q45">
            <v>0</v>
          </cell>
        </row>
        <row r="46">
          <cell r="D46" t="str">
            <v>csi</v>
          </cell>
          <cell r="H46">
            <v>0</v>
          </cell>
          <cell r="I46">
            <v>0</v>
          </cell>
          <cell r="J46">
            <v>0</v>
          </cell>
          <cell r="K46">
            <v>1172499968</v>
          </cell>
          <cell r="L46">
            <v>0</v>
          </cell>
          <cell r="M46">
            <v>0</v>
          </cell>
          <cell r="N46">
            <v>0</v>
          </cell>
          <cell r="O46">
            <v>0</v>
          </cell>
          <cell r="P46">
            <v>0</v>
          </cell>
          <cell r="Q46">
            <v>0</v>
          </cell>
        </row>
        <row r="47">
          <cell r="D47" t="str">
            <v>cta</v>
          </cell>
          <cell r="H47">
            <v>-24622</v>
          </cell>
          <cell r="I47">
            <v>-2589963</v>
          </cell>
          <cell r="J47">
            <v>-84271184</v>
          </cell>
          <cell r="K47">
            <v>-72406680</v>
          </cell>
          <cell r="L47">
            <v>-120152816</v>
          </cell>
          <cell r="M47">
            <v>-170479360</v>
          </cell>
          <cell r="N47">
            <v>-255846064</v>
          </cell>
          <cell r="O47">
            <v>-346866848</v>
          </cell>
          <cell r="P47">
            <v>-419071584</v>
          </cell>
          <cell r="Q47">
            <v>-467113888</v>
          </cell>
        </row>
        <row r="48">
          <cell r="D48" t="str">
            <v>cwo</v>
          </cell>
          <cell r="H48">
            <v>0</v>
          </cell>
          <cell r="I48">
            <v>0</v>
          </cell>
          <cell r="J48">
            <v>0</v>
          </cell>
          <cell r="K48">
            <v>0</v>
          </cell>
          <cell r="L48">
            <v>0</v>
          </cell>
          <cell r="M48">
            <v>0</v>
          </cell>
          <cell r="N48">
            <v>0</v>
          </cell>
          <cell r="O48">
            <v>0</v>
          </cell>
          <cell r="P48">
            <v>0</v>
          </cell>
          <cell r="Q48">
            <v>0</v>
          </cell>
        </row>
        <row r="49">
          <cell r="D49" t="str">
            <v>cwt</v>
          </cell>
          <cell r="H49">
            <v>-53759236</v>
          </cell>
          <cell r="I49">
            <v>-155609904</v>
          </cell>
          <cell r="J49">
            <v>-90008176</v>
          </cell>
          <cell r="K49">
            <v>-207075024</v>
          </cell>
          <cell r="L49">
            <v>-224071760</v>
          </cell>
          <cell r="M49">
            <v>-224816720</v>
          </cell>
          <cell r="N49">
            <v>-554220224</v>
          </cell>
          <cell r="O49">
            <v>-342343968</v>
          </cell>
          <cell r="P49">
            <v>-378017056</v>
          </cell>
          <cell r="Q49">
            <v>-403333056</v>
          </cell>
        </row>
        <row r="50">
          <cell r="D50" t="str">
            <v>coc</v>
          </cell>
          <cell r="H50">
            <v>253267504</v>
          </cell>
          <cell r="I50">
            <v>155989088</v>
          </cell>
          <cell r="J50">
            <v>513749280</v>
          </cell>
          <cell r="K50">
            <v>620264640</v>
          </cell>
          <cell r="L50">
            <v>999192832</v>
          </cell>
          <cell r="M50">
            <v>1531197312</v>
          </cell>
          <cell r="N50">
            <v>1743124480</v>
          </cell>
          <cell r="O50">
            <v>2380140800</v>
          </cell>
          <cell r="P50">
            <v>2623369216</v>
          </cell>
          <cell r="Q50">
            <v>2840773376</v>
          </cell>
        </row>
        <row r="51">
          <cell r="D51" t="str">
            <v>ccn</v>
          </cell>
          <cell r="H51">
            <v>84622104</v>
          </cell>
          <cell r="I51">
            <v>-91297784</v>
          </cell>
          <cell r="J51">
            <v>23543344</v>
          </cell>
          <cell r="K51">
            <v>385248384</v>
          </cell>
          <cell r="L51">
            <v>27442504</v>
          </cell>
          <cell r="M51">
            <v>303181376</v>
          </cell>
          <cell r="N51">
            <v>504670304</v>
          </cell>
          <cell r="O51">
            <v>205262768</v>
          </cell>
          <cell r="P51">
            <v>168410896</v>
          </cell>
          <cell r="Q51">
            <v>224214416</v>
          </cell>
        </row>
        <row r="52">
          <cell r="D52" t="str">
            <v>cfc</v>
          </cell>
          <cell r="H52">
            <v>174670448</v>
          </cell>
          <cell r="I52">
            <v>76685360</v>
          </cell>
          <cell r="J52">
            <v>334399744</v>
          </cell>
          <cell r="K52">
            <v>489360608</v>
          </cell>
          <cell r="L52">
            <v>849740928</v>
          </cell>
          <cell r="M52">
            <v>1356749696</v>
          </cell>
          <cell r="N52">
            <v>1514934656</v>
          </cell>
          <cell r="O52">
            <v>2092223232</v>
          </cell>
          <cell r="P52">
            <v>2292067328</v>
          </cell>
          <cell r="Q52">
            <v>2494566912</v>
          </cell>
        </row>
        <row r="53">
          <cell r="D53" t="str">
            <v>pai</v>
          </cell>
          <cell r="H53">
            <v>0</v>
          </cell>
          <cell r="I53">
            <v>0</v>
          </cell>
          <cell r="J53">
            <v>0</v>
          </cell>
          <cell r="K53">
            <v>0</v>
          </cell>
          <cell r="L53">
            <v>0</v>
          </cell>
          <cell r="M53">
            <v>0</v>
          </cell>
          <cell r="N53">
            <v>0</v>
          </cell>
          <cell r="O53">
            <v>0</v>
          </cell>
          <cell r="P53">
            <v>0</v>
          </cell>
          <cell r="Q53">
            <v>0</v>
          </cell>
        </row>
        <row r="54">
          <cell r="D54" t="str">
            <v>pco</v>
          </cell>
        </row>
        <row r="55">
          <cell r="D55" t="str">
            <v>pdp</v>
          </cell>
          <cell r="H55">
            <v>-5543547</v>
          </cell>
          <cell r="I55">
            <v>-18429878</v>
          </cell>
          <cell r="J55">
            <v>-26154700</v>
          </cell>
          <cell r="K55">
            <v>-47298416</v>
          </cell>
          <cell r="L55">
            <v>-53568344</v>
          </cell>
          <cell r="M55">
            <v>-60264388</v>
          </cell>
          <cell r="N55">
            <v>-66960432</v>
          </cell>
          <cell r="O55">
            <v>-73656472</v>
          </cell>
          <cell r="P55">
            <v>-80352520</v>
          </cell>
          <cell r="Q55">
            <v>-93744608</v>
          </cell>
        </row>
        <row r="56">
          <cell r="D56" t="str">
            <v>peb</v>
          </cell>
          <cell r="H56">
            <v>284859808</v>
          </cell>
          <cell r="I56">
            <v>395036288</v>
          </cell>
          <cell r="J56">
            <v>592543424</v>
          </cell>
          <cell r="K56">
            <v>841966272</v>
          </cell>
          <cell r="L56">
            <v>1239353856</v>
          </cell>
          <cell r="M56">
            <v>1773712256</v>
          </cell>
          <cell r="N56">
            <v>2316812800</v>
          </cell>
          <cell r="O56">
            <v>2743899648</v>
          </cell>
          <cell r="P56">
            <v>3024942592</v>
          </cell>
          <cell r="Q56">
            <v>3270018304</v>
          </cell>
        </row>
        <row r="57">
          <cell r="D57" t="str">
            <v>pfx</v>
          </cell>
          <cell r="H57">
            <v>0</v>
          </cell>
          <cell r="I57">
            <v>0</v>
          </cell>
          <cell r="J57">
            <v>0</v>
          </cell>
          <cell r="K57">
            <v>0</v>
          </cell>
          <cell r="L57">
            <v>0</v>
          </cell>
          <cell r="M57">
            <v>0</v>
          </cell>
          <cell r="N57">
            <v>0</v>
          </cell>
          <cell r="O57">
            <v>0</v>
          </cell>
          <cell r="P57">
            <v>0</v>
          </cell>
          <cell r="Q57">
            <v>0</v>
          </cell>
        </row>
        <row r="58">
          <cell r="D58" t="str">
            <v>pgp</v>
          </cell>
          <cell r="H58">
            <v>1630106496</v>
          </cell>
          <cell r="I58">
            <v>31733334</v>
          </cell>
          <cell r="J58">
            <v>2776745984</v>
          </cell>
          <cell r="K58">
            <v>3876242944</v>
          </cell>
          <cell r="L58">
            <v>5035110912</v>
          </cell>
          <cell r="M58">
            <v>6164979712</v>
          </cell>
          <cell r="N58">
            <v>7422776320</v>
          </cell>
          <cell r="O58">
            <v>8896440320</v>
          </cell>
          <cell r="P58">
            <v>10431117312</v>
          </cell>
          <cell r="Q58">
            <v>12196089856</v>
          </cell>
        </row>
        <row r="59">
          <cell r="D59" t="str">
            <v>pie</v>
          </cell>
          <cell r="H59">
            <v>-81345904</v>
          </cell>
          <cell r="I59">
            <v>-80498080</v>
          </cell>
          <cell r="J59">
            <v>-103369824</v>
          </cell>
          <cell r="K59">
            <v>-79466768</v>
          </cell>
          <cell r="L59">
            <v>-58231772</v>
          </cell>
          <cell r="M59">
            <v>-37346108</v>
          </cell>
          <cell r="N59">
            <v>-14833574</v>
          </cell>
          <cell r="O59">
            <v>-1834956.375</v>
          </cell>
          <cell r="P59">
            <v>-1264681.875</v>
          </cell>
          <cell r="Q59">
            <v>-1414647.25</v>
          </cell>
        </row>
        <row r="60">
          <cell r="D60" t="str">
            <v>pii</v>
          </cell>
          <cell r="H60">
            <v>92082</v>
          </cell>
          <cell r="I60">
            <v>824979</v>
          </cell>
          <cell r="J60">
            <v>374038</v>
          </cell>
          <cell r="K60">
            <v>11468525</v>
          </cell>
          <cell r="L60">
            <v>17531600</v>
          </cell>
          <cell r="M60">
            <v>19696580</v>
          </cell>
          <cell r="N60">
            <v>26072310</v>
          </cell>
          <cell r="O60">
            <v>41083060</v>
          </cell>
          <cell r="P60">
            <v>65393068</v>
          </cell>
          <cell r="Q60">
            <v>93952648</v>
          </cell>
        </row>
        <row r="61">
          <cell r="D61" t="str">
            <v>pin</v>
          </cell>
          <cell r="H61">
            <v>1695192</v>
          </cell>
          <cell r="I61">
            <v>1491027</v>
          </cell>
          <cell r="J61">
            <v>6560199</v>
          </cell>
          <cell r="K61">
            <v>7872239</v>
          </cell>
          <cell r="L61">
            <v>9446687</v>
          </cell>
          <cell r="M61">
            <v>11336024</v>
          </cell>
          <cell r="N61">
            <v>13603229</v>
          </cell>
          <cell r="O61">
            <v>16323874</v>
          </cell>
          <cell r="P61">
            <v>19588650</v>
          </cell>
          <cell r="Q61">
            <v>23506380</v>
          </cell>
        </row>
        <row r="62">
          <cell r="D62" t="str">
            <v>pmi</v>
          </cell>
          <cell r="H62">
            <v>0</v>
          </cell>
          <cell r="I62">
            <v>0</v>
          </cell>
          <cell r="J62">
            <v>0</v>
          </cell>
          <cell r="K62">
            <v>0</v>
          </cell>
          <cell r="L62">
            <v>0</v>
          </cell>
          <cell r="M62">
            <v>0</v>
          </cell>
          <cell r="N62">
            <v>0</v>
          </cell>
          <cell r="O62">
            <v>0</v>
          </cell>
          <cell r="P62">
            <v>0</v>
          </cell>
          <cell r="Q62">
            <v>0</v>
          </cell>
        </row>
        <row r="63">
          <cell r="D63" t="str">
            <v>pnp</v>
          </cell>
          <cell r="H63">
            <v>170122400</v>
          </cell>
          <cell r="I63">
            <v>206273152</v>
          </cell>
          <cell r="J63">
            <v>337241184</v>
          </cell>
          <cell r="K63">
            <v>522375616</v>
          </cell>
          <cell r="L63">
            <v>862728896</v>
          </cell>
          <cell r="M63">
            <v>1294736128</v>
          </cell>
          <cell r="N63">
            <v>1755356544</v>
          </cell>
          <cell r="O63">
            <v>2120756224</v>
          </cell>
          <cell r="P63">
            <v>2363879424</v>
          </cell>
          <cell r="Q63">
            <v>2582136320</v>
          </cell>
        </row>
        <row r="64">
          <cell r="D64" t="str">
            <v>poi</v>
          </cell>
          <cell r="H64">
            <v>986187</v>
          </cell>
          <cell r="I64">
            <v>1468301</v>
          </cell>
          <cell r="J64">
            <v>1357216</v>
          </cell>
          <cell r="K64">
            <v>1628659.25</v>
          </cell>
          <cell r="L64">
            <v>1954391</v>
          </cell>
          <cell r="M64">
            <v>2345269.25</v>
          </cell>
          <cell r="N64">
            <v>2814323</v>
          </cell>
          <cell r="O64">
            <v>3377187.75</v>
          </cell>
          <cell r="P64">
            <v>4052625.25</v>
          </cell>
          <cell r="Q64">
            <v>4863150.5</v>
          </cell>
        </row>
        <row r="65">
          <cell r="D65" t="str">
            <v>ppr</v>
          </cell>
          <cell r="H65">
            <v>164578848</v>
          </cell>
          <cell r="I65">
            <v>187843280</v>
          </cell>
          <cell r="J65">
            <v>311086464</v>
          </cell>
          <cell r="K65">
            <v>475077184</v>
          </cell>
          <cell r="L65">
            <v>809160576</v>
          </cell>
          <cell r="M65">
            <v>1234471680</v>
          </cell>
          <cell r="N65">
            <v>1688396032</v>
          </cell>
          <cell r="O65">
            <v>2047099776</v>
          </cell>
          <cell r="P65">
            <v>2283526912</v>
          </cell>
          <cell r="Q65">
            <v>2488391680</v>
          </cell>
        </row>
        <row r="66">
          <cell r="D66" t="str">
            <v>ppt</v>
          </cell>
          <cell r="H66">
            <v>188188016</v>
          </cell>
          <cell r="I66">
            <v>267648112</v>
          </cell>
          <cell r="J66">
            <v>417079040</v>
          </cell>
          <cell r="K66">
            <v>642528384</v>
          </cell>
          <cell r="L66">
            <v>1033208320</v>
          </cell>
          <cell r="M66">
            <v>1550582144</v>
          </cell>
          <cell r="N66">
            <v>2102223360</v>
          </cell>
          <cell r="O66">
            <v>2539827712</v>
          </cell>
          <cell r="P66">
            <v>2830993408</v>
          </cell>
          <cell r="Q66">
            <v>3092378624</v>
          </cell>
        </row>
        <row r="67">
          <cell r="D67" t="str">
            <v>pre</v>
          </cell>
          <cell r="H67">
            <v>1630106496</v>
          </cell>
          <cell r="I67">
            <v>2018253440</v>
          </cell>
          <cell r="J67">
            <v>2776745984</v>
          </cell>
          <cell r="K67">
            <v>3876242944</v>
          </cell>
          <cell r="L67">
            <v>5035110912</v>
          </cell>
          <cell r="M67">
            <v>6164979712</v>
          </cell>
          <cell r="N67">
            <v>7422776320</v>
          </cell>
          <cell r="O67">
            <v>8896440320</v>
          </cell>
          <cell r="P67">
            <v>10431117312</v>
          </cell>
          <cell r="Q67">
            <v>12196089856</v>
          </cell>
        </row>
        <row r="68">
          <cell r="D68" t="str">
            <v>pop</v>
          </cell>
          <cell r="H68">
            <v>266760464</v>
          </cell>
          <cell r="I68">
            <v>344361888</v>
          </cell>
          <cell r="J68">
            <v>512157408</v>
          </cell>
          <cell r="K68">
            <v>701025792</v>
          </cell>
          <cell r="L68">
            <v>1062507392</v>
          </cell>
          <cell r="M68">
            <v>1554550400</v>
          </cell>
          <cell r="N68">
            <v>2074567040</v>
          </cell>
          <cell r="O68">
            <v>2480878592</v>
          </cell>
          <cell r="P68">
            <v>2743223552</v>
          </cell>
          <cell r="Q68">
            <v>2971471104</v>
          </cell>
        </row>
        <row r="69">
          <cell r="D69" t="str">
            <v>pta</v>
          </cell>
          <cell r="H69">
            <v>-18065622</v>
          </cell>
          <cell r="I69">
            <v>-61374964</v>
          </cell>
          <cell r="J69">
            <v>-79837864</v>
          </cell>
          <cell r="K69">
            <v>-120152816</v>
          </cell>
          <cell r="L69">
            <v>-170479360</v>
          </cell>
          <cell r="M69">
            <v>-255846064</v>
          </cell>
          <cell r="N69">
            <v>-346866848</v>
          </cell>
          <cell r="O69">
            <v>-419071584</v>
          </cell>
          <cell r="P69">
            <v>-467113888</v>
          </cell>
          <cell r="Q69">
            <v>-510242496</v>
          </cell>
        </row>
        <row r="70">
          <cell r="D70" t="str">
            <v>swa</v>
          </cell>
          <cell r="H70">
            <v>11169623</v>
          </cell>
          <cell r="I70">
            <v>11169623</v>
          </cell>
          <cell r="J70">
            <v>11169623</v>
          </cell>
          <cell r="K70">
            <v>12174624</v>
          </cell>
          <cell r="L70">
            <v>12174624</v>
          </cell>
          <cell r="M70">
            <v>12174624</v>
          </cell>
          <cell r="N70">
            <v>12174624</v>
          </cell>
          <cell r="O70">
            <v>12174624</v>
          </cell>
          <cell r="P70">
            <v>12174624</v>
          </cell>
          <cell r="Q70">
            <v>12174624</v>
          </cell>
        </row>
        <row r="71">
          <cell r="D71" t="str">
            <v>vdp</v>
          </cell>
          <cell r="H71">
            <v>1.5</v>
          </cell>
          <cell r="I71">
            <v>1.5</v>
          </cell>
          <cell r="J71">
            <v>3</v>
          </cell>
          <cell r="K71">
            <v>3.5</v>
          </cell>
          <cell r="L71">
            <v>4</v>
          </cell>
          <cell r="M71">
            <v>4.5</v>
          </cell>
          <cell r="N71">
            <v>5</v>
          </cell>
          <cell r="O71">
            <v>5.5</v>
          </cell>
          <cell r="P71">
            <v>6</v>
          </cell>
          <cell r="Q71">
            <v>7</v>
          </cell>
        </row>
        <row r="72">
          <cell r="D72" t="str">
            <v>vep</v>
          </cell>
          <cell r="H72">
            <v>15.230809211730957</v>
          </cell>
          <cell r="I72">
            <v>18.46733283996582</v>
          </cell>
          <cell r="J72">
            <v>30.192707061767578</v>
          </cell>
          <cell r="K72">
            <v>42.906917572021484</v>
          </cell>
          <cell r="L72">
            <v>70.862876892089844</v>
          </cell>
          <cell r="M72">
            <v>106.34711456298828</v>
          </cell>
          <cell r="N72">
            <v>144.18157958984375</v>
          </cell>
          <cell r="O72">
            <v>174.19479370117188</v>
          </cell>
          <cell r="P72">
            <v>194.16447448730469</v>
          </cell>
          <cell r="Q72">
            <v>212.09165954589844</v>
          </cell>
        </row>
        <row r="73">
          <cell r="D73" t="str">
            <v>veg</v>
          </cell>
          <cell r="I73">
            <v>0.21249851584434509</v>
          </cell>
          <cell r="J73">
            <v>0.63492518663406372</v>
          </cell>
          <cell r="K73">
            <v>0.42110204696655273</v>
          </cell>
          <cell r="L73">
            <v>0.65154904127120972</v>
          </cell>
          <cell r="M73">
            <v>0.50074499845504761</v>
          </cell>
          <cell r="N73">
            <v>0.35576391220092773</v>
          </cell>
          <cell r="O73">
            <v>0.20816265046596527</v>
          </cell>
          <cell r="P73">
            <v>0.11463987827301025</v>
          </cell>
          <cell r="Q73">
            <v>9.2329926788806915E-2</v>
          </cell>
        </row>
        <row r="74">
          <cell r="D74" t="str">
            <v>vcf</v>
          </cell>
          <cell r="H74">
            <v>15.637989044189453</v>
          </cell>
          <cell r="I74">
            <v>6.8655276298522949</v>
          </cell>
          <cell r="J74">
            <v>29.938318252563477</v>
          </cell>
          <cell r="K74">
            <v>40.195133209228516</v>
          </cell>
          <cell r="L74">
            <v>69.796073913574219</v>
          </cell>
          <cell r="M74">
            <v>111.44078826904297</v>
          </cell>
          <cell r="N74">
            <v>124.43379974365234</v>
          </cell>
          <cell r="O74">
            <v>171.85115051269531</v>
          </cell>
          <cell r="P74">
            <v>188.26596069335938</v>
          </cell>
          <cell r="Q74">
            <v>204.89889526367188</v>
          </cell>
        </row>
        <row r="75">
          <cell r="D75" t="str">
            <v>vva</v>
          </cell>
          <cell r="H75">
            <v>0</v>
          </cell>
          <cell r="I75">
            <v>6437913</v>
          </cell>
          <cell r="J75">
            <v>10931000</v>
          </cell>
          <cell r="K75">
            <v>25000000</v>
          </cell>
          <cell r="L75">
            <v>25000000</v>
          </cell>
          <cell r="M75">
            <v>25000000</v>
          </cell>
          <cell r="N75">
            <v>25000000</v>
          </cell>
          <cell r="O75">
            <v>25000000</v>
          </cell>
          <cell r="P75">
            <v>25000000</v>
          </cell>
          <cell r="Q75">
            <v>25000000</v>
          </cell>
        </row>
        <row r="76">
          <cell r="D76" t="str">
            <v>vbv</v>
          </cell>
          <cell r="H76">
            <v>26.077983856201172</v>
          </cell>
          <cell r="I76">
            <v>42.895313262939453</v>
          </cell>
          <cell r="J76">
            <v>70.7464599609375</v>
          </cell>
          <cell r="K76">
            <v>194.873046875</v>
          </cell>
          <cell r="L76">
            <v>269.14871215820313</v>
          </cell>
          <cell r="M76">
            <v>367.83047485351563</v>
          </cell>
          <cell r="N76">
            <v>493.20562744140625</v>
          </cell>
          <cell r="O76">
            <v>656.84759521484375</v>
          </cell>
          <cell r="P76">
            <v>839.38922119140625</v>
          </cell>
          <cell r="Q76">
            <v>1038.307373046875</v>
          </cell>
        </row>
        <row r="77">
          <cell r="D77" t="str">
            <v>vsp</v>
          </cell>
          <cell r="H77">
            <v>272.5</v>
          </cell>
          <cell r="I77">
            <v>272.5</v>
          </cell>
          <cell r="J77">
            <v>725</v>
          </cell>
          <cell r="K77">
            <v>725</v>
          </cell>
          <cell r="L77">
            <v>725</v>
          </cell>
          <cell r="M77">
            <v>725</v>
          </cell>
          <cell r="N77">
            <v>725</v>
          </cell>
          <cell r="O77">
            <v>725</v>
          </cell>
          <cell r="P77">
            <v>725</v>
          </cell>
          <cell r="Q77">
            <v>725</v>
          </cell>
        </row>
        <row r="78">
          <cell r="D78" t="str">
            <v>boc</v>
          </cell>
          <cell r="H78">
            <v>88819576</v>
          </cell>
          <cell r="I78">
            <v>180955648</v>
          </cell>
          <cell r="J78">
            <v>159766176</v>
          </cell>
          <cell r="K78">
            <v>175742800</v>
          </cell>
          <cell r="L78">
            <v>193317072</v>
          </cell>
          <cell r="M78">
            <v>212648784</v>
          </cell>
          <cell r="N78">
            <v>233913664</v>
          </cell>
          <cell r="O78">
            <v>257305024</v>
          </cell>
          <cell r="P78">
            <v>283035520</v>
          </cell>
          <cell r="Q78">
            <v>311339072</v>
          </cell>
        </row>
        <row r="79">
          <cell r="D79" t="str">
            <v>bcp</v>
          </cell>
          <cell r="H79">
            <v>0</v>
          </cell>
          <cell r="I79">
            <v>6437913</v>
          </cell>
          <cell r="J79">
            <v>10931000</v>
          </cell>
          <cell r="K79">
            <v>25000000</v>
          </cell>
          <cell r="L79">
            <v>25000000</v>
          </cell>
          <cell r="M79">
            <v>25000000</v>
          </cell>
          <cell r="N79">
            <v>25000000</v>
          </cell>
          <cell r="O79">
            <v>25000000</v>
          </cell>
          <cell r="P79">
            <v>25000000</v>
          </cell>
          <cell r="Q79">
            <v>25000000</v>
          </cell>
        </row>
        <row r="80">
          <cell r="D80" t="str">
            <v>bpp</v>
          </cell>
          <cell r="H80">
            <v>0</v>
          </cell>
          <cell r="I80">
            <v>0</v>
          </cell>
          <cell r="J80">
            <v>0</v>
          </cell>
          <cell r="K80">
            <v>0</v>
          </cell>
          <cell r="L80">
            <v>0</v>
          </cell>
          <cell r="M80">
            <v>0</v>
          </cell>
          <cell r="N80">
            <v>0</v>
          </cell>
          <cell r="O80">
            <v>0</v>
          </cell>
          <cell r="P80">
            <v>0</v>
          </cell>
          <cell r="Q80">
            <v>0</v>
          </cell>
        </row>
        <row r="81">
          <cell r="D81" t="str">
            <v>pet</v>
          </cell>
          <cell r="H81">
            <v>0</v>
          </cell>
          <cell r="I81">
            <v>0</v>
          </cell>
          <cell r="J81">
            <v>0</v>
          </cell>
          <cell r="K81">
            <v>0</v>
          </cell>
          <cell r="L81">
            <v>0</v>
          </cell>
          <cell r="M81">
            <v>0</v>
          </cell>
          <cell r="N81">
            <v>0</v>
          </cell>
          <cell r="O81">
            <v>0</v>
          </cell>
          <cell r="P81">
            <v>0</v>
          </cell>
          <cell r="Q81">
            <v>0</v>
          </cell>
        </row>
        <row r="82">
          <cell r="D82" t="str">
            <v>tnd</v>
          </cell>
          <cell r="H82">
            <v>-296655232</v>
          </cell>
          <cell r="I82">
            <v>-387952992</v>
          </cell>
          <cell r="J82">
            <v>-364409664</v>
          </cell>
          <cell r="K82">
            <v>20857026</v>
          </cell>
          <cell r="L82">
            <v>48281528</v>
          </cell>
          <cell r="M82">
            <v>351462912</v>
          </cell>
          <cell r="N82">
            <v>856133248</v>
          </cell>
          <cell r="O82">
            <v>1061395968</v>
          </cell>
          <cell r="P82">
            <v>1229806848</v>
          </cell>
          <cell r="Q82">
            <v>1454021248</v>
          </cell>
        </row>
        <row r="83">
          <cell r="D83" t="str">
            <v>tfd</v>
          </cell>
          <cell r="H83">
            <v>0</v>
          </cell>
          <cell r="I83">
            <v>0</v>
          </cell>
          <cell r="J83">
            <v>0</v>
          </cell>
          <cell r="K83">
            <v>0</v>
          </cell>
          <cell r="L83">
            <v>0</v>
          </cell>
          <cell r="M83">
            <v>0</v>
          </cell>
          <cell r="N83">
            <v>0</v>
          </cell>
          <cell r="O83">
            <v>0</v>
          </cell>
          <cell r="P83">
            <v>0</v>
          </cell>
          <cell r="Q83">
            <v>0</v>
          </cell>
        </row>
        <row r="84">
          <cell r="D84" t="str">
            <v>tfr</v>
          </cell>
          <cell r="H84">
            <v>6627057</v>
          </cell>
          <cell r="I84">
            <v>8327578</v>
          </cell>
          <cell r="J84">
            <v>256257920</v>
          </cell>
          <cell r="K84">
            <v>732385152</v>
          </cell>
          <cell r="L84">
            <v>1391531776</v>
          </cell>
          <cell r="M84">
            <v>2087297664</v>
          </cell>
          <cell r="N84">
            <v>2922216704</v>
          </cell>
          <cell r="O84">
            <v>3798881792</v>
          </cell>
          <cell r="P84">
            <v>4558658048</v>
          </cell>
          <cell r="Q84">
            <v>5470389760</v>
          </cell>
        </row>
        <row r="85">
          <cell r="D85" t="str">
            <v>tfc</v>
          </cell>
          <cell r="H85">
            <v>229594784</v>
          </cell>
          <cell r="I85">
            <v>126780208</v>
          </cell>
          <cell r="J85">
            <v>581252224</v>
          </cell>
          <cell r="K85">
            <v>1039360640</v>
          </cell>
          <cell r="L85">
            <v>1302900864</v>
          </cell>
          <cell r="M85">
            <v>1973247616</v>
          </cell>
          <cell r="N85">
            <v>2405667840</v>
          </cell>
          <cell r="O85">
            <v>3159795968</v>
          </cell>
          <cell r="P85">
            <v>3543801344</v>
          </cell>
          <cell r="Q85">
            <v>3958097664</v>
          </cell>
        </row>
        <row r="86">
          <cell r="D86" t="str">
            <v>tci</v>
          </cell>
        </row>
        <row r="87">
          <cell r="D87" t="str">
            <v>tin</v>
          </cell>
          <cell r="H87">
            <v>5.208531379699707</v>
          </cell>
          <cell r="I87">
            <v>7.9465336799621582</v>
          </cell>
          <cell r="J87">
            <v>10.316474914550781</v>
          </cell>
          <cell r="K87">
            <v>10.316474914550781</v>
          </cell>
          <cell r="L87">
            <v>10.316474914550781</v>
          </cell>
          <cell r="M87">
            <v>10.316474914550781</v>
          </cell>
          <cell r="N87">
            <v>11</v>
          </cell>
          <cell r="O87">
            <v>11</v>
          </cell>
          <cell r="P87">
            <v>12</v>
          </cell>
          <cell r="Q87">
            <v>12</v>
          </cell>
        </row>
        <row r="88">
          <cell r="D88" t="str">
            <v>tfo</v>
          </cell>
          <cell r="H88">
            <v>-3761712</v>
          </cell>
          <cell r="I88">
            <v>-3654213</v>
          </cell>
          <cell r="J88">
            <v>-102503168</v>
          </cell>
          <cell r="K88">
            <v>-292954048</v>
          </cell>
          <cell r="L88">
            <v>-556612672</v>
          </cell>
          <cell r="M88">
            <v>-834919040</v>
          </cell>
          <cell r="N88">
            <v>-1168886656</v>
          </cell>
          <cell r="O88">
            <v>-1519552640</v>
          </cell>
          <cell r="P88">
            <v>-1823463168</v>
          </cell>
          <cell r="Q88">
            <v>-2188155904</v>
          </cell>
        </row>
        <row r="89">
          <cell r="D89" t="str">
            <v>tev</v>
          </cell>
          <cell r="H89">
            <v>0.16576781868934631</v>
          </cell>
          <cell r="I89">
            <v>0.13093939423561096</v>
          </cell>
          <cell r="J89">
            <v>0.18545570969581604</v>
          </cell>
          <cell r="K89">
            <v>9.4530105590820313E-2</v>
          </cell>
          <cell r="L89">
            <v>9.7796186804771423E-2</v>
          </cell>
          <cell r="M89">
            <v>0.13761031627655029</v>
          </cell>
          <cell r="N89">
            <v>0.13922296464443207</v>
          </cell>
          <cell r="O89">
            <v>0.10720744729042053</v>
          </cell>
          <cell r="P89">
            <v>6.548820436000824E-2</v>
          </cell>
          <cell r="Q89">
            <v>3.2724451273679733E-2</v>
          </cell>
        </row>
      </sheetData>
      <sheetData sheetId="7" refreshError="1"/>
      <sheetData sheetId="8" refreshError="1"/>
      <sheetData sheetId="9"/>
      <sheetData sheetId="10" refreshError="1"/>
      <sheetData sheetId="11" refreshError="1"/>
      <sheetData sheetId="12"/>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face"/>
      <sheetName val="Summary finl"/>
      <sheetName val="income statement"/>
      <sheetName val="Qtr"/>
      <sheetName val="balance sheet"/>
      <sheetName val="capex"/>
      <sheetName val="Working capital"/>
      <sheetName val="cashflow statem"/>
      <sheetName val="product mix"/>
      <sheetName val="RM and emp cost"/>
      <sheetName val="Other income"/>
      <sheetName val="Order inflow"/>
      <sheetName val="DCF"/>
      <sheetName val="DCF assn"/>
      <sheetName val="Exh XI"/>
      <sheetName val="Exh XII"/>
      <sheetName val="tax"/>
      <sheetName val="Format"/>
      <sheetName val="orders - list"/>
      <sheetName val="raw material co"/>
      <sheetName val="Key Nos Summary"/>
      <sheetName val="sens"/>
      <sheetName val="wage cost calc2"/>
      <sheetName val="VRS"/>
      <sheetName val="backlog breakup"/>
      <sheetName val="dupont"/>
      <sheetName val="wages"/>
      <sheetName val="Sheet1"/>
      <sheetName val="mfd prod"/>
      <sheetName val="Integrated Energy Policy"/>
      <sheetName val="DCF (no wk cap)-Intg Energy Pol"/>
      <sheetName val="exh"/>
      <sheetName val="wage cost calc1"/>
      <sheetName val="DCF (2)"/>
      <sheetName val="vision 2012"/>
      <sheetName val="Rev DCF assn"/>
      <sheetName val="ReverseDCF"/>
      <sheetName val="full model in one sheet"/>
      <sheetName val="model in one sheet"/>
      <sheetName val="DCF (LT)"/>
      <sheetName val="DCF (LT) (2)"/>
      <sheetName val="DCF (no work cap)"/>
      <sheetName val="DCF with equity stakes"/>
      <sheetName val="DCF (no work cap) (2)"/>
      <sheetName val="DCF-surprise"/>
      <sheetName val="BHEL 1"/>
      <sheetName val="Standalone"/>
      <sheetName val="Key"/>
    </sheetNames>
    <sheetDataSet>
      <sheetData sheetId="0">
        <row r="29">
          <cell r="B29" t="str">
            <v>+"As at "&amp;@&lt;&lt;XL&gt;&gt;TEXT($C$26,"MMM YY");As at Jan 00; ERR</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Rep)"/>
      <sheetName val="Template-Q"/>
      <sheetName val="Template"/>
      <sheetName val="Estimates"/>
      <sheetName val="Qtrly"/>
      <sheetName val="Q409"/>
      <sheetName val="Order Track"/>
      <sheetName val="Sheet2"/>
      <sheetName val="Chart"/>
      <sheetName val="Estimates Cons"/>
      <sheetName val="Sheet1"/>
      <sheetName val="Q109"/>
      <sheetName val="Q209"/>
      <sheetName val="Q110"/>
      <sheetName val="Template_Q"/>
      <sheetName val="Uploader"/>
      <sheetName val="RR Sheet"/>
      <sheetName val="Orders"/>
      <sheetName val="Q4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Fin Summ PPT"/>
      <sheetName val="Summary"/>
      <sheetName val="PL"/>
      <sheetName val="BS"/>
      <sheetName val="CF"/>
      <sheetName val="Workings"/>
      <sheetName val="Depn"/>
      <sheetName val="Loan"/>
      <sheetName val="Ratios"/>
      <sheetName val="margins"/>
      <sheetName val="Sheet1"/>
    </sheetNames>
    <sheetDataSet>
      <sheetData sheetId="0" refreshError="1"/>
      <sheetData sheetId="1" refreshError="1"/>
      <sheetData sheetId="2" refreshError="1"/>
      <sheetData sheetId="3" refreshError="1"/>
      <sheetData sheetId="4" refreshError="1"/>
      <sheetData sheetId="5" refreshError="1"/>
      <sheetData sheetId="6" refreshError="1">
        <row r="33">
          <cell r="F33">
            <v>4075.8</v>
          </cell>
          <cell r="G33">
            <v>7911.53</v>
          </cell>
          <cell r="H33">
            <v>13417.675231696137</v>
          </cell>
          <cell r="I33">
            <v>17196.7</v>
          </cell>
          <cell r="J33">
            <v>19690.2215</v>
          </cell>
          <cell r="K33">
            <v>21462.341435000002</v>
          </cell>
        </row>
        <row r="34">
          <cell r="F34">
            <v>0</v>
          </cell>
          <cell r="G34">
            <v>249.3</v>
          </cell>
          <cell r="H34">
            <v>431.29449239067162</v>
          </cell>
          <cell r="I34">
            <v>353.58999999999929</v>
          </cell>
          <cell r="J34">
            <v>403.09259999999915</v>
          </cell>
          <cell r="K34">
            <v>439.37093399999912</v>
          </cell>
        </row>
        <row r="35">
          <cell r="F35">
            <v>0</v>
          </cell>
          <cell r="G35">
            <v>136.87</v>
          </cell>
          <cell r="H35">
            <v>236.78811541721308</v>
          </cell>
          <cell r="I35">
            <v>602.4</v>
          </cell>
          <cell r="J35">
            <v>686.73599999999988</v>
          </cell>
          <cell r="K35">
            <v>748.54223999999988</v>
          </cell>
        </row>
        <row r="36">
          <cell r="G36">
            <v>67.69</v>
          </cell>
          <cell r="H36">
            <v>386.55116049597717</v>
          </cell>
          <cell r="I36">
            <v>260.31</v>
          </cell>
          <cell r="J36">
            <v>296.7534</v>
          </cell>
          <cell r="K36">
            <v>323.461206</v>
          </cell>
        </row>
        <row r="37">
          <cell r="F37">
            <v>171.77</v>
          </cell>
          <cell r="G37">
            <v>268</v>
          </cell>
          <cell r="H37">
            <v>300</v>
          </cell>
          <cell r="I37">
            <v>0</v>
          </cell>
          <cell r="J37">
            <v>0</v>
          </cell>
        </row>
      </sheetData>
      <sheetData sheetId="7" refreshError="1"/>
      <sheetData sheetId="8" refreshError="1"/>
      <sheetData sheetId="9" refreshError="1"/>
      <sheetData sheetId="10" refreshError="1"/>
      <sheetData sheetId="1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q"/>
      <sheetName val="CCCL-qtrlys"/>
      <sheetName val="stdalone, consol"/>
      <sheetName val="Finl summ-ppt"/>
      <sheetName val="cccl-charts"/>
      <sheetName val="revn to est ,actuals vs. est"/>
      <sheetName val="Order information"/>
      <sheetName val="Finl. Summary-FULL"/>
      <sheetName val="Sheet3"/>
      <sheetName val="Fin Summ PPT"/>
      <sheetName val="PL"/>
      <sheetName val="BS"/>
      <sheetName val="CF"/>
      <sheetName val="Workings"/>
      <sheetName val="Depn"/>
      <sheetName val="Loan"/>
      <sheetName val="Ratios"/>
      <sheetName val="margins"/>
      <sheetName val="Sheet1"/>
      <sheetName val="CCCL-qtrlys (2)"/>
      <sheetName val="Standalo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3">
          <cell r="L33">
            <v>28614.393634617754</v>
          </cell>
        </row>
        <row r="34">
          <cell r="L34">
            <v>588.35494282417392</v>
          </cell>
        </row>
        <row r="35">
          <cell r="L35">
            <v>1002.3615417780001</v>
          </cell>
        </row>
        <row r="36">
          <cell r="L36">
            <v>433.14198695257505</v>
          </cell>
        </row>
      </sheetData>
      <sheetData sheetId="14">
        <row r="33">
          <cell r="L33">
            <v>28614.393634617754</v>
          </cell>
        </row>
      </sheetData>
      <sheetData sheetId="15"/>
      <sheetData sheetId="16"/>
      <sheetData sheetId="17"/>
      <sheetData sheetId="18"/>
      <sheetData sheetId="19"/>
      <sheetData sheetId="2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q"/>
      <sheetName val="bgr-charts"/>
      <sheetName val="Financial summary"/>
      <sheetName val="revn to est ,actuals vs. est"/>
      <sheetName val="Quarterly financial results"/>
      <sheetName val="BS"/>
      <sheetName val="PL"/>
      <sheetName val="CF"/>
      <sheetName val="Hist"/>
      <sheetName val="Orders"/>
      <sheetName val="Current Orderbook"/>
    </sheetNames>
    <sheetDataSet>
      <sheetData sheetId="0" refreshError="1"/>
      <sheetData sheetId="1" refreshError="1"/>
      <sheetData sheetId="2" refreshError="1"/>
      <sheetData sheetId="3" refreshError="1"/>
      <sheetData sheetId="4" refreshError="1"/>
      <sheetData sheetId="5" refreshError="1"/>
      <sheetData sheetId="6" refreshError="1">
        <row r="11">
          <cell r="J11">
            <v>27985.504000000001</v>
          </cell>
          <cell r="K11">
            <v>41089.599999999999</v>
          </cell>
          <cell r="L11">
            <v>49887.5</v>
          </cell>
          <cell r="M11">
            <v>30007</v>
          </cell>
          <cell r="N11">
            <v>35149.199999999997</v>
          </cell>
        </row>
      </sheetData>
      <sheetData sheetId="7" refreshError="1"/>
      <sheetData sheetId="8" refreshError="1">
        <row r="12">
          <cell r="C12">
            <v>7751</v>
          </cell>
          <cell r="D12">
            <v>15048.337</v>
          </cell>
          <cell r="E12">
            <v>19220.973999999998</v>
          </cell>
        </row>
      </sheetData>
      <sheetData sheetId="9" refreshError="1"/>
      <sheetData sheetId="1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317TEMP"/>
    </sheetNames>
    <definedNames>
      <definedName name="SalesPrint"/>
      <definedName name="SalesPrintA"/>
    </definedNames>
    <sheetDataSet>
      <sheetData sheetId="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assmp"/>
      <sheetName val="interim (F)"/>
      <sheetName val="fin summary"/>
      <sheetName val="sensitivity"/>
      <sheetName val="IOC yield "/>
      <sheetName val="cap_thru"/>
      <sheetName val="ref price"/>
      <sheetName val="ref sales"/>
      <sheetName val="other sales"/>
      <sheetName val="mkt sales"/>
      <sheetName val="chem prices"/>
      <sheetName val="pipe sales"/>
      <sheetName val="chem sales"/>
      <sheetName val="revenue model"/>
      <sheetName val="crude mix"/>
      <sheetName val="ref costs"/>
      <sheetName val="chem power"/>
      <sheetName val="finstats"/>
      <sheetName val="profit model"/>
      <sheetName val="interim"/>
      <sheetName val="cash model"/>
      <sheetName val="balance model"/>
      <sheetName val="capex_1"/>
      <sheetName val="capex_2"/>
      <sheetName val="capex_brief"/>
      <sheetName val="interest"/>
      <sheetName val="depn"/>
      <sheetName val="tax"/>
      <sheetName val="investment"/>
      <sheetName val="invest_val"/>
      <sheetName val="cons P&amp;L"/>
      <sheetName val="cons cash"/>
      <sheetName val="cons BS"/>
      <sheetName val="cons P&amp;L (F)"/>
      <sheetName val="cons cash (F)"/>
      <sheetName val="cons BS (F)"/>
      <sheetName val="kotak_qrtrly"/>
      <sheetName val="kotakval"/>
      <sheetName val="financial_sheet"/>
      <sheetName val="GQ OLD"/>
      <sheetName val="GQ"/>
      <sheetName val="NoteXpress"/>
      <sheetName val="manager"/>
      <sheetName val="Financials"/>
      <sheetName val=""/>
      <sheetName val="PPT Exhibits"/>
      <sheetName val="Template"/>
      <sheetName val="GUJ"/>
      <sheetName val="Front Page Tables"/>
      <sheetName val="key_assmp"/>
      <sheetName val="fin_summary"/>
      <sheetName val="cons_P&amp;L_(F)"/>
      <sheetName val="cons_cash_(F)"/>
      <sheetName val="cons_BS_(F)"/>
      <sheetName val="IOC_yield_"/>
      <sheetName val="ref_price"/>
      <sheetName val="ref_sales"/>
      <sheetName val="mkt_sales"/>
      <sheetName val="other_sales"/>
      <sheetName val="pipe_sales"/>
      <sheetName val="chem_prices"/>
      <sheetName val="chem_sales"/>
      <sheetName val="revenue_model"/>
      <sheetName val="crude_mix"/>
      <sheetName val="ref_costs"/>
      <sheetName val="chem_power"/>
      <sheetName val="profit_model"/>
      <sheetName val="cash_model"/>
      <sheetName val="balance_model"/>
      <sheetName val="cons_P&amp;L"/>
      <sheetName val="cons_cash"/>
      <sheetName val="cons_BS"/>
      <sheetName val="GQ_OLD"/>
      <sheetName val="interim_(F)"/>
      <sheetName val="Quarterly 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nd alone Main"/>
      <sheetName val="Key Financials(old)"/>
      <sheetName val="Schedules"/>
      <sheetName val="Qtr-Main"/>
      <sheetName val="Earnings Model"/>
      <sheetName val="Fin. Snapshot"/>
      <sheetName val="Qtr-Raw"/>
      <sheetName val="Assumptions "/>
      <sheetName val="Raw"/>
      <sheetName val="Sheet1"/>
      <sheetName val="valuation sheet"/>
      <sheetName val="Debt schedule"/>
      <sheetName val="Sales"/>
      <sheetName val="Consolidation inf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Z"/>
      <sheetName val="BEL &amp; GTE"/>
      <sheetName val="Summary BEL"/>
      <sheetName val="Summary BEL &amp; GTE"/>
      <sheetName val="Consolidated"/>
      <sheetName val="Sum of the Parts"/>
      <sheetName val="Core EV"/>
      <sheetName val="DCF"/>
      <sheetName val="DCF (2) - Don't Use!"/>
      <sheetName val="Revenue Mix"/>
      <sheetName val="Telecom Segment"/>
      <sheetName val="Telecom Operating"/>
      <sheetName val="Bell Atlantic Mobile"/>
      <sheetName val="Global Wireless"/>
      <sheetName val="Directory"/>
      <sheetName val="Summary CF"/>
      <sheetName val="Cash Flows"/>
      <sheetName val="Balance Sheets"/>
      <sheetName val="BEL"/>
      <sheetName val="Valuation"/>
      <sheetName val="Consl. Op Stats Quart  '97-'99"/>
      <sheetName val="Earnings-Reconcil"/>
      <sheetName val="Q. Earnings-Reconcil"/>
      <sheetName val="Q. Selected Fin Op"/>
      <sheetName val="DCF (2)"/>
      <sheetName val="Sheet1"/>
    </sheetNames>
    <sheetDataSet>
      <sheetData sheetId="0"/>
      <sheetData sheetId="1"/>
      <sheetData sheetId="2"/>
      <sheetData sheetId="3"/>
      <sheetData sheetId="4">
        <row r="14">
          <cell r="O14">
            <v>33174</v>
          </cell>
          <cell r="T14">
            <v>35472.307999999997</v>
          </cell>
        </row>
        <row r="34">
          <cell r="O34">
            <v>3.00694883133291</v>
          </cell>
          <cell r="T34">
            <v>3.3528921404493701</v>
          </cell>
        </row>
        <row r="38">
          <cell r="O38">
            <v>14921</v>
          </cell>
          <cell r="T38">
            <v>16471.890584000001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
      <sheetName val="Financials Consol"/>
      <sheetName val="REV.PAT bridge"/>
      <sheetName val="DCF_consolidated"/>
      <sheetName val="Financials SA"/>
      <sheetName val="Consol-SA"/>
      <sheetName val="Working Subsidiaries"/>
      <sheetName val="ATS ELGI"/>
      <sheetName val="DCF"/>
      <sheetName val="Quarterly Temp"/>
      <sheetName val="Quarterly "/>
    </sheetNames>
    <sheetDataSet>
      <sheetData sheetId="0" refreshError="1"/>
      <sheetData sheetId="1">
        <row r="10">
          <cell r="N10">
            <v>5039.1000000000004</v>
          </cell>
        </row>
      </sheetData>
      <sheetData sheetId="2" refreshError="1"/>
      <sheetData sheetId="3">
        <row r="60">
          <cell r="B60">
            <v>5</v>
          </cell>
        </row>
      </sheetData>
      <sheetData sheetId="4">
        <row r="68">
          <cell r="N68">
            <v>125.6</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FDEPS"/>
      <sheetName val="cashflow"/>
      <sheetName val="Details"/>
      <sheetName val="cpd"/>
      <sheetName val="temp"/>
      <sheetName val="ecoprofit"/>
      <sheetName val="DCFModel"/>
      <sheetName val="merged"/>
      <sheetName val="pt"/>
      <sheetName val="Structure"/>
      <sheetName val="Cline"/>
      <sheetName val="Template-Q"/>
      <sheetName val="Input"/>
      <sheetName val="Profile"/>
      <sheetName val="CapEx"/>
      <sheetName val="Capital"/>
      <sheetName val="Debt"/>
      <sheetName val="#ref"/>
      <sheetName val="Income Statement"/>
      <sheetName val="1q98"/>
      <sheetName val="stand alone main"/>
      <sheetName val="Sheet2"/>
      <sheetName val="plold"/>
    </sheetNames>
    <sheetDataSet>
      <sheetData sheetId="0" refreshError="1">
        <row r="39">
          <cell r="D39">
            <v>12</v>
          </cell>
        </row>
        <row r="206">
          <cell r="D206">
            <v>797.33500000000004</v>
          </cell>
          <cell r="E206">
            <v>877.19499999999994</v>
          </cell>
          <cell r="F206">
            <v>1237.9349999999999</v>
          </cell>
          <cell r="G206">
            <v>1315.873</v>
          </cell>
          <cell r="H206">
            <v>2139.3150000000001</v>
          </cell>
          <cell r="I206">
            <v>1715.5650000000001</v>
          </cell>
          <cell r="J206">
            <v>1557.8220000000001</v>
          </cell>
          <cell r="K206">
            <v>1453.8899999999999</v>
          </cell>
          <cell r="L206">
            <v>1232.741</v>
          </cell>
          <cell r="M206">
            <v>1071.7337</v>
          </cell>
          <cell r="N206">
            <v>1133.4463350000001</v>
          </cell>
          <cell r="O206">
            <v>884.63265558561648</v>
          </cell>
        </row>
        <row r="214">
          <cell r="D214">
            <v>0</v>
          </cell>
          <cell r="E214">
            <v>0</v>
          </cell>
          <cell r="F214">
            <v>0</v>
          </cell>
          <cell r="G214">
            <v>0</v>
          </cell>
          <cell r="H214">
            <v>0</v>
          </cell>
          <cell r="I214">
            <v>0</v>
          </cell>
          <cell r="J214">
            <v>0</v>
          </cell>
          <cell r="K214">
            <v>0</v>
          </cell>
          <cell r="L214">
            <v>180.16900000000001</v>
          </cell>
          <cell r="M214">
            <v>180.16900000000001</v>
          </cell>
          <cell r="N214">
            <v>175.34</v>
          </cell>
          <cell r="O214">
            <v>205.34</v>
          </cell>
        </row>
        <row r="225">
          <cell r="D225">
            <v>0</v>
          </cell>
          <cell r="E225">
            <v>0</v>
          </cell>
          <cell r="F225">
            <v>0</v>
          </cell>
          <cell r="G225">
            <v>0</v>
          </cell>
          <cell r="H225">
            <v>0</v>
          </cell>
          <cell r="I225">
            <v>-584.1</v>
          </cell>
          <cell r="J225">
            <v>-416.13400000000001</v>
          </cell>
          <cell r="K225">
            <v>-297.03399999999999</v>
          </cell>
          <cell r="L225">
            <v>-138.23400000000001</v>
          </cell>
          <cell r="M225">
            <v>-106.286</v>
          </cell>
          <cell r="N225">
            <v>129.072</v>
          </cell>
          <cell r="O225">
            <v>129.072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 val="Financials"/>
      <sheetName val="welspunmoti"/>
      <sheetName val="P&amp;L"/>
      <sheetName val="CUS mimic"/>
      <sheetName val="Publish"/>
      <sheetName val="charts &amp; tables"/>
      <sheetName val="Alchemy_4-TAbles"/>
      <sheetName val="Glofame_Cotspin"/>
      <sheetName val="Model_(Not_Merged)"/>
      <sheetName val="Dont_take"/>
      <sheetName val="terry_towels"/>
      <sheetName val="yarn_prices"/>
      <sheetName val="CUS_mimic"/>
      <sheetName val="charts_&amp;_tables"/>
      <sheetName val="Alchemy_4-TAbles1"/>
      <sheetName val="Glofame_Cotspin1"/>
      <sheetName val="Model_(Not_Merged)1"/>
      <sheetName val="Dont_take1"/>
      <sheetName val="terry_towels1"/>
      <sheetName val="yarn_prices1"/>
      <sheetName val="CUS_mimic1"/>
      <sheetName val="charts_&amp;_tabl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Financials"/>
      <sheetName val="Model (Not Merged)"/>
      <sheetName val="Database"/>
      <sheetName val="Operating Statistics"/>
      <sheetName val="Global Assmptions"/>
      <sheetName val="jobhist"/>
      <sheetName val="Quarterly"/>
      <sheetName val="Update"/>
      <sheetName val="Template"/>
      <sheetName val="VALUE2_5"/>
      <sheetName val="Page1"/>
      <sheetName val="SBU"/>
      <sheetName val="xSeries255"/>
      <sheetName val="Model_(Not_Merged)"/>
      <sheetName val="Intro"/>
      <sheetName val="Model_(Not_Merged)1"/>
      <sheetName val="Operating_Statistics"/>
      <sheetName val="Global_Assmptions"/>
      <sheetName val="Model_(Not_Merged)2"/>
      <sheetName val="Operating_Statistics1"/>
      <sheetName val="Global_Assmptions1"/>
      <sheetName val="TB"/>
      <sheetName val="1"/>
      <sheetName val="plold"/>
    </sheetNames>
    <sheetDataSet>
      <sheetData sheetId="0" refreshError="1">
        <row r="16">
          <cell r="E16">
            <v>1996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refreshError="1"/>
      <sheetData sheetId="23" refreshError="1"/>
      <sheetData sheetId="24"/>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ln"/>
      <sheetName val="Summary"/>
      <sheetName val="MoUs"/>
      <sheetName val="Qtry"/>
      <sheetName val="Consol"/>
      <sheetName val="NTPC-ONGCJV"/>
      <sheetName val="for IPRU - NGEL"/>
    </sheetNames>
    <sheetDataSet>
      <sheetData sheetId="0">
        <row r="10">
          <cell r="E10">
            <v>205.48277214604178</v>
          </cell>
        </row>
      </sheetData>
      <sheetData sheetId="1">
        <row r="5">
          <cell r="E5">
            <v>2925</v>
          </cell>
        </row>
      </sheetData>
      <sheetData sheetId="2"/>
      <sheetData sheetId="3">
        <row r="12">
          <cell r="P12">
            <v>6880.6034397548719</v>
          </cell>
        </row>
      </sheetData>
      <sheetData sheetId="4">
        <row r="4">
          <cell r="D4">
            <v>1696.9</v>
          </cell>
        </row>
      </sheetData>
      <sheetData sheetId="5"/>
      <sheetData sheetId="6"/>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ultiple Periods"/>
      <sheetName val="Sheet1"/>
    </sheetNames>
    <sheetDataSet>
      <sheetData sheetId="0" refreshError="1"/>
      <sheetData sheetId="1">
        <row r="14">
          <cell r="U14">
            <v>37816.800000000003</v>
          </cell>
          <cell r="V14">
            <v>69856.533333333326</v>
          </cell>
          <cell r="W14">
            <v>95602.61538461539</v>
          </cell>
        </row>
        <row r="26">
          <cell r="U26">
            <v>7696.7394159860232</v>
          </cell>
          <cell r="V26">
            <v>14101.157983308798</v>
          </cell>
          <cell r="W26">
            <v>19495.896837676086</v>
          </cell>
        </row>
        <row r="28">
          <cell r="U28">
            <v>31581.8</v>
          </cell>
          <cell r="V28">
            <v>59535.666666666664</v>
          </cell>
          <cell r="W28">
            <v>81852.357142857145</v>
          </cell>
        </row>
        <row r="32">
          <cell r="U32">
            <v>17153.03719338002</v>
          </cell>
          <cell r="V32">
            <v>28234.250566616542</v>
          </cell>
          <cell r="W32">
            <v>37833.530982041964</v>
          </cell>
        </row>
        <row r="33">
          <cell r="U33">
            <v>-4937.7467870458795</v>
          </cell>
          <cell r="V33">
            <v>-5359.8467473618166</v>
          </cell>
          <cell r="W33">
            <v>-5610.8568892194598</v>
          </cell>
        </row>
        <row r="43">
          <cell r="U43">
            <v>8163.1333333333332</v>
          </cell>
          <cell r="V43">
            <v>16047.133333333333</v>
          </cell>
          <cell r="W43">
            <v>22406.76923076923</v>
          </cell>
        </row>
        <row r="129">
          <cell r="U129">
            <v>-162186.15846175002</v>
          </cell>
          <cell r="V129">
            <v>-179571.70676946902</v>
          </cell>
          <cell r="W129">
            <v>-117350.27981803277</v>
          </cell>
        </row>
      </sheetData>
    </sheetDataSet>
  </externalBook>
</externalLink>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en-IN</v>
    <v>cf6bgh</v>
    <v>268435456</v>
    <v>1</v>
    <v>Powered by Refinitiv</v>
    <v>0</v>
    <v>ACME SOLAR HOLDINGS LIMITED (XBOM:544283)</v>
    <v>2</v>
    <v>3</v>
    <v>Finance</v>
    <v>4</v>
    <v>476.4</v>
    <v>195.65</v>
    <v>0.39400000000000002</v>
    <v>-14.75</v>
    <v>-3.8054999999999999E-2</v>
    <v>INR</v>
    <v>ACME Solar Holdings Limited is an India-based integrated renewable energy player with a diversified portfolio spanning solar, wind, storage, FDRE and hybrid solutions. The Company develops, builds, owns, operates and maintains utility-scale renewable energy projects and sells renewable power to various off-takers, including central and state government-backed entities. The Company also acts as owners, manufacturers, engineers, procurers, buyers, sellers, distributors, dealers and contractors for setting up power plants using glass-based mirrors, photovoltaic, boilers, turbines and/or other equipment for generating, distributing and supplying sources of electricity and other products using solar, fossil and alternate source of energy. Its portfolio includes ACME Solar Technologies (Gujarat) Private Limited, ACME Odisha Solar Power Private Limited, Acme Raipur Solar Power Private Limited, Aarohi Solar Power Private Limited, ACME Eco Clean Energy Private Limited, and others.</v>
    <v>947</v>
    <v>Bombay Stock Exchange</v>
    <v>XBOM</v>
    <v>XBOM</v>
    <v>Plot No. 152, Sector-44, GURGAON, HARYANA, 122002 IN</v>
    <v>387.4</v>
    <v>Electrical Utilities &amp; IPPs</v>
    <v>Stock</v>
    <v>46318.662997685184</v>
    <v>368.05</v>
    <v>ACME SOLAR HOLDINGS LIMITED</v>
    <v>ACME SOLAR HOLDINGS LIMITED</v>
    <v>386.15</v>
    <v>39.58</v>
    <v>387.6</v>
    <v>372.85</v>
    <v>705984700</v>
    <v>544283</v>
    <v>ACME SOLAR HOLDINGS LIMITED (XBOM:544283)</v>
    <v>59845</v>
    <v>778910</v>
    <v>2015</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Beta</v>
      <v t="s">P/E</v>
      <v t="s">Shares outstanding</v>
      <v t="s">Description</v>
      <v t="s">Employees</v>
      <v t="s">Headquarters</v>
      <v t="s">Industry</v>
      <v t="s">Instrument type</v>
      <v t="s">Year incorporated</v>
      <v t="s">_Flags</v>
      <v t="s">UniqueName</v>
      <v t="s">_DisplayString</v>
      <v t="s">ExchangeID</v>
      <v t="s">%ProviderInfo</v>
    </a>
  </spbArrays>
  <spbData count="5">
    <spb s="0">
      <v>0</v>
      <v>Name</v>
    </spb>
    <spb s="1">
      <v>0</v>
      <v>0</v>
      <v>0</v>
    </spb>
    <spb s="2">
      <v>1</v>
      <v>1</v>
      <v>1</v>
    </spb>
    <spb s="3">
      <v>1</v>
      <v>2</v>
      <v>2</v>
      <v>1</v>
      <v>3</v>
      <v>1</v>
      <v>1</v>
      <v>1</v>
      <v>4</v>
      <v>4</v>
      <v>5</v>
      <v>1</v>
      <v>1</v>
      <v>1</v>
      <v>4</v>
      <v>6</v>
      <v>7</v>
      <v>8</v>
      <v>4</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ExchangeID" t="spb"/>
    <k n="UniqueName" t="spb"/>
    <k n="`%ProviderInfo" t="spb"/>
  </s>
  <s>
    <k n="Low" t="i"/>
    <k n="P/E" t="i"/>
    <k n="Beta" t="i"/>
    <k n="High" t="i"/>
    <k n="Name" t="i"/>
    <k n="Open" t="i"/>
    <k n="Price" t="i"/>
    <k n="Change" t="i"/>
    <k n="Volume" t="i"/>
    <k n="Employees" t="i"/>
    <k n="Change (%)"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1" formatCode="0"/>
    </x:dxf>
    <x:dxf>
      <x:numFmt numFmtId="2" formatCode="0.00"/>
    </x:dxf>
    <x:dxf>
      <x:numFmt numFmtId="27" formatCode="dd/mm/yyyy\ hh:mm"/>
    </x:dxf>
  </dxfs>
  <richProperties>
    <rPr n="NumberFormat" t="s"/>
    <rPr n="IsTitleField" t="b"/>
  </richProperties>
  <richStyles>
    <rSty dxfid="0">
      <rpv i="0" xml:space="preserve">_ [$₹-as-IN] * #,##0.00_ ;_ [$₹-as-IN] * -#,##0.00_ ;_ [$₹-as-IN] * "-"??_ ;_ @_ </rpv>
    </rSty>
    <rSty dxfid="1">
      <rpv i="0">#,##0.00</rpv>
    </rSty>
    <rSty>
      <rpv i="1">1</rpv>
    </rSty>
    <rSty dxfid="2">
      <rpv i="0">#,##0</rpv>
    </rSty>
    <rSty dxfid="3"/>
    <rSty dxfid="6"/>
    <rSty dxfid="4">
      <rpv i="0">0</rpv>
    </rSty>
    <rSty dxfid="5">
      <rpv i="0">0.00</rpv>
    </rSty>
  </richStyles>
</richStyleSheet>
</file>

<file path=xl/theme/theme1.xml><?xml version="1.0" encoding="utf-8"?>
<a:theme xmlns:a="http://schemas.openxmlformats.org/drawingml/2006/main" name="Office Theme">
  <a:themeElements>
    <a:clrScheme name="Spark New Colors">
      <a:dk1>
        <a:srgbClr val="000000"/>
      </a:dk1>
      <a:lt1>
        <a:srgbClr val="FFFFFF"/>
      </a:lt1>
      <a:dk2>
        <a:srgbClr val="000000"/>
      </a:dk2>
      <a:lt2>
        <a:srgbClr val="4D4D4D"/>
      </a:lt2>
      <a:accent1>
        <a:srgbClr val="336699"/>
      </a:accent1>
      <a:accent2>
        <a:srgbClr val="0EAFE2"/>
      </a:accent2>
      <a:accent3>
        <a:srgbClr val="0A83A9"/>
      </a:accent3>
      <a:accent4>
        <a:srgbClr val="4D4D4D"/>
      </a:accent4>
      <a:accent5>
        <a:srgbClr val="999999"/>
      </a:accent5>
      <a:accent6>
        <a:srgbClr val="75A3D1"/>
      </a:accent6>
      <a:hlink>
        <a:srgbClr val="000000"/>
      </a:hlink>
      <a:folHlink>
        <a:srgbClr val="4D4D4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7333A6-8E3F-4332-AC2C-6E71C29A6950}">
  <we:reference id="WA200009404" version="1.0.0.8" store="Omex" storeType="OMEX"/>
  <we:alternateReferences>
    <we:reference id="WA200009404" version="1.0.0.8" store="WA200009404" storeType="OMEX"/>
  </we:alternateReferences>
  <we:properties>
    <we:property name="claude.fileId" value="&quot;4aa39410-60fa-4ff0-80c0-c23c3db5f89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mercomindia.com/acme-and-ceigall-win-rumsls-600-mw-solar-plus-storage-auction"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F0679-6EAD-402C-8768-BFABDD222337}">
  <dimension ref="A2:K110"/>
  <sheetViews>
    <sheetView showGridLines="0" zoomScaleNormal="100" workbookViewId="0">
      <selection activeCell="K1" sqref="K1"/>
    </sheetView>
  </sheetViews>
  <sheetFormatPr defaultColWidth="12.85546875" defaultRowHeight="12" x14ac:dyDescent="0.2"/>
  <cols>
    <col min="1" max="1" width="12.85546875" style="1"/>
    <col min="2" max="2" width="41.85546875" style="1" bestFit="1" customWidth="1"/>
    <col min="3" max="11" width="15.85546875" style="1" customWidth="1"/>
    <col min="12" max="16384" width="12.85546875" style="1"/>
  </cols>
  <sheetData>
    <row r="2" spans="2:11" x14ac:dyDescent="0.2">
      <c r="B2" s="287" t="s">
        <v>147</v>
      </c>
      <c r="C2" s="287" t="s">
        <v>234</v>
      </c>
      <c r="D2" s="287" t="s">
        <v>155</v>
      </c>
      <c r="E2" s="287" t="s">
        <v>139</v>
      </c>
      <c r="F2" s="287" t="s">
        <v>156</v>
      </c>
      <c r="G2" s="287" t="s">
        <v>157</v>
      </c>
      <c r="H2" s="287" t="s">
        <v>158</v>
      </c>
      <c r="I2" s="288" t="s">
        <v>159</v>
      </c>
      <c r="J2" s="287" t="s">
        <v>160</v>
      </c>
      <c r="K2" s="288" t="s">
        <v>266</v>
      </c>
    </row>
    <row r="3" spans="2:11" x14ac:dyDescent="0.2">
      <c r="B3" s="1" t="s">
        <v>161</v>
      </c>
      <c r="C3" s="1" t="s">
        <v>235</v>
      </c>
      <c r="D3" s="1" t="s">
        <v>177</v>
      </c>
      <c r="E3" s="1" t="s">
        <v>140</v>
      </c>
      <c r="F3" s="1">
        <v>15</v>
      </c>
      <c r="G3" s="1" t="s">
        <v>184</v>
      </c>
      <c r="H3" s="75">
        <v>5</v>
      </c>
      <c r="I3" s="286">
        <v>40969</v>
      </c>
      <c r="J3" s="1">
        <v>25</v>
      </c>
      <c r="K3" s="286"/>
    </row>
    <row r="4" spans="2:11" x14ac:dyDescent="0.2">
      <c r="B4" s="1" t="s">
        <v>148</v>
      </c>
      <c r="C4" s="1" t="s">
        <v>235</v>
      </c>
      <c r="D4" s="1" t="s">
        <v>183</v>
      </c>
      <c r="E4" s="1" t="s">
        <v>140</v>
      </c>
      <c r="F4" s="1">
        <v>25</v>
      </c>
      <c r="G4" s="1" t="s">
        <v>185</v>
      </c>
      <c r="H4" s="75">
        <v>8.0500000000000007</v>
      </c>
      <c r="I4" s="286">
        <v>41670</v>
      </c>
      <c r="J4" s="1">
        <v>25</v>
      </c>
      <c r="K4" s="286"/>
    </row>
    <row r="5" spans="2:11" x14ac:dyDescent="0.2">
      <c r="B5" s="1" t="s">
        <v>162</v>
      </c>
      <c r="C5" s="1" t="s">
        <v>235</v>
      </c>
      <c r="D5" s="1" t="s">
        <v>178</v>
      </c>
      <c r="E5" s="1" t="s">
        <v>140</v>
      </c>
      <c r="F5" s="1">
        <v>25</v>
      </c>
      <c r="G5" s="1" t="s">
        <v>157</v>
      </c>
      <c r="H5" s="75">
        <v>7.28</v>
      </c>
      <c r="I5" s="286">
        <v>42156</v>
      </c>
      <c r="J5" s="1">
        <v>25</v>
      </c>
      <c r="K5" s="286"/>
    </row>
    <row r="6" spans="2:11" x14ac:dyDescent="0.2">
      <c r="B6" s="1" t="s">
        <v>163</v>
      </c>
      <c r="C6" s="1" t="s">
        <v>235</v>
      </c>
      <c r="D6" s="1" t="s">
        <v>179</v>
      </c>
      <c r="E6" s="1" t="s">
        <v>140</v>
      </c>
      <c r="F6" s="1">
        <v>30</v>
      </c>
      <c r="G6" s="1" t="s">
        <v>186</v>
      </c>
      <c r="H6" s="75">
        <v>6.46</v>
      </c>
      <c r="I6" s="286">
        <v>42460</v>
      </c>
      <c r="J6" s="1">
        <v>25</v>
      </c>
      <c r="K6" s="286"/>
    </row>
    <row r="7" spans="2:11" x14ac:dyDescent="0.2">
      <c r="B7" s="1" t="s">
        <v>164</v>
      </c>
      <c r="C7" s="1" t="s">
        <v>235</v>
      </c>
      <c r="D7" s="1" t="s">
        <v>180</v>
      </c>
      <c r="E7" s="1" t="s">
        <v>140</v>
      </c>
      <c r="F7" s="1">
        <v>30</v>
      </c>
      <c r="G7" s="1" t="s">
        <v>187</v>
      </c>
      <c r="H7" s="75">
        <v>7.57</v>
      </c>
      <c r="I7" s="286">
        <v>42521</v>
      </c>
      <c r="J7" s="1">
        <v>25</v>
      </c>
      <c r="K7" s="286"/>
    </row>
    <row r="8" spans="2:11" x14ac:dyDescent="0.2">
      <c r="B8" s="1" t="s">
        <v>149</v>
      </c>
      <c r="C8" s="1" t="s">
        <v>235</v>
      </c>
      <c r="D8" s="1" t="s">
        <v>150</v>
      </c>
      <c r="E8" s="1" t="s">
        <v>140</v>
      </c>
      <c r="F8" s="1">
        <v>50</v>
      </c>
      <c r="G8" s="1" t="s">
        <v>188</v>
      </c>
      <c r="H8" s="75">
        <v>5.63</v>
      </c>
      <c r="I8" s="286">
        <v>42460</v>
      </c>
      <c r="J8" s="1">
        <v>25</v>
      </c>
      <c r="K8" s="286"/>
    </row>
    <row r="9" spans="2:11" x14ac:dyDescent="0.2">
      <c r="B9" s="1" t="s">
        <v>165</v>
      </c>
      <c r="C9" s="1" t="s">
        <v>235</v>
      </c>
      <c r="D9" s="1" t="s">
        <v>150</v>
      </c>
      <c r="E9" s="1" t="s">
        <v>140</v>
      </c>
      <c r="F9" s="1">
        <v>20</v>
      </c>
      <c r="G9" s="1" t="s">
        <v>188</v>
      </c>
      <c r="H9" s="75">
        <v>5.63</v>
      </c>
      <c r="I9" s="286">
        <v>42521</v>
      </c>
      <c r="J9" s="1">
        <v>25</v>
      </c>
      <c r="K9" s="286"/>
    </row>
    <row r="10" spans="2:11" x14ac:dyDescent="0.2">
      <c r="B10" s="1" t="s">
        <v>166</v>
      </c>
      <c r="C10" s="1" t="s">
        <v>235</v>
      </c>
      <c r="D10" s="1" t="s">
        <v>150</v>
      </c>
      <c r="E10" s="1" t="s">
        <v>140</v>
      </c>
      <c r="F10" s="1">
        <v>40</v>
      </c>
      <c r="G10" s="1" t="s">
        <v>188</v>
      </c>
      <c r="H10" s="75">
        <v>5.97</v>
      </c>
      <c r="I10" s="286">
        <v>42490</v>
      </c>
      <c r="J10" s="1">
        <v>25</v>
      </c>
      <c r="K10" s="286"/>
    </row>
    <row r="11" spans="2:11" x14ac:dyDescent="0.2">
      <c r="B11" s="1" t="s">
        <v>167</v>
      </c>
      <c r="C11" s="1" t="s">
        <v>235</v>
      </c>
      <c r="D11" s="1" t="s">
        <v>150</v>
      </c>
      <c r="E11" s="1" t="s">
        <v>140</v>
      </c>
      <c r="F11" s="1">
        <v>20</v>
      </c>
      <c r="G11" s="1" t="s">
        <v>188</v>
      </c>
      <c r="H11" s="75">
        <v>5.71</v>
      </c>
      <c r="I11" s="286">
        <v>42460</v>
      </c>
      <c r="J11" s="1">
        <v>25</v>
      </c>
      <c r="K11" s="286"/>
    </row>
    <row r="12" spans="2:11" x14ac:dyDescent="0.2">
      <c r="B12" s="1" t="s">
        <v>168</v>
      </c>
      <c r="C12" s="1" t="s">
        <v>235</v>
      </c>
      <c r="D12" s="1" t="s">
        <v>150</v>
      </c>
      <c r="E12" s="1" t="s">
        <v>140</v>
      </c>
      <c r="F12" s="1">
        <v>30</v>
      </c>
      <c r="G12" s="1" t="s">
        <v>188</v>
      </c>
      <c r="H12" s="75">
        <v>5.71</v>
      </c>
      <c r="I12" s="286">
        <v>42490</v>
      </c>
      <c r="J12" s="1">
        <v>25</v>
      </c>
      <c r="K12" s="286"/>
    </row>
    <row r="13" spans="2:11" x14ac:dyDescent="0.2">
      <c r="B13" s="1" t="s">
        <v>151</v>
      </c>
      <c r="C13" s="1" t="s">
        <v>235</v>
      </c>
      <c r="D13" s="1" t="s">
        <v>152</v>
      </c>
      <c r="E13" s="1" t="s">
        <v>140</v>
      </c>
      <c r="F13" s="1">
        <v>10</v>
      </c>
      <c r="G13" s="1" t="s">
        <v>189</v>
      </c>
      <c r="H13" s="75">
        <v>8.73</v>
      </c>
      <c r="I13" s="286">
        <v>42551</v>
      </c>
      <c r="J13" s="1">
        <v>25</v>
      </c>
      <c r="K13" s="286"/>
    </row>
    <row r="14" spans="2:11" x14ac:dyDescent="0.2">
      <c r="B14" s="1" t="s">
        <v>169</v>
      </c>
      <c r="C14" s="1" t="s">
        <v>235</v>
      </c>
      <c r="D14" s="1" t="s">
        <v>152</v>
      </c>
      <c r="E14" s="1" t="s">
        <v>140</v>
      </c>
      <c r="F14" s="1">
        <v>15</v>
      </c>
      <c r="G14" s="1" t="s">
        <v>189</v>
      </c>
      <c r="H14" s="75">
        <v>8.73</v>
      </c>
      <c r="I14" s="286">
        <v>42551</v>
      </c>
      <c r="J14" s="1">
        <v>25</v>
      </c>
      <c r="K14" s="286"/>
    </row>
    <row r="15" spans="2:11" x14ac:dyDescent="0.2">
      <c r="B15" s="1" t="s">
        <v>153</v>
      </c>
      <c r="C15" s="1" t="s">
        <v>235</v>
      </c>
      <c r="D15" s="1" t="s">
        <v>154</v>
      </c>
      <c r="E15" s="1" t="s">
        <v>140</v>
      </c>
      <c r="F15" s="1">
        <v>30</v>
      </c>
      <c r="G15" s="1" t="s">
        <v>190</v>
      </c>
      <c r="H15" s="75">
        <v>6.8479999999999999</v>
      </c>
      <c r="I15" s="286">
        <v>42581</v>
      </c>
      <c r="J15" s="1">
        <v>25</v>
      </c>
      <c r="K15" s="286"/>
    </row>
    <row r="16" spans="2:11" x14ac:dyDescent="0.2">
      <c r="B16" s="1" t="s">
        <v>170</v>
      </c>
      <c r="C16" s="1" t="s">
        <v>235</v>
      </c>
      <c r="D16" s="1" t="s">
        <v>154</v>
      </c>
      <c r="E16" s="1" t="s">
        <v>140</v>
      </c>
      <c r="F16" s="1">
        <v>50</v>
      </c>
      <c r="G16" s="1" t="s">
        <v>190</v>
      </c>
      <c r="H16" s="75">
        <v>6.7370000000000001</v>
      </c>
      <c r="I16" s="286">
        <v>42612</v>
      </c>
      <c r="J16" s="1">
        <v>25</v>
      </c>
      <c r="K16" s="286"/>
    </row>
    <row r="17" spans="2:11" x14ac:dyDescent="0.2">
      <c r="B17" s="1" t="s">
        <v>171</v>
      </c>
      <c r="C17" s="1" t="s">
        <v>235</v>
      </c>
      <c r="D17" s="1" t="s">
        <v>154</v>
      </c>
      <c r="E17" s="1" t="s">
        <v>140</v>
      </c>
      <c r="F17" s="1">
        <v>50</v>
      </c>
      <c r="G17" s="1" t="s">
        <v>191</v>
      </c>
      <c r="H17" s="75">
        <v>5.5949999999999998</v>
      </c>
      <c r="I17" s="286">
        <v>42977</v>
      </c>
      <c r="J17" s="1">
        <v>25</v>
      </c>
      <c r="K17" s="286"/>
    </row>
    <row r="18" spans="2:11" x14ac:dyDescent="0.2">
      <c r="B18" s="1" t="s">
        <v>172</v>
      </c>
      <c r="C18" s="1" t="s">
        <v>235</v>
      </c>
      <c r="D18" s="1" t="s">
        <v>154</v>
      </c>
      <c r="E18" s="1" t="s">
        <v>140</v>
      </c>
      <c r="F18" s="1">
        <v>50</v>
      </c>
      <c r="G18" s="1" t="s">
        <v>191</v>
      </c>
      <c r="H18" s="75">
        <v>5.59</v>
      </c>
      <c r="I18" s="286">
        <v>43159</v>
      </c>
      <c r="J18" s="1">
        <v>25</v>
      </c>
      <c r="K18" s="286"/>
    </row>
    <row r="19" spans="2:11" x14ac:dyDescent="0.2">
      <c r="B19" s="1" t="s">
        <v>173</v>
      </c>
      <c r="C19" s="1" t="s">
        <v>235</v>
      </c>
      <c r="D19" s="1" t="s">
        <v>154</v>
      </c>
      <c r="E19" s="1" t="s">
        <v>140</v>
      </c>
      <c r="F19" s="1">
        <v>20</v>
      </c>
      <c r="G19" s="1" t="s">
        <v>192</v>
      </c>
      <c r="H19" s="75">
        <v>4.67</v>
      </c>
      <c r="I19" s="286">
        <v>43008</v>
      </c>
      <c r="J19" s="1">
        <v>25</v>
      </c>
      <c r="K19" s="286"/>
    </row>
    <row r="20" spans="2:11" x14ac:dyDescent="0.2">
      <c r="B20" s="1" t="s">
        <v>174</v>
      </c>
      <c r="C20" s="1" t="s">
        <v>235</v>
      </c>
      <c r="D20" s="1" t="s">
        <v>154</v>
      </c>
      <c r="E20" s="1" t="s">
        <v>140</v>
      </c>
      <c r="F20" s="1">
        <v>30</v>
      </c>
      <c r="G20" s="1" t="s">
        <v>192</v>
      </c>
      <c r="H20" s="75">
        <v>4.67</v>
      </c>
      <c r="I20" s="286">
        <v>43008</v>
      </c>
      <c r="J20" s="1">
        <v>25</v>
      </c>
      <c r="K20" s="286"/>
    </row>
    <row r="21" spans="2:11" x14ac:dyDescent="0.2">
      <c r="B21" s="1" t="s">
        <v>175</v>
      </c>
      <c r="C21" s="1" t="s">
        <v>235</v>
      </c>
      <c r="D21" s="1" t="s">
        <v>181</v>
      </c>
      <c r="E21" s="1" t="s">
        <v>140</v>
      </c>
      <c r="F21" s="1">
        <v>30</v>
      </c>
      <c r="G21" s="1" t="s">
        <v>193</v>
      </c>
      <c r="H21" s="75">
        <v>8.93</v>
      </c>
      <c r="I21" s="286">
        <v>42643</v>
      </c>
      <c r="J21" s="1">
        <v>25</v>
      </c>
      <c r="K21" s="286"/>
    </row>
    <row r="22" spans="2:11" x14ac:dyDescent="0.2">
      <c r="B22" s="1" t="s">
        <v>176</v>
      </c>
      <c r="C22" s="1" t="s">
        <v>235</v>
      </c>
      <c r="D22" s="1" t="s">
        <v>182</v>
      </c>
      <c r="E22" s="1" t="s">
        <v>140</v>
      </c>
      <c r="F22" s="1">
        <v>20</v>
      </c>
      <c r="G22" s="1" t="s">
        <v>194</v>
      </c>
      <c r="H22" s="75">
        <v>2.97</v>
      </c>
      <c r="I22" s="286">
        <v>43768</v>
      </c>
      <c r="J22" s="1">
        <v>25</v>
      </c>
      <c r="K22" s="286"/>
    </row>
    <row r="23" spans="2:11" x14ac:dyDescent="0.2">
      <c r="B23" s="1" t="s">
        <v>196</v>
      </c>
      <c r="C23" s="1" t="s">
        <v>235</v>
      </c>
      <c r="D23" s="1" t="s">
        <v>200</v>
      </c>
      <c r="E23" s="1" t="s">
        <v>140</v>
      </c>
      <c r="F23" s="1">
        <v>100</v>
      </c>
      <c r="G23" s="1" t="s">
        <v>144</v>
      </c>
      <c r="H23" s="75">
        <v>2.44</v>
      </c>
      <c r="I23" s="286">
        <v>43373</v>
      </c>
      <c r="J23" s="1">
        <v>25</v>
      </c>
      <c r="K23" s="286"/>
    </row>
    <row r="24" spans="2:11" x14ac:dyDescent="0.2">
      <c r="B24" s="1" t="s">
        <v>197</v>
      </c>
      <c r="C24" s="1" t="s">
        <v>235</v>
      </c>
      <c r="D24" s="1" t="s">
        <v>200</v>
      </c>
      <c r="E24" s="1" t="s">
        <v>140</v>
      </c>
      <c r="F24" s="1">
        <v>100</v>
      </c>
      <c r="G24" s="1" t="s">
        <v>144</v>
      </c>
      <c r="H24" s="75">
        <v>2.44</v>
      </c>
      <c r="I24" s="286">
        <v>43403</v>
      </c>
      <c r="J24" s="1">
        <v>25</v>
      </c>
      <c r="K24" s="286"/>
    </row>
    <row r="25" spans="2:11" x14ac:dyDescent="0.2">
      <c r="B25" s="1" t="s">
        <v>198</v>
      </c>
      <c r="C25" s="1" t="s">
        <v>235</v>
      </c>
      <c r="D25" s="1" t="s">
        <v>200</v>
      </c>
      <c r="E25" s="1" t="s">
        <v>140</v>
      </c>
      <c r="F25" s="1">
        <v>300</v>
      </c>
      <c r="G25" s="1" t="s">
        <v>201</v>
      </c>
      <c r="H25" s="75">
        <v>2.74</v>
      </c>
      <c r="I25" s="286">
        <v>44711</v>
      </c>
      <c r="J25" s="1">
        <v>25</v>
      </c>
      <c r="K25" s="286"/>
    </row>
    <row r="26" spans="2:11" x14ac:dyDescent="0.2">
      <c r="B26" s="1" t="s">
        <v>199</v>
      </c>
      <c r="C26" s="1" t="s">
        <v>235</v>
      </c>
      <c r="D26" s="1" t="s">
        <v>200</v>
      </c>
      <c r="E26" s="1" t="s">
        <v>140</v>
      </c>
      <c r="F26" s="1">
        <v>250</v>
      </c>
      <c r="G26" s="1" t="s">
        <v>144</v>
      </c>
      <c r="H26" s="75">
        <v>2.48</v>
      </c>
      <c r="I26" s="286">
        <v>45322</v>
      </c>
      <c r="J26" s="1">
        <v>25</v>
      </c>
      <c r="K26" s="286"/>
    </row>
    <row r="27" spans="2:11" x14ac:dyDescent="0.2">
      <c r="B27" s="1" t="s">
        <v>143</v>
      </c>
      <c r="C27" s="1" t="s">
        <v>235</v>
      </c>
      <c r="D27" s="1" t="s">
        <v>200</v>
      </c>
      <c r="E27" s="1" t="s">
        <v>140</v>
      </c>
      <c r="F27" s="1">
        <v>300</v>
      </c>
      <c r="G27" s="1" t="s">
        <v>144</v>
      </c>
      <c r="H27" s="75">
        <v>2.44</v>
      </c>
      <c r="I27" s="286">
        <v>45596</v>
      </c>
      <c r="J27" s="1">
        <v>25</v>
      </c>
      <c r="K27" s="286"/>
    </row>
    <row r="28" spans="2:11" x14ac:dyDescent="0.2">
      <c r="B28" s="1" t="s">
        <v>142</v>
      </c>
      <c r="C28" s="1" t="s">
        <v>235</v>
      </c>
      <c r="D28" s="1" t="s">
        <v>200</v>
      </c>
      <c r="E28" s="1" t="s">
        <v>140</v>
      </c>
      <c r="F28" s="1">
        <v>300</v>
      </c>
      <c r="G28" s="1" t="s">
        <v>144</v>
      </c>
      <c r="H28" s="75">
        <v>2.44</v>
      </c>
      <c r="I28" s="286">
        <v>45596</v>
      </c>
      <c r="J28" s="1">
        <v>25</v>
      </c>
      <c r="K28" s="286"/>
    </row>
    <row r="29" spans="2:11" x14ac:dyDescent="0.2">
      <c r="B29" s="1" t="s">
        <v>145</v>
      </c>
      <c r="C29" s="1" t="s">
        <v>235</v>
      </c>
      <c r="D29" s="1" t="s">
        <v>200</v>
      </c>
      <c r="E29" s="1" t="s">
        <v>140</v>
      </c>
      <c r="F29" s="1">
        <v>300</v>
      </c>
      <c r="G29" s="1" t="s">
        <v>144</v>
      </c>
      <c r="H29" s="75">
        <v>2.44</v>
      </c>
      <c r="I29" s="286">
        <v>45596</v>
      </c>
      <c r="J29" s="1">
        <v>25</v>
      </c>
      <c r="K29" s="286"/>
    </row>
    <row r="30" spans="2:11" x14ac:dyDescent="0.2">
      <c r="B30" s="1" t="s">
        <v>146</v>
      </c>
      <c r="C30" s="1" t="s">
        <v>235</v>
      </c>
      <c r="D30" s="1" t="s">
        <v>200</v>
      </c>
      <c r="E30" s="1" t="s">
        <v>140</v>
      </c>
      <c r="F30" s="1">
        <v>300</v>
      </c>
      <c r="G30" s="1" t="s">
        <v>144</v>
      </c>
      <c r="H30" s="75">
        <v>2.44</v>
      </c>
      <c r="I30" s="286">
        <v>45596</v>
      </c>
      <c r="J30" s="1">
        <v>25</v>
      </c>
      <c r="K30" s="286"/>
    </row>
    <row r="31" spans="2:11" x14ac:dyDescent="0.2">
      <c r="B31" s="1" t="s">
        <v>359</v>
      </c>
      <c r="C31" s="1" t="s">
        <v>235</v>
      </c>
      <c r="D31" s="1" t="s">
        <v>200</v>
      </c>
      <c r="E31" s="1" t="s">
        <v>140</v>
      </c>
      <c r="F31" s="1">
        <v>300</v>
      </c>
      <c r="G31" s="1" t="s">
        <v>144</v>
      </c>
      <c r="H31" s="75">
        <v>3.05</v>
      </c>
      <c r="I31" s="286">
        <v>45792</v>
      </c>
      <c r="J31" s="1">
        <v>25</v>
      </c>
      <c r="K31" s="286"/>
    </row>
    <row r="32" spans="2:11" x14ac:dyDescent="0.2">
      <c r="B32" s="1" t="s">
        <v>203</v>
      </c>
      <c r="C32" s="1" t="s">
        <v>235</v>
      </c>
      <c r="D32" s="1" t="s">
        <v>177</v>
      </c>
      <c r="E32" s="1" t="s">
        <v>214</v>
      </c>
      <c r="F32" s="1">
        <v>50</v>
      </c>
      <c r="G32" s="1" t="s">
        <v>184</v>
      </c>
      <c r="H32" s="75">
        <v>2.9</v>
      </c>
      <c r="I32" s="286">
        <v>45792</v>
      </c>
      <c r="J32" s="1">
        <v>25</v>
      </c>
      <c r="K32" s="286"/>
    </row>
    <row r="33" spans="1:11" x14ac:dyDescent="0.2">
      <c r="B33" s="1" t="s">
        <v>487</v>
      </c>
      <c r="C33" s="1" t="s">
        <v>235</v>
      </c>
      <c r="D33" s="1" t="s">
        <v>177</v>
      </c>
      <c r="E33" s="1" t="s">
        <v>214</v>
      </c>
      <c r="F33" s="1">
        <v>72</v>
      </c>
      <c r="G33" s="1" t="s">
        <v>184</v>
      </c>
      <c r="H33" s="75">
        <v>3.01</v>
      </c>
      <c r="I33" s="286">
        <v>45945</v>
      </c>
      <c r="J33" s="1">
        <v>25</v>
      </c>
      <c r="K33" s="286"/>
    </row>
    <row r="34" spans="1:11" x14ac:dyDescent="0.2">
      <c r="B34" s="1" t="s">
        <v>204</v>
      </c>
      <c r="C34" s="1" t="s">
        <v>264</v>
      </c>
      <c r="E34" s="1" t="s">
        <v>214</v>
      </c>
      <c r="F34" s="1">
        <v>28</v>
      </c>
      <c r="G34" s="1" t="s">
        <v>184</v>
      </c>
      <c r="H34" s="75">
        <v>3.01</v>
      </c>
      <c r="I34" s="286">
        <v>46053</v>
      </c>
      <c r="J34" s="1">
        <v>25</v>
      </c>
      <c r="K34" s="295"/>
    </row>
    <row r="35" spans="1:11" x14ac:dyDescent="0.2">
      <c r="B35" s="1" t="s">
        <v>205</v>
      </c>
      <c r="C35" s="1" t="s">
        <v>264</v>
      </c>
      <c r="E35" s="1" t="s">
        <v>215</v>
      </c>
      <c r="F35" s="1">
        <v>250</v>
      </c>
      <c r="G35" s="1" t="s">
        <v>217</v>
      </c>
      <c r="H35" s="75">
        <v>4.38</v>
      </c>
      <c r="I35" s="286">
        <v>46173</v>
      </c>
      <c r="J35" s="1">
        <v>25</v>
      </c>
      <c r="K35" s="286">
        <v>45245</v>
      </c>
    </row>
    <row r="36" spans="1:11" x14ac:dyDescent="0.2">
      <c r="B36" s="1" t="s">
        <v>206</v>
      </c>
      <c r="C36" s="1" t="s">
        <v>264</v>
      </c>
      <c r="E36" s="1" t="s">
        <v>215</v>
      </c>
      <c r="F36" s="1">
        <v>320</v>
      </c>
      <c r="G36" s="1" t="s">
        <v>217</v>
      </c>
      <c r="H36" s="75">
        <v>4.38</v>
      </c>
      <c r="I36" s="286">
        <v>46173</v>
      </c>
      <c r="J36" s="1">
        <v>25</v>
      </c>
      <c r="K36" s="286">
        <v>45245</v>
      </c>
    </row>
    <row r="37" spans="1:11" x14ac:dyDescent="0.2">
      <c r="B37" s="1" t="s">
        <v>207</v>
      </c>
      <c r="C37" s="1" t="s">
        <v>264</v>
      </c>
      <c r="E37" s="1" t="s">
        <v>215</v>
      </c>
      <c r="F37" s="1">
        <v>190</v>
      </c>
      <c r="G37" s="1" t="s">
        <v>144</v>
      </c>
      <c r="H37" s="75">
        <v>4.7300000000000004</v>
      </c>
      <c r="I37" s="286">
        <v>46203</v>
      </c>
      <c r="J37" s="1">
        <v>25</v>
      </c>
      <c r="K37" s="286">
        <v>45031</v>
      </c>
    </row>
    <row r="38" spans="1:11" x14ac:dyDescent="0.2">
      <c r="B38" s="1" t="s">
        <v>208</v>
      </c>
      <c r="C38" s="1" t="s">
        <v>264</v>
      </c>
      <c r="E38" s="1" t="s">
        <v>216</v>
      </c>
      <c r="F38" s="1">
        <v>300</v>
      </c>
      <c r="G38" s="1" t="s">
        <v>192</v>
      </c>
      <c r="H38" s="75">
        <v>3.36</v>
      </c>
      <c r="I38" s="286">
        <v>46477</v>
      </c>
      <c r="J38" s="1">
        <v>25</v>
      </c>
      <c r="K38" s="286">
        <v>45275</v>
      </c>
    </row>
    <row r="39" spans="1:11" x14ac:dyDescent="0.2">
      <c r="B39" s="1" t="s">
        <v>209</v>
      </c>
      <c r="C39" s="1" t="s">
        <v>264</v>
      </c>
      <c r="E39" s="1" t="s">
        <v>215</v>
      </c>
      <c r="F39" s="1">
        <v>350</v>
      </c>
      <c r="G39" s="1" t="s">
        <v>144</v>
      </c>
      <c r="H39" s="75">
        <v>3.42</v>
      </c>
      <c r="I39" s="286">
        <v>46295</v>
      </c>
      <c r="J39" s="1">
        <v>25</v>
      </c>
      <c r="K39" s="286">
        <v>45488</v>
      </c>
    </row>
    <row r="40" spans="1:11" x14ac:dyDescent="0.2">
      <c r="B40" s="1" t="s">
        <v>364</v>
      </c>
      <c r="C40" s="1" t="s">
        <v>264</v>
      </c>
      <c r="E40" s="1" t="s">
        <v>215</v>
      </c>
      <c r="F40" s="1">
        <v>400</v>
      </c>
      <c r="G40" s="1" t="s">
        <v>218</v>
      </c>
      <c r="H40" s="75">
        <v>4.6399999999999997</v>
      </c>
      <c r="I40" s="286">
        <v>46477</v>
      </c>
      <c r="J40" s="1">
        <v>25</v>
      </c>
      <c r="K40" s="286">
        <v>45337</v>
      </c>
    </row>
    <row r="41" spans="1:11" x14ac:dyDescent="0.2">
      <c r="B41" s="1" t="s">
        <v>210</v>
      </c>
      <c r="C41" s="1" t="s">
        <v>264</v>
      </c>
      <c r="E41" s="1" t="s">
        <v>215</v>
      </c>
      <c r="F41" s="1">
        <v>280</v>
      </c>
      <c r="G41" s="1" t="s">
        <v>218</v>
      </c>
      <c r="H41" s="75">
        <v>4.6399999999999997</v>
      </c>
      <c r="I41" s="286">
        <f>+K41+30*30</f>
        <v>46237</v>
      </c>
      <c r="J41" s="1">
        <v>25</v>
      </c>
      <c r="K41" s="286">
        <v>45337</v>
      </c>
    </row>
    <row r="42" spans="1:11" x14ac:dyDescent="0.2">
      <c r="B42" s="1" t="s">
        <v>361</v>
      </c>
      <c r="C42" s="1" t="s">
        <v>264</v>
      </c>
      <c r="E42" s="1" t="s">
        <v>215</v>
      </c>
      <c r="F42" s="1">
        <v>250</v>
      </c>
      <c r="G42" s="1" t="s">
        <v>218</v>
      </c>
      <c r="H42" s="75">
        <v>4.5599999999999996</v>
      </c>
      <c r="I42" s="286">
        <v>46361</v>
      </c>
      <c r="J42" s="1">
        <v>25</v>
      </c>
      <c r="K42" s="286">
        <v>45641</v>
      </c>
    </row>
    <row r="43" spans="1:11" x14ac:dyDescent="0.2">
      <c r="A43" s="1" t="s">
        <v>506</v>
      </c>
      <c r="B43" s="1" t="s">
        <v>212</v>
      </c>
      <c r="C43" s="1" t="s">
        <v>264</v>
      </c>
      <c r="E43" s="1" t="s">
        <v>215</v>
      </c>
      <c r="F43" s="1">
        <v>50</v>
      </c>
      <c r="G43" s="1" t="s">
        <v>508</v>
      </c>
      <c r="H43" s="75">
        <v>4.43</v>
      </c>
      <c r="I43" s="286">
        <f>+K43+24*30</f>
        <v>46604</v>
      </c>
      <c r="J43" s="1">
        <v>25</v>
      </c>
      <c r="K43" s="286">
        <v>45884</v>
      </c>
    </row>
    <row r="44" spans="1:11" x14ac:dyDescent="0.2">
      <c r="B44" s="1" t="s">
        <v>207</v>
      </c>
      <c r="C44" s="1" t="s">
        <v>264</v>
      </c>
      <c r="E44" s="1" t="s">
        <v>215</v>
      </c>
      <c r="F44" s="1">
        <v>250</v>
      </c>
      <c r="G44" s="1" t="s">
        <v>218</v>
      </c>
      <c r="H44" s="75">
        <v>4.33</v>
      </c>
      <c r="J44" s="1">
        <v>25</v>
      </c>
    </row>
    <row r="45" spans="1:11" x14ac:dyDescent="0.2">
      <c r="B45" s="1" t="s">
        <v>488</v>
      </c>
      <c r="C45" s="1" t="s">
        <v>264</v>
      </c>
      <c r="E45" s="1" t="s">
        <v>411</v>
      </c>
      <c r="F45" s="1">
        <v>450</v>
      </c>
      <c r="G45" s="1" t="s">
        <v>218</v>
      </c>
      <c r="H45" s="75" t="s">
        <v>505</v>
      </c>
      <c r="I45" s="286">
        <f>+K45+18*30</f>
        <v>46363</v>
      </c>
      <c r="J45" s="1">
        <v>25</v>
      </c>
      <c r="K45" s="286">
        <v>45823</v>
      </c>
    </row>
    <row r="46" spans="1:11" x14ac:dyDescent="0.2">
      <c r="B46" s="1" t="s">
        <v>488</v>
      </c>
      <c r="C46" s="1" t="s">
        <v>264</v>
      </c>
      <c r="E46" s="1" t="s">
        <v>411</v>
      </c>
      <c r="F46" s="1">
        <v>100</v>
      </c>
      <c r="G46" s="1" t="s">
        <v>218</v>
      </c>
      <c r="H46" s="75" t="s">
        <v>505</v>
      </c>
      <c r="I46" s="286">
        <f>+K46+18*30</f>
        <v>46363</v>
      </c>
      <c r="J46" s="1">
        <v>25</v>
      </c>
      <c r="K46" s="286">
        <v>45823</v>
      </c>
    </row>
    <row r="47" spans="1:11" x14ac:dyDescent="0.2">
      <c r="A47" s="1" t="s">
        <v>381</v>
      </c>
      <c r="B47" s="1" t="s">
        <v>493</v>
      </c>
      <c r="C47" s="1" t="s">
        <v>491</v>
      </c>
      <c r="E47" s="1" t="s">
        <v>215</v>
      </c>
      <c r="F47" s="1">
        <v>190</v>
      </c>
      <c r="G47" s="1" t="s">
        <v>144</v>
      </c>
      <c r="H47" s="75">
        <v>4.7300000000000004</v>
      </c>
      <c r="I47" s="286">
        <f>+K47+50*30</f>
        <v>46531</v>
      </c>
      <c r="K47" s="286">
        <v>45031</v>
      </c>
    </row>
    <row r="48" spans="1:11" x14ac:dyDescent="0.2">
      <c r="A48" s="1" t="s">
        <v>379</v>
      </c>
      <c r="B48" s="290" t="s">
        <v>549</v>
      </c>
      <c r="C48" s="1" t="s">
        <v>491</v>
      </c>
      <c r="E48" s="1" t="s">
        <v>215</v>
      </c>
      <c r="F48" s="1">
        <v>130</v>
      </c>
      <c r="G48" s="1" t="s">
        <v>144</v>
      </c>
      <c r="H48" s="75">
        <v>4.3499999999999996</v>
      </c>
      <c r="I48" s="286">
        <f>+K48+35*30</f>
        <v>46538</v>
      </c>
      <c r="K48" s="286">
        <v>45488</v>
      </c>
    </row>
    <row r="49" spans="1:11" x14ac:dyDescent="0.2">
      <c r="B49" s="290" t="s">
        <v>494</v>
      </c>
      <c r="C49" s="1" t="s">
        <v>491</v>
      </c>
      <c r="E49" s="1" t="s">
        <v>216</v>
      </c>
      <c r="F49" s="1">
        <v>150</v>
      </c>
      <c r="G49" s="1" t="s">
        <v>192</v>
      </c>
      <c r="H49" s="75">
        <v>3.32</v>
      </c>
      <c r="I49" s="286">
        <f>+K49+40*30</f>
        <v>46566</v>
      </c>
      <c r="K49" s="286">
        <v>45366</v>
      </c>
    </row>
    <row r="50" spans="1:11" x14ac:dyDescent="0.2">
      <c r="B50" s="290" t="s">
        <v>495</v>
      </c>
      <c r="C50" s="1" t="s">
        <v>491</v>
      </c>
      <c r="E50" s="1" t="s">
        <v>140</v>
      </c>
      <c r="F50" s="1">
        <v>300</v>
      </c>
      <c r="G50" s="1" t="s">
        <v>217</v>
      </c>
      <c r="H50" s="75">
        <v>2.52</v>
      </c>
      <c r="I50" s="286">
        <f>+K50+40*30</f>
        <v>46719</v>
      </c>
      <c r="K50" s="286">
        <v>45519</v>
      </c>
    </row>
    <row r="51" spans="1:11" x14ac:dyDescent="0.2">
      <c r="B51" s="290" t="s">
        <v>496</v>
      </c>
      <c r="C51" s="1" t="s">
        <v>491</v>
      </c>
      <c r="E51" s="1" t="s">
        <v>216</v>
      </c>
      <c r="F51" s="1">
        <v>300</v>
      </c>
      <c r="G51" s="1" t="s">
        <v>144</v>
      </c>
      <c r="H51" s="75">
        <v>3.25</v>
      </c>
      <c r="I51" s="286">
        <f>+K51+32*30</f>
        <v>46540</v>
      </c>
      <c r="K51" s="286">
        <v>45580</v>
      </c>
    </row>
    <row r="52" spans="1:11" x14ac:dyDescent="0.2">
      <c r="B52" s="290" t="s">
        <v>497</v>
      </c>
      <c r="C52" s="1" t="s">
        <v>491</v>
      </c>
      <c r="E52" s="1" t="s">
        <v>215</v>
      </c>
      <c r="F52" s="1">
        <v>400</v>
      </c>
      <c r="G52" s="1" t="s">
        <v>192</v>
      </c>
      <c r="H52" s="75">
        <v>4.7</v>
      </c>
      <c r="I52" s="286">
        <f>+K52+36*30</f>
        <v>46691</v>
      </c>
      <c r="K52" s="286">
        <v>45611</v>
      </c>
    </row>
    <row r="53" spans="1:11" x14ac:dyDescent="0.2">
      <c r="A53" s="1" t="s">
        <v>509</v>
      </c>
      <c r="B53" s="290" t="s">
        <v>547</v>
      </c>
      <c r="C53" s="1" t="s">
        <v>491</v>
      </c>
      <c r="E53" s="1" t="s">
        <v>215</v>
      </c>
      <c r="F53" s="1">
        <v>220</v>
      </c>
      <c r="H53" s="75">
        <v>2.7639999999999998</v>
      </c>
      <c r="I53" s="286">
        <f>+K53+36*30</f>
        <v>47002</v>
      </c>
      <c r="K53" s="286">
        <v>45922</v>
      </c>
    </row>
    <row r="54" spans="1:11" x14ac:dyDescent="0.2">
      <c r="A54" s="1" t="s">
        <v>507</v>
      </c>
      <c r="B54" s="290" t="s">
        <v>548</v>
      </c>
      <c r="C54" s="1" t="s">
        <v>491</v>
      </c>
      <c r="E54" s="1" t="s">
        <v>215</v>
      </c>
      <c r="F54" s="1">
        <v>450</v>
      </c>
      <c r="G54" s="1" t="s">
        <v>217</v>
      </c>
      <c r="H54" s="75">
        <v>6.74</v>
      </c>
      <c r="I54" s="286">
        <f>+K54+36*30</f>
        <v>47025</v>
      </c>
      <c r="K54" s="286">
        <v>45945</v>
      </c>
    </row>
    <row r="57" spans="1:11" x14ac:dyDescent="0.2">
      <c r="B57" s="289" t="s">
        <v>235</v>
      </c>
      <c r="C57" s="87"/>
    </row>
    <row r="58" spans="1:11" ht="12" customHeight="1" x14ac:dyDescent="0.25">
      <c r="B58" s="29" t="s">
        <v>140</v>
      </c>
      <c r="C58" s="29">
        <f>+SUMIFS($F$3:$F$54,$E$3:$E$54,$B58,$C$3:$C$54,$B$57)</f>
        <v>2840</v>
      </c>
      <c r="E58"/>
    </row>
    <row r="59" spans="1:11" ht="12" customHeight="1" x14ac:dyDescent="0.25">
      <c r="B59" s="29" t="s">
        <v>214</v>
      </c>
      <c r="C59" s="29">
        <f>+SUMIFS($F$3:$F$54,$E$3:$E$54,$B59,$C$3:$C$54,$B$57)</f>
        <v>122</v>
      </c>
      <c r="E59"/>
    </row>
    <row r="60" spans="1:11" ht="12" customHeight="1" x14ac:dyDescent="0.25">
      <c r="B60" s="29" t="s">
        <v>215</v>
      </c>
      <c r="C60" s="29">
        <f>+SUMIFS($F$3:$F$54,$E$3:$E$54,$B60,$C$3:$C$54,$B$57)</f>
        <v>0</v>
      </c>
      <c r="E60"/>
    </row>
    <row r="61" spans="1:11" ht="12" customHeight="1" x14ac:dyDescent="0.25">
      <c r="B61" s="29" t="s">
        <v>216</v>
      </c>
      <c r="C61" s="29">
        <f>+SUMIFS($F$3:$F$54,$E$3:$E$54,$B61,$C$3:$C$54,$B$57)</f>
        <v>0</v>
      </c>
      <c r="E61"/>
    </row>
    <row r="62" spans="1:11" ht="12" customHeight="1" x14ac:dyDescent="0.25">
      <c r="B62" s="29" t="s">
        <v>411</v>
      </c>
      <c r="C62" s="29">
        <f>+SUMIFS($F$3:$F$54,$E$3:$E$54,$B62,$C$3:$C$54,$B$57)</f>
        <v>0</v>
      </c>
      <c r="E62"/>
    </row>
    <row r="63" spans="1:11" ht="12" customHeight="1" x14ac:dyDescent="0.25">
      <c r="B63" s="30" t="s">
        <v>220</v>
      </c>
      <c r="C63" s="30">
        <f>SUM(C58:C62)</f>
        <v>2962</v>
      </c>
      <c r="E63"/>
    </row>
    <row r="64" spans="1:11" ht="15" x14ac:dyDescent="0.25">
      <c r="B64"/>
      <c r="E64"/>
    </row>
    <row r="65" spans="2:5" ht="15" customHeight="1" x14ac:dyDescent="0.25">
      <c r="B65" s="289" t="s">
        <v>264</v>
      </c>
      <c r="C65" s="87"/>
      <c r="E65"/>
    </row>
    <row r="66" spans="2:5" ht="15" customHeight="1" x14ac:dyDescent="0.25">
      <c r="B66" s="29" t="s">
        <v>140</v>
      </c>
      <c r="C66" s="202">
        <f>+SUMIFS($F$3:$F$54,$E$3:$E$54,$B66,$C$3:$C$54,$B$65)</f>
        <v>0</v>
      </c>
      <c r="E66"/>
    </row>
    <row r="67" spans="2:5" ht="15" customHeight="1" x14ac:dyDescent="0.25">
      <c r="B67" s="29" t="s">
        <v>214</v>
      </c>
      <c r="C67" s="29">
        <f>+SUMIFS($F$3:$F$54,$E$3:$E$54,$B67,$C$3:$C$54,$B$65)</f>
        <v>28</v>
      </c>
      <c r="E67"/>
    </row>
    <row r="68" spans="2:5" ht="15" customHeight="1" x14ac:dyDescent="0.25">
      <c r="B68" s="29" t="s">
        <v>215</v>
      </c>
      <c r="C68" s="29">
        <f>+SUMIFS($F$3:$F$54,$E$3:$E$54,$B68,$C$3:$C$54,$B$65)</f>
        <v>2340</v>
      </c>
      <c r="E68"/>
    </row>
    <row r="69" spans="2:5" ht="15" x14ac:dyDescent="0.25">
      <c r="B69" s="29" t="s">
        <v>216</v>
      </c>
      <c r="C69" s="29">
        <f>+SUMIFS($F$3:$F$54,$E$3:$E$54,$B69,$C$3:$C$54,$B$65)</f>
        <v>300</v>
      </c>
      <c r="E69"/>
    </row>
    <row r="70" spans="2:5" ht="15" x14ac:dyDescent="0.25">
      <c r="B70" s="29" t="s">
        <v>411</v>
      </c>
      <c r="C70" s="29">
        <f>+SUMIFS($F$3:$F$54,$E$3:$E$54,$B70,$C$3:$C$54,$B$65)</f>
        <v>550</v>
      </c>
      <c r="D70" s="1" t="s">
        <v>492</v>
      </c>
      <c r="E70"/>
    </row>
    <row r="71" spans="2:5" ht="15" x14ac:dyDescent="0.25">
      <c r="B71" s="30" t="s">
        <v>220</v>
      </c>
      <c r="C71" s="30">
        <f>SUM(C66:C69)</f>
        <v>2668</v>
      </c>
      <c r="D71" s="1">
        <f>+C71-2668</f>
        <v>0</v>
      </c>
      <c r="E71"/>
    </row>
    <row r="72" spans="2:5" ht="15" x14ac:dyDescent="0.25">
      <c r="B72"/>
      <c r="E72"/>
    </row>
    <row r="73" spans="2:5" ht="15" x14ac:dyDescent="0.25">
      <c r="B73" s="289" t="s">
        <v>491</v>
      </c>
      <c r="C73" s="87"/>
      <c r="E73"/>
    </row>
    <row r="74" spans="2:5" ht="15" x14ac:dyDescent="0.25">
      <c r="B74" s="29" t="s">
        <v>140</v>
      </c>
      <c r="C74" s="29">
        <f>+SUMIFS($F$3:$F$54,$E$3:$E$54,$B74,$C$3:$C$54,$B$73)</f>
        <v>300</v>
      </c>
      <c r="E74"/>
    </row>
    <row r="75" spans="2:5" ht="15" x14ac:dyDescent="0.25">
      <c r="B75" s="29" t="s">
        <v>214</v>
      </c>
      <c r="C75" s="29">
        <f>+SUMIFS($F$3:$F$54,$E$3:$E$54,$B75,$C$3:$C$54,$B$73)</f>
        <v>0</v>
      </c>
      <c r="E75"/>
    </row>
    <row r="76" spans="2:5" ht="15" x14ac:dyDescent="0.25">
      <c r="B76" s="29" t="s">
        <v>215</v>
      </c>
      <c r="C76" s="29">
        <f>+SUMIFS($F$3:$F$54,$E$3:$E$54,$B76,$C$3:$C$54,$B$73)</f>
        <v>1390</v>
      </c>
      <c r="E76"/>
    </row>
    <row r="77" spans="2:5" ht="15" x14ac:dyDescent="0.25">
      <c r="B77" s="29" t="s">
        <v>216</v>
      </c>
      <c r="C77" s="29">
        <f>+SUMIFS($F$3:$F$54,$E$3:$E$54,$B77,$C$3:$C$54,$B$73)</f>
        <v>450</v>
      </c>
      <c r="E77"/>
    </row>
    <row r="78" spans="2:5" ht="15" x14ac:dyDescent="0.25">
      <c r="B78" s="29" t="s">
        <v>411</v>
      </c>
      <c r="C78" s="29">
        <f>+SUMIFS($F$3:$F$54,$E$3:$E$54,$B78,$C$3:$C$54,$B$73)</f>
        <v>0</v>
      </c>
      <c r="E78"/>
    </row>
    <row r="79" spans="2:5" ht="15" x14ac:dyDescent="0.25">
      <c r="B79" s="30" t="s">
        <v>220</v>
      </c>
      <c r="C79" s="30">
        <f>SUM(C74:C78)</f>
        <v>2140</v>
      </c>
      <c r="E79"/>
    </row>
    <row r="80" spans="2:5" ht="15" x14ac:dyDescent="0.25">
      <c r="B80"/>
      <c r="E80"/>
    </row>
    <row r="81" spans="2:6" ht="15" x14ac:dyDescent="0.25">
      <c r="B81" s="291" t="s">
        <v>220</v>
      </c>
      <c r="C81" s="291">
        <f>+C79+C71+C63</f>
        <v>7770</v>
      </c>
      <c r="E81"/>
    </row>
    <row r="82" spans="2:6" ht="15" x14ac:dyDescent="0.25">
      <c r="B82"/>
      <c r="E82"/>
      <c r="F82" s="4"/>
    </row>
    <row r="83" spans="2:6" ht="15" x14ac:dyDescent="0.25">
      <c r="B83"/>
      <c r="E83"/>
    </row>
    <row r="84" spans="2:6" ht="15" x14ac:dyDescent="0.25">
      <c r="B84"/>
      <c r="E84"/>
    </row>
    <row r="85" spans="2:6" ht="15" x14ac:dyDescent="0.25">
      <c r="B85"/>
      <c r="E85"/>
    </row>
    <row r="86" spans="2:6" ht="15" x14ac:dyDescent="0.25">
      <c r="B86"/>
      <c r="E86"/>
    </row>
    <row r="87" spans="2:6" ht="15" x14ac:dyDescent="0.25">
      <c r="B87"/>
      <c r="E87"/>
    </row>
    <row r="88" spans="2:6" ht="15" x14ac:dyDescent="0.25">
      <c r="B88"/>
      <c r="E88"/>
    </row>
    <row r="89" spans="2:6" ht="15" x14ac:dyDescent="0.25">
      <c r="B89"/>
      <c r="E89"/>
    </row>
    <row r="90" spans="2:6" ht="15" x14ac:dyDescent="0.25">
      <c r="B90"/>
      <c r="E90"/>
    </row>
    <row r="91" spans="2:6" ht="15" x14ac:dyDescent="0.25">
      <c r="B91"/>
      <c r="E91"/>
    </row>
    <row r="92" spans="2:6" ht="15" x14ac:dyDescent="0.25">
      <c r="B92"/>
      <c r="E92"/>
    </row>
    <row r="93" spans="2:6" ht="15" x14ac:dyDescent="0.25">
      <c r="B93"/>
      <c r="E93"/>
    </row>
    <row r="94" spans="2:6" ht="15" x14ac:dyDescent="0.25">
      <c r="B94"/>
      <c r="E94"/>
    </row>
    <row r="95" spans="2:6" ht="15" x14ac:dyDescent="0.25">
      <c r="B95"/>
      <c r="E95"/>
    </row>
    <row r="96" spans="2:6" ht="15" x14ac:dyDescent="0.25">
      <c r="B96"/>
      <c r="E96"/>
    </row>
    <row r="97" spans="2:5" ht="15" x14ac:dyDescent="0.25">
      <c r="B97"/>
      <c r="E97"/>
    </row>
    <row r="98" spans="2:5" ht="15" x14ac:dyDescent="0.25">
      <c r="B98"/>
      <c r="E98"/>
    </row>
    <row r="99" spans="2:5" ht="15" x14ac:dyDescent="0.25">
      <c r="B99"/>
      <c r="E99"/>
    </row>
    <row r="100" spans="2:5" ht="15" x14ac:dyDescent="0.25">
      <c r="B100"/>
      <c r="E100"/>
    </row>
    <row r="101" spans="2:5" ht="15" x14ac:dyDescent="0.25">
      <c r="B101"/>
      <c r="E101"/>
    </row>
    <row r="102" spans="2:5" ht="15" x14ac:dyDescent="0.25">
      <c r="B102"/>
      <c r="E102"/>
    </row>
    <row r="103" spans="2:5" ht="15" x14ac:dyDescent="0.25">
      <c r="B103"/>
      <c r="E103"/>
    </row>
    <row r="104" spans="2:5" ht="15" x14ac:dyDescent="0.25">
      <c r="B104"/>
      <c r="E104"/>
    </row>
    <row r="105" spans="2:5" ht="15" x14ac:dyDescent="0.25">
      <c r="B105"/>
      <c r="E105"/>
    </row>
    <row r="106" spans="2:5" ht="15" x14ac:dyDescent="0.25">
      <c r="E106"/>
    </row>
    <row r="107" spans="2:5" ht="15" x14ac:dyDescent="0.25">
      <c r="E107"/>
    </row>
    <row r="108" spans="2:5" ht="15" x14ac:dyDescent="0.25">
      <c r="E108"/>
    </row>
    <row r="109" spans="2:5" ht="15" x14ac:dyDescent="0.25">
      <c r="E109"/>
    </row>
    <row r="110" spans="2:5" ht="15" x14ac:dyDescent="0.25">
      <c r="E110"/>
    </row>
  </sheetData>
  <autoFilter ref="B2:J53" xr:uid="{22DF0679-6EAD-402C-8768-BFABDD222337}"/>
  <hyperlinks>
    <hyperlink ref="A53" r:id="rId1" xr:uid="{300866AA-46FD-43B5-ABDF-E04E0ABA4CEF}"/>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27C30-4196-4436-A0D2-674AF87D6266}">
  <dimension ref="A2:U101"/>
  <sheetViews>
    <sheetView showGridLines="0" workbookViewId="0">
      <pane xSplit="2" topLeftCell="F1" activePane="topRight" state="frozen"/>
      <selection pane="topRight" activeCell="K4" sqref="K4"/>
    </sheetView>
  </sheetViews>
  <sheetFormatPr defaultRowHeight="15" x14ac:dyDescent="0.25"/>
  <cols>
    <col min="1" max="1" width="4.5703125" customWidth="1"/>
    <col min="2" max="2" width="45.7109375" customWidth="1"/>
    <col min="3" max="3" width="20.5703125" customWidth="1"/>
    <col min="4" max="4" width="25.7109375" customWidth="1"/>
    <col min="5" max="5" width="13.28515625" customWidth="1"/>
    <col min="6" max="7" width="11.85546875" customWidth="1"/>
    <col min="8" max="8" width="18.140625" customWidth="1"/>
    <col min="9" max="9" width="13.7109375" customWidth="1"/>
    <col min="10" max="10" width="11.85546875" customWidth="1"/>
    <col min="11" max="11" width="9.85546875" customWidth="1"/>
    <col min="12" max="12" width="11" customWidth="1"/>
    <col min="13" max="13" width="13.7109375" customWidth="1"/>
    <col min="14" max="14" width="16" customWidth="1"/>
    <col min="15" max="15" width="14.85546875" customWidth="1"/>
    <col min="16" max="16" width="9.85546875" customWidth="1"/>
    <col min="17" max="17" width="14.140625" customWidth="1"/>
    <col min="18" max="18" width="21.28515625" customWidth="1"/>
    <col min="19" max="19" width="16" customWidth="1"/>
    <col min="20" max="20" width="18.7109375" customWidth="1"/>
    <col min="21" max="21" width="57.140625" customWidth="1"/>
  </cols>
  <sheetData>
    <row r="2" spans="1:21" ht="44.1" customHeight="1" x14ac:dyDescent="0.25">
      <c r="A2" s="364" t="s">
        <v>642</v>
      </c>
      <c r="B2" s="344" t="s">
        <v>643</v>
      </c>
      <c r="C2" s="344" t="s">
        <v>234</v>
      </c>
      <c r="D2" s="344" t="s">
        <v>155</v>
      </c>
      <c r="E2" s="344" t="s">
        <v>644</v>
      </c>
      <c r="F2" s="344" t="s">
        <v>645</v>
      </c>
      <c r="G2" s="344" t="s">
        <v>660</v>
      </c>
      <c r="H2" s="344" t="s">
        <v>157</v>
      </c>
      <c r="I2" s="344" t="s">
        <v>646</v>
      </c>
      <c r="J2" s="344" t="s">
        <v>158</v>
      </c>
      <c r="K2" s="344" t="s">
        <v>647</v>
      </c>
      <c r="L2" s="344" t="s">
        <v>648</v>
      </c>
      <c r="M2" s="344" t="s">
        <v>649</v>
      </c>
      <c r="N2" s="344" t="s">
        <v>661</v>
      </c>
      <c r="O2" s="344" t="s">
        <v>662</v>
      </c>
      <c r="P2" s="344" t="s">
        <v>650</v>
      </c>
      <c r="Q2" s="344" t="s">
        <v>651</v>
      </c>
      <c r="R2" s="344" t="s">
        <v>652</v>
      </c>
      <c r="S2" s="344" t="s">
        <v>653</v>
      </c>
      <c r="T2" s="344" t="s">
        <v>663</v>
      </c>
      <c r="U2" s="344" t="s">
        <v>654</v>
      </c>
    </row>
    <row r="3" spans="1:21" x14ac:dyDescent="0.25">
      <c r="A3" s="347">
        <v>1</v>
      </c>
      <c r="B3" s="346" t="s">
        <v>556</v>
      </c>
      <c r="C3" s="346" t="s">
        <v>235</v>
      </c>
      <c r="D3" s="346" t="s">
        <v>177</v>
      </c>
      <c r="E3" s="346" t="s">
        <v>140</v>
      </c>
      <c r="F3" s="457">
        <v>15</v>
      </c>
      <c r="G3" s="457"/>
      <c r="H3" s="346" t="s">
        <v>184</v>
      </c>
      <c r="I3" s="348" t="str">
        <f t="shared" ref="I3:I34" si="0">IF($H3="","–",IF($H3="GUVNL","GUVNL",IF(OR($H3="SECI",$H3="NTPC",$H3="SJVN",$H3="NHPC"),"Central","State &amp; Other")))</f>
        <v>GUVNL</v>
      </c>
      <c r="J3" s="458">
        <v>5</v>
      </c>
      <c r="K3" s="351">
        <v>25</v>
      </c>
      <c r="L3" s="348" t="s">
        <v>363</v>
      </c>
      <c r="M3" s="459"/>
      <c r="N3" s="363"/>
      <c r="O3" s="459">
        <v>40999</v>
      </c>
      <c r="P3" s="349">
        <f t="shared" ref="P3:P34" si="1">IF($O3="","–",IF(MONTH($O3)&lt;=3,YEAR($O3),YEAR($O3)+1))</f>
        <v>2012</v>
      </c>
      <c r="Q3" s="348"/>
      <c r="R3" s="348"/>
      <c r="S3" s="348"/>
      <c r="T3" s="362" t="s">
        <v>664</v>
      </c>
      <c r="U3" s="350" t="s">
        <v>558</v>
      </c>
    </row>
    <row r="4" spans="1:21" x14ac:dyDescent="0.25">
      <c r="A4" s="347">
        <v>2</v>
      </c>
      <c r="B4" s="346" t="s">
        <v>559</v>
      </c>
      <c r="C4" s="346" t="s">
        <v>235</v>
      </c>
      <c r="D4" s="346" t="s">
        <v>183</v>
      </c>
      <c r="E4" s="346" t="s">
        <v>140</v>
      </c>
      <c r="F4" s="457">
        <v>25</v>
      </c>
      <c r="G4" s="457"/>
      <c r="H4" s="346" t="s">
        <v>185</v>
      </c>
      <c r="I4" s="348" t="str">
        <f t="shared" si="0"/>
        <v>State &amp; Other</v>
      </c>
      <c r="J4" s="458">
        <v>8.0500000000000007</v>
      </c>
      <c r="K4" s="351">
        <v>25</v>
      </c>
      <c r="L4" s="348" t="s">
        <v>363</v>
      </c>
      <c r="M4" s="459"/>
      <c r="N4" s="363"/>
      <c r="O4" s="459">
        <v>41670</v>
      </c>
      <c r="P4" s="349">
        <f t="shared" si="1"/>
        <v>2014</v>
      </c>
      <c r="Q4" s="348"/>
      <c r="R4" s="348"/>
      <c r="S4" s="348"/>
      <c r="T4" s="362" t="s">
        <v>664</v>
      </c>
      <c r="U4" s="350" t="s">
        <v>560</v>
      </c>
    </row>
    <row r="5" spans="1:21" x14ac:dyDescent="0.25">
      <c r="A5" s="347">
        <v>3</v>
      </c>
      <c r="B5" s="346" t="s">
        <v>561</v>
      </c>
      <c r="C5" s="346" t="s">
        <v>235</v>
      </c>
      <c r="D5" s="346" t="s">
        <v>178</v>
      </c>
      <c r="E5" s="346" t="s">
        <v>140</v>
      </c>
      <c r="F5" s="457">
        <v>25</v>
      </c>
      <c r="G5" s="457"/>
      <c r="H5" s="346" t="s">
        <v>562</v>
      </c>
      <c r="I5" s="348" t="str">
        <f t="shared" si="0"/>
        <v>State &amp; Other</v>
      </c>
      <c r="J5" s="458">
        <v>7.28</v>
      </c>
      <c r="K5" s="351">
        <v>25</v>
      </c>
      <c r="L5" s="348" t="s">
        <v>363</v>
      </c>
      <c r="M5" s="459"/>
      <c r="N5" s="363"/>
      <c r="O5" s="459">
        <v>42185</v>
      </c>
      <c r="P5" s="349">
        <f t="shared" si="1"/>
        <v>2016</v>
      </c>
      <c r="Q5" s="348"/>
      <c r="R5" s="348"/>
      <c r="S5" s="348"/>
      <c r="T5" s="362" t="s">
        <v>664</v>
      </c>
      <c r="U5" s="350"/>
    </row>
    <row r="6" spans="1:21" x14ac:dyDescent="0.25">
      <c r="A6" s="347">
        <v>4</v>
      </c>
      <c r="B6" s="346" t="s">
        <v>563</v>
      </c>
      <c r="C6" s="346" t="s">
        <v>235</v>
      </c>
      <c r="D6" s="346" t="s">
        <v>179</v>
      </c>
      <c r="E6" s="346" t="s">
        <v>140</v>
      </c>
      <c r="F6" s="457">
        <v>30</v>
      </c>
      <c r="G6" s="457"/>
      <c r="H6" s="346" t="s">
        <v>186</v>
      </c>
      <c r="I6" s="348" t="str">
        <f t="shared" si="0"/>
        <v>State &amp; Other</v>
      </c>
      <c r="J6" s="458">
        <v>6.46</v>
      </c>
      <c r="K6" s="351">
        <v>25</v>
      </c>
      <c r="L6" s="348" t="s">
        <v>363</v>
      </c>
      <c r="M6" s="459"/>
      <c r="N6" s="363"/>
      <c r="O6" s="459">
        <v>42460</v>
      </c>
      <c r="P6" s="349">
        <f t="shared" si="1"/>
        <v>2016</v>
      </c>
      <c r="Q6" s="348"/>
      <c r="R6" s="348"/>
      <c r="S6" s="348"/>
      <c r="T6" s="362" t="s">
        <v>664</v>
      </c>
      <c r="U6" s="350" t="s">
        <v>564</v>
      </c>
    </row>
    <row r="7" spans="1:21" x14ac:dyDescent="0.25">
      <c r="A7" s="347">
        <v>5</v>
      </c>
      <c r="B7" s="346" t="s">
        <v>565</v>
      </c>
      <c r="C7" s="346" t="s">
        <v>235</v>
      </c>
      <c r="D7" s="346" t="s">
        <v>180</v>
      </c>
      <c r="E7" s="346" t="s">
        <v>140</v>
      </c>
      <c r="F7" s="457">
        <v>30</v>
      </c>
      <c r="G7" s="457"/>
      <c r="H7" s="346" t="s">
        <v>187</v>
      </c>
      <c r="I7" s="348" t="str">
        <f t="shared" si="0"/>
        <v>State &amp; Other</v>
      </c>
      <c r="J7" s="458">
        <v>7.57</v>
      </c>
      <c r="K7" s="351">
        <v>25</v>
      </c>
      <c r="L7" s="348" t="s">
        <v>363</v>
      </c>
      <c r="M7" s="459"/>
      <c r="N7" s="363"/>
      <c r="O7" s="459">
        <v>42521</v>
      </c>
      <c r="P7" s="349">
        <f t="shared" si="1"/>
        <v>2017</v>
      </c>
      <c r="Q7" s="348"/>
      <c r="R7" s="348"/>
      <c r="S7" s="348"/>
      <c r="T7" s="362" t="s">
        <v>664</v>
      </c>
      <c r="U7" s="350"/>
    </row>
    <row r="8" spans="1:21" x14ac:dyDescent="0.25">
      <c r="A8" s="347">
        <v>6</v>
      </c>
      <c r="B8" s="346" t="s">
        <v>566</v>
      </c>
      <c r="C8" s="346" t="s">
        <v>235</v>
      </c>
      <c r="D8" s="346" t="s">
        <v>150</v>
      </c>
      <c r="E8" s="346" t="s">
        <v>140</v>
      </c>
      <c r="F8" s="457">
        <v>50</v>
      </c>
      <c r="G8" s="457"/>
      <c r="H8" s="346" t="s">
        <v>188</v>
      </c>
      <c r="I8" s="348" t="str">
        <f t="shared" si="0"/>
        <v>State &amp; Other</v>
      </c>
      <c r="J8" s="458">
        <v>7.35</v>
      </c>
      <c r="K8" s="351">
        <v>25</v>
      </c>
      <c r="L8" s="348" t="s">
        <v>363</v>
      </c>
      <c r="M8" s="459"/>
      <c r="N8" s="363"/>
      <c r="O8" s="459">
        <v>42460</v>
      </c>
      <c r="P8" s="349">
        <f t="shared" si="1"/>
        <v>2016</v>
      </c>
      <c r="Q8" s="348"/>
      <c r="R8" s="348"/>
      <c r="S8" s="348"/>
      <c r="T8" s="362" t="s">
        <v>664</v>
      </c>
      <c r="U8" s="350"/>
    </row>
    <row r="9" spans="1:21" x14ac:dyDescent="0.25">
      <c r="A9" s="347">
        <v>7</v>
      </c>
      <c r="B9" s="346" t="s">
        <v>567</v>
      </c>
      <c r="C9" s="346" t="s">
        <v>235</v>
      </c>
      <c r="D9" s="346" t="s">
        <v>150</v>
      </c>
      <c r="E9" s="346" t="s">
        <v>140</v>
      </c>
      <c r="F9" s="457">
        <v>20</v>
      </c>
      <c r="G9" s="457"/>
      <c r="H9" s="346" t="s">
        <v>188</v>
      </c>
      <c r="I9" s="348" t="str">
        <f t="shared" si="0"/>
        <v>State &amp; Other</v>
      </c>
      <c r="J9" s="458">
        <v>7.35</v>
      </c>
      <c r="K9" s="351">
        <v>25</v>
      </c>
      <c r="L9" s="348" t="s">
        <v>363</v>
      </c>
      <c r="M9" s="459"/>
      <c r="N9" s="363"/>
      <c r="O9" s="459">
        <v>42521</v>
      </c>
      <c r="P9" s="349">
        <f t="shared" si="1"/>
        <v>2017</v>
      </c>
      <c r="Q9" s="348"/>
      <c r="R9" s="348"/>
      <c r="S9" s="348"/>
      <c r="T9" s="362" t="s">
        <v>664</v>
      </c>
      <c r="U9" s="350"/>
    </row>
    <row r="10" spans="1:21" x14ac:dyDescent="0.25">
      <c r="A10" s="347">
        <v>8</v>
      </c>
      <c r="B10" s="346" t="s">
        <v>568</v>
      </c>
      <c r="C10" s="346" t="s">
        <v>235</v>
      </c>
      <c r="D10" s="346" t="s">
        <v>150</v>
      </c>
      <c r="E10" s="346" t="s">
        <v>140</v>
      </c>
      <c r="F10" s="457">
        <v>40</v>
      </c>
      <c r="G10" s="457"/>
      <c r="H10" s="346" t="s">
        <v>188</v>
      </c>
      <c r="I10" s="348" t="str">
        <f t="shared" si="0"/>
        <v>State &amp; Other</v>
      </c>
      <c r="J10" s="458">
        <v>7.79</v>
      </c>
      <c r="K10" s="351">
        <v>25</v>
      </c>
      <c r="L10" s="348" t="s">
        <v>363</v>
      </c>
      <c r="M10" s="459"/>
      <c r="N10" s="363"/>
      <c r="O10" s="459">
        <v>42490</v>
      </c>
      <c r="P10" s="349">
        <f t="shared" si="1"/>
        <v>2017</v>
      </c>
      <c r="Q10" s="348"/>
      <c r="R10" s="348"/>
      <c r="S10" s="348"/>
      <c r="T10" s="362" t="s">
        <v>664</v>
      </c>
      <c r="U10" s="350"/>
    </row>
    <row r="11" spans="1:21" x14ac:dyDescent="0.25">
      <c r="A11" s="347">
        <v>9</v>
      </c>
      <c r="B11" s="346" t="s">
        <v>569</v>
      </c>
      <c r="C11" s="346" t="s">
        <v>235</v>
      </c>
      <c r="D11" s="346" t="s">
        <v>150</v>
      </c>
      <c r="E11" s="346" t="s">
        <v>140</v>
      </c>
      <c r="F11" s="457">
        <v>20</v>
      </c>
      <c r="G11" s="457"/>
      <c r="H11" s="346" t="s">
        <v>188</v>
      </c>
      <c r="I11" s="348" t="str">
        <f t="shared" si="0"/>
        <v>State &amp; Other</v>
      </c>
      <c r="J11" s="458">
        <v>7.45</v>
      </c>
      <c r="K11" s="351">
        <v>25</v>
      </c>
      <c r="L11" s="348" t="s">
        <v>363</v>
      </c>
      <c r="M11" s="459"/>
      <c r="N11" s="363"/>
      <c r="O11" s="459">
        <v>42460</v>
      </c>
      <c r="P11" s="349">
        <f t="shared" si="1"/>
        <v>2016</v>
      </c>
      <c r="Q11" s="348"/>
      <c r="R11" s="348"/>
      <c r="S11" s="348"/>
      <c r="T11" s="362" t="s">
        <v>664</v>
      </c>
      <c r="U11" s="350"/>
    </row>
    <row r="12" spans="1:21" x14ac:dyDescent="0.25">
      <c r="A12" s="347">
        <v>10</v>
      </c>
      <c r="B12" s="346" t="s">
        <v>570</v>
      </c>
      <c r="C12" s="346" t="s">
        <v>235</v>
      </c>
      <c r="D12" s="346" t="s">
        <v>150</v>
      </c>
      <c r="E12" s="346" t="s">
        <v>140</v>
      </c>
      <c r="F12" s="457">
        <v>30</v>
      </c>
      <c r="G12" s="457"/>
      <c r="H12" s="346" t="s">
        <v>188</v>
      </c>
      <c r="I12" s="348" t="str">
        <f t="shared" si="0"/>
        <v>State &amp; Other</v>
      </c>
      <c r="J12" s="458">
        <v>7.45</v>
      </c>
      <c r="K12" s="351">
        <v>25</v>
      </c>
      <c r="L12" s="348" t="s">
        <v>363</v>
      </c>
      <c r="M12" s="459"/>
      <c r="N12" s="363"/>
      <c r="O12" s="459">
        <v>42490</v>
      </c>
      <c r="P12" s="349">
        <f t="shared" si="1"/>
        <v>2017</v>
      </c>
      <c r="Q12" s="348"/>
      <c r="R12" s="348"/>
      <c r="S12" s="348"/>
      <c r="T12" s="362" t="s">
        <v>664</v>
      </c>
      <c r="U12" s="350"/>
    </row>
    <row r="13" spans="1:21" x14ac:dyDescent="0.25">
      <c r="A13" s="347">
        <v>11</v>
      </c>
      <c r="B13" s="346" t="s">
        <v>571</v>
      </c>
      <c r="C13" s="346" t="s">
        <v>235</v>
      </c>
      <c r="D13" s="346" t="s">
        <v>152</v>
      </c>
      <c r="E13" s="346" t="s">
        <v>140</v>
      </c>
      <c r="F13" s="457">
        <v>10</v>
      </c>
      <c r="G13" s="457"/>
      <c r="H13" s="346" t="s">
        <v>572</v>
      </c>
      <c r="I13" s="348" t="str">
        <f t="shared" si="0"/>
        <v>State &amp; Other</v>
      </c>
      <c r="J13" s="458">
        <v>8.73</v>
      </c>
      <c r="K13" s="351">
        <v>25</v>
      </c>
      <c r="L13" s="348" t="s">
        <v>363</v>
      </c>
      <c r="M13" s="459"/>
      <c r="N13" s="363"/>
      <c r="O13" s="459">
        <v>42551</v>
      </c>
      <c r="P13" s="349">
        <f t="shared" si="1"/>
        <v>2017</v>
      </c>
      <c r="Q13" s="348"/>
      <c r="R13" s="348"/>
      <c r="S13" s="348"/>
      <c r="T13" s="362" t="s">
        <v>664</v>
      </c>
      <c r="U13" s="350"/>
    </row>
    <row r="14" spans="1:21" x14ac:dyDescent="0.25">
      <c r="A14" s="347">
        <v>12</v>
      </c>
      <c r="B14" s="346" t="s">
        <v>573</v>
      </c>
      <c r="C14" s="346" t="s">
        <v>235</v>
      </c>
      <c r="D14" s="346" t="s">
        <v>152</v>
      </c>
      <c r="E14" s="346" t="s">
        <v>140</v>
      </c>
      <c r="F14" s="457">
        <v>15</v>
      </c>
      <c r="G14" s="457"/>
      <c r="H14" s="346" t="s">
        <v>572</v>
      </c>
      <c r="I14" s="348" t="str">
        <f t="shared" si="0"/>
        <v>State &amp; Other</v>
      </c>
      <c r="J14" s="458">
        <v>8.73</v>
      </c>
      <c r="K14" s="351">
        <v>25</v>
      </c>
      <c r="L14" s="348" t="s">
        <v>363</v>
      </c>
      <c r="M14" s="459"/>
      <c r="N14" s="363"/>
      <c r="O14" s="459">
        <v>42551</v>
      </c>
      <c r="P14" s="349">
        <f t="shared" si="1"/>
        <v>2017</v>
      </c>
      <c r="Q14" s="348"/>
      <c r="R14" s="348"/>
      <c r="S14" s="348"/>
      <c r="T14" s="362" t="s">
        <v>664</v>
      </c>
      <c r="U14" s="350"/>
    </row>
    <row r="15" spans="1:21" x14ac:dyDescent="0.25">
      <c r="A15" s="347">
        <v>13</v>
      </c>
      <c r="B15" s="346" t="s">
        <v>574</v>
      </c>
      <c r="C15" s="346" t="s">
        <v>235</v>
      </c>
      <c r="D15" s="346" t="s">
        <v>154</v>
      </c>
      <c r="E15" s="346" t="s">
        <v>140</v>
      </c>
      <c r="F15" s="457">
        <v>30</v>
      </c>
      <c r="G15" s="457"/>
      <c r="H15" s="346" t="s">
        <v>190</v>
      </c>
      <c r="I15" s="348" t="str">
        <f t="shared" si="0"/>
        <v>State &amp; Other</v>
      </c>
      <c r="J15" s="458">
        <v>6.8479999999999999</v>
      </c>
      <c r="K15" s="351">
        <v>25</v>
      </c>
      <c r="L15" s="348" t="s">
        <v>363</v>
      </c>
      <c r="M15" s="459"/>
      <c r="N15" s="363"/>
      <c r="O15" s="459">
        <v>42582</v>
      </c>
      <c r="P15" s="349">
        <f t="shared" si="1"/>
        <v>2017</v>
      </c>
      <c r="Q15" s="348"/>
      <c r="R15" s="348"/>
      <c r="S15" s="348"/>
      <c r="T15" s="362" t="s">
        <v>664</v>
      </c>
      <c r="U15" s="350" t="s">
        <v>575</v>
      </c>
    </row>
    <row r="16" spans="1:21" x14ac:dyDescent="0.25">
      <c r="A16" s="347">
        <v>14</v>
      </c>
      <c r="B16" s="346" t="s">
        <v>576</v>
      </c>
      <c r="C16" s="346" t="s">
        <v>235</v>
      </c>
      <c r="D16" s="346" t="s">
        <v>154</v>
      </c>
      <c r="E16" s="346" t="s">
        <v>140</v>
      </c>
      <c r="F16" s="457">
        <v>50</v>
      </c>
      <c r="G16" s="457"/>
      <c r="H16" s="346" t="s">
        <v>190</v>
      </c>
      <c r="I16" s="348" t="str">
        <f t="shared" si="0"/>
        <v>State &amp; Other</v>
      </c>
      <c r="J16" s="458">
        <v>6.7370000000000001</v>
      </c>
      <c r="K16" s="351">
        <v>25</v>
      </c>
      <c r="L16" s="348" t="s">
        <v>363</v>
      </c>
      <c r="M16" s="459"/>
      <c r="N16" s="363"/>
      <c r="O16" s="459">
        <v>42613</v>
      </c>
      <c r="P16" s="349">
        <f t="shared" si="1"/>
        <v>2017</v>
      </c>
      <c r="Q16" s="348"/>
      <c r="R16" s="348"/>
      <c r="S16" s="348"/>
      <c r="T16" s="362" t="s">
        <v>664</v>
      </c>
      <c r="U16" s="350" t="s">
        <v>577</v>
      </c>
    </row>
    <row r="17" spans="1:21" x14ac:dyDescent="0.25">
      <c r="A17" s="347">
        <v>15</v>
      </c>
      <c r="B17" s="346" t="s">
        <v>578</v>
      </c>
      <c r="C17" s="346" t="s">
        <v>235</v>
      </c>
      <c r="D17" s="346" t="s">
        <v>154</v>
      </c>
      <c r="E17" s="346" t="s">
        <v>140</v>
      </c>
      <c r="F17" s="457">
        <v>50</v>
      </c>
      <c r="G17" s="457"/>
      <c r="H17" s="346" t="s">
        <v>191</v>
      </c>
      <c r="I17" s="348" t="str">
        <f t="shared" si="0"/>
        <v>State &amp; Other</v>
      </c>
      <c r="J17" s="458">
        <v>5.5949999999999998</v>
      </c>
      <c r="K17" s="351">
        <v>25</v>
      </c>
      <c r="L17" s="348" t="s">
        <v>363</v>
      </c>
      <c r="M17" s="459"/>
      <c r="N17" s="363"/>
      <c r="O17" s="459">
        <v>42978</v>
      </c>
      <c r="P17" s="349">
        <f t="shared" si="1"/>
        <v>2018</v>
      </c>
      <c r="Q17" s="348"/>
      <c r="R17" s="348"/>
      <c r="S17" s="348"/>
      <c r="T17" s="362" t="s">
        <v>664</v>
      </c>
      <c r="U17" s="350" t="s">
        <v>579</v>
      </c>
    </row>
    <row r="18" spans="1:21" x14ac:dyDescent="0.25">
      <c r="A18" s="347">
        <v>16</v>
      </c>
      <c r="B18" s="346" t="s">
        <v>580</v>
      </c>
      <c r="C18" s="346" t="s">
        <v>235</v>
      </c>
      <c r="D18" s="346" t="s">
        <v>154</v>
      </c>
      <c r="E18" s="346" t="s">
        <v>140</v>
      </c>
      <c r="F18" s="457">
        <v>50</v>
      </c>
      <c r="G18" s="457"/>
      <c r="H18" s="346" t="s">
        <v>191</v>
      </c>
      <c r="I18" s="348" t="str">
        <f t="shared" si="0"/>
        <v>State &amp; Other</v>
      </c>
      <c r="J18" s="458">
        <v>5.59</v>
      </c>
      <c r="K18" s="351">
        <v>25</v>
      </c>
      <c r="L18" s="348" t="s">
        <v>363</v>
      </c>
      <c r="M18" s="459"/>
      <c r="N18" s="363"/>
      <c r="O18" s="459">
        <v>43159</v>
      </c>
      <c r="P18" s="349">
        <f t="shared" si="1"/>
        <v>2018</v>
      </c>
      <c r="Q18" s="348"/>
      <c r="R18" s="348"/>
      <c r="S18" s="348"/>
      <c r="T18" s="362" t="s">
        <v>664</v>
      </c>
      <c r="U18" s="350"/>
    </row>
    <row r="19" spans="1:21" x14ac:dyDescent="0.25">
      <c r="A19" s="347">
        <v>17</v>
      </c>
      <c r="B19" s="346" t="s">
        <v>581</v>
      </c>
      <c r="C19" s="346" t="s">
        <v>235</v>
      </c>
      <c r="D19" s="346" t="s">
        <v>154</v>
      </c>
      <c r="E19" s="346" t="s">
        <v>140</v>
      </c>
      <c r="F19" s="457">
        <v>20</v>
      </c>
      <c r="G19" s="457"/>
      <c r="H19" s="346" t="s">
        <v>192</v>
      </c>
      <c r="I19" s="348" t="str">
        <f t="shared" si="0"/>
        <v>Central</v>
      </c>
      <c r="J19" s="458">
        <v>4.67</v>
      </c>
      <c r="K19" s="351">
        <v>25</v>
      </c>
      <c r="L19" s="348" t="s">
        <v>363</v>
      </c>
      <c r="M19" s="459"/>
      <c r="N19" s="363"/>
      <c r="O19" s="459">
        <v>43008</v>
      </c>
      <c r="P19" s="349">
        <f t="shared" si="1"/>
        <v>2018</v>
      </c>
      <c r="Q19" s="348"/>
      <c r="R19" s="348"/>
      <c r="S19" s="348"/>
      <c r="T19" s="362" t="s">
        <v>664</v>
      </c>
      <c r="U19" s="350"/>
    </row>
    <row r="20" spans="1:21" x14ac:dyDescent="0.25">
      <c r="A20" s="347">
        <v>18</v>
      </c>
      <c r="B20" s="346" t="s">
        <v>582</v>
      </c>
      <c r="C20" s="346" t="s">
        <v>235</v>
      </c>
      <c r="D20" s="346" t="s">
        <v>154</v>
      </c>
      <c r="E20" s="346" t="s">
        <v>140</v>
      </c>
      <c r="F20" s="457">
        <v>30</v>
      </c>
      <c r="G20" s="457"/>
      <c r="H20" s="346" t="s">
        <v>192</v>
      </c>
      <c r="I20" s="348" t="str">
        <f t="shared" si="0"/>
        <v>Central</v>
      </c>
      <c r="J20" s="458">
        <v>4.67</v>
      </c>
      <c r="K20" s="351">
        <v>25</v>
      </c>
      <c r="L20" s="348" t="s">
        <v>363</v>
      </c>
      <c r="M20" s="459"/>
      <c r="N20" s="363"/>
      <c r="O20" s="459">
        <v>43008</v>
      </c>
      <c r="P20" s="349">
        <f t="shared" si="1"/>
        <v>2018</v>
      </c>
      <c r="Q20" s="348"/>
      <c r="R20" s="348"/>
      <c r="S20" s="348"/>
      <c r="T20" s="362" t="s">
        <v>664</v>
      </c>
      <c r="U20" s="350"/>
    </row>
    <row r="21" spans="1:21" x14ac:dyDescent="0.25">
      <c r="A21" s="347">
        <v>19</v>
      </c>
      <c r="B21" s="346" t="s">
        <v>583</v>
      </c>
      <c r="C21" s="346" t="s">
        <v>235</v>
      </c>
      <c r="D21" s="346" t="s">
        <v>181</v>
      </c>
      <c r="E21" s="346" t="s">
        <v>140</v>
      </c>
      <c r="F21" s="457">
        <v>30</v>
      </c>
      <c r="G21" s="457"/>
      <c r="H21" s="346" t="s">
        <v>193</v>
      </c>
      <c r="I21" s="348" t="str">
        <f t="shared" si="0"/>
        <v>State &amp; Other</v>
      </c>
      <c r="J21" s="458">
        <v>8.93</v>
      </c>
      <c r="K21" s="351">
        <v>12</v>
      </c>
      <c r="L21" s="348" t="s">
        <v>363</v>
      </c>
      <c r="M21" s="459"/>
      <c r="N21" s="363"/>
      <c r="O21" s="459">
        <v>42643</v>
      </c>
      <c r="P21" s="349">
        <f t="shared" si="1"/>
        <v>2017</v>
      </c>
      <c r="Q21" s="348"/>
      <c r="R21" s="348"/>
      <c r="S21" s="348"/>
      <c r="T21" s="362" t="s">
        <v>664</v>
      </c>
      <c r="U21" s="350" t="s">
        <v>584</v>
      </c>
    </row>
    <row r="22" spans="1:21" x14ac:dyDescent="0.25">
      <c r="A22" s="347">
        <v>20</v>
      </c>
      <c r="B22" s="346" t="s">
        <v>585</v>
      </c>
      <c r="C22" s="346" t="s">
        <v>235</v>
      </c>
      <c r="D22" s="346" t="s">
        <v>182</v>
      </c>
      <c r="E22" s="346" t="s">
        <v>140</v>
      </c>
      <c r="F22" s="457">
        <v>20</v>
      </c>
      <c r="G22" s="457"/>
      <c r="H22" s="346" t="s">
        <v>194</v>
      </c>
      <c r="I22" s="348" t="str">
        <f t="shared" si="0"/>
        <v>State &amp; Other</v>
      </c>
      <c r="J22" s="458">
        <v>2.97</v>
      </c>
      <c r="K22" s="351">
        <v>25</v>
      </c>
      <c r="L22" s="348" t="s">
        <v>363</v>
      </c>
      <c r="M22" s="459"/>
      <c r="N22" s="363"/>
      <c r="O22" s="459">
        <v>43769</v>
      </c>
      <c r="P22" s="349">
        <f t="shared" si="1"/>
        <v>2020</v>
      </c>
      <c r="Q22" s="348"/>
      <c r="R22" s="348"/>
      <c r="S22" s="348"/>
      <c r="T22" s="362" t="s">
        <v>664</v>
      </c>
      <c r="U22" s="350"/>
    </row>
    <row r="23" spans="1:21" x14ac:dyDescent="0.25">
      <c r="A23" s="347">
        <v>21</v>
      </c>
      <c r="B23" s="346" t="s">
        <v>586</v>
      </c>
      <c r="C23" s="346" t="s">
        <v>235</v>
      </c>
      <c r="D23" s="346" t="s">
        <v>200</v>
      </c>
      <c r="E23" s="346" t="s">
        <v>140</v>
      </c>
      <c r="F23" s="457">
        <v>100</v>
      </c>
      <c r="G23" s="457"/>
      <c r="H23" s="346" t="s">
        <v>144</v>
      </c>
      <c r="I23" s="348" t="str">
        <f t="shared" si="0"/>
        <v>Central</v>
      </c>
      <c r="J23" s="458">
        <v>2.44</v>
      </c>
      <c r="K23" s="351">
        <v>25</v>
      </c>
      <c r="L23" s="348" t="s">
        <v>363</v>
      </c>
      <c r="M23" s="459"/>
      <c r="N23" s="363"/>
      <c r="O23" s="459">
        <v>43373</v>
      </c>
      <c r="P23" s="349">
        <f t="shared" si="1"/>
        <v>2019</v>
      </c>
      <c r="Q23" s="348"/>
      <c r="R23" s="348"/>
      <c r="S23" s="348"/>
      <c r="T23" s="362" t="s">
        <v>664</v>
      </c>
      <c r="U23" s="350"/>
    </row>
    <row r="24" spans="1:21" x14ac:dyDescent="0.25">
      <c r="A24" s="347">
        <v>22</v>
      </c>
      <c r="B24" s="346" t="s">
        <v>587</v>
      </c>
      <c r="C24" s="346" t="s">
        <v>235</v>
      </c>
      <c r="D24" s="346" t="s">
        <v>200</v>
      </c>
      <c r="E24" s="346" t="s">
        <v>140</v>
      </c>
      <c r="F24" s="457">
        <v>100</v>
      </c>
      <c r="G24" s="457"/>
      <c r="H24" s="346" t="s">
        <v>144</v>
      </c>
      <c r="I24" s="348" t="str">
        <f t="shared" si="0"/>
        <v>Central</v>
      </c>
      <c r="J24" s="458">
        <v>2.44</v>
      </c>
      <c r="K24" s="351">
        <v>25</v>
      </c>
      <c r="L24" s="348" t="s">
        <v>363</v>
      </c>
      <c r="M24" s="459"/>
      <c r="N24" s="363"/>
      <c r="O24" s="459">
        <v>43404</v>
      </c>
      <c r="P24" s="349">
        <f t="shared" si="1"/>
        <v>2019</v>
      </c>
      <c r="Q24" s="348"/>
      <c r="R24" s="348"/>
      <c r="S24" s="348"/>
      <c r="T24" s="362" t="s">
        <v>664</v>
      </c>
      <c r="U24" s="350"/>
    </row>
    <row r="25" spans="1:21" x14ac:dyDescent="0.25">
      <c r="A25" s="347">
        <v>23</v>
      </c>
      <c r="B25" s="346" t="s">
        <v>588</v>
      </c>
      <c r="C25" s="346" t="s">
        <v>235</v>
      </c>
      <c r="D25" s="346" t="s">
        <v>200</v>
      </c>
      <c r="E25" s="346" t="s">
        <v>140</v>
      </c>
      <c r="F25" s="457">
        <v>300</v>
      </c>
      <c r="G25" s="457"/>
      <c r="H25" s="346" t="s">
        <v>201</v>
      </c>
      <c r="I25" s="348" t="str">
        <f t="shared" si="0"/>
        <v>State &amp; Other</v>
      </c>
      <c r="J25" s="458">
        <v>2.74</v>
      </c>
      <c r="K25" s="351">
        <v>25</v>
      </c>
      <c r="L25" s="348" t="s">
        <v>363</v>
      </c>
      <c r="M25" s="459"/>
      <c r="N25" s="363"/>
      <c r="O25" s="459">
        <v>44712</v>
      </c>
      <c r="P25" s="349">
        <f t="shared" si="1"/>
        <v>2023</v>
      </c>
      <c r="Q25" s="348"/>
      <c r="R25" s="348"/>
      <c r="S25" s="348"/>
      <c r="T25" s="362" t="s">
        <v>664</v>
      </c>
      <c r="U25" s="350" t="s">
        <v>589</v>
      </c>
    </row>
    <row r="26" spans="1:21" x14ac:dyDescent="0.25">
      <c r="A26" s="347">
        <v>24</v>
      </c>
      <c r="B26" s="346" t="s">
        <v>590</v>
      </c>
      <c r="C26" s="346" t="s">
        <v>235</v>
      </c>
      <c r="D26" s="346" t="s">
        <v>200</v>
      </c>
      <c r="E26" s="346" t="s">
        <v>140</v>
      </c>
      <c r="F26" s="457">
        <v>250</v>
      </c>
      <c r="G26" s="457"/>
      <c r="H26" s="346" t="s">
        <v>144</v>
      </c>
      <c r="I26" s="348" t="str">
        <f t="shared" si="0"/>
        <v>Central</v>
      </c>
      <c r="J26" s="458">
        <v>2.48</v>
      </c>
      <c r="K26" s="351">
        <v>25</v>
      </c>
      <c r="L26" s="348" t="s">
        <v>363</v>
      </c>
      <c r="M26" s="459"/>
      <c r="N26" s="363"/>
      <c r="O26" s="459">
        <v>45322</v>
      </c>
      <c r="P26" s="349">
        <f t="shared" si="1"/>
        <v>2024</v>
      </c>
      <c r="Q26" s="348"/>
      <c r="R26" s="348"/>
      <c r="S26" s="348"/>
      <c r="T26" s="362" t="s">
        <v>664</v>
      </c>
      <c r="U26" s="350" t="s">
        <v>591</v>
      </c>
    </row>
    <row r="27" spans="1:21" x14ac:dyDescent="0.25">
      <c r="A27" s="347">
        <v>25</v>
      </c>
      <c r="B27" s="346" t="s">
        <v>592</v>
      </c>
      <c r="C27" s="346" t="s">
        <v>235</v>
      </c>
      <c r="D27" s="346" t="s">
        <v>200</v>
      </c>
      <c r="E27" s="346" t="s">
        <v>140</v>
      </c>
      <c r="F27" s="457">
        <v>300</v>
      </c>
      <c r="G27" s="457"/>
      <c r="H27" s="346" t="s">
        <v>144</v>
      </c>
      <c r="I27" s="348" t="str">
        <f t="shared" si="0"/>
        <v>Central</v>
      </c>
      <c r="J27" s="458">
        <v>2.44</v>
      </c>
      <c r="K27" s="351">
        <v>25</v>
      </c>
      <c r="L27" s="348" t="s">
        <v>363</v>
      </c>
      <c r="M27" s="459"/>
      <c r="N27" s="363"/>
      <c r="O27" s="459">
        <v>45688</v>
      </c>
      <c r="P27" s="349">
        <f t="shared" si="1"/>
        <v>2025</v>
      </c>
      <c r="Q27" s="348"/>
      <c r="R27" s="348"/>
      <c r="S27" s="348"/>
      <c r="T27" s="362" t="s">
        <v>664</v>
      </c>
      <c r="U27" s="350" t="s">
        <v>593</v>
      </c>
    </row>
    <row r="28" spans="1:21" x14ac:dyDescent="0.25">
      <c r="A28" s="347">
        <v>26</v>
      </c>
      <c r="B28" s="346" t="s">
        <v>594</v>
      </c>
      <c r="C28" s="346" t="s">
        <v>235</v>
      </c>
      <c r="D28" s="346" t="s">
        <v>200</v>
      </c>
      <c r="E28" s="346" t="s">
        <v>140</v>
      </c>
      <c r="F28" s="457">
        <v>300</v>
      </c>
      <c r="G28" s="457"/>
      <c r="H28" s="346" t="s">
        <v>144</v>
      </c>
      <c r="I28" s="348" t="str">
        <f t="shared" si="0"/>
        <v>Central</v>
      </c>
      <c r="J28" s="458">
        <v>2.44</v>
      </c>
      <c r="K28" s="351">
        <v>25</v>
      </c>
      <c r="L28" s="348" t="s">
        <v>363</v>
      </c>
      <c r="M28" s="459"/>
      <c r="N28" s="363"/>
      <c r="O28" s="459">
        <v>45688</v>
      </c>
      <c r="P28" s="349">
        <f t="shared" si="1"/>
        <v>2025</v>
      </c>
      <c r="Q28" s="348"/>
      <c r="R28" s="348"/>
      <c r="S28" s="348"/>
      <c r="T28" s="362" t="s">
        <v>664</v>
      </c>
      <c r="U28" s="350" t="s">
        <v>595</v>
      </c>
    </row>
    <row r="29" spans="1:21" x14ac:dyDescent="0.25">
      <c r="A29" s="347">
        <v>27</v>
      </c>
      <c r="B29" s="346" t="s">
        <v>596</v>
      </c>
      <c r="C29" s="346" t="s">
        <v>235</v>
      </c>
      <c r="D29" s="346" t="s">
        <v>200</v>
      </c>
      <c r="E29" s="346" t="s">
        <v>140</v>
      </c>
      <c r="F29" s="457">
        <v>300</v>
      </c>
      <c r="G29" s="457"/>
      <c r="H29" s="346" t="s">
        <v>144</v>
      </c>
      <c r="I29" s="348" t="str">
        <f t="shared" si="0"/>
        <v>Central</v>
      </c>
      <c r="J29" s="458">
        <v>2.44</v>
      </c>
      <c r="K29" s="351">
        <v>25</v>
      </c>
      <c r="L29" s="348" t="s">
        <v>363</v>
      </c>
      <c r="M29" s="459"/>
      <c r="N29" s="363"/>
      <c r="O29" s="459">
        <v>45688</v>
      </c>
      <c r="P29" s="349">
        <f t="shared" si="1"/>
        <v>2025</v>
      </c>
      <c r="Q29" s="348"/>
      <c r="R29" s="348"/>
      <c r="S29" s="348"/>
      <c r="T29" s="362" t="s">
        <v>664</v>
      </c>
      <c r="U29" s="350" t="s">
        <v>597</v>
      </c>
    </row>
    <row r="30" spans="1:21" x14ac:dyDescent="0.25">
      <c r="A30" s="347">
        <v>28</v>
      </c>
      <c r="B30" s="346" t="s">
        <v>598</v>
      </c>
      <c r="C30" s="346" t="s">
        <v>235</v>
      </c>
      <c r="D30" s="346" t="s">
        <v>200</v>
      </c>
      <c r="E30" s="346" t="s">
        <v>140</v>
      </c>
      <c r="F30" s="457">
        <v>300</v>
      </c>
      <c r="G30" s="457"/>
      <c r="H30" s="346" t="s">
        <v>144</v>
      </c>
      <c r="I30" s="348" t="str">
        <f t="shared" si="0"/>
        <v>Central</v>
      </c>
      <c r="J30" s="458">
        <v>2.44</v>
      </c>
      <c r="K30" s="351">
        <v>25</v>
      </c>
      <c r="L30" s="348" t="s">
        <v>363</v>
      </c>
      <c r="M30" s="459"/>
      <c r="N30" s="363"/>
      <c r="O30" s="459">
        <v>45688</v>
      </c>
      <c r="P30" s="349">
        <f t="shared" si="1"/>
        <v>2025</v>
      </c>
      <c r="Q30" s="348"/>
      <c r="R30" s="348"/>
      <c r="S30" s="348"/>
      <c r="T30" s="362" t="s">
        <v>664</v>
      </c>
      <c r="U30" s="350" t="s">
        <v>599</v>
      </c>
    </row>
    <row r="31" spans="1:21" x14ac:dyDescent="0.25">
      <c r="A31" s="347">
        <v>29</v>
      </c>
      <c r="B31" s="346" t="s">
        <v>600</v>
      </c>
      <c r="C31" s="346" t="s">
        <v>235</v>
      </c>
      <c r="D31" s="346" t="s">
        <v>200</v>
      </c>
      <c r="E31" s="346" t="s">
        <v>140</v>
      </c>
      <c r="F31" s="457">
        <v>300</v>
      </c>
      <c r="G31" s="457"/>
      <c r="H31" s="346" t="s">
        <v>144</v>
      </c>
      <c r="I31" s="348" t="str">
        <f t="shared" si="0"/>
        <v>Central</v>
      </c>
      <c r="J31" s="458">
        <v>3.05</v>
      </c>
      <c r="K31" s="351">
        <v>25</v>
      </c>
      <c r="L31" s="348" t="s">
        <v>363</v>
      </c>
      <c r="M31" s="459"/>
      <c r="N31" s="363"/>
      <c r="O31" s="459">
        <v>45838</v>
      </c>
      <c r="P31" s="349">
        <f t="shared" si="1"/>
        <v>2026</v>
      </c>
      <c r="Q31" s="348"/>
      <c r="R31" s="348"/>
      <c r="S31" s="348"/>
      <c r="T31" s="362" t="s">
        <v>664</v>
      </c>
      <c r="U31" s="350" t="s">
        <v>601</v>
      </c>
    </row>
    <row r="32" spans="1:21" x14ac:dyDescent="0.25">
      <c r="A32" s="347">
        <v>30</v>
      </c>
      <c r="B32" s="346" t="s">
        <v>602</v>
      </c>
      <c r="C32" s="346" t="s">
        <v>235</v>
      </c>
      <c r="D32" s="346" t="s">
        <v>177</v>
      </c>
      <c r="E32" s="346" t="s">
        <v>214</v>
      </c>
      <c r="F32" s="457">
        <v>50</v>
      </c>
      <c r="G32" s="457"/>
      <c r="H32" s="346" t="s">
        <v>184</v>
      </c>
      <c r="I32" s="348" t="str">
        <f t="shared" si="0"/>
        <v>GUVNL</v>
      </c>
      <c r="J32" s="458">
        <v>2.9</v>
      </c>
      <c r="K32" s="351">
        <v>25</v>
      </c>
      <c r="L32" s="348" t="s">
        <v>363</v>
      </c>
      <c r="M32" s="459"/>
      <c r="N32" s="363"/>
      <c r="O32" s="459">
        <v>45838</v>
      </c>
      <c r="P32" s="349">
        <f t="shared" si="1"/>
        <v>2026</v>
      </c>
      <c r="Q32" s="348"/>
      <c r="R32" s="348"/>
      <c r="S32" s="348"/>
      <c r="T32" s="362" t="s">
        <v>664</v>
      </c>
      <c r="U32" s="350" t="s">
        <v>603</v>
      </c>
    </row>
    <row r="33" spans="1:21" x14ac:dyDescent="0.25">
      <c r="A33" s="347">
        <v>31</v>
      </c>
      <c r="B33" s="346" t="s">
        <v>604</v>
      </c>
      <c r="C33" s="346" t="s">
        <v>235</v>
      </c>
      <c r="D33" s="346" t="s">
        <v>177</v>
      </c>
      <c r="E33" s="346" t="s">
        <v>214</v>
      </c>
      <c r="F33" s="457">
        <v>72</v>
      </c>
      <c r="G33" s="457"/>
      <c r="H33" s="346" t="s">
        <v>184</v>
      </c>
      <c r="I33" s="348" t="str">
        <f t="shared" si="0"/>
        <v>GUVNL</v>
      </c>
      <c r="J33" s="458">
        <v>3.01</v>
      </c>
      <c r="K33" s="351">
        <v>25</v>
      </c>
      <c r="L33" s="348" t="s">
        <v>363</v>
      </c>
      <c r="M33" s="459"/>
      <c r="N33" s="363"/>
      <c r="O33" s="459">
        <v>46053</v>
      </c>
      <c r="P33" s="349">
        <f t="shared" si="1"/>
        <v>2026</v>
      </c>
      <c r="Q33" s="348"/>
      <c r="R33" s="348"/>
      <c r="S33" s="348"/>
      <c r="T33" s="362" t="s">
        <v>664</v>
      </c>
      <c r="U33" s="350" t="s">
        <v>605</v>
      </c>
    </row>
    <row r="34" spans="1:21" x14ac:dyDescent="0.25">
      <c r="A34" s="347">
        <v>32</v>
      </c>
      <c r="B34" s="346" t="s">
        <v>606</v>
      </c>
      <c r="C34" s="346" t="s">
        <v>235</v>
      </c>
      <c r="D34" s="346" t="s">
        <v>177</v>
      </c>
      <c r="E34" s="346" t="s">
        <v>214</v>
      </c>
      <c r="F34" s="457">
        <v>20</v>
      </c>
      <c r="G34" s="457"/>
      <c r="H34" s="346" t="s">
        <v>184</v>
      </c>
      <c r="I34" s="348" t="str">
        <f t="shared" si="0"/>
        <v>GUVNL</v>
      </c>
      <c r="J34" s="458">
        <v>3.01</v>
      </c>
      <c r="K34" s="351">
        <v>25</v>
      </c>
      <c r="L34" s="348" t="s">
        <v>363</v>
      </c>
      <c r="M34" s="459"/>
      <c r="N34" s="363"/>
      <c r="O34" s="459">
        <v>46112</v>
      </c>
      <c r="P34" s="349">
        <f t="shared" si="1"/>
        <v>2026</v>
      </c>
      <c r="Q34" s="348"/>
      <c r="R34" s="348"/>
      <c r="S34" s="348"/>
      <c r="T34" s="362" t="s">
        <v>664</v>
      </c>
      <c r="U34" s="350" t="s">
        <v>607</v>
      </c>
    </row>
    <row r="35" spans="1:21" x14ac:dyDescent="0.25">
      <c r="A35" s="347">
        <v>33</v>
      </c>
      <c r="B35" s="346" t="s">
        <v>608</v>
      </c>
      <c r="C35" s="346" t="s">
        <v>235</v>
      </c>
      <c r="D35" s="346" t="s">
        <v>177</v>
      </c>
      <c r="E35" s="346" t="s">
        <v>214</v>
      </c>
      <c r="F35" s="457">
        <v>8</v>
      </c>
      <c r="G35" s="457"/>
      <c r="H35" s="346" t="s">
        <v>184</v>
      </c>
      <c r="I35" s="348" t="str">
        <f t="shared" ref="I35:I67" si="2">IF($H35="","–",IF($H35="GUVNL","GUVNL",IF(OR($H35="SECI",$H35="NTPC",$H35="SJVN",$H35="NHPC"),"Central","State &amp; Other")))</f>
        <v>GUVNL</v>
      </c>
      <c r="J35" s="458">
        <v>3.01</v>
      </c>
      <c r="K35" s="351">
        <v>25</v>
      </c>
      <c r="L35" s="348" t="s">
        <v>363</v>
      </c>
      <c r="M35" s="459"/>
      <c r="N35" s="363"/>
      <c r="O35" s="459">
        <v>46142</v>
      </c>
      <c r="P35" s="349">
        <f t="shared" ref="P35:P67" si="3">IF($O35="","–",IF(MONTH($O35)&lt;=3,YEAR($O35),YEAR($O35)+1))</f>
        <v>2027</v>
      </c>
      <c r="Q35" s="348"/>
      <c r="R35" s="348"/>
      <c r="S35" s="348"/>
      <c r="T35" s="362" t="s">
        <v>664</v>
      </c>
      <c r="U35" s="350" t="s">
        <v>609</v>
      </c>
    </row>
    <row r="36" spans="1:21" x14ac:dyDescent="0.25">
      <c r="A36" s="347">
        <v>34</v>
      </c>
      <c r="B36" s="346" t="s">
        <v>610</v>
      </c>
      <c r="C36" s="346" t="s">
        <v>264</v>
      </c>
      <c r="D36" s="346" t="s">
        <v>200</v>
      </c>
      <c r="E36" s="346" t="s">
        <v>215</v>
      </c>
      <c r="F36" s="457">
        <v>250</v>
      </c>
      <c r="G36" s="457"/>
      <c r="H36" s="346" t="s">
        <v>217</v>
      </c>
      <c r="I36" s="348" t="str">
        <f t="shared" si="2"/>
        <v>Central</v>
      </c>
      <c r="J36" s="458">
        <v>4.38</v>
      </c>
      <c r="K36" s="351">
        <v>25</v>
      </c>
      <c r="L36" s="348" t="s">
        <v>363</v>
      </c>
      <c r="M36" s="459">
        <v>45245</v>
      </c>
      <c r="N36" s="363">
        <v>46568</v>
      </c>
      <c r="O36" s="352">
        <v>46568</v>
      </c>
      <c r="P36" s="349">
        <f t="shared" si="3"/>
        <v>2028</v>
      </c>
      <c r="Q36" s="348" t="s">
        <v>363</v>
      </c>
      <c r="R36" s="348" t="s">
        <v>611</v>
      </c>
      <c r="S36" s="348" t="s">
        <v>612</v>
      </c>
      <c r="T36" s="362" t="s">
        <v>665</v>
      </c>
      <c r="U36" s="350" t="s">
        <v>666</v>
      </c>
    </row>
    <row r="37" spans="1:21" x14ac:dyDescent="0.25">
      <c r="A37" s="347">
        <v>35</v>
      </c>
      <c r="B37" s="346" t="s">
        <v>613</v>
      </c>
      <c r="C37" s="346" t="s">
        <v>264</v>
      </c>
      <c r="D37" s="346" t="s">
        <v>200</v>
      </c>
      <c r="E37" s="346" t="s">
        <v>215</v>
      </c>
      <c r="F37" s="457">
        <v>320</v>
      </c>
      <c r="G37" s="457"/>
      <c r="H37" s="346" t="s">
        <v>217</v>
      </c>
      <c r="I37" s="348" t="str">
        <f t="shared" si="2"/>
        <v>Central</v>
      </c>
      <c r="J37" s="458">
        <v>4.38</v>
      </c>
      <c r="K37" s="351">
        <v>25</v>
      </c>
      <c r="L37" s="348" t="s">
        <v>363</v>
      </c>
      <c r="M37" s="459">
        <v>45245</v>
      </c>
      <c r="N37" s="363">
        <v>46568</v>
      </c>
      <c r="O37" s="352">
        <v>46568</v>
      </c>
      <c r="P37" s="349">
        <f t="shared" si="3"/>
        <v>2028</v>
      </c>
      <c r="Q37" s="348" t="s">
        <v>363</v>
      </c>
      <c r="R37" s="348" t="s">
        <v>611</v>
      </c>
      <c r="S37" s="348" t="s">
        <v>612</v>
      </c>
      <c r="T37" s="362" t="s">
        <v>665</v>
      </c>
      <c r="U37" s="350" t="s">
        <v>666</v>
      </c>
    </row>
    <row r="38" spans="1:21" x14ac:dyDescent="0.25">
      <c r="A38" s="347">
        <v>36</v>
      </c>
      <c r="B38" s="346" t="s">
        <v>667</v>
      </c>
      <c r="C38" s="346" t="s">
        <v>264</v>
      </c>
      <c r="D38" s="346" t="s">
        <v>614</v>
      </c>
      <c r="E38" s="346" t="s">
        <v>215</v>
      </c>
      <c r="F38" s="457">
        <v>380</v>
      </c>
      <c r="G38" s="457"/>
      <c r="H38" s="346" t="s">
        <v>144</v>
      </c>
      <c r="I38" s="348" t="str">
        <f t="shared" si="2"/>
        <v>Central</v>
      </c>
      <c r="J38" s="458">
        <v>4.7300000000000004</v>
      </c>
      <c r="K38" s="351">
        <v>25</v>
      </c>
      <c r="L38" s="348" t="s">
        <v>363</v>
      </c>
      <c r="M38" s="459">
        <v>45031</v>
      </c>
      <c r="N38" s="363">
        <v>46326</v>
      </c>
      <c r="O38" s="352">
        <v>46433</v>
      </c>
      <c r="P38" s="349">
        <f t="shared" si="3"/>
        <v>2027</v>
      </c>
      <c r="Q38" s="348" t="s">
        <v>363</v>
      </c>
      <c r="R38" s="348" t="s">
        <v>611</v>
      </c>
      <c r="S38" s="348" t="s">
        <v>612</v>
      </c>
      <c r="T38" s="362" t="s">
        <v>668</v>
      </c>
      <c r="U38" s="350" t="s">
        <v>781</v>
      </c>
    </row>
    <row r="39" spans="1:21" x14ac:dyDescent="0.25">
      <c r="A39" s="347">
        <v>37</v>
      </c>
      <c r="B39" s="346" t="s">
        <v>615</v>
      </c>
      <c r="C39" s="346" t="s">
        <v>264</v>
      </c>
      <c r="D39" s="346" t="s">
        <v>616</v>
      </c>
      <c r="E39" s="346" t="s">
        <v>216</v>
      </c>
      <c r="F39" s="457">
        <v>300</v>
      </c>
      <c r="G39" s="457"/>
      <c r="H39" s="346" t="s">
        <v>192</v>
      </c>
      <c r="I39" s="348" t="str">
        <f t="shared" si="2"/>
        <v>Central</v>
      </c>
      <c r="J39" s="458">
        <v>3.36</v>
      </c>
      <c r="K39" s="351">
        <v>25</v>
      </c>
      <c r="L39" s="348" t="s">
        <v>363</v>
      </c>
      <c r="M39" s="459">
        <v>45275</v>
      </c>
      <c r="N39" s="363">
        <v>46660</v>
      </c>
      <c r="O39" s="352">
        <v>46660</v>
      </c>
      <c r="P39" s="349">
        <f t="shared" si="3"/>
        <v>2028</v>
      </c>
      <c r="Q39" s="348" t="s">
        <v>363</v>
      </c>
      <c r="R39" s="348" t="s">
        <v>611</v>
      </c>
      <c r="S39" s="348" t="s">
        <v>612</v>
      </c>
      <c r="T39" s="362" t="s">
        <v>665</v>
      </c>
      <c r="U39" s="350" t="s">
        <v>779</v>
      </c>
    </row>
    <row r="40" spans="1:21" x14ac:dyDescent="0.25">
      <c r="A40" s="347">
        <v>38</v>
      </c>
      <c r="B40" s="346" t="s">
        <v>669</v>
      </c>
      <c r="C40" s="346" t="s">
        <v>264</v>
      </c>
      <c r="D40" s="346" t="s">
        <v>182</v>
      </c>
      <c r="E40" s="346" t="s">
        <v>215</v>
      </c>
      <c r="F40" s="457">
        <v>350</v>
      </c>
      <c r="G40" s="457"/>
      <c r="H40" s="346" t="s">
        <v>144</v>
      </c>
      <c r="I40" s="348" t="str">
        <f t="shared" si="2"/>
        <v>Central</v>
      </c>
      <c r="J40" s="458">
        <v>3.42</v>
      </c>
      <c r="K40" s="351">
        <v>25</v>
      </c>
      <c r="L40" s="348" t="s">
        <v>363</v>
      </c>
      <c r="M40" s="459">
        <v>45488</v>
      </c>
      <c r="N40" s="363">
        <v>46477</v>
      </c>
      <c r="O40" s="352">
        <v>46433</v>
      </c>
      <c r="P40" s="349">
        <f t="shared" si="3"/>
        <v>2027</v>
      </c>
      <c r="Q40" s="348" t="s">
        <v>363</v>
      </c>
      <c r="R40" s="348" t="s">
        <v>611</v>
      </c>
      <c r="S40" s="348" t="s">
        <v>612</v>
      </c>
      <c r="T40" s="362" t="s">
        <v>665</v>
      </c>
      <c r="U40" s="350" t="s">
        <v>780</v>
      </c>
    </row>
    <row r="41" spans="1:21" x14ac:dyDescent="0.25">
      <c r="A41" s="347">
        <v>39</v>
      </c>
      <c r="B41" s="346" t="s">
        <v>617</v>
      </c>
      <c r="C41" s="346" t="s">
        <v>264</v>
      </c>
      <c r="D41" s="346" t="s">
        <v>618</v>
      </c>
      <c r="E41" s="346" t="s">
        <v>215</v>
      </c>
      <c r="F41" s="457">
        <v>400</v>
      </c>
      <c r="G41" s="457"/>
      <c r="H41" s="346" t="s">
        <v>218</v>
      </c>
      <c r="I41" s="348" t="str">
        <f t="shared" si="2"/>
        <v>Central</v>
      </c>
      <c r="J41" s="458">
        <v>4.6399999999999997</v>
      </c>
      <c r="K41" s="351">
        <v>25</v>
      </c>
      <c r="L41" s="348" t="s">
        <v>363</v>
      </c>
      <c r="M41" s="459">
        <v>45337</v>
      </c>
      <c r="N41" s="363"/>
      <c r="O41" s="352">
        <v>46660</v>
      </c>
      <c r="P41" s="349">
        <f t="shared" si="3"/>
        <v>2028</v>
      </c>
      <c r="Q41" s="348" t="s">
        <v>363</v>
      </c>
      <c r="R41" s="348" t="s">
        <v>611</v>
      </c>
      <c r="S41" s="348" t="s">
        <v>612</v>
      </c>
      <c r="T41" s="362" t="s">
        <v>670</v>
      </c>
      <c r="U41" s="350"/>
    </row>
    <row r="42" spans="1:21" x14ac:dyDescent="0.25">
      <c r="A42" s="347">
        <v>40</v>
      </c>
      <c r="B42" s="346" t="s">
        <v>619</v>
      </c>
      <c r="C42" s="346" t="s">
        <v>264</v>
      </c>
      <c r="D42" s="346" t="s">
        <v>618</v>
      </c>
      <c r="E42" s="346" t="s">
        <v>215</v>
      </c>
      <c r="F42" s="457">
        <v>280</v>
      </c>
      <c r="G42" s="457"/>
      <c r="H42" s="346" t="s">
        <v>218</v>
      </c>
      <c r="I42" s="348" t="str">
        <f t="shared" si="2"/>
        <v>Central</v>
      </c>
      <c r="J42" s="458">
        <v>4.6399999999999997</v>
      </c>
      <c r="K42" s="351">
        <v>25</v>
      </c>
      <c r="L42" s="348" t="s">
        <v>363</v>
      </c>
      <c r="M42" s="459">
        <v>45337</v>
      </c>
      <c r="N42" s="363"/>
      <c r="O42" s="352">
        <v>46660</v>
      </c>
      <c r="P42" s="349">
        <f t="shared" si="3"/>
        <v>2028</v>
      </c>
      <c r="Q42" s="348" t="s">
        <v>363</v>
      </c>
      <c r="R42" s="348" t="s">
        <v>611</v>
      </c>
      <c r="S42" s="348" t="s">
        <v>612</v>
      </c>
      <c r="T42" s="362" t="s">
        <v>670</v>
      </c>
      <c r="U42" s="350" t="s">
        <v>765</v>
      </c>
    </row>
    <row r="43" spans="1:21" x14ac:dyDescent="0.25">
      <c r="A43" s="347">
        <v>41</v>
      </c>
      <c r="B43" s="346" t="s">
        <v>620</v>
      </c>
      <c r="C43" s="346" t="s">
        <v>264</v>
      </c>
      <c r="D43" s="346" t="s">
        <v>183</v>
      </c>
      <c r="E43" s="346" t="s">
        <v>215</v>
      </c>
      <c r="F43" s="457">
        <v>250</v>
      </c>
      <c r="G43" s="457"/>
      <c r="H43" s="346" t="s">
        <v>218</v>
      </c>
      <c r="I43" s="348" t="str">
        <f t="shared" si="2"/>
        <v>Central</v>
      </c>
      <c r="J43" s="458">
        <v>4.5599999999999996</v>
      </c>
      <c r="K43" s="351">
        <v>25</v>
      </c>
      <c r="L43" s="348" t="s">
        <v>363</v>
      </c>
      <c r="M43" s="459">
        <v>45641</v>
      </c>
      <c r="N43" s="363">
        <v>46265</v>
      </c>
      <c r="O43" s="352">
        <v>46387</v>
      </c>
      <c r="P43" s="349">
        <f t="shared" si="3"/>
        <v>2027</v>
      </c>
      <c r="Q43" s="348" t="s">
        <v>363</v>
      </c>
      <c r="R43" s="348" t="s">
        <v>611</v>
      </c>
      <c r="S43" s="348" t="s">
        <v>612</v>
      </c>
      <c r="T43" s="362" t="s">
        <v>671</v>
      </c>
      <c r="U43" s="350" t="s">
        <v>782</v>
      </c>
    </row>
    <row r="44" spans="1:21" x14ac:dyDescent="0.25">
      <c r="A44" s="347">
        <v>42</v>
      </c>
      <c r="B44" s="346" t="s">
        <v>621</v>
      </c>
      <c r="C44" s="346" t="s">
        <v>264</v>
      </c>
      <c r="D44" s="346" t="s">
        <v>183</v>
      </c>
      <c r="E44" s="346" t="s">
        <v>215</v>
      </c>
      <c r="F44" s="457">
        <v>50</v>
      </c>
      <c r="G44" s="457"/>
      <c r="H44" s="346" t="s">
        <v>622</v>
      </c>
      <c r="I44" s="348" t="str">
        <f t="shared" si="2"/>
        <v>State &amp; Other</v>
      </c>
      <c r="J44" s="458">
        <v>4.43</v>
      </c>
      <c r="K44" s="351">
        <v>25</v>
      </c>
      <c r="L44" s="348" t="s">
        <v>363</v>
      </c>
      <c r="M44" s="459">
        <v>45884</v>
      </c>
      <c r="N44" s="363">
        <v>46265</v>
      </c>
      <c r="O44" s="352">
        <v>46387</v>
      </c>
      <c r="P44" s="349">
        <f t="shared" si="3"/>
        <v>2027</v>
      </c>
      <c r="Q44" s="348" t="s">
        <v>363</v>
      </c>
      <c r="R44" s="348" t="s">
        <v>611</v>
      </c>
      <c r="S44" s="348" t="s">
        <v>612</v>
      </c>
      <c r="T44" s="362" t="s">
        <v>671</v>
      </c>
      <c r="U44" s="350" t="s">
        <v>783</v>
      </c>
    </row>
    <row r="45" spans="1:21" x14ac:dyDescent="0.25">
      <c r="A45" s="347">
        <v>43</v>
      </c>
      <c r="B45" s="346" t="s">
        <v>623</v>
      </c>
      <c r="C45" s="346" t="s">
        <v>264</v>
      </c>
      <c r="D45" s="346" t="s">
        <v>618</v>
      </c>
      <c r="E45" s="346" t="s">
        <v>215</v>
      </c>
      <c r="F45" s="457">
        <v>250</v>
      </c>
      <c r="G45" s="457"/>
      <c r="H45" s="346" t="s">
        <v>218</v>
      </c>
      <c r="I45" s="348" t="str">
        <f t="shared" si="2"/>
        <v>Central</v>
      </c>
      <c r="J45" s="458">
        <v>4.33</v>
      </c>
      <c r="K45" s="351">
        <v>25</v>
      </c>
      <c r="L45" s="348" t="s">
        <v>363</v>
      </c>
      <c r="M45" s="459"/>
      <c r="N45" s="363"/>
      <c r="O45" s="352">
        <v>47026</v>
      </c>
      <c r="P45" s="349">
        <f t="shared" si="3"/>
        <v>2029</v>
      </c>
      <c r="Q45" s="348" t="s">
        <v>363</v>
      </c>
      <c r="R45" s="348" t="s">
        <v>611</v>
      </c>
      <c r="S45" s="348" t="s">
        <v>624</v>
      </c>
      <c r="T45" s="362" t="s">
        <v>670</v>
      </c>
      <c r="U45" s="350" t="s">
        <v>672</v>
      </c>
    </row>
    <row r="46" spans="1:21" x14ac:dyDescent="0.25">
      <c r="A46" s="347">
        <v>44</v>
      </c>
      <c r="B46" s="346" t="s">
        <v>625</v>
      </c>
      <c r="C46" s="346" t="s">
        <v>264</v>
      </c>
      <c r="D46" s="346" t="s">
        <v>618</v>
      </c>
      <c r="E46" s="346" t="s">
        <v>215</v>
      </c>
      <c r="F46" s="457">
        <v>450</v>
      </c>
      <c r="G46" s="457"/>
      <c r="H46" s="346" t="s">
        <v>217</v>
      </c>
      <c r="I46" s="348" t="str">
        <f t="shared" si="2"/>
        <v>Central</v>
      </c>
      <c r="J46" s="458">
        <v>6.74</v>
      </c>
      <c r="K46" s="351">
        <v>25</v>
      </c>
      <c r="L46" s="348" t="s">
        <v>363</v>
      </c>
      <c r="M46" s="459">
        <v>45945</v>
      </c>
      <c r="N46" s="363"/>
      <c r="O46" s="352">
        <v>47118</v>
      </c>
      <c r="P46" s="349">
        <f t="shared" si="3"/>
        <v>2029</v>
      </c>
      <c r="Q46" s="348" t="s">
        <v>363</v>
      </c>
      <c r="R46" s="348" t="s">
        <v>611</v>
      </c>
      <c r="S46" s="348" t="s">
        <v>612</v>
      </c>
      <c r="T46" s="362" t="s">
        <v>670</v>
      </c>
      <c r="U46" s="350" t="s">
        <v>626</v>
      </c>
    </row>
    <row r="47" spans="1:21" x14ac:dyDescent="0.25">
      <c r="A47" s="347">
        <v>45</v>
      </c>
      <c r="B47" s="346" t="s">
        <v>627</v>
      </c>
      <c r="C47" s="346" t="s">
        <v>264</v>
      </c>
      <c r="D47" s="346" t="s">
        <v>618</v>
      </c>
      <c r="E47" s="346" t="s">
        <v>215</v>
      </c>
      <c r="F47" s="457">
        <v>300</v>
      </c>
      <c r="G47" s="457"/>
      <c r="H47" s="346" t="s">
        <v>144</v>
      </c>
      <c r="I47" s="348" t="str">
        <f t="shared" si="2"/>
        <v>Central</v>
      </c>
      <c r="J47" s="458">
        <v>6.28</v>
      </c>
      <c r="K47" s="351">
        <v>25</v>
      </c>
      <c r="L47" s="348" t="s">
        <v>363</v>
      </c>
      <c r="M47" s="459">
        <v>46203</v>
      </c>
      <c r="N47" s="363"/>
      <c r="O47" s="352">
        <v>47026</v>
      </c>
      <c r="P47" s="349">
        <f t="shared" si="3"/>
        <v>2029</v>
      </c>
      <c r="Q47" s="348" t="s">
        <v>628</v>
      </c>
      <c r="R47" s="348" t="s">
        <v>629</v>
      </c>
      <c r="S47" s="348" t="s">
        <v>624</v>
      </c>
      <c r="T47" s="362" t="s">
        <v>670</v>
      </c>
      <c r="U47" s="350" t="s">
        <v>630</v>
      </c>
    </row>
    <row r="48" spans="1:21" x14ac:dyDescent="0.25">
      <c r="A48" s="347">
        <v>46</v>
      </c>
      <c r="B48" s="346" t="s">
        <v>631</v>
      </c>
      <c r="C48" s="346" t="s">
        <v>264</v>
      </c>
      <c r="D48" s="346" t="s">
        <v>618</v>
      </c>
      <c r="E48" s="346" t="s">
        <v>216</v>
      </c>
      <c r="F48" s="457">
        <v>300</v>
      </c>
      <c r="G48" s="457"/>
      <c r="H48" s="346" t="s">
        <v>144</v>
      </c>
      <c r="I48" s="348" t="str">
        <f t="shared" si="2"/>
        <v>Central</v>
      </c>
      <c r="J48" s="458">
        <v>3.25</v>
      </c>
      <c r="K48" s="351">
        <v>25</v>
      </c>
      <c r="L48" s="348" t="s">
        <v>363</v>
      </c>
      <c r="M48" s="459">
        <v>46203</v>
      </c>
      <c r="N48" s="363"/>
      <c r="O48" s="352">
        <v>47026</v>
      </c>
      <c r="P48" s="349">
        <f t="shared" si="3"/>
        <v>2029</v>
      </c>
      <c r="Q48" s="348" t="s">
        <v>628</v>
      </c>
      <c r="R48" s="348" t="s">
        <v>611</v>
      </c>
      <c r="S48" s="348" t="s">
        <v>612</v>
      </c>
      <c r="T48" s="362" t="s">
        <v>670</v>
      </c>
      <c r="U48" s="350" t="s">
        <v>632</v>
      </c>
    </row>
    <row r="49" spans="1:21" x14ac:dyDescent="0.25">
      <c r="A49" s="347">
        <v>47</v>
      </c>
      <c r="B49" s="346" t="s">
        <v>655</v>
      </c>
      <c r="C49" s="346" t="s">
        <v>264</v>
      </c>
      <c r="D49" s="346" t="s">
        <v>618</v>
      </c>
      <c r="E49" s="346" t="s">
        <v>411</v>
      </c>
      <c r="F49" s="457">
        <v>0</v>
      </c>
      <c r="G49" s="457">
        <v>450</v>
      </c>
      <c r="H49" s="346" t="s">
        <v>218</v>
      </c>
      <c r="I49" s="348" t="str">
        <f t="shared" si="2"/>
        <v>Central</v>
      </c>
      <c r="J49" s="458"/>
      <c r="K49" s="351">
        <v>25</v>
      </c>
      <c r="L49" s="348" t="s">
        <v>363</v>
      </c>
      <c r="M49" s="459">
        <v>45823</v>
      </c>
      <c r="N49" s="363"/>
      <c r="O49" s="352">
        <v>46433</v>
      </c>
      <c r="P49" s="349">
        <f t="shared" si="3"/>
        <v>2027</v>
      </c>
      <c r="Q49" s="348" t="s">
        <v>673</v>
      </c>
      <c r="R49" s="348" t="s">
        <v>611</v>
      </c>
      <c r="S49" s="348" t="s">
        <v>612</v>
      </c>
      <c r="T49" s="362" t="s">
        <v>670</v>
      </c>
      <c r="U49" s="350" t="s">
        <v>674</v>
      </c>
    </row>
    <row r="50" spans="1:21" x14ac:dyDescent="0.25">
      <c r="A50" s="347">
        <v>48</v>
      </c>
      <c r="B50" s="346" t="s">
        <v>656</v>
      </c>
      <c r="C50" s="346" t="s">
        <v>264</v>
      </c>
      <c r="D50" s="346" t="s">
        <v>618</v>
      </c>
      <c r="E50" s="346" t="s">
        <v>411</v>
      </c>
      <c r="F50" s="457">
        <v>0</v>
      </c>
      <c r="G50" s="457">
        <v>100</v>
      </c>
      <c r="H50" s="346" t="s">
        <v>218</v>
      </c>
      <c r="I50" s="348" t="str">
        <f t="shared" si="2"/>
        <v>Central</v>
      </c>
      <c r="J50" s="458"/>
      <c r="K50" s="351">
        <v>25</v>
      </c>
      <c r="L50" s="348" t="s">
        <v>363</v>
      </c>
      <c r="M50" s="459">
        <v>45823</v>
      </c>
      <c r="N50" s="363"/>
      <c r="O50" s="352">
        <v>46433</v>
      </c>
      <c r="P50" s="349">
        <f t="shared" si="3"/>
        <v>2027</v>
      </c>
      <c r="Q50" s="348" t="s">
        <v>673</v>
      </c>
      <c r="R50" s="348" t="s">
        <v>611</v>
      </c>
      <c r="S50" s="348" t="s">
        <v>612</v>
      </c>
      <c r="T50" s="362" t="s">
        <v>670</v>
      </c>
      <c r="U50" s="350" t="s">
        <v>675</v>
      </c>
    </row>
    <row r="51" spans="1:21" x14ac:dyDescent="0.25">
      <c r="A51" s="347">
        <v>49</v>
      </c>
      <c r="B51" s="346" t="s">
        <v>633</v>
      </c>
      <c r="C51" s="346" t="s">
        <v>634</v>
      </c>
      <c r="D51" s="346" t="s">
        <v>618</v>
      </c>
      <c r="E51" s="346" t="s">
        <v>216</v>
      </c>
      <c r="F51" s="457">
        <v>150</v>
      </c>
      <c r="G51" s="457"/>
      <c r="H51" s="346" t="s">
        <v>192</v>
      </c>
      <c r="I51" s="348" t="str">
        <f t="shared" si="2"/>
        <v>Central</v>
      </c>
      <c r="J51" s="458">
        <v>3.32</v>
      </c>
      <c r="K51" s="351">
        <v>25</v>
      </c>
      <c r="L51" s="348" t="s">
        <v>365</v>
      </c>
      <c r="M51" s="459">
        <v>45366</v>
      </c>
      <c r="N51" s="363"/>
      <c r="O51" s="352">
        <v>47026</v>
      </c>
      <c r="P51" s="349">
        <f t="shared" si="3"/>
        <v>2029</v>
      </c>
      <c r="Q51" s="348"/>
      <c r="R51" s="348" t="s">
        <v>611</v>
      </c>
      <c r="S51" s="348" t="s">
        <v>612</v>
      </c>
      <c r="T51" s="362" t="s">
        <v>670</v>
      </c>
      <c r="U51" s="350" t="s">
        <v>766</v>
      </c>
    </row>
    <row r="52" spans="1:21" x14ac:dyDescent="0.25">
      <c r="A52" s="347">
        <v>50</v>
      </c>
      <c r="B52" s="346" t="s">
        <v>635</v>
      </c>
      <c r="C52" s="346" t="s">
        <v>634</v>
      </c>
      <c r="D52" s="346" t="s">
        <v>618</v>
      </c>
      <c r="E52" s="346" t="s">
        <v>140</v>
      </c>
      <c r="F52" s="457">
        <v>300</v>
      </c>
      <c r="G52" s="457"/>
      <c r="H52" s="346" t="s">
        <v>217</v>
      </c>
      <c r="I52" s="348" t="str">
        <f t="shared" si="2"/>
        <v>Central</v>
      </c>
      <c r="J52" s="458">
        <v>2.52</v>
      </c>
      <c r="K52" s="351">
        <v>25</v>
      </c>
      <c r="L52" s="348" t="s">
        <v>365</v>
      </c>
      <c r="M52" s="459">
        <v>45519</v>
      </c>
      <c r="N52" s="363"/>
      <c r="O52" s="352">
        <v>46660</v>
      </c>
      <c r="P52" s="349">
        <f t="shared" si="3"/>
        <v>2028</v>
      </c>
      <c r="Q52" s="348"/>
      <c r="R52" s="348" t="s">
        <v>611</v>
      </c>
      <c r="S52" s="348" t="s">
        <v>612</v>
      </c>
      <c r="T52" s="362" t="s">
        <v>670</v>
      </c>
      <c r="U52" s="350" t="s">
        <v>767</v>
      </c>
    </row>
    <row r="53" spans="1:21" x14ac:dyDescent="0.25">
      <c r="A53" s="347">
        <v>51</v>
      </c>
      <c r="B53" s="346" t="s">
        <v>636</v>
      </c>
      <c r="C53" s="346" t="s">
        <v>634</v>
      </c>
      <c r="D53" s="346" t="s">
        <v>618</v>
      </c>
      <c r="E53" s="346" t="s">
        <v>215</v>
      </c>
      <c r="F53" s="457">
        <v>400</v>
      </c>
      <c r="G53" s="457"/>
      <c r="H53" s="346" t="s">
        <v>192</v>
      </c>
      <c r="I53" s="348" t="str">
        <f t="shared" si="2"/>
        <v>Central</v>
      </c>
      <c r="J53" s="458">
        <v>4.7</v>
      </c>
      <c r="K53" s="351">
        <v>25</v>
      </c>
      <c r="L53" s="348" t="s">
        <v>365</v>
      </c>
      <c r="M53" s="459">
        <v>45580</v>
      </c>
      <c r="N53" s="363"/>
      <c r="O53" s="352">
        <v>47118</v>
      </c>
      <c r="P53" s="349">
        <f t="shared" si="3"/>
        <v>2029</v>
      </c>
      <c r="Q53" s="348"/>
      <c r="R53" s="348" t="s">
        <v>611</v>
      </c>
      <c r="S53" s="348" t="s">
        <v>612</v>
      </c>
      <c r="T53" s="362" t="s">
        <v>670</v>
      </c>
      <c r="U53" s="350" t="s">
        <v>768</v>
      </c>
    </row>
    <row r="54" spans="1:21" x14ac:dyDescent="0.25">
      <c r="A54" s="347">
        <v>52</v>
      </c>
      <c r="B54" s="346" t="s">
        <v>637</v>
      </c>
      <c r="C54" s="346" t="s">
        <v>634</v>
      </c>
      <c r="D54" s="346" t="s">
        <v>183</v>
      </c>
      <c r="E54" s="346" t="s">
        <v>215</v>
      </c>
      <c r="F54" s="457">
        <v>220</v>
      </c>
      <c r="G54" s="457"/>
      <c r="H54" s="346" t="s">
        <v>185</v>
      </c>
      <c r="I54" s="348" t="str">
        <f t="shared" si="2"/>
        <v>State &amp; Other</v>
      </c>
      <c r="J54" s="458">
        <v>2.7639999999999998</v>
      </c>
      <c r="K54" s="351">
        <v>25</v>
      </c>
      <c r="L54" s="348" t="s">
        <v>365</v>
      </c>
      <c r="M54" s="459">
        <v>45915</v>
      </c>
      <c r="N54" s="363"/>
      <c r="O54" s="352">
        <v>47026</v>
      </c>
      <c r="P54" s="349">
        <f t="shared" si="3"/>
        <v>2029</v>
      </c>
      <c r="Q54" s="348"/>
      <c r="R54" s="348" t="s">
        <v>638</v>
      </c>
      <c r="S54" s="348" t="s">
        <v>612</v>
      </c>
      <c r="T54" s="362" t="s">
        <v>670</v>
      </c>
      <c r="U54" s="350" t="s">
        <v>769</v>
      </c>
    </row>
    <row r="55" spans="1:21" x14ac:dyDescent="0.25">
      <c r="A55" s="347">
        <v>53</v>
      </c>
      <c r="B55" s="346" t="s">
        <v>639</v>
      </c>
      <c r="C55" s="346" t="s">
        <v>634</v>
      </c>
      <c r="D55" s="346" t="s">
        <v>618</v>
      </c>
      <c r="E55" s="346" t="s">
        <v>215</v>
      </c>
      <c r="F55" s="457">
        <v>130</v>
      </c>
      <c r="G55" s="457"/>
      <c r="H55" s="346" t="s">
        <v>640</v>
      </c>
      <c r="I55" s="348" t="str">
        <f t="shared" si="2"/>
        <v>State &amp; Other</v>
      </c>
      <c r="J55" s="458">
        <v>4.3499999999999996</v>
      </c>
      <c r="K55" s="351">
        <v>25</v>
      </c>
      <c r="L55" s="348" t="s">
        <v>365</v>
      </c>
      <c r="M55" s="459">
        <v>45488</v>
      </c>
      <c r="N55" s="363"/>
      <c r="O55" s="352">
        <v>47026</v>
      </c>
      <c r="P55" s="349">
        <f t="shared" si="3"/>
        <v>2029</v>
      </c>
      <c r="Q55" s="348"/>
      <c r="R55" s="348" t="s">
        <v>611</v>
      </c>
      <c r="S55" s="348" t="s">
        <v>641</v>
      </c>
      <c r="T55" s="362" t="s">
        <v>670</v>
      </c>
      <c r="U55" s="350" t="s">
        <v>770</v>
      </c>
    </row>
    <row r="56" spans="1:21" x14ac:dyDescent="0.25">
      <c r="A56" s="347">
        <v>54</v>
      </c>
      <c r="B56" s="346" t="s">
        <v>707</v>
      </c>
      <c r="C56" s="346" t="s">
        <v>235</v>
      </c>
      <c r="D56" s="346" t="s">
        <v>200</v>
      </c>
      <c r="E56" s="346" t="s">
        <v>411</v>
      </c>
      <c r="F56" s="457">
        <v>0</v>
      </c>
      <c r="G56" s="457">
        <v>1324</v>
      </c>
      <c r="H56" s="346" t="s">
        <v>708</v>
      </c>
      <c r="I56" s="348" t="str">
        <f t="shared" si="2"/>
        <v>State &amp; Other</v>
      </c>
      <c r="J56" s="458"/>
      <c r="K56" s="351"/>
      <c r="L56" s="348" t="s">
        <v>709</v>
      </c>
      <c r="M56" s="459"/>
      <c r="N56" s="363"/>
      <c r="O56" s="459">
        <v>46112</v>
      </c>
      <c r="P56" s="349">
        <f t="shared" si="3"/>
        <v>2026</v>
      </c>
      <c r="Q56" s="348"/>
      <c r="R56" s="348" t="s">
        <v>611</v>
      </c>
      <c r="S56" s="348" t="s">
        <v>709</v>
      </c>
      <c r="T56" s="362" t="s">
        <v>557</v>
      </c>
      <c r="U56" s="350" t="s">
        <v>710</v>
      </c>
    </row>
    <row r="57" spans="1:21" x14ac:dyDescent="0.25">
      <c r="A57" s="347">
        <v>55</v>
      </c>
      <c r="B57" s="346" t="s">
        <v>711</v>
      </c>
      <c r="C57" s="346" t="s">
        <v>235</v>
      </c>
      <c r="D57" s="346" t="s">
        <v>200</v>
      </c>
      <c r="E57" s="346" t="s">
        <v>411</v>
      </c>
      <c r="F57" s="457">
        <v>0</v>
      </c>
      <c r="G57" s="457">
        <v>80</v>
      </c>
      <c r="H57" s="346" t="s">
        <v>708</v>
      </c>
      <c r="I57" s="348" t="str">
        <f t="shared" si="2"/>
        <v>State &amp; Other</v>
      </c>
      <c r="J57" s="458"/>
      <c r="K57" s="351"/>
      <c r="L57" s="348" t="s">
        <v>709</v>
      </c>
      <c r="M57" s="459"/>
      <c r="N57" s="363"/>
      <c r="O57" s="459">
        <v>46203</v>
      </c>
      <c r="P57" s="349">
        <f t="shared" si="3"/>
        <v>2027</v>
      </c>
      <c r="Q57" s="348"/>
      <c r="R57" s="348" t="s">
        <v>611</v>
      </c>
      <c r="S57" s="348" t="s">
        <v>709</v>
      </c>
      <c r="T57" s="362" t="s">
        <v>557</v>
      </c>
      <c r="U57" s="350" t="s">
        <v>712</v>
      </c>
    </row>
    <row r="58" spans="1:21" x14ac:dyDescent="0.25">
      <c r="A58" s="347">
        <v>56</v>
      </c>
      <c r="B58" s="346" t="s">
        <v>713</v>
      </c>
      <c r="C58" s="346" t="s">
        <v>235</v>
      </c>
      <c r="D58" s="346" t="s">
        <v>200</v>
      </c>
      <c r="E58" s="346" t="s">
        <v>411</v>
      </c>
      <c r="F58" s="457">
        <v>0</v>
      </c>
      <c r="G58" s="457">
        <v>1103</v>
      </c>
      <c r="H58" s="346" t="s">
        <v>708</v>
      </c>
      <c r="I58" s="348" t="str">
        <f t="shared" si="2"/>
        <v>State &amp; Other</v>
      </c>
      <c r="J58" s="458"/>
      <c r="K58" s="351"/>
      <c r="L58" s="348" t="s">
        <v>709</v>
      </c>
      <c r="M58" s="459"/>
      <c r="N58" s="363"/>
      <c r="O58" s="459">
        <v>46203</v>
      </c>
      <c r="P58" s="349">
        <f t="shared" si="3"/>
        <v>2027</v>
      </c>
      <c r="Q58" s="348"/>
      <c r="R58" s="348" t="s">
        <v>611</v>
      </c>
      <c r="S58" s="348" t="s">
        <v>709</v>
      </c>
      <c r="T58" s="362" t="s">
        <v>557</v>
      </c>
      <c r="U58" s="350" t="s">
        <v>714</v>
      </c>
    </row>
    <row r="59" spans="1:21" x14ac:dyDescent="0.25">
      <c r="A59" s="347">
        <v>57</v>
      </c>
      <c r="B59" s="346" t="s">
        <v>715</v>
      </c>
      <c r="C59" s="346" t="s">
        <v>264</v>
      </c>
      <c r="D59" s="346" t="s">
        <v>200</v>
      </c>
      <c r="E59" s="346" t="s">
        <v>411</v>
      </c>
      <c r="F59" s="457">
        <v>0</v>
      </c>
      <c r="G59" s="457">
        <v>200</v>
      </c>
      <c r="H59" s="346" t="s">
        <v>708</v>
      </c>
      <c r="I59" s="348" t="str">
        <f t="shared" si="2"/>
        <v>State &amp; Other</v>
      </c>
      <c r="J59" s="458"/>
      <c r="K59" s="351"/>
      <c r="L59" s="348" t="s">
        <v>709</v>
      </c>
      <c r="M59" s="459"/>
      <c r="N59" s="363"/>
      <c r="O59" s="352">
        <v>46387</v>
      </c>
      <c r="P59" s="349">
        <f t="shared" si="3"/>
        <v>2027</v>
      </c>
      <c r="Q59" s="348"/>
      <c r="R59" s="348" t="s">
        <v>611</v>
      </c>
      <c r="S59" s="348" t="s">
        <v>709</v>
      </c>
      <c r="T59" s="362" t="s">
        <v>557</v>
      </c>
      <c r="U59" s="350" t="s">
        <v>716</v>
      </c>
    </row>
    <row r="60" spans="1:21" x14ac:dyDescent="0.25">
      <c r="A60" s="347">
        <v>58</v>
      </c>
      <c r="B60" s="346" t="s">
        <v>717</v>
      </c>
      <c r="C60" s="346" t="s">
        <v>264</v>
      </c>
      <c r="D60" s="346" t="s">
        <v>200</v>
      </c>
      <c r="E60" s="346" t="s">
        <v>411</v>
      </c>
      <c r="F60" s="457">
        <v>0</v>
      </c>
      <c r="G60" s="457">
        <v>550</v>
      </c>
      <c r="H60" s="346" t="s">
        <v>708</v>
      </c>
      <c r="I60" s="348" t="str">
        <f t="shared" si="2"/>
        <v>State &amp; Other</v>
      </c>
      <c r="J60" s="458"/>
      <c r="K60" s="351"/>
      <c r="L60" s="348" t="s">
        <v>709</v>
      </c>
      <c r="M60" s="459"/>
      <c r="N60" s="363"/>
      <c r="O60" s="352">
        <v>46295</v>
      </c>
      <c r="P60" s="349">
        <f t="shared" si="3"/>
        <v>2027</v>
      </c>
      <c r="Q60" s="348"/>
      <c r="R60" s="348" t="s">
        <v>611</v>
      </c>
      <c r="S60" s="348" t="s">
        <v>709</v>
      </c>
      <c r="T60" s="362" t="s">
        <v>557</v>
      </c>
      <c r="U60" s="350" t="s">
        <v>718</v>
      </c>
    </row>
    <row r="61" spans="1:21" x14ac:dyDescent="0.25">
      <c r="A61" s="347">
        <v>59</v>
      </c>
      <c r="B61" s="346" t="s">
        <v>719</v>
      </c>
      <c r="C61" s="346" t="s">
        <v>264</v>
      </c>
      <c r="D61" s="346" t="s">
        <v>200</v>
      </c>
      <c r="E61" s="346" t="s">
        <v>411</v>
      </c>
      <c r="F61" s="457">
        <v>0</v>
      </c>
      <c r="G61" s="457">
        <v>1000</v>
      </c>
      <c r="H61" s="346" t="s">
        <v>708</v>
      </c>
      <c r="I61" s="348" t="str">
        <f t="shared" si="2"/>
        <v>State &amp; Other</v>
      </c>
      <c r="J61" s="458"/>
      <c r="K61" s="351"/>
      <c r="L61" s="348" t="s">
        <v>709</v>
      </c>
      <c r="M61" s="459"/>
      <c r="N61" s="363"/>
      <c r="O61" s="352">
        <v>46387</v>
      </c>
      <c r="P61" s="349">
        <f t="shared" si="3"/>
        <v>2027</v>
      </c>
      <c r="Q61" s="348"/>
      <c r="R61" s="348" t="s">
        <v>611</v>
      </c>
      <c r="S61" s="348" t="s">
        <v>709</v>
      </c>
      <c r="T61" s="362" t="s">
        <v>557</v>
      </c>
      <c r="U61" s="350" t="s">
        <v>720</v>
      </c>
    </row>
    <row r="62" spans="1:21" x14ac:dyDescent="0.25">
      <c r="A62" s="347">
        <v>60</v>
      </c>
      <c r="B62" s="346" t="s">
        <v>721</v>
      </c>
      <c r="C62" s="346" t="s">
        <v>235</v>
      </c>
      <c r="D62" s="346" t="s">
        <v>200</v>
      </c>
      <c r="E62" s="346" t="s">
        <v>411</v>
      </c>
      <c r="F62" s="457">
        <v>0</v>
      </c>
      <c r="G62" s="457">
        <v>601</v>
      </c>
      <c r="H62" s="346" t="s">
        <v>708</v>
      </c>
      <c r="I62" s="348" t="str">
        <f t="shared" si="2"/>
        <v>State &amp; Other</v>
      </c>
      <c r="J62" s="458"/>
      <c r="K62" s="351"/>
      <c r="L62" s="348" t="s">
        <v>709</v>
      </c>
      <c r="M62" s="459"/>
      <c r="N62" s="363"/>
      <c r="O62" s="459">
        <v>46203</v>
      </c>
      <c r="P62" s="349">
        <f t="shared" si="3"/>
        <v>2027</v>
      </c>
      <c r="Q62" s="348"/>
      <c r="R62" s="348" t="s">
        <v>611</v>
      </c>
      <c r="S62" s="348" t="s">
        <v>709</v>
      </c>
      <c r="T62" s="362" t="s">
        <v>557</v>
      </c>
      <c r="U62" s="350" t="s">
        <v>714</v>
      </c>
    </row>
    <row r="63" spans="1:21" x14ac:dyDescent="0.25">
      <c r="A63" s="347">
        <v>61</v>
      </c>
      <c r="B63" s="346" t="s">
        <v>722</v>
      </c>
      <c r="C63" s="346" t="s">
        <v>264</v>
      </c>
      <c r="D63" s="346" t="s">
        <v>200</v>
      </c>
      <c r="E63" s="346" t="s">
        <v>411</v>
      </c>
      <c r="F63" s="457">
        <v>0</v>
      </c>
      <c r="G63" s="457">
        <v>750</v>
      </c>
      <c r="H63" s="346" t="s">
        <v>708</v>
      </c>
      <c r="I63" s="348" t="str">
        <f t="shared" si="2"/>
        <v>State &amp; Other</v>
      </c>
      <c r="J63" s="458"/>
      <c r="K63" s="351"/>
      <c r="L63" s="348" t="s">
        <v>709</v>
      </c>
      <c r="M63" s="459"/>
      <c r="N63" s="363"/>
      <c r="O63" s="352">
        <v>46295</v>
      </c>
      <c r="P63" s="349">
        <f t="shared" si="3"/>
        <v>2027</v>
      </c>
      <c r="Q63" s="348"/>
      <c r="R63" s="348" t="s">
        <v>611</v>
      </c>
      <c r="S63" s="348" t="s">
        <v>709</v>
      </c>
      <c r="T63" s="362" t="s">
        <v>557</v>
      </c>
      <c r="U63" s="350" t="s">
        <v>723</v>
      </c>
    </row>
    <row r="64" spans="1:21" x14ac:dyDescent="0.25">
      <c r="A64" s="347">
        <v>62</v>
      </c>
      <c r="B64" s="346" t="s">
        <v>724</v>
      </c>
      <c r="C64" s="346" t="s">
        <v>264</v>
      </c>
      <c r="D64" s="346" t="s">
        <v>200</v>
      </c>
      <c r="E64" s="346" t="s">
        <v>411</v>
      </c>
      <c r="F64" s="457">
        <v>0</v>
      </c>
      <c r="G64" s="457">
        <v>2500</v>
      </c>
      <c r="H64" s="346" t="s">
        <v>708</v>
      </c>
      <c r="I64" s="348" t="str">
        <f t="shared" si="2"/>
        <v>State &amp; Other</v>
      </c>
      <c r="J64" s="458"/>
      <c r="K64" s="351"/>
      <c r="L64" s="348" t="s">
        <v>709</v>
      </c>
      <c r="M64" s="459"/>
      <c r="N64" s="363"/>
      <c r="O64" s="352">
        <v>46387</v>
      </c>
      <c r="P64" s="349">
        <f t="shared" si="3"/>
        <v>2027</v>
      </c>
      <c r="Q64" s="348"/>
      <c r="R64" s="348" t="s">
        <v>611</v>
      </c>
      <c r="S64" s="348" t="s">
        <v>709</v>
      </c>
      <c r="T64" s="362" t="s">
        <v>557</v>
      </c>
      <c r="U64" s="350" t="s">
        <v>725</v>
      </c>
    </row>
    <row r="65" spans="1:21" x14ac:dyDescent="0.25">
      <c r="A65" s="347">
        <v>63</v>
      </c>
      <c r="B65" s="346" t="s">
        <v>726</v>
      </c>
      <c r="C65" s="346" t="s">
        <v>264</v>
      </c>
      <c r="D65" s="346" t="s">
        <v>200</v>
      </c>
      <c r="E65" s="346" t="s">
        <v>411</v>
      </c>
      <c r="F65" s="457">
        <v>0</v>
      </c>
      <c r="G65" s="457">
        <v>1500</v>
      </c>
      <c r="H65" s="346" t="s">
        <v>708</v>
      </c>
      <c r="I65" s="348" t="str">
        <f t="shared" si="2"/>
        <v>State &amp; Other</v>
      </c>
      <c r="J65" s="458"/>
      <c r="K65" s="351"/>
      <c r="L65" s="348" t="s">
        <v>709</v>
      </c>
      <c r="M65" s="459"/>
      <c r="N65" s="363"/>
      <c r="O65" s="352">
        <v>46433</v>
      </c>
      <c r="P65" s="349">
        <f t="shared" si="3"/>
        <v>2027</v>
      </c>
      <c r="Q65" s="348"/>
      <c r="R65" s="348" t="s">
        <v>611</v>
      </c>
      <c r="S65" s="348" t="s">
        <v>709</v>
      </c>
      <c r="T65" s="362" t="s">
        <v>557</v>
      </c>
      <c r="U65" s="350" t="s">
        <v>727</v>
      </c>
    </row>
    <row r="66" spans="1:21" x14ac:dyDescent="0.25">
      <c r="A66" s="347">
        <v>64</v>
      </c>
      <c r="B66" s="346" t="s">
        <v>728</v>
      </c>
      <c r="C66" s="346" t="s">
        <v>264</v>
      </c>
      <c r="D66" s="346" t="s">
        <v>183</v>
      </c>
      <c r="E66" s="346" t="s">
        <v>411</v>
      </c>
      <c r="F66" s="457">
        <v>0</v>
      </c>
      <c r="G66" s="457">
        <v>600</v>
      </c>
      <c r="H66" s="346" t="s">
        <v>708</v>
      </c>
      <c r="I66" s="348" t="str">
        <f t="shared" si="2"/>
        <v>State &amp; Other</v>
      </c>
      <c r="J66" s="458"/>
      <c r="K66" s="351"/>
      <c r="L66" s="348" t="s">
        <v>709</v>
      </c>
      <c r="M66" s="459"/>
      <c r="N66" s="363"/>
      <c r="O66" s="352">
        <v>46295</v>
      </c>
      <c r="P66" s="349">
        <f t="shared" si="3"/>
        <v>2027</v>
      </c>
      <c r="Q66" s="348"/>
      <c r="R66" s="348" t="s">
        <v>611</v>
      </c>
      <c r="S66" s="348" t="s">
        <v>709</v>
      </c>
      <c r="T66" s="362" t="s">
        <v>557</v>
      </c>
      <c r="U66" s="350" t="s">
        <v>729</v>
      </c>
    </row>
    <row r="67" spans="1:21" x14ac:dyDescent="0.25">
      <c r="A67" s="347">
        <v>65</v>
      </c>
      <c r="B67" s="346" t="s">
        <v>730</v>
      </c>
      <c r="C67" s="346" t="s">
        <v>264</v>
      </c>
      <c r="D67" s="346" t="s">
        <v>183</v>
      </c>
      <c r="E67" s="346" t="s">
        <v>411</v>
      </c>
      <c r="F67" s="457">
        <v>0</v>
      </c>
      <c r="G67" s="457">
        <v>750</v>
      </c>
      <c r="H67" s="346" t="s">
        <v>708</v>
      </c>
      <c r="I67" s="348" t="str">
        <f t="shared" si="2"/>
        <v>State &amp; Other</v>
      </c>
      <c r="J67" s="458"/>
      <c r="K67" s="351"/>
      <c r="L67" s="348" t="s">
        <v>709</v>
      </c>
      <c r="M67" s="459"/>
      <c r="N67" s="363"/>
      <c r="O67" s="352">
        <v>46387</v>
      </c>
      <c r="P67" s="349">
        <f t="shared" si="3"/>
        <v>2027</v>
      </c>
      <c r="Q67" s="348"/>
      <c r="R67" s="348" t="s">
        <v>611</v>
      </c>
      <c r="S67" s="348" t="s">
        <v>709</v>
      </c>
      <c r="T67" s="362" t="s">
        <v>557</v>
      </c>
      <c r="U67" s="350" t="s">
        <v>720</v>
      </c>
    </row>
    <row r="68" spans="1:21" x14ac:dyDescent="0.25">
      <c r="A68" s="347">
        <v>66</v>
      </c>
      <c r="B68" s="346" t="s">
        <v>771</v>
      </c>
      <c r="C68" s="346" t="s">
        <v>772</v>
      </c>
      <c r="D68" s="346" t="s">
        <v>618</v>
      </c>
      <c r="E68" s="346" t="s">
        <v>215</v>
      </c>
      <c r="F68" s="351">
        <v>800</v>
      </c>
      <c r="G68" s="351">
        <v>0</v>
      </c>
      <c r="H68" s="346" t="s">
        <v>773</v>
      </c>
      <c r="I68" s="348" t="str">
        <f>IF($H68="","–",IF($H68="GUVNL","GUVNL",IF(OR($H68="SECI",$H68="NTPC",$H68="SJVN",$H68="NHPC"),"Central","State &amp; Other")))</f>
        <v>State &amp; Other</v>
      </c>
      <c r="J68" s="514">
        <v>4.4000000000000004</v>
      </c>
      <c r="K68" s="351">
        <v>25</v>
      </c>
      <c r="L68" s="348" t="s">
        <v>365</v>
      </c>
      <c r="M68" s="459"/>
      <c r="N68" s="363"/>
      <c r="O68" s="352">
        <v>47391</v>
      </c>
      <c r="P68" s="349">
        <f>IF($O68="","–",IF(MONTH($O68)&lt;=3,YEAR($O68),YEAR($O68)+1))</f>
        <v>2030</v>
      </c>
      <c r="Q68" s="348"/>
      <c r="R68" s="348" t="s">
        <v>774</v>
      </c>
      <c r="S68" s="348" t="s">
        <v>775</v>
      </c>
      <c r="T68" s="362" t="s">
        <v>776</v>
      </c>
      <c r="U68" s="350"/>
    </row>
    <row r="69" spans="1:21" x14ac:dyDescent="0.25">
      <c r="A69" s="347">
        <v>67</v>
      </c>
      <c r="B69" s="346" t="s">
        <v>777</v>
      </c>
      <c r="C69" s="346" t="s">
        <v>772</v>
      </c>
      <c r="D69" s="346" t="s">
        <v>618</v>
      </c>
      <c r="E69" s="346" t="s">
        <v>215</v>
      </c>
      <c r="F69" s="351">
        <v>400</v>
      </c>
      <c r="G69" s="351">
        <v>0</v>
      </c>
      <c r="H69" s="346" t="s">
        <v>773</v>
      </c>
      <c r="I69" s="348" t="str">
        <f>IF($H69="","–",IF($H69="GUVNL","GUVNL",IF(OR($H69="SECI",$H69="NTPC",$H69="SJVN",$H69="NHPC"),"Central","State &amp; Other")))</f>
        <v>State &amp; Other</v>
      </c>
      <c r="J69" s="514">
        <v>4.4000000000000004</v>
      </c>
      <c r="K69" s="351">
        <v>25</v>
      </c>
      <c r="L69" s="348" t="s">
        <v>365</v>
      </c>
      <c r="M69" s="459"/>
      <c r="N69" s="363"/>
      <c r="O69" s="352">
        <v>47756</v>
      </c>
      <c r="P69" s="349">
        <f>IF($O69="","–",IF(MONTH($O69)&lt;=3,YEAR($O69),YEAR($O69)+1))</f>
        <v>2031</v>
      </c>
      <c r="Q69" s="348"/>
      <c r="R69" s="348" t="s">
        <v>774</v>
      </c>
      <c r="S69" s="348" t="s">
        <v>775</v>
      </c>
      <c r="T69" s="362" t="s">
        <v>778</v>
      </c>
      <c r="U69" s="350"/>
    </row>
    <row r="70" spans="1:21" ht="15.75" thickBot="1" x14ac:dyDescent="0.3">
      <c r="B70" s="353" t="s">
        <v>676</v>
      </c>
      <c r="C70" s="353"/>
      <c r="D70" s="353"/>
      <c r="E70" s="353"/>
      <c r="F70" s="354">
        <f>SUM(F3:F69)</f>
        <v>9270</v>
      </c>
      <c r="G70" s="354">
        <f>SUM(G3:G69)</f>
        <v>11508</v>
      </c>
      <c r="H70" s="353"/>
      <c r="I70" s="353"/>
      <c r="J70" s="355">
        <f>SUMPRODUCT($F$3:$F$55,$J$3:$J$55)/$F$70</f>
        <v>3.5032491909385115</v>
      </c>
      <c r="K70" s="353"/>
    </row>
    <row r="71" spans="1:21" ht="15.75" thickTop="1" x14ac:dyDescent="0.25"/>
    <row r="74" spans="1:21" x14ac:dyDescent="0.25">
      <c r="A74" s="342" t="s">
        <v>677</v>
      </c>
      <c r="B74" s="342"/>
      <c r="C74" s="342"/>
      <c r="D74" s="342"/>
    </row>
    <row r="75" spans="1:21" x14ac:dyDescent="0.25">
      <c r="B75" s="343" t="s">
        <v>657</v>
      </c>
      <c r="C75" s="343" t="s">
        <v>645</v>
      </c>
      <c r="D75" s="343" t="s">
        <v>660</v>
      </c>
    </row>
    <row r="76" spans="1:21" x14ac:dyDescent="0.25">
      <c r="B76" s="357" t="s">
        <v>235</v>
      </c>
      <c r="C76" s="346"/>
      <c r="D76" s="346"/>
    </row>
    <row r="77" spans="1:21" x14ac:dyDescent="0.25">
      <c r="B77" s="346" t="s">
        <v>140</v>
      </c>
      <c r="C77" s="359">
        <f>SUMIFS($F$3:$F$67,$E$3:$E$67,$B77,$C$3:$C$67,$B$76)</f>
        <v>2840</v>
      </c>
      <c r="D77" s="359">
        <f>SUMIFS($G$3:$G$67,$E$3:$E$67,$B77,$C$3:$C$67,$B$76)</f>
        <v>0</v>
      </c>
    </row>
    <row r="78" spans="1:21" x14ac:dyDescent="0.25">
      <c r="B78" s="346" t="s">
        <v>214</v>
      </c>
      <c r="C78" s="359">
        <f>SUMIFS($F$3:$F$67,$E$3:$E$67,$B78,$C$3:$C$67,$B$76)</f>
        <v>150</v>
      </c>
      <c r="D78" s="359">
        <f>SUMIFS($G$3:$G$67,$E$3:$E$67,$B78,$C$3:$C$67,$B$76)</f>
        <v>0</v>
      </c>
    </row>
    <row r="79" spans="1:21" x14ac:dyDescent="0.25">
      <c r="B79" s="346" t="s">
        <v>216</v>
      </c>
      <c r="C79" s="359">
        <f>SUMIFS($F$3:$F$67,$E$3:$E$67,$B79,$C$3:$C$67,$B$76)</f>
        <v>0</v>
      </c>
      <c r="D79" s="359">
        <f>SUMIFS($G$3:$G$67,$E$3:$E$67,$B79,$C$3:$C$67,$B$76)</f>
        <v>0</v>
      </c>
    </row>
    <row r="80" spans="1:21" x14ac:dyDescent="0.25">
      <c r="B80" s="346" t="s">
        <v>215</v>
      </c>
      <c r="C80" s="359">
        <f>SUMIFS($F$3:$F$67,$E$3:$E$67,$B80,$C$3:$C$67,$B$76)</f>
        <v>0</v>
      </c>
      <c r="D80" s="359">
        <f>SUMIFS($G$3:$G$67,$E$3:$E$67,$B80,$C$3:$C$67,$B$76)</f>
        <v>0</v>
      </c>
    </row>
    <row r="81" spans="2:4" x14ac:dyDescent="0.25">
      <c r="B81" s="346" t="s">
        <v>411</v>
      </c>
      <c r="C81" s="359">
        <f>SUMIFS($F$3:$F$67,$E$3:$E$67,$B81,$C$3:$C$67,$B$76)</f>
        <v>0</v>
      </c>
      <c r="D81" s="359">
        <f>SUMIFS($G$3:$G$67,$E$3:$E$67,$B81,$C$3:$C$67,$B$76)</f>
        <v>3108</v>
      </c>
    </row>
    <row r="82" spans="2:4" x14ac:dyDescent="0.25">
      <c r="B82" s="356" t="s">
        <v>412</v>
      </c>
      <c r="C82" s="360">
        <f>SUM(C77:C81)</f>
        <v>2990</v>
      </c>
      <c r="D82" s="360">
        <f>SUM(D77:D81)</f>
        <v>3108</v>
      </c>
    </row>
    <row r="83" spans="2:4" x14ac:dyDescent="0.25">
      <c r="B83" s="346"/>
      <c r="C83" s="359"/>
      <c r="D83" s="359"/>
    </row>
    <row r="84" spans="2:4" x14ac:dyDescent="0.25">
      <c r="B84" s="357" t="s">
        <v>264</v>
      </c>
      <c r="C84" s="359"/>
      <c r="D84" s="359"/>
    </row>
    <row r="85" spans="2:4" x14ac:dyDescent="0.25">
      <c r="B85" s="346" t="s">
        <v>140</v>
      </c>
      <c r="C85" s="359">
        <f>SUMIFS($F$3:$F$67,$E$3:$E$67,$B85,$C$3:$C$67,$B$84)</f>
        <v>0</v>
      </c>
      <c r="D85" s="359">
        <f>SUMIFS($G$3:$G$67,$E$3:$E$67,$B85,$C$3:$C$67,$B$84)</f>
        <v>0</v>
      </c>
    </row>
    <row r="86" spans="2:4" x14ac:dyDescent="0.25">
      <c r="B86" s="346" t="s">
        <v>214</v>
      </c>
      <c r="C86" s="359">
        <f>SUMIFS($F$3:$F$67,$E$3:$E$67,$B86,$C$3:$C$67,$B$84)</f>
        <v>0</v>
      </c>
      <c r="D86" s="359">
        <f>SUMIFS($G$3:$G$67,$E$3:$E$67,$B86,$C$3:$C$67,$B$84)</f>
        <v>0</v>
      </c>
    </row>
    <row r="87" spans="2:4" x14ac:dyDescent="0.25">
      <c r="B87" s="346" t="s">
        <v>216</v>
      </c>
      <c r="C87" s="359">
        <f>SUMIFS($F$3:$F$67,$E$3:$E$67,$B87,$C$3:$C$67,$B$84)</f>
        <v>600</v>
      </c>
      <c r="D87" s="359">
        <f>SUMIFS($G$3:$G$67,$E$3:$E$67,$B87,$C$3:$C$67,$B$84)</f>
        <v>0</v>
      </c>
    </row>
    <row r="88" spans="2:4" x14ac:dyDescent="0.25">
      <c r="B88" s="346" t="s">
        <v>215</v>
      </c>
      <c r="C88" s="359">
        <f>SUMIFS($F$3:$F$67,$E$3:$E$67,$B88,$C$3:$C$67,$B$84)</f>
        <v>3280</v>
      </c>
      <c r="D88" s="359">
        <f>SUMIFS($G$3:$G$67,$E$3:$E$67,$B88,$C$3:$C$67,$B$84)</f>
        <v>0</v>
      </c>
    </row>
    <row r="89" spans="2:4" x14ac:dyDescent="0.25">
      <c r="B89" s="346" t="s">
        <v>411</v>
      </c>
      <c r="C89" s="359">
        <f>SUMIFS($F$3:$F$67,$E$3:$E$67,$B89,$C$3:$C$67,$B$84)</f>
        <v>0</v>
      </c>
      <c r="D89" s="359">
        <f>SUMIFS($G$3:$G$67,$E$3:$E$67,$B89,$C$3:$C$67,$B$84)</f>
        <v>8400</v>
      </c>
    </row>
    <row r="90" spans="2:4" x14ac:dyDescent="0.25">
      <c r="B90" s="356" t="s">
        <v>658</v>
      </c>
      <c r="C90" s="360">
        <f>SUM(C85:C89)</f>
        <v>3880</v>
      </c>
      <c r="D90" s="360">
        <f>SUM(D85:D89)</f>
        <v>8400</v>
      </c>
    </row>
    <row r="91" spans="2:4" x14ac:dyDescent="0.25">
      <c r="B91" s="346"/>
      <c r="C91" s="359"/>
      <c r="D91" s="359"/>
    </row>
    <row r="92" spans="2:4" x14ac:dyDescent="0.25">
      <c r="B92" s="357" t="s">
        <v>634</v>
      </c>
      <c r="C92" s="359"/>
      <c r="D92" s="359"/>
    </row>
    <row r="93" spans="2:4" x14ac:dyDescent="0.25">
      <c r="B93" s="346" t="s">
        <v>140</v>
      </c>
      <c r="C93" s="359">
        <f>SUMIFS($F$3:$F$67,$E$3:$E$67,$B93,$C$3:$C$67,$B$92)</f>
        <v>300</v>
      </c>
      <c r="D93" s="359">
        <f>SUMIFS($G$3:$G$67,$E$3:$E$67,$B93,$C$3:$C$67,$B$92)</f>
        <v>0</v>
      </c>
    </row>
    <row r="94" spans="2:4" x14ac:dyDescent="0.25">
      <c r="B94" s="346" t="s">
        <v>214</v>
      </c>
      <c r="C94" s="359">
        <f>SUMIFS($F$3:$F$67,$E$3:$E$67,$B94,$C$3:$C$67,$B$92)</f>
        <v>0</v>
      </c>
      <c r="D94" s="359">
        <f>SUMIFS($G$3:$G$67,$E$3:$E$67,$B94,$C$3:$C$67,$B$92)</f>
        <v>0</v>
      </c>
    </row>
    <row r="95" spans="2:4" x14ac:dyDescent="0.25">
      <c r="B95" s="346" t="s">
        <v>216</v>
      </c>
      <c r="C95" s="359">
        <f>SUMIFS($F$3:$F$67,$E$3:$E$67,$B95,$C$3:$C$67,$B$92)</f>
        <v>150</v>
      </c>
      <c r="D95" s="359">
        <f>SUMIFS($G$3:$G$67,$E$3:$E$67,$B95,$C$3:$C$67,$B$92)</f>
        <v>0</v>
      </c>
    </row>
    <row r="96" spans="2:4" x14ac:dyDescent="0.25">
      <c r="B96" s="346" t="s">
        <v>215</v>
      </c>
      <c r="C96" s="359">
        <f>SUMIFS($F$3:$F$67,$E$3:$E$67,$B96,$C$3:$C$67,$B$92)</f>
        <v>750</v>
      </c>
      <c r="D96" s="359">
        <f>SUMIFS($G$3:$G$67,$E$3:$E$67,$B96,$C$3:$C$67,$B$92)</f>
        <v>0</v>
      </c>
    </row>
    <row r="97" spans="2:4" x14ac:dyDescent="0.25">
      <c r="B97" s="346" t="s">
        <v>411</v>
      </c>
      <c r="C97" s="359">
        <f>SUMIFS($F$3:$F$67,$E$3:$E$67,$B97,$C$3:$C$67,$B$92)</f>
        <v>0</v>
      </c>
      <c r="D97" s="359">
        <f>SUMIFS($G$3:$G$67,$E$3:$E$67,$B97,$C$3:$C$67,$B$92)</f>
        <v>0</v>
      </c>
    </row>
    <row r="98" spans="2:4" x14ac:dyDescent="0.25">
      <c r="B98" s="356" t="s">
        <v>659</v>
      </c>
      <c r="C98" s="360">
        <f>SUM(C93:C97)</f>
        <v>1200</v>
      </c>
      <c r="D98" s="360">
        <f>SUM(D93:D97)</f>
        <v>0</v>
      </c>
    </row>
    <row r="99" spans="2:4" x14ac:dyDescent="0.25">
      <c r="B99" s="346"/>
      <c r="C99" s="359"/>
      <c r="D99" s="359"/>
    </row>
    <row r="100" spans="2:4" ht="15.75" thickBot="1" x14ac:dyDescent="0.3">
      <c r="B100" s="358" t="s">
        <v>334</v>
      </c>
      <c r="C100" s="361">
        <f>C82+C90+C98</f>
        <v>8070</v>
      </c>
      <c r="D100" s="361">
        <f>D82+D90+D98</f>
        <v>11508</v>
      </c>
    </row>
    <row r="101" spans="2:4" ht="15.75" thickTop="1" x14ac:dyDescent="0.25">
      <c r="C101" s="345"/>
      <c r="D101" s="34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F469-D67A-4553-9314-F6053283E384}">
  <dimension ref="B2:Y249"/>
  <sheetViews>
    <sheetView showGridLines="0" tabSelected="1" workbookViewId="0">
      <pane xSplit="3" ySplit="2" topLeftCell="D3" activePane="bottomRight" state="frozen"/>
      <selection pane="topRight" activeCell="H1" sqref="H1"/>
      <selection pane="bottomLeft" activeCell="A3" sqref="A3"/>
      <selection pane="bottomRight" activeCell="H2" sqref="H2"/>
    </sheetView>
  </sheetViews>
  <sheetFormatPr defaultColWidth="9" defaultRowHeight="12" x14ac:dyDescent="0.2"/>
  <cols>
    <col min="1" max="1" width="2.5703125" style="1" customWidth="1"/>
    <col min="2" max="2" width="39" style="1" customWidth="1"/>
    <col min="3" max="13" width="8.85546875" style="1" customWidth="1"/>
    <col min="14" max="14" width="9" style="1" customWidth="1"/>
    <col min="15" max="15" width="9.140625" style="1" customWidth="1"/>
    <col min="16" max="16" width="9" style="1" customWidth="1"/>
    <col min="17" max="18" width="8.85546875" style="1" customWidth="1"/>
    <col min="19" max="19" width="9" style="1"/>
    <col min="20" max="20" width="11.42578125" style="1" bestFit="1" customWidth="1"/>
    <col min="21" max="21" width="9.85546875" style="1" bestFit="1" customWidth="1"/>
    <col min="22" max="16388" width="9" style="1"/>
  </cols>
  <sheetData>
    <row r="2" spans="2:24" x14ac:dyDescent="0.2">
      <c r="B2" s="31" t="s">
        <v>75</v>
      </c>
      <c r="C2" s="31"/>
      <c r="D2" s="32">
        <v>2018</v>
      </c>
      <c r="E2" s="32">
        <v>2019</v>
      </c>
      <c r="F2" s="32">
        <v>2020</v>
      </c>
      <c r="G2" s="32">
        <v>2021</v>
      </c>
      <c r="H2" s="32">
        <v>2022</v>
      </c>
      <c r="I2" s="32">
        <v>2023</v>
      </c>
      <c r="J2" s="32">
        <v>2024</v>
      </c>
      <c r="K2" s="32">
        <v>2025</v>
      </c>
      <c r="L2" s="32">
        <f>+K2+1</f>
        <v>2026</v>
      </c>
      <c r="M2" s="21" t="s">
        <v>221</v>
      </c>
      <c r="N2" s="21" t="s">
        <v>281</v>
      </c>
      <c r="O2" s="21" t="s">
        <v>282</v>
      </c>
      <c r="P2" s="21" t="s">
        <v>283</v>
      </c>
      <c r="Q2" s="203"/>
      <c r="R2" s="203"/>
    </row>
    <row r="3" spans="2:24" x14ac:dyDescent="0.2">
      <c r="B3" s="33"/>
      <c r="C3" s="33"/>
      <c r="D3" s="34"/>
      <c r="E3" s="34"/>
      <c r="F3" s="34"/>
      <c r="G3" s="34"/>
      <c r="H3" s="34"/>
      <c r="I3" s="34"/>
      <c r="J3" s="34"/>
      <c r="K3" s="34"/>
      <c r="L3" s="34"/>
      <c r="M3" s="22"/>
      <c r="N3" s="22"/>
      <c r="O3" s="22"/>
      <c r="P3" s="22"/>
      <c r="Q3" s="204"/>
      <c r="R3" s="204"/>
      <c r="U3" s="81"/>
    </row>
    <row r="4" spans="2:24" x14ac:dyDescent="0.2">
      <c r="B4" s="33"/>
      <c r="C4" s="33"/>
      <c r="D4" s="34"/>
      <c r="E4" s="34"/>
      <c r="F4" s="34"/>
      <c r="G4" s="34"/>
      <c r="H4" s="34"/>
      <c r="I4" s="34"/>
      <c r="J4" s="34"/>
      <c r="K4" s="34"/>
      <c r="L4" s="34"/>
      <c r="M4" s="22"/>
      <c r="N4" s="22"/>
      <c r="O4" s="22"/>
      <c r="P4" s="22"/>
      <c r="Q4" s="204"/>
      <c r="R4" s="204"/>
    </row>
    <row r="5" spans="2:24" x14ac:dyDescent="0.2">
      <c r="B5" s="35" t="s">
        <v>0</v>
      </c>
      <c r="C5" s="36"/>
      <c r="D5" s="535">
        <v>10961.34</v>
      </c>
      <c r="E5" s="535">
        <v>16718.99</v>
      </c>
      <c r="F5" s="535">
        <v>17772.54</v>
      </c>
      <c r="G5" s="535">
        <v>16917.45</v>
      </c>
      <c r="H5" s="34">
        <v>14879.02</v>
      </c>
      <c r="I5" s="34">
        <v>12949.04</v>
      </c>
      <c r="J5" s="34">
        <v>13192.5</v>
      </c>
      <c r="K5" s="34">
        <v>14051.31</v>
      </c>
      <c r="L5" s="34">
        <f>20229.59+4.2</f>
        <v>20233.79</v>
      </c>
      <c r="M5" s="22">
        <f>Assumptions!G6</f>
        <v>40060.234925230689</v>
      </c>
      <c r="N5" s="22">
        <f>Assumptions!H6</f>
        <v>69187.159951471229</v>
      </c>
      <c r="O5" s="22">
        <f>Assumptions!I6</f>
        <v>95080.806683963048</v>
      </c>
      <c r="P5" s="22">
        <f>Assumptions!J6</f>
        <v>113592.77915400003</v>
      </c>
      <c r="Q5" s="219">
        <f>(N5/K5)^(1/3)-1</f>
        <v>0.70125558053718207</v>
      </c>
      <c r="R5" s="219">
        <f>(P5/K5)^(1/5)-1</f>
        <v>0.51889160576308124</v>
      </c>
      <c r="T5" s="74" t="s">
        <v>484</v>
      </c>
      <c r="U5" s="180" t="s">
        <v>275</v>
      </c>
      <c r="V5" s="180" t="s">
        <v>276</v>
      </c>
      <c r="W5" s="180" t="s">
        <v>277</v>
      </c>
      <c r="X5" s="180"/>
    </row>
    <row r="6" spans="2:24" x14ac:dyDescent="0.2">
      <c r="B6" s="37" t="s">
        <v>1</v>
      </c>
      <c r="C6" s="38"/>
      <c r="D6" s="39"/>
      <c r="E6" s="39"/>
      <c r="F6" s="39"/>
      <c r="G6" s="39"/>
      <c r="H6" s="39"/>
      <c r="I6" s="39">
        <f>I5/H5-1</f>
        <v>-0.12971149981652019</v>
      </c>
      <c r="J6" s="39">
        <f>J5/I5-1</f>
        <v>1.8801393771275654E-2</v>
      </c>
      <c r="K6" s="39">
        <f>K5/J5-1</f>
        <v>6.5098351335986404E-2</v>
      </c>
      <c r="L6" s="39">
        <f>L5/K5-1</f>
        <v>0.43999313942970453</v>
      </c>
      <c r="M6" s="23">
        <f t="shared" ref="M6" si="0">M5/L5-1</f>
        <v>0.97986807835955037</v>
      </c>
      <c r="N6" s="23">
        <f t="shared" ref="N6" si="1">N5/M5-1</f>
        <v>0.72707823807333338</v>
      </c>
      <c r="O6" s="23">
        <f t="shared" ref="O6:P6" si="2">O5/N5-1</f>
        <v>0.37425508939308916</v>
      </c>
      <c r="P6" s="23">
        <f t="shared" si="2"/>
        <v>0.19469725926462234</v>
      </c>
      <c r="Q6" s="220"/>
      <c r="R6" s="220"/>
      <c r="T6" s="1" t="s">
        <v>280</v>
      </c>
      <c r="U6" s="1">
        <f>[111]Sheet1!U14</f>
        <v>37816.800000000003</v>
      </c>
      <c r="V6" s="1">
        <f>[111]Sheet1!V14</f>
        <v>69856.533333333326</v>
      </c>
      <c r="W6" s="1">
        <f>[111]Sheet1!W14</f>
        <v>95602.61538461539</v>
      </c>
    </row>
    <row r="7" spans="2:24" x14ac:dyDescent="0.2">
      <c r="B7" s="33"/>
      <c r="C7" s="34"/>
      <c r="D7" s="34"/>
      <c r="E7" s="34"/>
      <c r="F7" s="34"/>
      <c r="G7" s="34"/>
      <c r="H7" s="34"/>
      <c r="I7" s="34"/>
      <c r="J7" s="34"/>
      <c r="K7" s="34"/>
      <c r="L7" s="34"/>
      <c r="M7" s="22"/>
      <c r="N7" s="22"/>
      <c r="O7" s="22"/>
      <c r="P7" s="22"/>
      <c r="Q7" s="206"/>
      <c r="R7" s="206"/>
      <c r="T7" s="1" t="s">
        <v>4</v>
      </c>
      <c r="U7" s="1">
        <f>[111]Sheet1!U28</f>
        <v>31581.8</v>
      </c>
      <c r="V7" s="1">
        <f>[111]Sheet1!V28</f>
        <v>59535.666666666664</v>
      </c>
      <c r="W7" s="1">
        <f>[111]Sheet1!W28</f>
        <v>81852.357142857145</v>
      </c>
    </row>
    <row r="8" spans="2:24" x14ac:dyDescent="0.2">
      <c r="B8" s="33" t="s">
        <v>76</v>
      </c>
      <c r="C8" s="34"/>
      <c r="D8" s="535">
        <v>544.85</v>
      </c>
      <c r="E8" s="535">
        <v>691.95</v>
      </c>
      <c r="F8" s="535">
        <v>146.06</v>
      </c>
      <c r="G8" s="535">
        <v>0.0</v>
      </c>
      <c r="H8" s="34">
        <v>938.5</v>
      </c>
      <c r="I8" s="34"/>
      <c r="J8" s="34"/>
      <c r="K8" s="34"/>
      <c r="L8" s="34"/>
      <c r="M8" s="22"/>
      <c r="N8" s="22"/>
      <c r="O8" s="22"/>
      <c r="P8" s="22"/>
      <c r="Q8" s="206"/>
      <c r="R8" s="206"/>
      <c r="T8" s="1" t="s">
        <v>555</v>
      </c>
      <c r="U8" s="4">
        <f>+U7/U6</f>
        <v>0.83512618730299748</v>
      </c>
      <c r="V8" s="4">
        <f t="shared" ref="V8:W8" si="3">+V7/V6</f>
        <v>0.85225624327192495</v>
      </c>
      <c r="W8" s="4">
        <f t="shared" si="3"/>
        <v>0.85617278160811727</v>
      </c>
      <c r="X8" s="4"/>
    </row>
    <row r="9" spans="2:24" x14ac:dyDescent="0.2">
      <c r="B9" s="33" t="s">
        <v>2</v>
      </c>
      <c r="C9" s="34"/>
      <c r="D9" s="535">
        <v>517.58</v>
      </c>
      <c r="E9" s="535">
        <v>100.25</v>
      </c>
      <c r="F9" s="535">
        <v>60.16</v>
      </c>
      <c r="G9" s="535">
        <v>301.36</v>
      </c>
      <c r="H9" s="34">
        <v>382.37</v>
      </c>
      <c r="I9" s="34">
        <v>346.44</v>
      </c>
      <c r="J9" s="34">
        <v>589.95000000000005</v>
      </c>
      <c r="K9" s="34">
        <v>649.75</v>
      </c>
      <c r="L9" s="34">
        <v>619.69000000000005</v>
      </c>
      <c r="M9" s="22"/>
      <c r="N9" s="22"/>
      <c r="O9" s="22"/>
      <c r="P9" s="22"/>
      <c r="Q9" s="206"/>
      <c r="R9" s="206"/>
      <c r="T9" s="1" t="s">
        <v>485</v>
      </c>
      <c r="U9" s="1">
        <f>[111]Sheet1!U43</f>
        <v>8163.1333333333332</v>
      </c>
      <c r="V9" s="1">
        <f>[111]Sheet1!V43</f>
        <v>16047.133333333333</v>
      </c>
      <c r="W9" s="1">
        <f>[111]Sheet1!W43</f>
        <v>22406.76923076923</v>
      </c>
    </row>
    <row r="10" spans="2:24" x14ac:dyDescent="0.2">
      <c r="B10" s="33" t="s">
        <v>3</v>
      </c>
      <c r="C10" s="34"/>
      <c r="D10" s="535">
        <v>1070.12</v>
      </c>
      <c r="E10" s="535">
        <v>1407.89</v>
      </c>
      <c r="F10" s="535">
        <v>1080.59</v>
      </c>
      <c r="G10" s="535">
        <v>1088.42</v>
      </c>
      <c r="H10" s="34">
        <v>1154.93</v>
      </c>
      <c r="I10" s="34">
        <v>876.67</v>
      </c>
      <c r="J10" s="34">
        <v>1711.07</v>
      </c>
      <c r="K10" s="34">
        <v>1047.56</v>
      </c>
      <c r="L10" s="34">
        <v>1800.74</v>
      </c>
      <c r="M10" s="22"/>
      <c r="N10" s="22"/>
      <c r="O10" s="22"/>
      <c r="P10" s="22"/>
      <c r="Q10" s="206"/>
      <c r="R10" s="206"/>
      <c r="T10" s="1" t="s">
        <v>72</v>
      </c>
      <c r="U10" s="1">
        <f>[111]Sheet1!U26</f>
        <v>7696.7394159860232</v>
      </c>
      <c r="V10" s="1">
        <f>[111]Sheet1!V26</f>
        <v>14101.157983308798</v>
      </c>
      <c r="W10" s="1">
        <f>[111]Sheet1!W26</f>
        <v>19495.896837676086</v>
      </c>
    </row>
    <row r="11" spans="2:24" x14ac:dyDescent="0.2">
      <c r="B11" s="35" t="s">
        <v>284</v>
      </c>
      <c r="C11" s="34"/>
      <c r="D11" s="36">
        <f>SUM(D8:D10)</f>
        <v>2132.55</v>
      </c>
      <c r="E11" s="36">
        <f>SUM(E8:E10)</f>
        <v>2200.09</v>
      </c>
      <c r="F11" s="36">
        <f>SUM(F8:F10)</f>
        <v>1286.81</v>
      </c>
      <c r="G11" s="36">
        <f>SUM(G8:G10)</f>
        <v>1389.7800000000002</v>
      </c>
      <c r="H11" s="36">
        <f>SUM(H8:H10)</f>
        <v>2475.8000000000002</v>
      </c>
      <c r="I11" s="36">
        <f t="shared" ref="I11:K11" si="4">SUM(I8:I10)</f>
        <v>1223.1099999999999</v>
      </c>
      <c r="J11" s="36">
        <f t="shared" si="4"/>
        <v>2301.02</v>
      </c>
      <c r="K11" s="36">
        <f t="shared" si="4"/>
        <v>1697.31</v>
      </c>
      <c r="L11" s="36">
        <f t="shared" ref="L11" si="5">SUM(L8:L10)</f>
        <v>2420.4300000000003</v>
      </c>
      <c r="M11" s="24">
        <f>M5-M15</f>
        <v>7084.3124689189499</v>
      </c>
      <c r="N11" s="24">
        <f>N5-N15</f>
        <v>8370.8169020261703</v>
      </c>
      <c r="O11" s="24">
        <f>O5-O15</f>
        <v>11253.699666134373</v>
      </c>
      <c r="P11" s="24">
        <f>P5-P15</f>
        <v>10910.830835250003</v>
      </c>
      <c r="Q11" s="206"/>
      <c r="R11" s="206"/>
      <c r="T11" s="1" t="s">
        <v>451</v>
      </c>
      <c r="U11" s="1">
        <f>[111]Sheet1!U32</f>
        <v>17153.03719338002</v>
      </c>
      <c r="V11" s="1">
        <f>[111]Sheet1!V32</f>
        <v>28234.250566616542</v>
      </c>
      <c r="W11" s="1">
        <f>[111]Sheet1!W32</f>
        <v>37833.530982041964</v>
      </c>
    </row>
    <row r="12" spans="2:24" x14ac:dyDescent="0.2">
      <c r="B12" s="37" t="s">
        <v>1</v>
      </c>
      <c r="C12" s="34"/>
      <c r="D12" s="39"/>
      <c r="E12" s="39"/>
      <c r="F12" s="39"/>
      <c r="G12" s="39"/>
      <c r="H12" s="39"/>
      <c r="I12" s="39">
        <f>I11/H11-1</f>
        <v>-0.50597382664189361</v>
      </c>
      <c r="J12" s="39">
        <f>J11/I11-1</f>
        <v>0.88128622936612411</v>
      </c>
      <c r="K12" s="39">
        <f>K11/J11-1</f>
        <v>-0.26236625496518939</v>
      </c>
      <c r="L12" s="39">
        <f>L11/K11-1</f>
        <v>0.42603884970924599</v>
      </c>
      <c r="M12" s="23">
        <f t="shared" ref="M12:P12" si="6">M11/L11-1</f>
        <v>1.926881780889738</v>
      </c>
      <c r="N12" s="23">
        <f t="shared" si="6"/>
        <v>0.18159905266058063</v>
      </c>
      <c r="O12" s="23">
        <f t="shared" si="6"/>
        <v>0.34439682504707458</v>
      </c>
      <c r="P12" s="23">
        <f t="shared" si="6"/>
        <v>-3.0467209989276767E-2</v>
      </c>
      <c r="Q12" s="220"/>
      <c r="R12" s="220"/>
      <c r="T12" s="1" t="s">
        <v>473</v>
      </c>
      <c r="U12" s="1">
        <f>-[111]Sheet1!U129</f>
        <v>162186.15846175002</v>
      </c>
      <c r="V12" s="1">
        <f>-[111]Sheet1!V129</f>
        <v>179571.70676946902</v>
      </c>
      <c r="W12" s="1">
        <f>-[111]Sheet1!W129</f>
        <v>117350.27981803277</v>
      </c>
    </row>
    <row r="13" spans="2:24" x14ac:dyDescent="0.2">
      <c r="B13" s="37" t="s">
        <v>285</v>
      </c>
      <c r="C13" s="34"/>
      <c r="D13" s="39"/>
      <c r="E13" s="39"/>
      <c r="F13" s="39"/>
      <c r="G13" s="39"/>
      <c r="H13" s="39"/>
      <c r="I13" s="39">
        <f>I11/I5</f>
        <v>9.4455650766388843E-2</v>
      </c>
      <c r="J13" s="39">
        <f>J11/J5</f>
        <v>0.17441879855978776</v>
      </c>
      <c r="K13" s="39">
        <f>K11/K5</f>
        <v>0.12079371958913439</v>
      </c>
      <c r="L13" s="39">
        <f>L11/L5</f>
        <v>0.11962316501258539</v>
      </c>
      <c r="M13" s="23">
        <f t="shared" ref="M13:P13" si="7">M11/M5</f>
        <v>0.17684151084339042</v>
      </c>
      <c r="N13" s="23">
        <f t="shared" si="7"/>
        <v>0.12098801147348105</v>
      </c>
      <c r="O13" s="23">
        <f t="shared" si="7"/>
        <v>0.11835932044140403</v>
      </c>
      <c r="P13" s="23">
        <f t="shared" si="7"/>
        <v>9.6052151523275689E-2</v>
      </c>
      <c r="Q13" s="220"/>
      <c r="R13" s="220"/>
      <c r="T13" s="1" t="s">
        <v>6</v>
      </c>
      <c r="U13" s="1">
        <f>-[111]Sheet1!U33</f>
        <v>4937.7467870458795</v>
      </c>
      <c r="V13" s="1">
        <f>-[111]Sheet1!V33</f>
        <v>5359.8467473618166</v>
      </c>
      <c r="W13" s="1">
        <f>-[111]Sheet1!W33</f>
        <v>5610.8568892194598</v>
      </c>
    </row>
    <row r="14" spans="2:24" x14ac:dyDescent="0.2">
      <c r="B14" s="35"/>
      <c r="C14" s="34"/>
      <c r="D14" s="36"/>
      <c r="E14" s="36"/>
      <c r="F14" s="36"/>
      <c r="G14" s="36"/>
      <c r="H14" s="36"/>
      <c r="I14" s="36"/>
      <c r="J14" s="36"/>
      <c r="K14" s="36"/>
      <c r="L14" s="36"/>
      <c r="M14" s="24"/>
      <c r="N14" s="24"/>
      <c r="O14" s="24"/>
      <c r="P14" s="24"/>
      <c r="Q14" s="206"/>
      <c r="R14" s="206"/>
    </row>
    <row r="15" spans="2:24" x14ac:dyDescent="0.2">
      <c r="B15" s="35" t="s">
        <v>4</v>
      </c>
      <c r="C15" s="36"/>
      <c r="D15" s="36">
        <f>D5-SUM(D8:D10)</f>
        <v>8828.79</v>
      </c>
      <c r="E15" s="36">
        <f>E5-SUM(E8:E10)</f>
        <v>14518.900000000001</v>
      </c>
      <c r="F15" s="36">
        <f>F5-SUM(F8:F10)</f>
        <v>16485.73</v>
      </c>
      <c r="G15" s="36">
        <f>G5-SUM(G8:G10)</f>
        <v>15527.67</v>
      </c>
      <c r="H15" s="36">
        <f t="shared" ref="H15:I15" si="8">H5-SUM(H8:H10)</f>
        <v>12403.220000000001</v>
      </c>
      <c r="I15" s="36">
        <f t="shared" si="8"/>
        <v>11725.93</v>
      </c>
      <c r="J15" s="36">
        <f>J5-SUM(J8:J10)</f>
        <v>10891.48</v>
      </c>
      <c r="K15" s="36">
        <f>K5-SUM(K8:K10)</f>
        <v>12354</v>
      </c>
      <c r="L15" s="36">
        <f>L5-SUM(L8:L10)</f>
        <v>17813.36</v>
      </c>
      <c r="M15" s="483">
        <f>Assumptions!G41</f>
        <v>32975.922456311739</v>
      </c>
      <c r="N15" s="483">
        <f>Assumptions!H41</f>
        <v>60816.343049445059</v>
      </c>
      <c r="O15" s="483">
        <f>Assumptions!I41</f>
        <v>83827.107017828675</v>
      </c>
      <c r="P15" s="483">
        <f>Assumptions!J41</f>
        <v>102681.94831875003</v>
      </c>
      <c r="Q15" s="219">
        <f>(N15/K15)^(1/3)-1</f>
        <v>0.70113025367094961</v>
      </c>
      <c r="R15" s="219">
        <f>(P15/K15)^(1/5)-1</f>
        <v>0.52734553873032541</v>
      </c>
      <c r="T15" s="74" t="s">
        <v>486</v>
      </c>
    </row>
    <row r="16" spans="2:24" x14ac:dyDescent="0.2">
      <c r="B16" s="37" t="s">
        <v>5</v>
      </c>
      <c r="C16" s="38"/>
      <c r="D16" s="39">
        <f>IF(ISERROR(D15/D5)," ",D15/D5)</f>
        <v>0.8054480565332341</v>
      </c>
      <c r="E16" s="39">
        <f>IF(ISERROR(E15/E5)," ",E15/E5)</f>
        <v>0.8684077208013163</v>
      </c>
      <c r="F16" s="39">
        <f>IF(ISERROR(F15/F5)," ",F15/F5)</f>
        <v>0.9275956053552277</v>
      </c>
      <c r="G16" s="39">
        <f>IF(ISERROR(G15/G5)," ",G15/G5)</f>
        <v>0.9178493212629563</v>
      </c>
      <c r="H16" s="39">
        <f t="shared" ref="H16:K16" si="9">IF(ISERROR(H15/H5)," ",H15/H5)</f>
        <v>0.83360463256316619</v>
      </c>
      <c r="I16" s="39">
        <f t="shared" si="9"/>
        <v>0.90554434923361116</v>
      </c>
      <c r="J16" s="39">
        <f t="shared" si="9"/>
        <v>0.82558120144021219</v>
      </c>
      <c r="K16" s="39">
        <f t="shared" si="9"/>
        <v>0.87920628041086568</v>
      </c>
      <c r="L16" s="39">
        <f t="shared" ref="L16" si="10">IF(ISERROR(L15/L5)," ",L15/L5)</f>
        <v>0.88037683498741459</v>
      </c>
      <c r="M16" s="515">
        <f>IFERROR(M15/M5,"–")</f>
        <v>0.82315848915660961</v>
      </c>
      <c r="N16" s="515">
        <f>IFERROR(N15/N5,"–")</f>
        <v>0.87901198852651896</v>
      </c>
      <c r="O16" s="515">
        <f>IFERROR(O15/O5,"–")</f>
        <v>0.88164067955859593</v>
      </c>
      <c r="P16" s="515">
        <f>IFERROR(P15/P5,"–")</f>
        <v>0.90394784847672427</v>
      </c>
      <c r="Q16" s="207"/>
      <c r="R16" s="207"/>
      <c r="T16" s="1" t="s">
        <v>280</v>
      </c>
      <c r="U16" s="1">
        <f>M5</f>
        <v>40060.234925230689</v>
      </c>
      <c r="V16" s="1">
        <f>N5</f>
        <v>69187.159951471229</v>
      </c>
      <c r="W16" s="1">
        <f>O5</f>
        <v>95080.806683963048</v>
      </c>
    </row>
    <row r="17" spans="2:25" x14ac:dyDescent="0.2">
      <c r="B17" s="37" t="s">
        <v>1</v>
      </c>
      <c r="C17" s="38"/>
      <c r="D17" s="39"/>
      <c r="E17" s="39"/>
      <c r="F17" s="39"/>
      <c r="G17" s="39"/>
      <c r="H17" s="39"/>
      <c r="I17" s="39">
        <f>I15/H15-1</f>
        <v>-5.4605981350004384E-2</v>
      </c>
      <c r="J17" s="39">
        <f>J15/I15-1</f>
        <v>-7.1162799027454593E-2</v>
      </c>
      <c r="K17" s="39">
        <f>K15/J15-1</f>
        <v>0.13428110780169455</v>
      </c>
      <c r="L17" s="39">
        <f>L15/K15-1</f>
        <v>0.44191031244940904</v>
      </c>
      <c r="M17" s="23">
        <f t="shared" ref="M17" si="11">M15/L15-1</f>
        <v>0.85119048042097267</v>
      </c>
      <c r="N17" s="23">
        <f t="shared" ref="N17" si="12">N15/M15-1</f>
        <v>0.84426510372887353</v>
      </c>
      <c r="O17" s="23">
        <f t="shared" ref="O17:P17" si="13">O15/N15-1</f>
        <v>0.37836480811868856</v>
      </c>
      <c r="P17" s="23">
        <f t="shared" si="13"/>
        <v>0.22492534899136185</v>
      </c>
      <c r="Q17" s="205"/>
      <c r="R17" s="205"/>
      <c r="T17" s="1" t="s">
        <v>4</v>
      </c>
      <c r="U17" s="1">
        <f>M15</f>
        <v>32975.922456311739</v>
      </c>
      <c r="V17" s="1">
        <f>N15</f>
        <v>60816.343049445059</v>
      </c>
      <c r="W17" s="1">
        <f>O15</f>
        <v>83827.107017828675</v>
      </c>
    </row>
    <row r="18" spans="2:25" x14ac:dyDescent="0.2">
      <c r="B18" s="37"/>
      <c r="C18" s="38"/>
      <c r="D18" s="38"/>
      <c r="E18" s="38"/>
      <c r="F18" s="38"/>
      <c r="G18" s="38"/>
      <c r="H18" s="38"/>
      <c r="I18" s="38"/>
      <c r="J18" s="38"/>
      <c r="K18" s="38"/>
      <c r="L18" s="38"/>
      <c r="M18" s="83"/>
      <c r="N18" s="83"/>
      <c r="O18" s="83"/>
      <c r="P18" s="83"/>
      <c r="Q18" s="208"/>
      <c r="R18" s="208"/>
      <c r="T18" s="1" t="s">
        <v>555</v>
      </c>
      <c r="U18" s="4">
        <f>+U17/U16</f>
        <v>0.82315848915660961</v>
      </c>
      <c r="V18" s="4">
        <f t="shared" ref="V18" si="14">+V17/V16</f>
        <v>0.87901198852651896</v>
      </c>
      <c r="W18" s="4">
        <f t="shared" ref="W18" si="15">+W17/W16</f>
        <v>0.88164067955859593</v>
      </c>
      <c r="X18" s="4"/>
    </row>
    <row r="19" spans="2:25" x14ac:dyDescent="0.2">
      <c r="B19" s="33" t="s">
        <v>6</v>
      </c>
      <c r="C19" s="34"/>
      <c r="D19" s="535">
        <v>901.32</v>
      </c>
      <c r="E19" s="535">
        <v>1304.23</v>
      </c>
      <c r="F19" s="535">
        <v>776.58</v>
      </c>
      <c r="G19" s="535">
        <v>2184.67</v>
      </c>
      <c r="H19" s="34">
        <v>748.24</v>
      </c>
      <c r="I19" s="34">
        <v>664.69</v>
      </c>
      <c r="J19" s="34">
        <v>1470.17</v>
      </c>
      <c r="K19" s="34">
        <v>1701.1</v>
      </c>
      <c r="L19" s="34">
        <v>4837.01</v>
      </c>
      <c r="M19" s="464">
        <f>M215</f>
        <v>4246.5051054200048</v>
      </c>
      <c r="N19" s="464">
        <f>N215</f>
        <v>5795.628480117326</v>
      </c>
      <c r="O19" s="464">
        <f>O215</f>
        <v>7246.9912674305115</v>
      </c>
      <c r="P19" s="464">
        <f>P215</f>
        <v>7874.3622111462682</v>
      </c>
      <c r="Q19" s="204"/>
      <c r="R19" s="204"/>
      <c r="T19" s="1" t="s">
        <v>485</v>
      </c>
      <c r="U19" s="1">
        <f>M43</f>
        <v>8891.3066932589281</v>
      </c>
      <c r="V19" s="1">
        <f>N43</f>
        <v>16962.05960711118</v>
      </c>
      <c r="W19" s="1">
        <f>O43</f>
        <v>23112.177331045059</v>
      </c>
    </row>
    <row r="20" spans="2:25" x14ac:dyDescent="0.2">
      <c r="B20" s="33" t="s">
        <v>7</v>
      </c>
      <c r="C20" s="34"/>
      <c r="D20" s="535">
        <v>3668.95</v>
      </c>
      <c r="E20" s="535">
        <v>5708.07</v>
      </c>
      <c r="F20" s="535">
        <v>7000.8</v>
      </c>
      <c r="G20" s="535">
        <v>6217.8</v>
      </c>
      <c r="H20" s="34">
        <v>5462.75</v>
      </c>
      <c r="I20" s="34">
        <v>4848.0200000000004</v>
      </c>
      <c r="J20" s="34">
        <v>3081.38</v>
      </c>
      <c r="K20" s="34">
        <v>2873.13</v>
      </c>
      <c r="L20" s="34">
        <v>4679.0200000000004</v>
      </c>
      <c r="M20" s="464">
        <f>SUM(Assumptions!BP53:BP133)</f>
        <v>7198.5435616438353</v>
      </c>
      <c r="N20" s="464">
        <f>SUM(Assumptions!BQ53:BQ133)</f>
        <v>15339.542465753426</v>
      </c>
      <c r="O20" s="464">
        <f>SUM(Assumptions!BR53:BR133)</f>
        <v>21812.594520547951</v>
      </c>
      <c r="P20" s="464">
        <f>SUM(Assumptions!BS53:BS133)</f>
        <v>29531.772602739729</v>
      </c>
      <c r="Q20" s="204"/>
      <c r="R20" s="204"/>
      <c r="T20" s="1" t="s">
        <v>72</v>
      </c>
      <c r="U20" s="1">
        <f>M20</f>
        <v>7198.5435616438353</v>
      </c>
      <c r="V20" s="1">
        <f>N20</f>
        <v>15339.542465753426</v>
      </c>
      <c r="W20" s="1">
        <f>O20</f>
        <v>21812.594520547951</v>
      </c>
    </row>
    <row r="21" spans="2:25" x14ac:dyDescent="0.2">
      <c r="B21" s="33"/>
      <c r="C21" s="34"/>
      <c r="D21" s="34"/>
      <c r="E21" s="34"/>
      <c r="F21" s="34"/>
      <c r="G21" s="34"/>
      <c r="H21" s="34"/>
      <c r="I21" s="34"/>
      <c r="J21" s="34"/>
      <c r="K21" s="34"/>
      <c r="L21" s="34"/>
      <c r="M21" s="22"/>
      <c r="N21" s="22"/>
      <c r="O21" s="22"/>
      <c r="P21" s="22"/>
      <c r="Q21" s="204"/>
      <c r="R21" s="204"/>
      <c r="T21" s="1" t="s">
        <v>451</v>
      </c>
      <c r="U21" s="1">
        <f>M24</f>
        <v>17937.057200007013</v>
      </c>
      <c r="V21" s="1">
        <f>N24</f>
        <v>28214.234839192006</v>
      </c>
      <c r="W21" s="1">
        <f>O24</f>
        <v>37842.850240489301</v>
      </c>
    </row>
    <row r="22" spans="2:25" x14ac:dyDescent="0.2">
      <c r="B22" s="35" t="s">
        <v>8</v>
      </c>
      <c r="C22" s="36"/>
      <c r="D22" s="36">
        <f>D15+D19-D20</f>
        <v>6061.160000000001</v>
      </c>
      <c r="E22" s="36">
        <f>E15+E19-E20</f>
        <v>10115.060000000001</v>
      </c>
      <c r="F22" s="36">
        <f>F15+F19-F20</f>
        <v>10261.510000000002</v>
      </c>
      <c r="G22" s="36">
        <f>G15+G19-G20</f>
        <v>11494.54</v>
      </c>
      <c r="H22" s="36">
        <f t="shared" ref="H22:P22" si="16">H15+H19-H20</f>
        <v>7688.7100000000009</v>
      </c>
      <c r="I22" s="36">
        <f t="shared" si="16"/>
        <v>7542.6</v>
      </c>
      <c r="J22" s="36">
        <f t="shared" si="16"/>
        <v>9280.27</v>
      </c>
      <c r="K22" s="36">
        <f t="shared" si="16"/>
        <v>11181.970000000001</v>
      </c>
      <c r="L22" s="36">
        <f t="shared" ref="L22" si="17">L15+L19-L20</f>
        <v>17971.350000000002</v>
      </c>
      <c r="M22" s="24">
        <f t="shared" si="16"/>
        <v>30023.884000087914</v>
      </c>
      <c r="N22" s="24">
        <f t="shared" si="16"/>
        <v>51272.429063808966</v>
      </c>
      <c r="O22" s="24">
        <f t="shared" si="16"/>
        <v>69261.503764711233</v>
      </c>
      <c r="P22" s="24">
        <f t="shared" si="16"/>
        <v>81024.537927156562</v>
      </c>
      <c r="Q22" s="206"/>
      <c r="R22" s="206"/>
      <c r="T22" s="1" t="s">
        <v>473</v>
      </c>
      <c r="U22" s="1">
        <f>-M143</f>
        <v>197107.33117313962</v>
      </c>
      <c r="V22" s="1">
        <f t="shared" ref="V22:W22" si="18">-N143</f>
        <v>218628.94844382341</v>
      </c>
      <c r="W22" s="1">
        <f t="shared" si="18"/>
        <v>139541.88763750164</v>
      </c>
    </row>
    <row r="23" spans="2:25" x14ac:dyDescent="0.2">
      <c r="B23" s="33"/>
      <c r="C23" s="34"/>
      <c r="D23" s="34"/>
      <c r="E23" s="34"/>
      <c r="F23" s="34"/>
      <c r="G23" s="34"/>
      <c r="H23" s="34"/>
      <c r="I23" s="34"/>
      <c r="J23" s="34"/>
      <c r="K23" s="34"/>
      <c r="L23" s="34"/>
      <c r="M23" s="22"/>
      <c r="N23" s="22"/>
      <c r="O23" s="22"/>
      <c r="P23" s="22"/>
      <c r="Q23" s="204"/>
      <c r="R23" s="204"/>
      <c r="T23" s="1" t="s">
        <v>6</v>
      </c>
      <c r="U23" s="1">
        <f>+M19</f>
        <v>4246.5051054200048</v>
      </c>
      <c r="V23" s="1">
        <f t="shared" ref="V23:W23" si="19">+N19</f>
        <v>5795.628480117326</v>
      </c>
      <c r="W23" s="1">
        <f t="shared" si="19"/>
        <v>7246.9912674305115</v>
      </c>
    </row>
    <row r="24" spans="2:25" x14ac:dyDescent="0.2">
      <c r="B24" s="33" t="s">
        <v>9</v>
      </c>
      <c r="C24" s="34"/>
      <c r="D24" s="535">
        <v>6503.15</v>
      </c>
      <c r="E24" s="535">
        <v>10173.2</v>
      </c>
      <c r="F24" s="535">
        <v>12368.28</v>
      </c>
      <c r="G24" s="535">
        <v>11505.63</v>
      </c>
      <c r="H24" s="34">
        <v>9960.08</v>
      </c>
      <c r="I24" s="34">
        <v>8090.97</v>
      </c>
      <c r="J24" s="34">
        <v>7672.93</v>
      </c>
      <c r="K24" s="34">
        <v>7592.07</v>
      </c>
      <c r="L24" s="34">
        <v>11229.88</v>
      </c>
      <c r="M24" s="22">
        <f t="shared" ref="M24:P24" si="20">M237</f>
        <v>17937.057200007013</v>
      </c>
      <c r="N24" s="22">
        <f t="shared" si="20"/>
        <v>28214.234839192006</v>
      </c>
      <c r="O24" s="22">
        <f t="shared" si="20"/>
        <v>37842.850240489301</v>
      </c>
      <c r="P24" s="22">
        <f t="shared" si="20"/>
        <v>42004.947810987673</v>
      </c>
      <c r="Q24" s="204"/>
      <c r="R24" s="204"/>
    </row>
    <row r="25" spans="2:25" x14ac:dyDescent="0.2">
      <c r="B25" s="33"/>
      <c r="C25" s="34"/>
      <c r="D25" s="169"/>
      <c r="E25" s="169"/>
      <c r="F25" s="169"/>
      <c r="G25" s="169"/>
      <c r="H25" s="169"/>
      <c r="I25" s="169"/>
      <c r="J25" s="169"/>
      <c r="K25" s="34"/>
      <c r="L25" s="34"/>
      <c r="M25" s="83"/>
      <c r="N25" s="22"/>
      <c r="O25" s="22"/>
      <c r="P25" s="22"/>
      <c r="Q25" s="204"/>
      <c r="R25" s="204"/>
      <c r="T25" s="516" t="s">
        <v>280</v>
      </c>
      <c r="U25" s="517">
        <f t="shared" ref="U25:W26" si="21">+U16/U6-1</f>
        <v>5.9323764179694871E-2</v>
      </c>
      <c r="V25" s="517">
        <f t="shared" si="21"/>
        <v>-9.5821156579307676E-3</v>
      </c>
      <c r="W25" s="518">
        <f t="shared" si="21"/>
        <v>-5.458100686399292E-3</v>
      </c>
      <c r="X25" s="292"/>
    </row>
    <row r="26" spans="2:25" x14ac:dyDescent="0.2">
      <c r="B26" s="33"/>
      <c r="C26" s="34"/>
      <c r="D26" s="34"/>
      <c r="E26" s="34"/>
      <c r="F26" s="34"/>
      <c r="G26" s="34"/>
      <c r="H26" s="34"/>
      <c r="I26" s="34"/>
      <c r="J26" s="34"/>
      <c r="K26" s="34"/>
      <c r="L26" s="34"/>
      <c r="M26" s="22"/>
      <c r="N26" s="22"/>
      <c r="O26" s="22"/>
      <c r="P26" s="22"/>
      <c r="Q26" s="204"/>
      <c r="R26" s="204"/>
      <c r="T26" s="519" t="s">
        <v>4</v>
      </c>
      <c r="U26" s="520">
        <f t="shared" si="21"/>
        <v>4.4143223512014496E-2</v>
      </c>
      <c r="V26" s="520">
        <f t="shared" si="21"/>
        <v>2.1511078223894753E-2</v>
      </c>
      <c r="W26" s="521">
        <f t="shared" si="21"/>
        <v>2.4125754515841091E-2</v>
      </c>
      <c r="X26" s="292"/>
      <c r="Y26" s="183"/>
    </row>
    <row r="27" spans="2:25" x14ac:dyDescent="0.2">
      <c r="B27" s="35" t="s">
        <v>22</v>
      </c>
      <c r="C27" s="36"/>
      <c r="D27" s="36">
        <f>D22-D24</f>
        <v>-441.9899999999989</v>
      </c>
      <c r="E27" s="36">
        <f>E22-E24</f>
        <v>-58.13999999999942</v>
      </c>
      <c r="F27" s="36">
        <f>F22-F24</f>
        <v>-2106.7699999999986</v>
      </c>
      <c r="G27" s="36">
        <f>G22-G24</f>
        <v>-11.089999999998327</v>
      </c>
      <c r="H27" s="36">
        <f>H22-H24</f>
        <v>-2271.369999999999</v>
      </c>
      <c r="I27" s="36">
        <f t="shared" ref="I27:M27" si="22">I22-I24</f>
        <v>-548.36999999999989</v>
      </c>
      <c r="J27" s="36">
        <f t="shared" si="22"/>
        <v>1607.3400000000001</v>
      </c>
      <c r="K27" s="36">
        <f>K22-K24-K25</f>
        <v>3589.9000000000015</v>
      </c>
      <c r="L27" s="36">
        <f>L22-L24-L25</f>
        <v>6741.470000000003</v>
      </c>
      <c r="M27" s="24">
        <f t="shared" si="22"/>
        <v>12086.8268000809</v>
      </c>
      <c r="N27" s="24">
        <f t="shared" ref="N27:P27" si="23">N22-N24-N25</f>
        <v>23058.19422461696</v>
      </c>
      <c r="O27" s="24">
        <f t="shared" si="23"/>
        <v>31418.653524221932</v>
      </c>
      <c r="P27" s="24">
        <f t="shared" si="23"/>
        <v>39019.590116168889</v>
      </c>
      <c r="Q27" s="206"/>
      <c r="R27" s="206"/>
      <c r="T27" s="522" t="s">
        <v>485</v>
      </c>
      <c r="U27" s="523">
        <f t="shared" ref="U27:W31" si="24">+U19/U9-1</f>
        <v>8.920267870085774E-2</v>
      </c>
      <c r="V27" s="523">
        <f t="shared" si="24"/>
        <v>5.7014935613287854E-2</v>
      </c>
      <c r="W27" s="524">
        <f t="shared" si="24"/>
        <v>3.1481919281212356E-2</v>
      </c>
      <c r="X27" s="292"/>
    </row>
    <row r="28" spans="2:25" x14ac:dyDescent="0.2">
      <c r="B28" s="33" t="s">
        <v>23</v>
      </c>
      <c r="C28" s="34"/>
      <c r="D28" s="535">
        <v>0.0</v>
      </c>
      <c r="E28" s="535">
        <v>0.0</v>
      </c>
      <c r="F28" s="535">
        <v>0.0</v>
      </c>
      <c r="G28" s="535">
        <v>0.0</v>
      </c>
      <c r="H28" s="34">
        <v>3295.63</v>
      </c>
      <c r="I28" s="34">
        <v>394.36</v>
      </c>
      <c r="J28" s="34">
        <v>7486.91</v>
      </c>
      <c r="K28" s="34">
        <v>-209.84</v>
      </c>
      <c r="L28" s="34">
        <v>26.77</v>
      </c>
      <c r="M28" s="22"/>
      <c r="N28" s="22"/>
      <c r="O28" s="22"/>
      <c r="P28" s="22"/>
      <c r="Q28" s="204"/>
      <c r="R28" s="204"/>
      <c r="T28" s="1" t="s">
        <v>72</v>
      </c>
      <c r="U28" s="292">
        <f t="shared" si="24"/>
        <v>-6.4728169607436881E-2</v>
      </c>
      <c r="V28" s="292">
        <f t="shared" si="24"/>
        <v>8.7821474230022289E-2</v>
      </c>
      <c r="W28" s="292">
        <f t="shared" si="24"/>
        <v>0.11883001342081445</v>
      </c>
      <c r="X28" s="292"/>
    </row>
    <row r="29" spans="2:25" x14ac:dyDescent="0.2">
      <c r="B29" s="33"/>
      <c r="C29" s="34"/>
      <c r="D29" s="34"/>
      <c r="E29" s="34"/>
      <c r="F29" s="34"/>
      <c r="G29" s="34"/>
      <c r="H29" s="34"/>
      <c r="I29" s="34"/>
      <c r="J29" s="34"/>
      <c r="K29" s="34"/>
      <c r="L29" s="34"/>
      <c r="M29" s="22"/>
      <c r="N29" s="22"/>
      <c r="O29" s="22"/>
      <c r="P29" s="22"/>
      <c r="Q29" s="204"/>
      <c r="R29" s="204"/>
      <c r="T29" s="1" t="s">
        <v>451</v>
      </c>
      <c r="U29" s="292">
        <f t="shared" si="24"/>
        <v>4.5707357699287021E-2</v>
      </c>
      <c r="V29" s="292">
        <f t="shared" si="24"/>
        <v>-7.0891654720250941E-4</v>
      </c>
      <c r="W29" s="292">
        <f t="shared" si="24"/>
        <v>2.4632272498603669E-4</v>
      </c>
      <c r="X29" s="292"/>
    </row>
    <row r="30" spans="2:25" x14ac:dyDescent="0.2">
      <c r="B30" s="35" t="s">
        <v>24</v>
      </c>
      <c r="C30" s="34"/>
      <c r="D30" s="36">
        <f>D27+D28</f>
        <v>-441.9899999999989</v>
      </c>
      <c r="E30" s="36">
        <f>E27+E28</f>
        <v>-58.13999999999942</v>
      </c>
      <c r="F30" s="36">
        <f>F27+F28</f>
        <v>-2106.7699999999986</v>
      </c>
      <c r="G30" s="36">
        <f>G27+G28</f>
        <v>-11.089999999998327</v>
      </c>
      <c r="H30" s="36">
        <f t="shared" ref="H30:P30" si="25">H27+H28</f>
        <v>1024.2600000000011</v>
      </c>
      <c r="I30" s="36">
        <f t="shared" si="25"/>
        <v>-154.00999999999988</v>
      </c>
      <c r="J30" s="36">
        <f t="shared" si="25"/>
        <v>9094.25</v>
      </c>
      <c r="K30" s="36">
        <f t="shared" si="25"/>
        <v>3380.0600000000013</v>
      </c>
      <c r="L30" s="36">
        <f t="shared" ref="L30" si="26">L27+L28</f>
        <v>6768.2400000000034</v>
      </c>
      <c r="M30" s="24">
        <f t="shared" si="25"/>
        <v>12086.8268000809</v>
      </c>
      <c r="N30" s="24">
        <f t="shared" si="25"/>
        <v>23058.19422461696</v>
      </c>
      <c r="O30" s="24">
        <f t="shared" si="25"/>
        <v>31418.653524221932</v>
      </c>
      <c r="P30" s="24">
        <f t="shared" si="25"/>
        <v>39019.590116168889</v>
      </c>
      <c r="Q30" s="206"/>
      <c r="R30" s="206"/>
      <c r="T30" s="1" t="s">
        <v>473</v>
      </c>
      <c r="U30" s="292">
        <f t="shared" si="24"/>
        <v>0.21531536995880818</v>
      </c>
      <c r="V30" s="292">
        <f t="shared" si="24"/>
        <v>0.21750220219544603</v>
      </c>
      <c r="W30" s="292">
        <f t="shared" si="24"/>
        <v>0.18910570860060938</v>
      </c>
      <c r="X30" s="292"/>
    </row>
    <row r="31" spans="2:25" x14ac:dyDescent="0.2">
      <c r="B31" s="33"/>
      <c r="C31" s="34"/>
      <c r="D31" s="34"/>
      <c r="E31" s="34"/>
      <c r="F31" s="34"/>
      <c r="G31" s="34"/>
      <c r="H31" s="34"/>
      <c r="I31" s="34"/>
      <c r="J31" s="34"/>
      <c r="K31" s="34"/>
      <c r="L31" s="34"/>
      <c r="M31" s="22"/>
      <c r="N31" s="22"/>
      <c r="O31" s="22"/>
      <c r="P31" s="22"/>
      <c r="Q31" s="204"/>
      <c r="R31" s="204"/>
      <c r="T31" s="1" t="s">
        <v>6</v>
      </c>
      <c r="U31" s="292">
        <f t="shared" si="24"/>
        <v>-0.1399913181938246</v>
      </c>
      <c r="V31" s="292">
        <f t="shared" si="24"/>
        <v>8.1304886743264859E-2</v>
      </c>
      <c r="W31" s="292">
        <f t="shared" si="24"/>
        <v>0.29160151658023459</v>
      </c>
      <c r="X31" s="292"/>
    </row>
    <row r="32" spans="2:25" x14ac:dyDescent="0.2">
      <c r="B32" s="33" t="s">
        <v>10</v>
      </c>
      <c r="C32" s="34"/>
      <c r="D32" s="34"/>
      <c r="E32" s="34"/>
      <c r="F32" s="34"/>
      <c r="G32" s="34"/>
      <c r="H32" s="34"/>
      <c r="I32" s="34"/>
      <c r="J32" s="34"/>
      <c r="K32" s="34"/>
      <c r="L32" s="34"/>
      <c r="M32" s="22"/>
      <c r="N32" s="22"/>
      <c r="O32" s="22"/>
      <c r="P32" s="22"/>
      <c r="Q32" s="204"/>
      <c r="R32" s="204"/>
    </row>
    <row r="33" spans="2:18" x14ac:dyDescent="0.2">
      <c r="B33" s="33" t="s">
        <v>11</v>
      </c>
      <c r="C33" s="34"/>
      <c r="D33" s="535">
        <v>61.24</v>
      </c>
      <c r="E33" s="535">
        <v>223.35</v>
      </c>
      <c r="F33" s="535">
        <v>56.63</v>
      </c>
      <c r="G33" s="535">
        <v>215.17</v>
      </c>
      <c r="H33" s="34">
        <v>27.26</v>
      </c>
      <c r="I33" s="34">
        <v>55.48</v>
      </c>
      <c r="J33" s="34">
        <v>1069.21</v>
      </c>
      <c r="K33" s="34">
        <v>730.48</v>
      </c>
      <c r="L33" s="34">
        <v>1685.06</v>
      </c>
      <c r="M33" s="22"/>
      <c r="N33" s="22"/>
      <c r="O33" s="22"/>
      <c r="P33" s="22"/>
      <c r="Q33" s="204"/>
      <c r="R33" s="204"/>
    </row>
    <row r="34" spans="2:18" x14ac:dyDescent="0.2">
      <c r="B34" s="33" t="s">
        <v>12</v>
      </c>
      <c r="C34" s="34"/>
      <c r="D34" s="535">
        <v>1900.31</v>
      </c>
      <c r="E34" s="535">
        <v>187.17</v>
      </c>
      <c r="F34" s="535">
        <v>-3019.77</v>
      </c>
      <c r="G34" s="535">
        <v>-378.39</v>
      </c>
      <c r="H34" s="34">
        <v>511.92</v>
      </c>
      <c r="I34" s="34">
        <v>-179.21</v>
      </c>
      <c r="J34" s="34">
        <v>1046.3800000000001</v>
      </c>
      <c r="K34" s="34">
        <v>141.66999999999999</v>
      </c>
      <c r="L34" s="34">
        <v>104.33</v>
      </c>
      <c r="M34" s="22"/>
      <c r="N34" s="22"/>
      <c r="O34" s="22"/>
      <c r="P34" s="22"/>
      <c r="Q34" s="204"/>
      <c r="R34" s="204"/>
    </row>
    <row r="35" spans="2:18" x14ac:dyDescent="0.2">
      <c r="B35" s="33" t="s">
        <v>13</v>
      </c>
      <c r="C35" s="34"/>
      <c r="D35" s="535">
        <v>0.0</v>
      </c>
      <c r="E35" s="535">
        <v>0.0</v>
      </c>
      <c r="F35" s="535">
        <v>0.0</v>
      </c>
      <c r="G35" s="535">
        <v>0.0</v>
      </c>
      <c r="H35" s="34">
        <v>-135.02000000000001</v>
      </c>
      <c r="I35" s="34">
        <v>1.46</v>
      </c>
      <c r="J35" s="34">
        <v>0.85</v>
      </c>
      <c r="K35" s="34"/>
      <c r="L35" s="34"/>
      <c r="M35" s="22"/>
      <c r="N35" s="22"/>
      <c r="O35" s="22"/>
      <c r="P35" s="22"/>
      <c r="Q35" s="204"/>
      <c r="R35" s="204"/>
    </row>
    <row r="36" spans="2:18" x14ac:dyDescent="0.2">
      <c r="B36" s="33" t="s">
        <v>14</v>
      </c>
      <c r="C36" s="34"/>
      <c r="D36" s="36">
        <f>SUM(D33:D35)</f>
        <v>1961.55</v>
      </c>
      <c r="E36" s="36">
        <f>SUM(E33:E35)</f>
        <v>410.52</v>
      </c>
      <c r="F36" s="36">
        <f>SUM(F33:F35)</f>
        <v>-2963.14</v>
      </c>
      <c r="G36" s="36">
        <f>SUM(G33:G35)</f>
        <v>-163.22</v>
      </c>
      <c r="H36" s="36">
        <f t="shared" ref="H36:J36" si="27">SUM(H33:H35)</f>
        <v>404.16000000000008</v>
      </c>
      <c r="I36" s="36">
        <f t="shared" si="27"/>
        <v>-122.27000000000002</v>
      </c>
      <c r="J36" s="36">
        <f t="shared" si="27"/>
        <v>2116.44</v>
      </c>
      <c r="K36" s="36">
        <f t="shared" ref="K36:L36" si="28">SUM(K33:K35)</f>
        <v>872.15</v>
      </c>
      <c r="L36" s="36">
        <f t="shared" si="28"/>
        <v>1789.3899999999999</v>
      </c>
      <c r="M36" s="24">
        <f t="shared" ref="M36:P36" si="29">M30*M37</f>
        <v>3195.5201068219731</v>
      </c>
      <c r="N36" s="24">
        <f t="shared" si="29"/>
        <v>6096.1346175057797</v>
      </c>
      <c r="O36" s="24">
        <f t="shared" si="29"/>
        <v>8306.4761931768753</v>
      </c>
      <c r="P36" s="24">
        <f t="shared" si="29"/>
        <v>10316.014851419484</v>
      </c>
      <c r="Q36" s="206"/>
      <c r="R36" s="206"/>
    </row>
    <row r="37" spans="2:18" x14ac:dyDescent="0.2">
      <c r="B37" s="37" t="s">
        <v>15</v>
      </c>
      <c r="C37" s="38"/>
      <c r="D37" s="39">
        <f>IF(ISERROR(D36/D30)," ",D36/D30)</f>
        <v>-4.437996334758716</v>
      </c>
      <c r="E37" s="39">
        <f>IF(ISERROR(E36/E30)," ",E36/E30)</f>
        <v>-7.060887512899967</v>
      </c>
      <c r="F37" s="39">
        <f>IF(ISERROR(F36/F30)," ",F36/F30)</f>
        <v>1.4064848084983181</v>
      </c>
      <c r="G37" s="39">
        <f>IF(ISERROR(G36/G30)," ",G36/G30)</f>
        <v>14.717763751129363</v>
      </c>
      <c r="H37" s="39">
        <f t="shared" ref="H37:K37" si="30">IF(ISERROR(H36/H30)," ",H36/H30)</f>
        <v>0.39458731181535905</v>
      </c>
      <c r="I37" s="39">
        <f t="shared" si="30"/>
        <v>0.793909486396988</v>
      </c>
      <c r="J37" s="39">
        <f t="shared" si="30"/>
        <v>0.23272287434367869</v>
      </c>
      <c r="K37" s="39">
        <f t="shared" si="30"/>
        <v>0.25802796400063893</v>
      </c>
      <c r="L37" s="39">
        <f t="shared" ref="L37" si="31">IF(ISERROR(L36/L30)," ",L36/L30)</f>
        <v>0.26438040022221421</v>
      </c>
      <c r="M37" s="484">
        <f>L37</f>
        <v>0.26438040022221421</v>
      </c>
      <c r="N37" s="484">
        <f t="shared" ref="N37:P37" si="32">M37</f>
        <v>0.26438040022221421</v>
      </c>
      <c r="O37" s="484">
        <f t="shared" si="32"/>
        <v>0.26438040022221421</v>
      </c>
      <c r="P37" s="484">
        <f t="shared" si="32"/>
        <v>0.26438040022221421</v>
      </c>
      <c r="Q37" s="207"/>
      <c r="R37" s="207"/>
    </row>
    <row r="38" spans="2:18" x14ac:dyDescent="0.2">
      <c r="B38" s="37"/>
      <c r="C38" s="38"/>
      <c r="D38" s="38"/>
      <c r="E38" s="38"/>
      <c r="F38" s="38"/>
      <c r="G38" s="38"/>
      <c r="H38" s="38"/>
      <c r="I38" s="38"/>
      <c r="J38" s="38"/>
      <c r="K38" s="38"/>
      <c r="L38" s="38"/>
      <c r="M38" s="25"/>
      <c r="N38" s="25"/>
      <c r="O38" s="25"/>
      <c r="P38" s="25"/>
      <c r="Q38" s="209"/>
      <c r="R38" s="209"/>
    </row>
    <row r="39" spans="2:18" x14ac:dyDescent="0.2">
      <c r="B39" s="35" t="s">
        <v>16</v>
      </c>
      <c r="C39" s="36"/>
      <c r="D39" s="36">
        <f>D30-D36</f>
        <v>-2403.539999999999</v>
      </c>
      <c r="E39" s="36">
        <f>E30-E36</f>
        <v>-468.6599999999994</v>
      </c>
      <c r="F39" s="36">
        <f>F30-F36</f>
        <v>856.3700000000013</v>
      </c>
      <c r="G39" s="36">
        <f>G30-G36</f>
        <v>152.13000000000167</v>
      </c>
      <c r="H39" s="36">
        <f t="shared" ref="H39:I39" si="33">H30-H36</f>
        <v>620.10000000000105</v>
      </c>
      <c r="I39" s="36">
        <f t="shared" si="33"/>
        <v>-31.739999999999853</v>
      </c>
      <c r="J39" s="36">
        <f>J30-J36</f>
        <v>6977.8099999999995</v>
      </c>
      <c r="K39" s="36">
        <f>K30-K36</f>
        <v>2507.9100000000012</v>
      </c>
      <c r="L39" s="36">
        <f>L30-L36</f>
        <v>4978.850000000004</v>
      </c>
      <c r="M39" s="24">
        <f t="shared" ref="M39:P39" si="34">M30-M36</f>
        <v>8891.3066932589281</v>
      </c>
      <c r="N39" s="24">
        <f t="shared" si="34"/>
        <v>16962.05960711118</v>
      </c>
      <c r="O39" s="24">
        <f t="shared" si="34"/>
        <v>23112.177331045059</v>
      </c>
      <c r="P39" s="24">
        <f t="shared" si="34"/>
        <v>28703.575264749405</v>
      </c>
      <c r="Q39" s="206"/>
      <c r="R39" s="206"/>
    </row>
    <row r="40" spans="2:18" x14ac:dyDescent="0.2">
      <c r="B40" s="33"/>
      <c r="C40" s="34"/>
      <c r="D40" s="34"/>
      <c r="E40" s="34"/>
      <c r="F40" s="34"/>
      <c r="G40" s="34"/>
      <c r="H40" s="34"/>
      <c r="I40" s="34"/>
      <c r="J40" s="34"/>
      <c r="K40" s="34"/>
      <c r="L40" s="34"/>
      <c r="M40" s="22"/>
      <c r="N40" s="22"/>
      <c r="O40" s="22"/>
      <c r="P40" s="22"/>
      <c r="Q40" s="204"/>
      <c r="R40" s="204"/>
    </row>
    <row r="41" spans="2:18" x14ac:dyDescent="0.2">
      <c r="B41" s="33" t="s">
        <v>17</v>
      </c>
      <c r="C41" s="34"/>
      <c r="D41" s="535">
        <v>0.0</v>
      </c>
      <c r="E41" s="535">
        <v>0.0</v>
      </c>
      <c r="F41" s="535">
        <v>0.0</v>
      </c>
      <c r="G41" s="535">
        <v>0.0</v>
      </c>
      <c r="H41" s="34">
        <v>-0.24</v>
      </c>
      <c r="I41" s="34">
        <v>-0.33</v>
      </c>
      <c r="J41" s="34">
        <v>-0.17</v>
      </c>
      <c r="K41" s="34">
        <v>-12.87</v>
      </c>
      <c r="L41" s="34">
        <v>-10.3</v>
      </c>
      <c r="M41" s="22"/>
      <c r="N41" s="22"/>
      <c r="O41" s="22"/>
      <c r="P41" s="22"/>
      <c r="Q41" s="204"/>
      <c r="R41" s="204"/>
    </row>
    <row r="42" spans="2:18" x14ac:dyDescent="0.2">
      <c r="B42" s="33"/>
      <c r="C42" s="34"/>
      <c r="D42" s="34"/>
      <c r="E42" s="34"/>
      <c r="F42" s="34"/>
      <c r="G42" s="34"/>
      <c r="H42" s="34"/>
      <c r="I42" s="34"/>
      <c r="J42" s="34"/>
      <c r="K42" s="34"/>
      <c r="L42" s="34"/>
      <c r="M42" s="22"/>
      <c r="N42" s="22"/>
      <c r="O42" s="22"/>
      <c r="P42" s="22"/>
      <c r="Q42" s="204"/>
      <c r="R42" s="204"/>
    </row>
    <row r="43" spans="2:18" x14ac:dyDescent="0.2">
      <c r="B43" s="35" t="s">
        <v>18</v>
      </c>
      <c r="C43" s="36"/>
      <c r="D43" s="36">
        <f>D39-D41</f>
        <v>-2403.539999999999</v>
      </c>
      <c r="E43" s="36">
        <f>E39-E41</f>
        <v>-468.6599999999994</v>
      </c>
      <c r="F43" s="36">
        <f>F39-F41</f>
        <v>856.3700000000013</v>
      </c>
      <c r="G43" s="36">
        <f>G39-G41</f>
        <v>152.13000000000167</v>
      </c>
      <c r="H43" s="36">
        <f t="shared" ref="H43:I43" si="35">H39-H41</f>
        <v>620.34000000000106</v>
      </c>
      <c r="I43" s="36">
        <f t="shared" si="35"/>
        <v>-31.409999999999854</v>
      </c>
      <c r="J43" s="36">
        <f>J39-J41</f>
        <v>6977.98</v>
      </c>
      <c r="K43" s="36">
        <f>K39-K41</f>
        <v>2520.7800000000011</v>
      </c>
      <c r="L43" s="36">
        <f>L39-L41</f>
        <v>4989.1500000000042</v>
      </c>
      <c r="M43" s="24">
        <f t="shared" ref="M43:P43" si="36">M39-M41</f>
        <v>8891.3066932589281</v>
      </c>
      <c r="N43" s="24">
        <f t="shared" si="36"/>
        <v>16962.05960711118</v>
      </c>
      <c r="O43" s="24">
        <f t="shared" si="36"/>
        <v>23112.177331045059</v>
      </c>
      <c r="P43" s="24">
        <f t="shared" si="36"/>
        <v>28703.575264749405</v>
      </c>
      <c r="Q43" s="206"/>
      <c r="R43" s="206"/>
    </row>
    <row r="44" spans="2:18" x14ac:dyDescent="0.2">
      <c r="B44" s="37" t="s">
        <v>5</v>
      </c>
      <c r="C44" s="38"/>
      <c r="D44" s="39">
        <f>IF(ISERROR(D43/D5)," ",D43/D5)</f>
        <v>-0.21927428580812192</v>
      </c>
      <c r="E44" s="39">
        <f>IF(ISERROR(E43/E5)," ",E43/E5)</f>
        <v>-0.028031597602486715</v>
      </c>
      <c r="F44" s="39">
        <f>IF(ISERROR(F43/F5)," ",F43/F5)</f>
        <v>0.048185009008279135</v>
      </c>
      <c r="G44" s="39">
        <f>IF(ISERROR(G43/G5)," ",G43/G5)</f>
        <v>0.008992490002926071</v>
      </c>
      <c r="H44" s="39">
        <f t="shared" ref="H44:K44" si="37">IF(ISERROR(H43/H5)," ",H43/H5)</f>
        <v>4.169226199037309E-2</v>
      </c>
      <c r="I44" s="39">
        <f t="shared" si="37"/>
        <v>-2.4256624429301208E-3</v>
      </c>
      <c r="J44" s="39">
        <f t="shared" si="37"/>
        <v>0.52893537995072959</v>
      </c>
      <c r="K44" s="39">
        <f t="shared" si="37"/>
        <v>0.17939821981011031</v>
      </c>
      <c r="L44" s="39">
        <f t="shared" ref="L44" si="38">IF(ISERROR(L43/L5)," ",L43/L5)</f>
        <v>0.24657515967102575</v>
      </c>
      <c r="M44" s="23">
        <f t="shared" ref="M44:P44" si="39">IF(ISERROR(M43/M5)," ",M43/M5)</f>
        <v>0.2219484411375485</v>
      </c>
      <c r="N44" s="23">
        <f t="shared" si="39"/>
        <v>0.24516195807153507</v>
      </c>
      <c r="O44" s="23">
        <f t="shared" si="39"/>
        <v>0.24307931471245406</v>
      </c>
      <c r="P44" s="23">
        <f t="shared" si="39"/>
        <v>0.25268837930125282</v>
      </c>
      <c r="Q44" s="205"/>
      <c r="R44" s="205"/>
    </row>
    <row r="45" spans="2:18" x14ac:dyDescent="0.2">
      <c r="B45" s="37" t="s">
        <v>1</v>
      </c>
      <c r="C45" s="38"/>
      <c r="D45" s="38"/>
      <c r="E45" s="38"/>
      <c r="F45" s="38"/>
      <c r="G45" s="38"/>
      <c r="H45" s="38"/>
      <c r="I45" s="38"/>
      <c r="J45" s="38"/>
      <c r="K45" s="38"/>
      <c r="L45" s="38"/>
      <c r="M45" s="25"/>
      <c r="N45" s="25"/>
      <c r="O45" s="25"/>
      <c r="P45" s="25"/>
      <c r="Q45" s="209"/>
      <c r="R45" s="209"/>
    </row>
    <row r="46" spans="2:18" x14ac:dyDescent="0.2">
      <c r="B46" s="35" t="s">
        <v>286</v>
      </c>
      <c r="C46" s="38"/>
      <c r="D46" s="36">
        <f>D43-D28</f>
        <v>-2403.539999999999</v>
      </c>
      <c r="E46" s="36">
        <f>E43-E28</f>
        <v>-468.6599999999994</v>
      </c>
      <c r="F46" s="36">
        <f>F43-F28</f>
        <v>856.3700000000013</v>
      </c>
      <c r="G46" s="36">
        <f>G43-G28</f>
        <v>152.13000000000167</v>
      </c>
      <c r="H46" s="36">
        <f>H43-H28</f>
        <v>-2675.2899999999991</v>
      </c>
      <c r="I46" s="36">
        <f t="shared" ref="I46:P46" si="40">I43-I28</f>
        <v>-425.76999999999987</v>
      </c>
      <c r="J46" s="36">
        <f t="shared" si="40"/>
        <v>-508.93000000000029</v>
      </c>
      <c r="K46" s="36">
        <f t="shared" si="40"/>
        <v>2730.6200000000013</v>
      </c>
      <c r="L46" s="36">
        <f t="shared" ref="L46" si="41">L43-L28</f>
        <v>4962.3800000000037</v>
      </c>
      <c r="M46" s="24">
        <f t="shared" si="40"/>
        <v>8891.3066932589281</v>
      </c>
      <c r="N46" s="24">
        <f t="shared" si="40"/>
        <v>16962.05960711118</v>
      </c>
      <c r="O46" s="24">
        <f t="shared" si="40"/>
        <v>23112.177331045059</v>
      </c>
      <c r="P46" s="24">
        <f t="shared" si="40"/>
        <v>28703.575264749405</v>
      </c>
      <c r="Q46" s="219">
        <f>(N46/K46)^(1/3)-1</f>
        <v>0.83825507122852017</v>
      </c>
      <c r="R46" s="219">
        <f>(P46/K46)^(1/5)-1</f>
        <v>0.60079214893259092</v>
      </c>
    </row>
    <row r="47" spans="2:18" x14ac:dyDescent="0.2">
      <c r="B47" s="37" t="s">
        <v>5</v>
      </c>
      <c r="C47" s="38"/>
      <c r="D47" s="39">
        <f>D46/D5</f>
        <v>-0.21927428580812192</v>
      </c>
      <c r="E47" s="39">
        <f>E46/E5</f>
        <v>-0.028031597602486715</v>
      </c>
      <c r="F47" s="39">
        <f>F46/F5</f>
        <v>0.048185009008279135</v>
      </c>
      <c r="G47" s="39">
        <f>G46/G5</f>
        <v>0.008992490002926071</v>
      </c>
      <c r="H47" s="39">
        <f>H46/H5</f>
        <v>-0.17980283647713349</v>
      </c>
      <c r="I47" s="39">
        <f t="shared" ref="I47:K47" si="42">I46/I5</f>
        <v>-3.288042974614333E-2</v>
      </c>
      <c r="J47" s="39">
        <f t="shared" si="42"/>
        <v>-3.8577221906386225E-2</v>
      </c>
      <c r="K47" s="39">
        <f t="shared" si="42"/>
        <v>0.19433205871908038</v>
      </c>
      <c r="L47" s="39">
        <f t="shared" ref="L47" si="43">L46/L5</f>
        <v>0.24525212528152182</v>
      </c>
      <c r="M47" s="23">
        <f t="shared" ref="M47" si="44">M46/M5</f>
        <v>0.2219484411375485</v>
      </c>
      <c r="N47" s="23">
        <f t="shared" ref="N47" si="45">N46/N5</f>
        <v>0.24516195807153507</v>
      </c>
      <c r="O47" s="23">
        <f t="shared" ref="O47" si="46">O46/O5</f>
        <v>0.24307931471245406</v>
      </c>
      <c r="P47" s="23">
        <f t="shared" ref="P47" si="47">P46/P5</f>
        <v>0.25268837930125282</v>
      </c>
      <c r="Q47" s="205"/>
      <c r="R47" s="205"/>
    </row>
    <row r="48" spans="2:18" x14ac:dyDescent="0.2">
      <c r="B48" s="37" t="s">
        <v>1</v>
      </c>
      <c r="C48" s="38"/>
      <c r="D48" s="84"/>
      <c r="E48" s="84"/>
      <c r="F48" s="84"/>
      <c r="G48" s="84"/>
      <c r="H48" s="84"/>
      <c r="I48" s="84"/>
      <c r="J48" s="84"/>
      <c r="K48" s="84"/>
      <c r="L48" s="84"/>
      <c r="M48" s="23">
        <f t="shared" ref="M48:P48" si="48">M46/L46-1</f>
        <v>0.79174240853359112</v>
      </c>
      <c r="N48" s="23">
        <f t="shared" si="48"/>
        <v>0.90771280221063666</v>
      </c>
      <c r="O48" s="23">
        <f t="shared" si="48"/>
        <v>0.36258083430832322</v>
      </c>
      <c r="P48" s="23">
        <f t="shared" si="48"/>
        <v>0.24192432645425366</v>
      </c>
      <c r="Q48" s="205"/>
      <c r="R48" s="205"/>
    </row>
    <row r="49" spans="2:18" x14ac:dyDescent="0.2">
      <c r="B49" s="37"/>
      <c r="C49" s="38"/>
      <c r="D49" s="38"/>
      <c r="E49" s="38"/>
      <c r="F49" s="38"/>
      <c r="G49" s="38"/>
      <c r="H49" s="38"/>
      <c r="I49" s="38"/>
      <c r="J49" s="38"/>
      <c r="K49" s="38"/>
      <c r="L49" s="38"/>
      <c r="M49" s="25"/>
      <c r="N49" s="25"/>
      <c r="O49" s="25"/>
      <c r="P49" s="25"/>
      <c r="Q49" s="209"/>
      <c r="R49" s="209"/>
    </row>
    <row r="50" spans="2:18" x14ac:dyDescent="0.2">
      <c r="B50" s="35" t="s">
        <v>19</v>
      </c>
      <c r="C50" s="36"/>
      <c r="D50" s="536">
        <v>522.21</v>
      </c>
      <c r="E50" s="536">
        <v>522.21</v>
      </c>
      <c r="F50" s="536">
        <v>522.21</v>
      </c>
      <c r="G50" s="536">
        <v>522.21</v>
      </c>
      <c r="H50" s="36"/>
      <c r="I50" s="36"/>
      <c r="J50" s="36">
        <v>605.1</v>
      </c>
      <c r="K50" s="36">
        <v>605.1</v>
      </c>
      <c r="L50" s="36">
        <v>605.1</v>
      </c>
      <c r="M50" s="22">
        <f>L50+Valuation!$C$36</f>
        <v>705.27889000000005</v>
      </c>
      <c r="N50" s="22">
        <f>M50</f>
        <v>705.27889000000005</v>
      </c>
      <c r="O50" s="22">
        <f>N50</f>
        <v>705.27889000000005</v>
      </c>
      <c r="P50" s="22">
        <f>O50</f>
        <v>705.27889000000005</v>
      </c>
      <c r="Q50" s="204"/>
      <c r="R50" s="204"/>
    </row>
    <row r="51" spans="2:18" x14ac:dyDescent="0.2">
      <c r="B51" s="35" t="s">
        <v>20</v>
      </c>
      <c r="C51" s="36"/>
      <c r="D51" s="36"/>
      <c r="E51" s="36"/>
      <c r="F51" s="36"/>
      <c r="G51" s="36"/>
      <c r="H51" s="36"/>
      <c r="I51" s="36"/>
      <c r="J51" s="36">
        <f>J43/J50</f>
        <v>11.53194513303586</v>
      </c>
      <c r="K51" s="36">
        <f>K43/K50</f>
        <v>4.1658899355478454</v>
      </c>
      <c r="L51" s="36">
        <f>L43/L50</f>
        <v>8.2451660882498832</v>
      </c>
      <c r="M51" s="22">
        <f t="shared" ref="M51:P51" si="49">M43/M50</f>
        <v>12.606795438410083</v>
      </c>
      <c r="N51" s="22">
        <f t="shared" si="49"/>
        <v>24.050145052705574</v>
      </c>
      <c r="O51" s="22">
        <f t="shared" si="49"/>
        <v>32.770266711151748</v>
      </c>
      <c r="P51" s="22">
        <f t="shared" si="49"/>
        <v>40.698191412973387</v>
      </c>
      <c r="Q51" s="204"/>
      <c r="R51" s="204"/>
    </row>
    <row r="52" spans="2:18" x14ac:dyDescent="0.2">
      <c r="B52" s="35" t="s">
        <v>287</v>
      </c>
      <c r="C52" s="36"/>
      <c r="D52" s="36"/>
      <c r="E52" s="36"/>
      <c r="F52" s="36"/>
      <c r="G52" s="36"/>
      <c r="H52" s="36"/>
      <c r="I52" s="36"/>
      <c r="J52" s="36"/>
      <c r="K52" s="36"/>
      <c r="L52" s="36"/>
      <c r="M52" s="22"/>
      <c r="N52" s="22"/>
      <c r="O52" s="22"/>
      <c r="P52" s="22"/>
      <c r="Q52" s="204"/>
      <c r="R52" s="204"/>
    </row>
    <row r="53" spans="2:18" x14ac:dyDescent="0.2">
      <c r="B53" s="2"/>
      <c r="C53" s="3"/>
      <c r="D53" s="3">
        <f>+SUM(D56:D58)/$J$50</f>
        <v>19.124409188563874</v>
      </c>
      <c r="E53" s="3">
        <f>+SUM(E56:E58)/$J$50</f>
        <v>18.350570153693603</v>
      </c>
      <c r="F53" s="3">
        <f>+SUM(F56:F58)/$J$50</f>
        <v>30.442901999669473</v>
      </c>
      <c r="G53" s="3">
        <f>+SUM(G56:G58)/$J$50</f>
        <v>30.69740538753925</v>
      </c>
      <c r="H53" s="3">
        <f>+SUM(H56:H58)/$J$50</f>
        <v>31.544587671459258</v>
      </c>
      <c r="I53" s="3">
        <f t="shared" ref="I53:P53" si="50">+SUM(I56:I58)/$J$50</f>
        <v>31.409072880515613</v>
      </c>
      <c r="J53" s="3">
        <f t="shared" si="50"/>
        <v>42.817203767972238</v>
      </c>
      <c r="K53" s="3">
        <f t="shared" si="50"/>
        <v>74.542720211535283</v>
      </c>
      <c r="L53" s="3">
        <f t="shared" ref="L53" si="51">+SUM(L56:L58)/$J$50</f>
        <v>83.647033548173852</v>
      </c>
      <c r="M53" s="3">
        <f t="shared" si="50"/>
        <v>144.61432234053697</v>
      </c>
      <c r="N53" s="3">
        <f t="shared" si="50"/>
        <v>172.64615114091905</v>
      </c>
      <c r="O53" s="3">
        <f t="shared" si="50"/>
        <v>210.84178381493169</v>
      </c>
      <c r="P53" s="3">
        <f t="shared" si="50"/>
        <v>258.27786919709894</v>
      </c>
      <c r="Q53" s="206"/>
      <c r="R53" s="206"/>
    </row>
    <row r="54" spans="2:18" x14ac:dyDescent="0.2">
      <c r="B54" s="31" t="s">
        <v>25</v>
      </c>
      <c r="C54" s="32"/>
      <c r="D54" s="32">
        <f>D2</f>
        <v>2018.0</v>
      </c>
      <c r="E54" s="32">
        <f>E2</f>
        <v>2019.0</v>
      </c>
      <c r="F54" s="32">
        <f>F2</f>
        <v>2020.0</v>
      </c>
      <c r="G54" s="32">
        <f>G2</f>
        <v>2021.0</v>
      </c>
      <c r="H54" s="32">
        <f>H2</f>
        <v>2022</v>
      </c>
      <c r="I54" s="32">
        <f>I2</f>
        <v>2023</v>
      </c>
      <c r="J54" s="32">
        <f>J2</f>
        <v>2024</v>
      </c>
      <c r="K54" s="32">
        <f>K2</f>
        <v>2025</v>
      </c>
      <c r="L54" s="32">
        <f>L2</f>
        <v>2026</v>
      </c>
      <c r="M54" s="21" t="s">
        <v>221</v>
      </c>
      <c r="N54" s="21" t="s">
        <v>221</v>
      </c>
      <c r="O54" s="21" t="s">
        <v>221</v>
      </c>
      <c r="P54" s="21" t="s">
        <v>221</v>
      </c>
      <c r="Q54" s="206"/>
      <c r="R54" s="206"/>
    </row>
    <row r="55" spans="2:18" x14ac:dyDescent="0.2">
      <c r="B55" s="33" t="s">
        <v>26</v>
      </c>
      <c r="C55" s="34"/>
      <c r="D55" s="34"/>
      <c r="E55" s="34"/>
      <c r="F55" s="34"/>
      <c r="G55" s="34"/>
      <c r="H55" s="34"/>
      <c r="I55" s="34"/>
      <c r="J55" s="34"/>
      <c r="K55" s="34"/>
      <c r="L55" s="34"/>
      <c r="M55" s="22"/>
      <c r="N55" s="22"/>
      <c r="O55" s="22"/>
      <c r="P55" s="22"/>
      <c r="Q55" s="204"/>
      <c r="R55" s="204"/>
    </row>
    <row r="56" spans="2:18" x14ac:dyDescent="0.2">
      <c r="B56" s="33" t="s">
        <v>27</v>
      </c>
      <c r="C56" s="34"/>
      <c r="D56" s="535">
        <v>1044.42</v>
      </c>
      <c r="E56" s="535">
        <v>1044.42</v>
      </c>
      <c r="F56" s="535">
        <v>1044.42</v>
      </c>
      <c r="G56" s="535">
        <v>1044.42</v>
      </c>
      <c r="H56" s="34">
        <v>1044.42</v>
      </c>
      <c r="I56" s="34">
        <v>1044.42</v>
      </c>
      <c r="J56" s="34">
        <v>1044.42</v>
      </c>
      <c r="K56" s="34">
        <v>1210.18</v>
      </c>
      <c r="L56" s="34">
        <v>1210.78</v>
      </c>
      <c r="M56" s="22">
        <f>L56+Valuation!$C$42</f>
        <v>1411.13778</v>
      </c>
      <c r="N56" s="22">
        <f>M56</f>
        <v>1411.13778</v>
      </c>
      <c r="O56" s="22">
        <f>N56</f>
        <v>1411.13778</v>
      </c>
      <c r="P56" s="22">
        <f>O56</f>
        <v>1411.13778</v>
      </c>
      <c r="Q56" s="204"/>
      <c r="R56" s="204"/>
    </row>
    <row r="57" spans="2:18" x14ac:dyDescent="0.2">
      <c r="B57" s="33" t="s">
        <v>28</v>
      </c>
      <c r="C57" s="34"/>
      <c r="D57" s="535">
        <v>10527.76</v>
      </c>
      <c r="E57" s="535">
        <v>10059.51</v>
      </c>
      <c r="F57" s="535">
        <v>10876.58</v>
      </c>
      <c r="G57" s="535">
        <v>11030.58</v>
      </c>
      <c r="H57" s="34">
        <v>11543.21</v>
      </c>
      <c r="I57" s="34">
        <v>11461.21</v>
      </c>
      <c r="J57" s="34">
        <v>18364.27</v>
      </c>
      <c r="K57" s="34">
        <v>43895.62</v>
      </c>
      <c r="L57" s="34">
        <v>49404.04</v>
      </c>
      <c r="M57" s="22">
        <f>L57+M46-M52+Valuation!$C$43</f>
        <v>86094.988668258928</v>
      </c>
      <c r="N57" s="22">
        <f t="shared" ref="N57:P57" si="52">M57+N46-N52</f>
        <v>103057.04827537011</v>
      </c>
      <c r="O57" s="22">
        <f t="shared" si="52"/>
        <v>126169.22560641516</v>
      </c>
      <c r="P57" s="22">
        <f t="shared" si="52"/>
        <v>154872.80087116457</v>
      </c>
      <c r="Q57" s="204"/>
      <c r="R57" s="204"/>
    </row>
    <row r="58" spans="2:18" x14ac:dyDescent="0.2">
      <c r="B58" s="33" t="s">
        <v>77</v>
      </c>
      <c r="C58" s="34"/>
      <c r="D58" s="535">
        <v>0.0</v>
      </c>
      <c r="E58" s="535">
        <v>0.0</v>
      </c>
      <c r="F58" s="535">
        <v>6500.0</v>
      </c>
      <c r="G58" s="535">
        <v>6500.0</v>
      </c>
      <c r="H58" s="34">
        <v>6500</v>
      </c>
      <c r="I58" s="34">
        <v>6500</v>
      </c>
      <c r="J58" s="34">
        <v>6500</v>
      </c>
      <c r="K58" s="34">
        <v>0</v>
      </c>
      <c r="L58" s="34"/>
      <c r="M58" s="22">
        <f t="shared" ref="M58:P58" si="53">L58</f>
        <v>0</v>
      </c>
      <c r="N58" s="22">
        <f t="shared" si="53"/>
        <v>0</v>
      </c>
      <c r="O58" s="22">
        <f t="shared" si="53"/>
        <v>0</v>
      </c>
      <c r="P58" s="22">
        <f t="shared" si="53"/>
        <v>0</v>
      </c>
      <c r="Q58" s="204"/>
      <c r="R58" s="204"/>
    </row>
    <row r="59" spans="2:18" x14ac:dyDescent="0.2">
      <c r="B59" s="33"/>
      <c r="C59" s="34"/>
      <c r="D59" s="34"/>
      <c r="E59" s="34"/>
      <c r="F59" s="34"/>
      <c r="G59" s="34"/>
      <c r="H59" s="34"/>
      <c r="I59" s="34"/>
      <c r="J59" s="34"/>
      <c r="K59" s="34"/>
      <c r="L59" s="34"/>
      <c r="M59" s="22"/>
      <c r="N59" s="22"/>
      <c r="O59" s="22"/>
      <c r="P59" s="22"/>
      <c r="Q59" s="204"/>
      <c r="R59" s="204"/>
    </row>
    <row r="60" spans="2:18" x14ac:dyDescent="0.2">
      <c r="B60" s="33" t="s">
        <v>29</v>
      </c>
      <c r="C60" s="34"/>
      <c r="D60" s="535">
        <v>0.0</v>
      </c>
      <c r="E60" s="535">
        <v>0.0</v>
      </c>
      <c r="F60" s="535">
        <v>0.0</v>
      </c>
      <c r="G60" s="535">
        <v>0.0</v>
      </c>
      <c r="H60" s="34">
        <v>1003.92</v>
      </c>
      <c r="I60" s="34">
        <v>298.99</v>
      </c>
      <c r="J60" s="34">
        <v>0.04</v>
      </c>
      <c r="K60" s="34">
        <v>-12.88</v>
      </c>
      <c r="L60" s="34">
        <v>-13.14</v>
      </c>
      <c r="M60" s="22">
        <f t="shared" ref="M60:P60" si="54">L60</f>
        <v>-13.14</v>
      </c>
      <c r="N60" s="22">
        <f t="shared" si="54"/>
        <v>-13.14</v>
      </c>
      <c r="O60" s="22">
        <f t="shared" si="54"/>
        <v>-13.14</v>
      </c>
      <c r="P60" s="22">
        <f t="shared" si="54"/>
        <v>-13.14</v>
      </c>
      <c r="Q60" s="204"/>
      <c r="R60" s="204"/>
    </row>
    <row r="61" spans="2:18" x14ac:dyDescent="0.2">
      <c r="B61" s="33"/>
      <c r="C61" s="34"/>
      <c r="D61" s="34"/>
      <c r="E61" s="34"/>
      <c r="F61" s="34"/>
      <c r="G61" s="34"/>
      <c r="H61" s="34"/>
      <c r="I61" s="34"/>
      <c r="J61" s="34"/>
      <c r="K61" s="34"/>
      <c r="L61" s="34"/>
      <c r="M61" s="22"/>
      <c r="N61" s="22"/>
      <c r="O61" s="22"/>
      <c r="P61" s="22"/>
      <c r="Q61" s="204"/>
      <c r="R61" s="204"/>
    </row>
    <row r="62" spans="2:18" x14ac:dyDescent="0.2">
      <c r="B62" s="33" t="s">
        <v>30</v>
      </c>
      <c r="C62" s="34"/>
      <c r="D62" s="535">
        <v>81030.16</v>
      </c>
      <c r="E62" s="535">
        <v>91424.42</v>
      </c>
      <c r="F62" s="535">
        <v>92246.34</v>
      </c>
      <c r="G62" s="535">
        <v>82263.99</v>
      </c>
      <c r="H62" s="34">
        <v>69508.98</v>
      </c>
      <c r="I62" s="34">
        <v>80992.600000000006</v>
      </c>
      <c r="J62" s="34">
        <v>76964.28</v>
      </c>
      <c r="K62" s="34">
        <v>98571.7</v>
      </c>
      <c r="L62" s="34">
        <v>167398.76</v>
      </c>
      <c r="M62" s="22"/>
      <c r="N62" s="22"/>
      <c r="O62" s="22"/>
      <c r="P62" s="22"/>
      <c r="Q62" s="204"/>
      <c r="R62" s="204"/>
    </row>
    <row r="63" spans="2:18" x14ac:dyDescent="0.2">
      <c r="B63" s="33" t="s">
        <v>31</v>
      </c>
      <c r="C63" s="34"/>
      <c r="D63" s="535">
        <v>11709.23</v>
      </c>
      <c r="E63" s="535">
        <v>4649.49</v>
      </c>
      <c r="F63" s="535">
        <v>8888.86</v>
      </c>
      <c r="G63" s="535">
        <v>3450.09</v>
      </c>
      <c r="H63" s="34">
        <v>6127.04</v>
      </c>
      <c r="I63" s="34">
        <v>5580.89</v>
      </c>
      <c r="J63" s="34">
        <v>5211.6499999999996</v>
      </c>
      <c r="K63" s="34">
        <v>5655.31</v>
      </c>
      <c r="L63" s="34">
        <v>22481.73</v>
      </c>
      <c r="M63" s="22"/>
      <c r="N63" s="22"/>
      <c r="O63" s="22"/>
      <c r="P63" s="22"/>
      <c r="Q63" s="204"/>
      <c r="R63" s="204"/>
    </row>
    <row r="64" spans="2:18" x14ac:dyDescent="0.2">
      <c r="B64" s="33" t="s">
        <v>32</v>
      </c>
      <c r="C64" s="34"/>
      <c r="D64" s="34"/>
      <c r="E64" s="34"/>
      <c r="F64" s="34"/>
      <c r="G64" s="34"/>
      <c r="H64" s="34"/>
      <c r="I64" s="34"/>
      <c r="J64" s="34"/>
      <c r="K64" s="34"/>
      <c r="L64" s="34"/>
      <c r="M64" s="22"/>
      <c r="N64" s="22"/>
      <c r="O64" s="22"/>
      <c r="P64" s="22"/>
      <c r="Q64" s="204"/>
      <c r="R64" s="204"/>
    </row>
    <row r="65" spans="2:19" x14ac:dyDescent="0.2">
      <c r="B65" s="40" t="s">
        <v>33</v>
      </c>
      <c r="C65" s="41"/>
      <c r="D65" s="41">
        <f>D62+D63+D64</f>
        <v>92739.39</v>
      </c>
      <c r="E65" s="41">
        <f>E62+E63+E64</f>
        <v>96073.91</v>
      </c>
      <c r="F65" s="41">
        <f>F62+F63+F64</f>
        <v>101135.2</v>
      </c>
      <c r="G65" s="41">
        <f>G62+G63+G64</f>
        <v>85714.08</v>
      </c>
      <c r="H65" s="41">
        <f t="shared" ref="H65:I65" si="55">H62+H63+H64</f>
        <v>75636.01999999999</v>
      </c>
      <c r="I65" s="41">
        <f t="shared" si="55"/>
        <v>86573.49</v>
      </c>
      <c r="J65" s="41">
        <f>J62+J63+J64</f>
        <v>82175.929999999993</v>
      </c>
      <c r="K65" s="41">
        <f>K62+K63+K64</f>
        <v>104227.01</v>
      </c>
      <c r="L65" s="41">
        <f>L62+L63+L64</f>
        <v>189880.49000000002</v>
      </c>
      <c r="M65" s="26">
        <f t="shared" ref="M65:P65" si="56">L68</f>
        <v>189880.49000000002</v>
      </c>
      <c r="N65" s="26">
        <f t="shared" si="56"/>
        <v>310810.27026296384</v>
      </c>
      <c r="O65" s="26">
        <f t="shared" si="56"/>
        <v>476755.18901802262</v>
      </c>
      <c r="P65" s="26">
        <f t="shared" si="56"/>
        <v>579581.15680244251</v>
      </c>
      <c r="Q65" s="204"/>
      <c r="R65" s="204"/>
    </row>
    <row r="66" spans="2:19" x14ac:dyDescent="0.2">
      <c r="B66" s="33" t="s">
        <v>34</v>
      </c>
      <c r="C66" s="34"/>
      <c r="D66" s="34"/>
      <c r="E66" s="34"/>
      <c r="F66" s="34"/>
      <c r="G66" s="34"/>
      <c r="H66" s="34"/>
      <c r="I66" s="34"/>
      <c r="J66" s="34"/>
      <c r="K66" s="34"/>
      <c r="L66" s="34"/>
      <c r="M66" s="86">
        <f>SUM(Assumptions!DD88:DD135)-Valuation!$C$41</f>
        <v>126057.14026296377</v>
      </c>
      <c r="N66" s="86">
        <f>SUM(Assumptions!DE88:DE135)</f>
        <v>174903.15875505877</v>
      </c>
      <c r="O66" s="86">
        <f>SUM(Assumptions!DF88:DF135)</f>
        <v>117384.20778441992</v>
      </c>
      <c r="P66" s="86">
        <f>SUM(Assumptions!DG88:DG135)</f>
        <v>35224.076607387142</v>
      </c>
      <c r="Q66" s="210"/>
      <c r="R66" s="210"/>
    </row>
    <row r="67" spans="2:19" x14ac:dyDescent="0.2">
      <c r="B67" s="33" t="s">
        <v>35</v>
      </c>
      <c r="C67" s="34"/>
      <c r="D67" s="34"/>
      <c r="E67" s="34"/>
      <c r="F67" s="34"/>
      <c r="G67" s="34"/>
      <c r="H67" s="34"/>
      <c r="I67" s="34"/>
      <c r="J67" s="34"/>
      <c r="K67" s="34"/>
      <c r="L67" s="34"/>
      <c r="M67" s="86">
        <f>SUM(Assumptions!DL53:DL135)</f>
        <v>5127.3600000000006</v>
      </c>
      <c r="N67" s="86">
        <f>SUM(Assumptions!DM53:DM135)</f>
        <v>8958.2400000000016</v>
      </c>
      <c r="O67" s="86">
        <f>SUM(Assumptions!DN53:DN135)</f>
        <v>14558.240000000002</v>
      </c>
      <c r="P67" s="86">
        <f>SUM(Assumptions!DO53:DO135)</f>
        <v>21870.239999999998</v>
      </c>
      <c r="Q67" s="210"/>
      <c r="R67" s="210"/>
    </row>
    <row r="68" spans="2:19" x14ac:dyDescent="0.2">
      <c r="B68" s="42" t="s">
        <v>36</v>
      </c>
      <c r="C68" s="43"/>
      <c r="D68" s="43">
        <f>D65+D66-D67</f>
        <v>92739.39</v>
      </c>
      <c r="E68" s="43">
        <f>E65+E66-E67</f>
        <v>96073.91</v>
      </c>
      <c r="F68" s="43">
        <f>F65+F66-F67</f>
        <v>101135.2</v>
      </c>
      <c r="G68" s="43">
        <f>G65+G66-G67</f>
        <v>85714.08</v>
      </c>
      <c r="H68" s="43">
        <f t="shared" ref="H68:P68" si="57">H65+H66-H67</f>
        <v>75636.01999999999</v>
      </c>
      <c r="I68" s="43">
        <f t="shared" si="57"/>
        <v>86573.49</v>
      </c>
      <c r="J68" s="43">
        <f t="shared" si="57"/>
        <v>82175.929999999993</v>
      </c>
      <c r="K68" s="43">
        <f t="shared" si="57"/>
        <v>104227.01</v>
      </c>
      <c r="L68" s="43">
        <f t="shared" ref="L68" si="58">L65+L66-L67</f>
        <v>189880.49000000002</v>
      </c>
      <c r="M68" s="27">
        <f t="shared" si="57"/>
        <v>310810.27026296384</v>
      </c>
      <c r="N68" s="27">
        <f t="shared" si="57"/>
        <v>476755.18901802262</v>
      </c>
      <c r="O68" s="27">
        <f t="shared" si="57"/>
        <v>579581.15680244251</v>
      </c>
      <c r="P68" s="27">
        <f t="shared" si="57"/>
        <v>592934.99340982968</v>
      </c>
      <c r="Q68" s="204"/>
      <c r="R68" s="204"/>
    </row>
    <row r="69" spans="2:19" x14ac:dyDescent="0.2">
      <c r="B69" s="33" t="s">
        <v>37</v>
      </c>
      <c r="C69" s="34"/>
      <c r="D69" s="34">
        <f>D68</f>
        <v>92739.39</v>
      </c>
      <c r="E69" s="34">
        <f>E68</f>
        <v>96073.91</v>
      </c>
      <c r="F69" s="34">
        <f>F68</f>
        <v>101135.2</v>
      </c>
      <c r="G69" s="34">
        <f>G68</f>
        <v>85714.08</v>
      </c>
      <c r="H69" s="34">
        <f t="shared" ref="H69:P69" si="59">H68</f>
        <v>75636.01999999999</v>
      </c>
      <c r="I69" s="34">
        <f t="shared" si="59"/>
        <v>86573.49</v>
      </c>
      <c r="J69" s="34">
        <f t="shared" si="59"/>
        <v>82175.929999999993</v>
      </c>
      <c r="K69" s="34">
        <f t="shared" si="59"/>
        <v>104227.01</v>
      </c>
      <c r="L69" s="34">
        <f t="shared" ref="L69" si="60">L68</f>
        <v>189880.49000000002</v>
      </c>
      <c r="M69" s="22">
        <f t="shared" si="59"/>
        <v>310810.27026296384</v>
      </c>
      <c r="N69" s="22">
        <f t="shared" si="59"/>
        <v>476755.18901802262</v>
      </c>
      <c r="O69" s="22">
        <f t="shared" si="59"/>
        <v>579581.15680244251</v>
      </c>
      <c r="P69" s="22">
        <f t="shared" si="59"/>
        <v>592934.99340982968</v>
      </c>
      <c r="Q69" s="204"/>
      <c r="R69" s="204"/>
    </row>
    <row r="70" spans="2:19" x14ac:dyDescent="0.2">
      <c r="B70" s="33" t="s">
        <v>38</v>
      </c>
      <c r="C70" s="34"/>
      <c r="D70" s="535">
        <v>1920.64</v>
      </c>
      <c r="E70" s="535">
        <v>2245.44</v>
      </c>
      <c r="F70" s="535">
        <v>255.87</v>
      </c>
      <c r="G70" s="535">
        <v>175.08</v>
      </c>
      <c r="H70" s="34">
        <v>901.29</v>
      </c>
      <c r="I70" s="34">
        <v>1600.13</v>
      </c>
      <c r="J70" s="34">
        <v>2119.85</v>
      </c>
      <c r="K70" s="34">
        <v>2968.3</v>
      </c>
      <c r="L70" s="34">
        <v>4388.8599999999997</v>
      </c>
      <c r="M70" s="22">
        <f t="shared" ref="M70:P70" si="61">L70</f>
        <v>4388.8599999999997</v>
      </c>
      <c r="N70" s="22">
        <f t="shared" si="61"/>
        <v>4388.8599999999997</v>
      </c>
      <c r="O70" s="22">
        <f t="shared" si="61"/>
        <v>4388.8599999999997</v>
      </c>
      <c r="P70" s="22">
        <f t="shared" si="61"/>
        <v>4388.8599999999997</v>
      </c>
      <c r="Q70" s="204"/>
      <c r="R70" s="204"/>
    </row>
    <row r="71" spans="2:19" x14ac:dyDescent="0.2">
      <c r="B71" s="33" t="s">
        <v>39</v>
      </c>
      <c r="C71" s="34"/>
      <c r="D71" s="535">
        <f>141.37+768.27</f>
        <v>909.64</v>
      </c>
      <c r="E71" s="535">
        <f>0+2526.87</f>
        <v>2526.87</v>
      </c>
      <c r="F71" s="535">
        <f>2961.60+1912.20</f>
        <v>4873.8</v>
      </c>
      <c r="G71" s="535">
        <f>3368.52+3592.95</f>
        <v>6961.469999999999</v>
      </c>
      <c r="H71" s="34">
        <f>3198+2681.99</f>
        <v>5879.99</v>
      </c>
      <c r="I71" s="34">
        <f>3253.29+381.06+6588.91</f>
        <v>10223.26</v>
      </c>
      <c r="J71" s="34">
        <f>2882+1035.1+10702.16</f>
        <v>14619.26</v>
      </c>
      <c r="K71" s="34">
        <f>5048.31+1916.17+17144.12</f>
        <v>24108.6</v>
      </c>
      <c r="L71" s="34">
        <f>8449.45+2483.15+19735.02</f>
        <v>30667.620000000003</v>
      </c>
      <c r="M71" s="22">
        <f t="shared" ref="M71:P71" si="62">L71</f>
        <v>30667.620000000003</v>
      </c>
      <c r="N71" s="22">
        <f t="shared" si="62"/>
        <v>30667.620000000003</v>
      </c>
      <c r="O71" s="22">
        <f t="shared" si="62"/>
        <v>30667.620000000003</v>
      </c>
      <c r="P71" s="22">
        <f t="shared" si="62"/>
        <v>30667.620000000003</v>
      </c>
      <c r="Q71" s="204"/>
      <c r="R71" s="204"/>
    </row>
    <row r="72" spans="2:19" x14ac:dyDescent="0.2">
      <c r="B72" s="33" t="s">
        <v>40</v>
      </c>
      <c r="C72" s="34"/>
      <c r="D72" s="34"/>
      <c r="E72" s="34"/>
      <c r="F72" s="34"/>
      <c r="G72" s="34"/>
      <c r="H72" s="34"/>
      <c r="I72" s="34"/>
      <c r="J72" s="34"/>
      <c r="K72" s="34"/>
      <c r="L72" s="34"/>
      <c r="M72" s="22"/>
      <c r="N72" s="22"/>
      <c r="O72" s="22"/>
      <c r="P72" s="22"/>
      <c r="Q72" s="204"/>
      <c r="R72" s="204"/>
    </row>
    <row r="73" spans="2:19" x14ac:dyDescent="0.2">
      <c r="B73" s="33" t="s">
        <v>41</v>
      </c>
      <c r="C73" s="34"/>
      <c r="D73" s="535">
        <v>1.07</v>
      </c>
      <c r="E73" s="535">
        <v>3.4</v>
      </c>
      <c r="F73" s="535">
        <v>14.27</v>
      </c>
      <c r="G73" s="535">
        <v>15.92</v>
      </c>
      <c r="H73" s="34">
        <v>24.36</v>
      </c>
      <c r="I73" s="34">
        <v>52.89</v>
      </c>
      <c r="J73" s="34">
        <v>65.099999999999994</v>
      </c>
      <c r="K73" s="34">
        <v>100.57</v>
      </c>
      <c r="L73" s="34">
        <v>144.58000000000001</v>
      </c>
      <c r="M73" s="22">
        <f t="shared" ref="M73:P73" si="63">L73</f>
        <v>144.58000000000001</v>
      </c>
      <c r="N73" s="22">
        <f t="shared" si="63"/>
        <v>144.58000000000001</v>
      </c>
      <c r="O73" s="22">
        <f t="shared" si="63"/>
        <v>144.58000000000001</v>
      </c>
      <c r="P73" s="22">
        <f t="shared" si="63"/>
        <v>144.58000000000001</v>
      </c>
      <c r="Q73" s="204"/>
      <c r="R73" s="204"/>
    </row>
    <row r="74" spans="2:19" x14ac:dyDescent="0.2">
      <c r="B74" s="33"/>
      <c r="C74" s="34"/>
      <c r="D74" s="34"/>
      <c r="E74" s="34"/>
      <c r="F74" s="34"/>
      <c r="G74" s="34"/>
      <c r="H74" s="34"/>
      <c r="I74" s="34"/>
      <c r="J74" s="34"/>
      <c r="K74" s="34"/>
      <c r="L74" s="34"/>
      <c r="M74" s="22"/>
      <c r="N74" s="22"/>
      <c r="O74" s="22"/>
      <c r="P74" s="22"/>
      <c r="Q74" s="204"/>
      <c r="R74" s="204"/>
    </row>
    <row r="75" spans="2:19" x14ac:dyDescent="0.2">
      <c r="B75" s="35" t="s">
        <v>42</v>
      </c>
      <c r="C75" s="36"/>
      <c r="D75" s="36">
        <f>SUM(D56:D57)+D60+SUM(D69:D73)+D58</f>
        <v>107142.92000000001</v>
      </c>
      <c r="E75" s="36">
        <f>SUM(E56:E57)+E60+SUM(E69:E73)+E58</f>
        <v>111953.55000000002</v>
      </c>
      <c r="F75" s="36">
        <f>SUM(F56:F57)+F60+SUM(F69:F73)+F58</f>
        <v>124700.14</v>
      </c>
      <c r="G75" s="36">
        <f>SUM(G56:G57)+G60+SUM(G69:G73)+G58</f>
        <v>111441.55</v>
      </c>
      <c r="H75" s="36">
        <f t="shared" ref="H75:I75" si="64">SUM(H56:H57)+H60+SUM(H69:H73)+H58</f>
        <v>102533.20999999999</v>
      </c>
      <c r="I75" s="36">
        <f t="shared" si="64"/>
        <v>117754.39</v>
      </c>
      <c r="J75" s="36">
        <f>SUM(J56:J57)+J60+SUM(J69:J73)+J58</f>
        <v>124888.87</v>
      </c>
      <c r="K75" s="36">
        <f>SUM(K56:K57)+K60+SUM(K69:K73)+K58</f>
        <v>176497.40000000002</v>
      </c>
      <c r="L75" s="36">
        <f>SUM(L56:L57)+L60+SUM(L69:L73)+L58</f>
        <v>275683.23</v>
      </c>
      <c r="M75" s="24">
        <f t="shared" ref="M75:P75" si="65">SUM(M56:M57)+M60+SUM(M69:M73)+M58</f>
        <v>433504.31671122275</v>
      </c>
      <c r="N75" s="24">
        <f t="shared" si="65"/>
        <v>616411.29507339268</v>
      </c>
      <c r="O75" s="24">
        <f t="shared" si="65"/>
        <v>742349.44018885761</v>
      </c>
      <c r="P75" s="24">
        <f t="shared" si="65"/>
        <v>784406.85206099413</v>
      </c>
      <c r="Q75" s="206"/>
      <c r="R75" s="206"/>
    </row>
    <row r="76" spans="2:19" x14ac:dyDescent="0.2">
      <c r="B76" s="33"/>
      <c r="C76" s="34"/>
      <c r="D76" s="34"/>
      <c r="E76" s="34"/>
      <c r="F76" s="34"/>
      <c r="G76" s="34"/>
      <c r="H76" s="34"/>
      <c r="I76" s="34"/>
      <c r="J76" s="34"/>
      <c r="K76" s="34"/>
      <c r="L76" s="34"/>
      <c r="M76" s="22"/>
      <c r="N76" s="22"/>
      <c r="O76" s="22"/>
      <c r="P76" s="22"/>
      <c r="Q76" s="204"/>
      <c r="R76" s="204"/>
    </row>
    <row r="77" spans="2:19" x14ac:dyDescent="0.2">
      <c r="B77" s="33" t="s">
        <v>43</v>
      </c>
      <c r="C77" s="34"/>
      <c r="D77" s="34"/>
      <c r="E77" s="34"/>
      <c r="F77" s="34"/>
      <c r="G77" s="34"/>
      <c r="H77" s="34"/>
      <c r="I77" s="34"/>
      <c r="J77" s="34"/>
      <c r="K77" s="34"/>
      <c r="L77" s="34"/>
      <c r="M77" s="22"/>
      <c r="N77" s="22"/>
      <c r="O77" s="22"/>
      <c r="P77" s="22"/>
      <c r="Q77" s="204"/>
      <c r="R77" s="204"/>
    </row>
    <row r="78" spans="2:19" x14ac:dyDescent="0.2">
      <c r="B78" s="33" t="s">
        <v>44</v>
      </c>
      <c r="C78" s="34"/>
      <c r="D78" s="34"/>
      <c r="E78" s="34"/>
      <c r="F78" s="34"/>
      <c r="G78" s="34"/>
      <c r="H78" s="34"/>
      <c r="I78" s="34"/>
      <c r="J78" s="34"/>
      <c r="K78" s="34"/>
      <c r="L78" s="34"/>
      <c r="M78" s="22"/>
      <c r="N78" s="22"/>
      <c r="O78" s="22"/>
      <c r="P78" s="22"/>
      <c r="Q78" s="204"/>
      <c r="R78" s="204"/>
      <c r="S78" s="1">
        <f>141444.1+7402.91</f>
        <v>148847.01</v>
      </c>
    </row>
    <row r="79" spans="2:19" x14ac:dyDescent="0.2">
      <c r="B79" s="33" t="s">
        <v>45</v>
      </c>
      <c r="C79" s="34"/>
      <c r="D79" s="535">
        <v>86689.27</v>
      </c>
      <c r="E79" s="535">
        <v>118243.78</v>
      </c>
      <c r="F79" s="535">
        <f>108690.98+5057.07</f>
        <v>113748.04999999999</v>
      </c>
      <c r="G79" s="535">
        <f>107768.10+5226.63</f>
        <v>112994.73000000001</v>
      </c>
      <c r="H79" s="34">
        <f>79602.57+5010.81</f>
        <v>84613.38</v>
      </c>
      <c r="I79" s="34">
        <f>88831.88+5221.28</f>
        <v>94053.16</v>
      </c>
      <c r="J79" s="34">
        <f>85619.81+4720.37</f>
        <v>90340.18</v>
      </c>
      <c r="K79" s="455">
        <f>141444.1+7402.91</f>
        <v>148847.01</v>
      </c>
      <c r="L79" s="455">
        <f>175940.88+11894.59</f>
        <v>187835.47</v>
      </c>
      <c r="M79" s="22">
        <f>L79+SUM(Assumptions!FH53:FH133)</f>
        <v>306250.46999999997</v>
      </c>
      <c r="N79" s="22">
        <f>M79+SUM(Assumptions!FI53:FI133)</f>
        <v>481250.47</v>
      </c>
      <c r="O79" s="22">
        <f>N79+SUM(Assumptions!FJ53:FJ133)</f>
        <v>709750.47</v>
      </c>
      <c r="P79" s="22">
        <f>O79+SUM(Assumptions!FK53:FK133)</f>
        <v>797750.47</v>
      </c>
      <c r="Q79" s="204"/>
      <c r="R79" s="204"/>
      <c r="S79" s="1">
        <f>890.74+24819.12</f>
        <v>25709.86</v>
      </c>
    </row>
    <row r="80" spans="2:19" x14ac:dyDescent="0.2">
      <c r="B80" s="33" t="s">
        <v>46</v>
      </c>
      <c r="C80" s="34"/>
      <c r="D80" s="535">
        <v>6783.65</v>
      </c>
      <c r="E80" s="535">
        <v>12491.57</v>
      </c>
      <c r="F80" s="535">
        <f>17570.89+187.59</f>
        <v>17758.48</v>
      </c>
      <c r="G80" s="535">
        <f>22843.44+312.20</f>
        <v>23155.64</v>
      </c>
      <c r="H80" s="34">
        <f>22391.94+450.64</f>
        <v>22842.579999999998</v>
      </c>
      <c r="I80" s="34">
        <f>27107.95+636.1</f>
        <v>27744.05</v>
      </c>
      <c r="J80" s="34">
        <f>22094.53+680.75</f>
        <v>22775.279999999999</v>
      </c>
      <c r="K80" s="455">
        <f>24819.12+890.74</f>
        <v>25709.86</v>
      </c>
      <c r="L80" s="455">
        <f>29302.6+1216.79</f>
        <v>30519.39</v>
      </c>
      <c r="M80" s="22">
        <f t="shared" ref="M80:P80" si="66">L80+M20</f>
        <v>37717.933561643833</v>
      </c>
      <c r="N80" s="22">
        <f t="shared" si="66"/>
        <v>53057.476027397257</v>
      </c>
      <c r="O80" s="22">
        <f t="shared" si="66"/>
        <v>74870.070547945215</v>
      </c>
      <c r="P80" s="22">
        <f t="shared" si="66"/>
        <v>104401.84315068494</v>
      </c>
      <c r="Q80" s="204"/>
      <c r="R80" s="204"/>
      <c r="S80" s="1">
        <f>S78-S79</f>
        <v>123137.15000000001</v>
      </c>
    </row>
    <row r="81" spans="2:18" x14ac:dyDescent="0.2">
      <c r="B81" s="33" t="s">
        <v>47</v>
      </c>
      <c r="C81" s="34"/>
      <c r="D81" s="36">
        <f>D79-D80</f>
        <v>79905.62000000001</v>
      </c>
      <c r="E81" s="36">
        <f>E79-E80</f>
        <v>105752.20999999999</v>
      </c>
      <c r="F81" s="36">
        <f>F79-F80</f>
        <v>95989.56999999999</v>
      </c>
      <c r="G81" s="36">
        <f>G79-G80</f>
        <v>89839.09000000001</v>
      </c>
      <c r="H81" s="36">
        <f>H79-H80</f>
        <v>61770.8</v>
      </c>
      <c r="I81" s="36">
        <f t="shared" ref="I81:J81" si="67">I79-I80</f>
        <v>66309.11</v>
      </c>
      <c r="J81" s="36">
        <f t="shared" si="67"/>
        <v>67564.899999999994</v>
      </c>
      <c r="K81" s="36">
        <f>+K79-K80</f>
        <v>123137.15000000001</v>
      </c>
      <c r="L81" s="36">
        <f>+L79-L80</f>
        <v>157316.08000000002</v>
      </c>
      <c r="M81" s="24">
        <f t="shared" ref="M81" si="68">M79-M80</f>
        <v>268532.53643835615</v>
      </c>
      <c r="N81" s="24">
        <f t="shared" ref="N81" si="69">N79-N80</f>
        <v>428192.99397260271</v>
      </c>
      <c r="O81" s="24">
        <f t="shared" ref="O81" si="70">O79-O80</f>
        <v>634880.39945205476</v>
      </c>
      <c r="P81" s="24">
        <f t="shared" ref="P81" si="71">P79-P80</f>
        <v>693348.62684931501</v>
      </c>
      <c r="Q81" s="206"/>
      <c r="R81" s="206"/>
    </row>
    <row r="82" spans="2:18" x14ac:dyDescent="0.2">
      <c r="B82" s="33" t="s">
        <v>48</v>
      </c>
      <c r="C82" s="34"/>
      <c r="D82" s="535">
        <v>5047.28</v>
      </c>
      <c r="E82" s="535">
        <v>528.36</v>
      </c>
      <c r="F82" s="535">
        <v>2195.27</v>
      </c>
      <c r="G82" s="535">
        <v>972.01</v>
      </c>
      <c r="H82" s="34">
        <v>12728.02</v>
      </c>
      <c r="I82" s="34">
        <v>21473.360000000001</v>
      </c>
      <c r="J82" s="34">
        <v>28284.25</v>
      </c>
      <c r="K82" s="34">
        <v>13623.37</v>
      </c>
      <c r="L82" s="34">
        <v>43576.6</v>
      </c>
      <c r="M82" s="22">
        <f>SUM(Assumptions!FP53:FP133)</f>
        <v>122268.93117313966</v>
      </c>
      <c r="N82" s="22">
        <f>SUM(Assumptions!FQ53:FQ133)</f>
        <v>165897.87961696307</v>
      </c>
      <c r="O82" s="22">
        <f>SUM(Assumptions!FR53:FR133)</f>
        <v>76939.767254464707</v>
      </c>
      <c r="P82" s="22">
        <f>SUM(Assumptions!FS53:FS133)</f>
        <v>32969.863013698632</v>
      </c>
      <c r="Q82" s="204"/>
      <c r="R82" s="204"/>
    </row>
    <row r="83" spans="2:18" x14ac:dyDescent="0.2">
      <c r="B83" s="33"/>
      <c r="C83" s="34"/>
      <c r="D83" s="34"/>
      <c r="E83" s="34"/>
      <c r="F83" s="34"/>
      <c r="G83" s="34"/>
      <c r="H83" s="34"/>
      <c r="I83" s="34"/>
      <c r="J83" s="34"/>
      <c r="K83" s="34"/>
      <c r="L83" s="34"/>
      <c r="M83" s="22"/>
      <c r="N83" s="22"/>
      <c r="O83" s="22"/>
      <c r="P83" s="22"/>
      <c r="Q83" s="204"/>
      <c r="R83" s="204"/>
    </row>
    <row r="84" spans="2:18" x14ac:dyDescent="0.2">
      <c r="B84" s="33" t="s">
        <v>49</v>
      </c>
      <c r="C84" s="34"/>
      <c r="D84" s="34"/>
      <c r="E84" s="34"/>
      <c r="F84" s="34"/>
      <c r="G84" s="34"/>
      <c r="H84" s="34"/>
      <c r="I84" s="34"/>
      <c r="J84" s="34"/>
      <c r="K84" s="34"/>
      <c r="L84" s="34"/>
      <c r="M84" s="22"/>
      <c r="N84" s="22"/>
      <c r="O84" s="22"/>
      <c r="P84" s="22"/>
      <c r="Q84" s="204"/>
      <c r="R84" s="204"/>
    </row>
    <row r="85" spans="2:18" x14ac:dyDescent="0.2">
      <c r="B85" s="33" t="s">
        <v>50</v>
      </c>
      <c r="C85" s="34"/>
      <c r="D85" s="535">
        <v>3.61</v>
      </c>
      <c r="E85" s="535">
        <v>3.46</v>
      </c>
      <c r="F85" s="535">
        <v>3.31</v>
      </c>
      <c r="G85" s="535">
        <v>3.16</v>
      </c>
      <c r="H85" s="34">
        <v>0.32</v>
      </c>
      <c r="I85" s="34">
        <v>0.3</v>
      </c>
      <c r="J85" s="34">
        <v>0.28000000000000003</v>
      </c>
      <c r="K85" s="34"/>
      <c r="L85" s="34"/>
      <c r="M85" s="22">
        <f t="shared" ref="M85:P85" si="72">L85</f>
        <v>0</v>
      </c>
      <c r="N85" s="22">
        <f t="shared" si="72"/>
        <v>0</v>
      </c>
      <c r="O85" s="22">
        <f t="shared" si="72"/>
        <v>0</v>
      </c>
      <c r="P85" s="22">
        <f t="shared" si="72"/>
        <v>0</v>
      </c>
      <c r="Q85" s="204"/>
      <c r="R85" s="204"/>
    </row>
    <row r="86" spans="2:18" x14ac:dyDescent="0.2">
      <c r="B86" s="33" t="s">
        <v>51</v>
      </c>
      <c r="C86" s="34"/>
      <c r="D86" s="34"/>
      <c r="E86" s="34"/>
      <c r="F86" s="34"/>
      <c r="G86" s="34"/>
      <c r="H86" s="34"/>
      <c r="I86" s="34"/>
      <c r="J86" s="34"/>
      <c r="K86" s="34"/>
      <c r="L86" s="34"/>
      <c r="M86" s="22"/>
      <c r="N86" s="22"/>
      <c r="O86" s="22"/>
      <c r="P86" s="22"/>
      <c r="Q86" s="204"/>
      <c r="R86" s="204"/>
    </row>
    <row r="87" spans="2:18" x14ac:dyDescent="0.2">
      <c r="B87" s="33"/>
      <c r="C87" s="34"/>
      <c r="D87" s="34"/>
      <c r="E87" s="34"/>
      <c r="F87" s="34"/>
      <c r="G87" s="34"/>
      <c r="H87" s="34"/>
      <c r="I87" s="34"/>
      <c r="J87" s="34"/>
      <c r="K87" s="34"/>
      <c r="L87" s="34"/>
      <c r="M87" s="22"/>
      <c r="N87" s="22"/>
      <c r="O87" s="22"/>
      <c r="P87" s="22"/>
      <c r="Q87" s="204"/>
      <c r="R87" s="204"/>
    </row>
    <row r="88" spans="2:18" x14ac:dyDescent="0.2">
      <c r="B88" s="33" t="s">
        <v>52</v>
      </c>
      <c r="C88" s="34"/>
      <c r="D88" s="535">
        <v>0.0</v>
      </c>
      <c r="E88" s="535">
        <v>0.0</v>
      </c>
      <c r="F88" s="535">
        <v>0.0</v>
      </c>
      <c r="G88" s="535">
        <v>245.33</v>
      </c>
      <c r="H88" s="34">
        <v>245.33</v>
      </c>
      <c r="I88" s="34">
        <v>226.67</v>
      </c>
      <c r="J88" s="34">
        <v>14.02</v>
      </c>
      <c r="K88" s="34">
        <f>14.02+2750</f>
        <v>2764.02</v>
      </c>
      <c r="L88" s="34">
        <v>2750</v>
      </c>
      <c r="M88" s="22">
        <f t="shared" ref="M88:P88" si="73">L88</f>
        <v>2750</v>
      </c>
      <c r="N88" s="22">
        <f t="shared" si="73"/>
        <v>2750</v>
      </c>
      <c r="O88" s="22">
        <f t="shared" si="73"/>
        <v>2750</v>
      </c>
      <c r="P88" s="22">
        <f t="shared" si="73"/>
        <v>2750</v>
      </c>
      <c r="Q88" s="204"/>
      <c r="R88" s="204"/>
    </row>
    <row r="89" spans="2:18" x14ac:dyDescent="0.2">
      <c r="B89" s="33" t="s">
        <v>53</v>
      </c>
      <c r="C89" s="34"/>
      <c r="D89" s="535">
        <v>218.39</v>
      </c>
      <c r="E89" s="535">
        <v>355.86</v>
      </c>
      <c r="F89" s="535">
        <v>1299.28</v>
      </c>
      <c r="G89" s="535">
        <v>1613.73</v>
      </c>
      <c r="H89" s="34">
        <v>1597.55</v>
      </c>
      <c r="I89" s="34">
        <v>2475.5100000000002</v>
      </c>
      <c r="J89" s="34">
        <v>1928.5</v>
      </c>
      <c r="K89" s="34">
        <v>2634.51</v>
      </c>
      <c r="L89" s="34">
        <v>3949.72</v>
      </c>
      <c r="M89" s="22">
        <f t="shared" ref="M89:P89" si="74">L89</f>
        <v>3949.72</v>
      </c>
      <c r="N89" s="22">
        <f t="shared" si="74"/>
        <v>3949.72</v>
      </c>
      <c r="O89" s="22">
        <f t="shared" si="74"/>
        <v>3949.72</v>
      </c>
      <c r="P89" s="22">
        <f t="shared" si="74"/>
        <v>3949.72</v>
      </c>
      <c r="Q89" s="204"/>
      <c r="R89" s="204"/>
    </row>
    <row r="90" spans="2:18" x14ac:dyDescent="0.2">
      <c r="B90" s="33" t="s">
        <v>54</v>
      </c>
      <c r="C90" s="34"/>
      <c r="D90" s="34"/>
      <c r="E90" s="34"/>
      <c r="F90" s="34"/>
      <c r="G90" s="34"/>
      <c r="H90" s="34"/>
      <c r="I90" s="34"/>
      <c r="J90" s="34"/>
      <c r="K90" s="34"/>
      <c r="L90" s="34"/>
      <c r="M90" s="22"/>
      <c r="N90" s="22"/>
      <c r="O90" s="22"/>
      <c r="P90" s="22"/>
      <c r="Q90" s="204"/>
      <c r="R90" s="204"/>
    </row>
    <row r="91" spans="2:18" x14ac:dyDescent="0.2">
      <c r="B91" s="33" t="s">
        <v>55</v>
      </c>
      <c r="C91" s="34"/>
      <c r="D91" s="34"/>
      <c r="E91" s="34"/>
      <c r="F91" s="34"/>
      <c r="G91" s="34"/>
      <c r="H91" s="34"/>
      <c r="I91" s="34"/>
      <c r="J91" s="34">
        <v>1168.02</v>
      </c>
      <c r="K91" s="34">
        <v>1874.35</v>
      </c>
      <c r="L91" s="34"/>
      <c r="M91" s="22">
        <f t="shared" ref="M91:P91" si="75">L91</f>
        <v>0</v>
      </c>
      <c r="N91" s="22">
        <f t="shared" si="75"/>
        <v>0</v>
      </c>
      <c r="O91" s="22">
        <f t="shared" si="75"/>
        <v>0</v>
      </c>
      <c r="P91" s="22">
        <f t="shared" si="75"/>
        <v>0</v>
      </c>
      <c r="Q91" s="204"/>
      <c r="R91" s="204"/>
    </row>
    <row r="92" spans="2:18" x14ac:dyDescent="0.2">
      <c r="B92" s="33" t="s">
        <v>56</v>
      </c>
      <c r="C92" s="34"/>
      <c r="D92" s="535">
        <f>20.21+2376.88+204.25+12107.56</f>
        <v>14708.9</v>
      </c>
      <c r="E92" s="535">
        <f>37.50+678.84+289.22+4839.46</f>
        <v>5845.02</v>
      </c>
      <c r="F92" s="535">
        <f>31.23+934.90+339.26+1938.21</f>
        <v>3243.6</v>
      </c>
      <c r="G92" s="535">
        <f>26.56+2723.72+166.90+6643.81</f>
        <v>9560.99</v>
      </c>
      <c r="H92" s="34">
        <f>1223.37+412.69+7489.98</f>
        <v>9126.0399999999991</v>
      </c>
      <c r="I92" s="34">
        <f>1618.32+898.05+1846.82</f>
        <v>4363.1899999999996</v>
      </c>
      <c r="J92" s="34">
        <f>549.42+315.62+2619.85</f>
        <v>3484.89</v>
      </c>
      <c r="K92" s="34">
        <f>1188.84+651.1+346.33</f>
        <v>2186.27</v>
      </c>
      <c r="L92" s="34">
        <f>0.25+3161.33+262.59+4529.14</f>
        <v>7953.31</v>
      </c>
      <c r="M92" s="22">
        <f t="shared" ref="M92:P92" si="76">L92</f>
        <v>7953.31</v>
      </c>
      <c r="N92" s="22">
        <f t="shared" si="76"/>
        <v>7953.31</v>
      </c>
      <c r="O92" s="22">
        <f t="shared" si="76"/>
        <v>7953.31</v>
      </c>
      <c r="P92" s="22">
        <f t="shared" si="76"/>
        <v>7953.31</v>
      </c>
      <c r="Q92" s="204"/>
      <c r="R92" s="204"/>
    </row>
    <row r="93" spans="2:18" x14ac:dyDescent="0.2">
      <c r="B93" s="33"/>
      <c r="C93" s="34"/>
      <c r="D93" s="34"/>
      <c r="E93" s="34"/>
      <c r="F93" s="34"/>
      <c r="G93" s="34"/>
      <c r="H93" s="34"/>
      <c r="I93" s="34"/>
      <c r="J93" s="34"/>
      <c r="K93" s="34"/>
      <c r="L93" s="34"/>
      <c r="M93" s="22"/>
      <c r="N93" s="22"/>
      <c r="O93" s="22"/>
      <c r="P93" s="22"/>
      <c r="Q93" s="204"/>
      <c r="R93" s="204"/>
    </row>
    <row r="94" spans="2:18" x14ac:dyDescent="0.2">
      <c r="B94" s="33" t="s">
        <v>57</v>
      </c>
      <c r="C94" s="34"/>
      <c r="D94" s="34"/>
      <c r="E94" s="34"/>
      <c r="F94" s="34"/>
      <c r="G94" s="34"/>
      <c r="H94" s="34"/>
      <c r="I94" s="34"/>
      <c r="J94" s="34"/>
      <c r="K94" s="34"/>
      <c r="L94" s="34"/>
      <c r="M94" s="22"/>
      <c r="N94" s="22"/>
      <c r="O94" s="22"/>
      <c r="P94" s="22"/>
      <c r="Q94" s="204"/>
      <c r="R94" s="204"/>
    </row>
    <row r="95" spans="2:18" x14ac:dyDescent="0.2">
      <c r="B95" s="33" t="s">
        <v>58</v>
      </c>
      <c r="C95" s="34"/>
      <c r="D95" s="34"/>
      <c r="E95" s="34"/>
      <c r="F95" s="34"/>
      <c r="G95" s="34"/>
      <c r="H95" s="34"/>
      <c r="I95" s="34"/>
      <c r="J95" s="34">
        <v>1498.68</v>
      </c>
      <c r="K95" s="34"/>
      <c r="L95" s="34"/>
      <c r="M95" s="22">
        <f t="shared" ref="M95:P96" si="77">L95</f>
        <v>0</v>
      </c>
      <c r="N95" s="22">
        <f t="shared" si="77"/>
        <v>0</v>
      </c>
      <c r="O95" s="22">
        <f t="shared" si="77"/>
        <v>0</v>
      </c>
      <c r="P95" s="22">
        <f t="shared" si="77"/>
        <v>0</v>
      </c>
      <c r="Q95" s="204"/>
      <c r="R95" s="204"/>
    </row>
    <row r="96" spans="2:18" x14ac:dyDescent="0.2">
      <c r="B96" s="33" t="s">
        <v>59</v>
      </c>
      <c r="C96" s="34"/>
      <c r="D96" s="535">
        <v>0.0</v>
      </c>
      <c r="E96" s="535">
        <v>0.0</v>
      </c>
      <c r="F96" s="535">
        <v>0.0</v>
      </c>
      <c r="G96" s="535">
        <v>0.0</v>
      </c>
      <c r="H96" s="34"/>
      <c r="I96" s="34"/>
      <c r="J96" s="34"/>
      <c r="K96" s="34">
        <v>39.270000000000003</v>
      </c>
      <c r="L96" s="34">
        <v>173.73</v>
      </c>
      <c r="M96" s="22">
        <f>L96</f>
        <v>173.73</v>
      </c>
      <c r="N96" s="22">
        <f t="shared" si="77"/>
        <v>173.73</v>
      </c>
      <c r="O96" s="22">
        <f t="shared" si="77"/>
        <v>173.73</v>
      </c>
      <c r="P96" s="22">
        <f t="shared" si="77"/>
        <v>173.73</v>
      </c>
      <c r="Q96" s="204"/>
      <c r="R96" s="204"/>
    </row>
    <row r="97" spans="2:18" x14ac:dyDescent="0.2">
      <c r="B97" s="33" t="s">
        <v>60</v>
      </c>
      <c r="C97" s="34"/>
      <c r="D97" s="535">
        <v>1729.76</v>
      </c>
      <c r="E97" s="535">
        <v>5470.28</v>
      </c>
      <c r="F97" s="535">
        <v>6733.42</v>
      </c>
      <c r="G97" s="535">
        <v>7226.13</v>
      </c>
      <c r="H97" s="34">
        <v>9314.3799999999992</v>
      </c>
      <c r="I97" s="34">
        <v>6992.97</v>
      </c>
      <c r="J97" s="34">
        <v>4208.8500000000004</v>
      </c>
      <c r="K97" s="34">
        <v>3808.19</v>
      </c>
      <c r="L97" s="34">
        <v>3329.47</v>
      </c>
      <c r="M97" s="22">
        <f>(M219/365)*M$5</f>
        <v>3.9511464583789171</v>
      </c>
      <c r="N97" s="22">
        <f>(N219/365)*N$5</f>
        <v>6.8239390637067512</v>
      </c>
      <c r="O97" s="22">
        <f>(O219/365)*O$5</f>
        <v>9.3778329880073148</v>
      </c>
      <c r="P97" s="22">
        <f>(P219/365)*P$5</f>
        <v>11.203671368613701</v>
      </c>
      <c r="Q97" s="204"/>
      <c r="R97" s="204"/>
    </row>
    <row r="98" spans="2:18" x14ac:dyDescent="0.2">
      <c r="B98" s="33" t="s">
        <v>61</v>
      </c>
      <c r="C98" s="34"/>
      <c r="D98" s="535">
        <f>17296.47+5454.47</f>
        <v>22750.940000000002</v>
      </c>
      <c r="E98" s="535">
        <f>11968.54+4069.17</f>
        <v>16037.710000000001</v>
      </c>
      <c r="F98" s="535">
        <f>3200.88+3395.29</f>
        <v>6596.17</v>
      </c>
      <c r="G98" s="535">
        <f>4391.67+5038.25</f>
        <v>9429.92</v>
      </c>
      <c r="H98" s="34">
        <f>2846.35+4784.56</f>
        <v>7630.91</v>
      </c>
      <c r="I98" s="34">
        <f>5474.49+7910.09</f>
        <v>13384.58</v>
      </c>
      <c r="J98" s="34">
        <f>3091.59+10057.16</f>
        <v>13148.75</v>
      </c>
      <c r="K98" s="34">
        <f>12842.73+16317.59</f>
        <v>29160.32</v>
      </c>
      <c r="L98" s="34">
        <f>22309.43+39271.48</f>
        <v>61580.91</v>
      </c>
      <c r="M98" s="85">
        <f t="shared" ref="M98:P98" si="78">M176</f>
        <v>35041.830049938457</v>
      </c>
      <c r="N98" s="85">
        <f t="shared" si="78"/>
        <v>16383.92364389079</v>
      </c>
      <c r="O98" s="85">
        <f t="shared" si="78"/>
        <v>26125.863771354147</v>
      </c>
      <c r="P98" s="85">
        <f t="shared" si="78"/>
        <v>54780.992976406917</v>
      </c>
      <c r="Q98" s="204"/>
      <c r="R98" s="204"/>
    </row>
    <row r="99" spans="2:18" x14ac:dyDescent="0.2">
      <c r="B99" s="33" t="s">
        <v>62</v>
      </c>
      <c r="C99" s="34"/>
      <c r="D99" s="535">
        <v>238.13</v>
      </c>
      <c r="E99" s="535">
        <v>722.48</v>
      </c>
      <c r="F99" s="535">
        <v>1202.87</v>
      </c>
      <c r="G99" s="535">
        <v>1621.99</v>
      </c>
      <c r="H99" s="34">
        <v>1623.18</v>
      </c>
      <c r="I99" s="34">
        <v>3439.39</v>
      </c>
      <c r="J99" s="34"/>
      <c r="K99" s="34"/>
      <c r="L99" s="34"/>
      <c r="M99" s="22">
        <f t="shared" ref="M99:P99" si="79">L99</f>
        <v>0</v>
      </c>
      <c r="N99" s="22">
        <f t="shared" si="79"/>
        <v>0</v>
      </c>
      <c r="O99" s="22">
        <f t="shared" si="79"/>
        <v>0</v>
      </c>
      <c r="P99" s="22">
        <f t="shared" si="79"/>
        <v>0</v>
      </c>
      <c r="Q99" s="204"/>
      <c r="R99" s="204"/>
    </row>
    <row r="100" spans="2:18" x14ac:dyDescent="0.2">
      <c r="B100" s="33" t="s">
        <v>63</v>
      </c>
      <c r="C100" s="34"/>
      <c r="D100" s="535">
        <f>641.84+1021.13</f>
        <v>1662.97</v>
      </c>
      <c r="E100" s="535">
        <f>514.91+7176.28</f>
        <v>7691.19</v>
      </c>
      <c r="F100" s="535">
        <f>382.66+11588.12+25107.01</f>
        <v>37077.79</v>
      </c>
      <c r="G100" s="535">
        <f>606.42+3948.98</f>
        <v>4555.4</v>
      </c>
      <c r="H100" s="34">
        <f>1641.74+0.05+3188.85</f>
        <v>4830.6399999999994</v>
      </c>
      <c r="I100" s="34">
        <f>1050.03+0.05+2154.37</f>
        <v>3204.45</v>
      </c>
      <c r="J100" s="34">
        <f>10987.29+126.1+1583.48</f>
        <v>12696.87</v>
      </c>
      <c r="K100" s="34">
        <f>1744.06+2969.25+95.37</f>
        <v>4808.6799999999994</v>
      </c>
      <c r="L100" s="34">
        <f>1450.93+3226.58+95.76</f>
        <v>4773.2700000000004</v>
      </c>
      <c r="M100" s="22">
        <f t="shared" ref="M100:P100" si="80">L100</f>
        <v>4773.2700000000004</v>
      </c>
      <c r="N100" s="22">
        <f t="shared" si="80"/>
        <v>4773.2700000000004</v>
      </c>
      <c r="O100" s="22">
        <f t="shared" si="80"/>
        <v>4773.2700000000004</v>
      </c>
      <c r="P100" s="22">
        <f t="shared" si="80"/>
        <v>4773.2700000000004</v>
      </c>
      <c r="Q100" s="204"/>
      <c r="R100" s="204"/>
    </row>
    <row r="101" spans="2:18" s="74" customFormat="1" x14ac:dyDescent="0.2">
      <c r="B101" s="35" t="s">
        <v>64</v>
      </c>
      <c r="C101" s="36"/>
      <c r="D101" s="36">
        <f>SUM(D95:D100)</f>
        <v>26381.800000000003</v>
      </c>
      <c r="E101" s="36">
        <f>SUM(E95:E100)</f>
        <v>29921.66</v>
      </c>
      <c r="F101" s="36">
        <f>SUM(F95:F100)</f>
        <v>51610.25</v>
      </c>
      <c r="G101" s="36">
        <f>SUM(G95:G100)</f>
        <v>22833.44</v>
      </c>
      <c r="H101" s="36">
        <f>SUM(H95:H100)</f>
        <v>23399.11</v>
      </c>
      <c r="I101" s="36">
        <f>SUM(I95:I100)</f>
        <v>27021.39</v>
      </c>
      <c r="J101" s="36">
        <f>SUM(J95:J100)</f>
        <v>31553.15</v>
      </c>
      <c r="K101" s="36">
        <f>SUM(K95:K100)</f>
        <v>37816.46</v>
      </c>
      <c r="L101" s="36">
        <f>SUM(L95:L100)</f>
        <v>69857.38</v>
      </c>
      <c r="M101" s="24">
        <f t="shared" ref="M101:P101" si="81">SUM(M95:M100)</f>
        <v>39992.781196396842</v>
      </c>
      <c r="N101" s="24">
        <f t="shared" si="81"/>
        <v>21337.747582954496</v>
      </c>
      <c r="O101" s="24">
        <f t="shared" si="81"/>
        <v>31082.241604342154</v>
      </c>
      <c r="P101" s="24">
        <f t="shared" si="81"/>
        <v>59739.196647775534</v>
      </c>
      <c r="Q101" s="206"/>
      <c r="R101" s="206"/>
    </row>
    <row r="102" spans="2:18" x14ac:dyDescent="0.2">
      <c r="B102" s="33"/>
      <c r="C102" s="34"/>
      <c r="D102" s="34"/>
      <c r="E102" s="34"/>
      <c r="F102" s="34"/>
      <c r="G102" s="34"/>
      <c r="H102" s="34"/>
      <c r="I102" s="34"/>
      <c r="J102" s="34"/>
      <c r="K102" s="34"/>
      <c r="L102" s="34"/>
      <c r="M102" s="22"/>
      <c r="N102" s="22"/>
      <c r="O102" s="22"/>
      <c r="P102" s="22"/>
      <c r="Q102" s="204"/>
      <c r="R102" s="204"/>
    </row>
    <row r="103" spans="2:18" x14ac:dyDescent="0.2">
      <c r="B103" s="33" t="s">
        <v>65</v>
      </c>
      <c r="C103" s="34"/>
      <c r="D103" s="34"/>
      <c r="E103" s="34"/>
      <c r="F103" s="34"/>
      <c r="G103" s="34"/>
      <c r="H103" s="34"/>
      <c r="I103" s="34"/>
      <c r="J103" s="34"/>
      <c r="K103" s="34"/>
      <c r="L103" s="34"/>
      <c r="M103" s="22"/>
      <c r="N103" s="22"/>
      <c r="O103" s="22"/>
      <c r="P103" s="22"/>
      <c r="Q103" s="204"/>
      <c r="R103" s="204"/>
    </row>
    <row r="104" spans="2:18" x14ac:dyDescent="0.2">
      <c r="B104" s="33" t="s">
        <v>66</v>
      </c>
      <c r="C104" s="34"/>
      <c r="D104" s="535">
        <f>3.65+325.94</f>
        <v>329.59</v>
      </c>
      <c r="E104" s="535">
        <f>5.85+333.41</f>
        <v>339.26000000000005</v>
      </c>
      <c r="F104" s="535">
        <f>14.74+485.28</f>
        <v>500.02</v>
      </c>
      <c r="G104" s="535">
        <f>10.06+1486.58</f>
        <v>1496.6399999999999</v>
      </c>
      <c r="H104" s="34">
        <f>366.01+2364.09</f>
        <v>2730.1000000000004</v>
      </c>
      <c r="I104" s="34">
        <f>70.38+550.72</f>
        <v>621.1</v>
      </c>
      <c r="J104" s="34">
        <f>66.93+670.65</f>
        <v>737.57999999999993</v>
      </c>
      <c r="K104" s="34">
        <f>71.71+2175.55</f>
        <v>2247.2600000000002</v>
      </c>
      <c r="L104" s="34">
        <f>41.15+111.55</f>
        <v>152.69999999999999</v>
      </c>
      <c r="M104" s="22">
        <f>(M222/365)*M$5</f>
        <v>2375.8020966698932</v>
      </c>
      <c r="N104" s="22">
        <f>(N222/365)*N$5</f>
        <v>4103.1960991275701</v>
      </c>
      <c r="O104" s="22">
        <f>(O222/365)*O$5</f>
        <v>5638.8381220039337</v>
      </c>
      <c r="P104" s="22">
        <f>(P222/365)*P$5</f>
        <v>6736.7044497949692</v>
      </c>
      <c r="Q104" s="204"/>
      <c r="R104" s="204"/>
    </row>
    <row r="105" spans="2:18" x14ac:dyDescent="0.2">
      <c r="B105" s="33" t="s">
        <v>67</v>
      </c>
      <c r="C105" s="34"/>
      <c r="D105" s="535">
        <f>18561.00+195.59+36.50</f>
        <v>18793.09</v>
      </c>
      <c r="E105" s="535">
        <f>29577.95+433.74+101.92</f>
        <v>30113.61</v>
      </c>
      <c r="F105" s="535">
        <f>9312.51+608.63+0.04+19217.90</f>
        <v>29139.08</v>
      </c>
      <c r="G105" s="535">
        <f>11518.64+502.76+106.71</f>
        <v>12128.109999999999</v>
      </c>
      <c r="H105" s="34">
        <f>311.34+2868.27+418.18+3.64</f>
        <v>3601.43</v>
      </c>
      <c r="I105" s="34">
        <f>308.73+2403.39+777.04+0.13</f>
        <v>3489.29</v>
      </c>
      <c r="J105" s="34">
        <f>305.55+6769.29+1031.97+259.69</f>
        <v>8366.5</v>
      </c>
      <c r="K105" s="34">
        <f>481.97+3323.42+1474.33</f>
        <v>5279.72</v>
      </c>
      <c r="L105" s="34">
        <f>633+6802.35+1637.53+477.09</f>
        <v>9549.9700000000012</v>
      </c>
      <c r="M105" s="22">
        <f t="shared" ref="M105:P105" si="82">L105</f>
        <v>9549.9700000000012</v>
      </c>
      <c r="N105" s="22">
        <f t="shared" si="82"/>
        <v>9549.9700000000012</v>
      </c>
      <c r="O105" s="22">
        <f t="shared" si="82"/>
        <v>9549.9700000000012</v>
      </c>
      <c r="P105" s="22">
        <f t="shared" si="82"/>
        <v>9549.9700000000012</v>
      </c>
      <c r="Q105" s="204"/>
      <c r="R105" s="204"/>
    </row>
    <row r="106" spans="2:18" x14ac:dyDescent="0.2">
      <c r="B106" s="33" t="s">
        <v>68</v>
      </c>
      <c r="C106" s="34"/>
      <c r="D106" s="535">
        <v>0.0</v>
      </c>
      <c r="E106" s="535">
        <v>0.15</v>
      </c>
      <c r="F106" s="535">
        <v>2.04</v>
      </c>
      <c r="G106" s="535">
        <v>1.45</v>
      </c>
      <c r="H106" s="34">
        <v>2.4300000000000002</v>
      </c>
      <c r="I106" s="34">
        <v>4.75</v>
      </c>
      <c r="J106" s="34">
        <v>5.0599999999999996</v>
      </c>
      <c r="K106" s="34">
        <v>11.55</v>
      </c>
      <c r="L106" s="34">
        <v>17.190000000000001</v>
      </c>
      <c r="M106" s="22">
        <f t="shared" ref="M106:P106" si="83">L106</f>
        <v>17.190000000000001</v>
      </c>
      <c r="N106" s="22">
        <f t="shared" si="83"/>
        <v>17.190000000000001</v>
      </c>
      <c r="O106" s="22">
        <f t="shared" si="83"/>
        <v>17.190000000000001</v>
      </c>
      <c r="P106" s="22">
        <f t="shared" si="83"/>
        <v>17.190000000000001</v>
      </c>
      <c r="Q106" s="204"/>
      <c r="R106" s="204"/>
    </row>
    <row r="107" spans="2:18" x14ac:dyDescent="0.2">
      <c r="B107" s="33" t="s">
        <v>69</v>
      </c>
      <c r="C107" s="34"/>
      <c r="D107" s="34">
        <f>SUM(D104:D106)</f>
        <v>19122.68</v>
      </c>
      <c r="E107" s="34">
        <f>SUM(E104:E106)</f>
        <v>30453.02</v>
      </c>
      <c r="F107" s="34">
        <f>SUM(F104:F106)</f>
        <v>29641.140000000003</v>
      </c>
      <c r="G107" s="34">
        <f>SUM(G104:G106)</f>
        <v>13626.199999999999</v>
      </c>
      <c r="H107" s="34">
        <f t="shared" ref="H107:I107" si="84">SUM(H104:H106)</f>
        <v>6333.9600000000009</v>
      </c>
      <c r="I107" s="34">
        <f t="shared" si="84"/>
        <v>4115.1400000000003</v>
      </c>
      <c r="J107" s="34">
        <f>SUM(J104:J106)</f>
        <v>9109.14</v>
      </c>
      <c r="K107" s="34">
        <f>SUM(K104:K106)</f>
        <v>7538.5300000000007</v>
      </c>
      <c r="L107" s="34">
        <f>SUM(L104:L106)</f>
        <v>9719.8600000000024</v>
      </c>
      <c r="M107" s="22">
        <f t="shared" ref="M107:P107" si="85">SUM(M104:M106)</f>
        <v>11942.962096669895</v>
      </c>
      <c r="N107" s="22">
        <f t="shared" si="85"/>
        <v>13670.356099127572</v>
      </c>
      <c r="O107" s="22">
        <f t="shared" si="85"/>
        <v>15205.998122003935</v>
      </c>
      <c r="P107" s="22">
        <f t="shared" si="85"/>
        <v>16303.86444979497</v>
      </c>
      <c r="Q107" s="204"/>
      <c r="R107" s="204"/>
    </row>
    <row r="108" spans="2:18" x14ac:dyDescent="0.2">
      <c r="B108" s="33"/>
      <c r="C108" s="34"/>
      <c r="D108" s="34"/>
      <c r="E108" s="34"/>
      <c r="F108" s="34"/>
      <c r="G108" s="34"/>
      <c r="H108" s="34"/>
      <c r="I108" s="34"/>
      <c r="J108" s="34"/>
      <c r="K108" s="34"/>
      <c r="L108" s="34"/>
      <c r="M108" s="22"/>
      <c r="N108" s="22"/>
      <c r="O108" s="22"/>
      <c r="P108" s="22"/>
      <c r="Q108" s="204"/>
      <c r="R108" s="204"/>
    </row>
    <row r="109" spans="2:18" x14ac:dyDescent="0.2">
      <c r="B109" s="33" t="s">
        <v>70</v>
      </c>
      <c r="C109" s="34"/>
      <c r="D109" s="34">
        <f>D101-D107</f>
        <v>7259.120000000003</v>
      </c>
      <c r="E109" s="34">
        <f>E101-E107</f>
        <v>-531.3600000000006</v>
      </c>
      <c r="F109" s="34">
        <f>F101-F107</f>
        <v>21969.109999999997</v>
      </c>
      <c r="G109" s="34">
        <f>G101-G107</f>
        <v>9207.24</v>
      </c>
      <c r="H109" s="34">
        <f t="shared" ref="H109:I109" si="86">H101-H107</f>
        <v>17065.150000000001</v>
      </c>
      <c r="I109" s="34">
        <f t="shared" si="86"/>
        <v>22906.25</v>
      </c>
      <c r="J109" s="34">
        <f>J101-J107</f>
        <v>22444.010000000002</v>
      </c>
      <c r="K109" s="34">
        <f>K101-K107</f>
        <v>30277.93</v>
      </c>
      <c r="L109" s="34">
        <f>L101-L107</f>
        <v>60137.520000000004</v>
      </c>
      <c r="M109" s="22">
        <f t="shared" ref="M109:P109" si="87">M101-M107</f>
        <v>28049.819099726948</v>
      </c>
      <c r="N109" s="22">
        <f t="shared" si="87"/>
        <v>7667.3914838269247</v>
      </c>
      <c r="O109" s="22">
        <f t="shared" si="87"/>
        <v>15876.243482338219</v>
      </c>
      <c r="P109" s="22">
        <f t="shared" si="87"/>
        <v>43435.332197980562</v>
      </c>
      <c r="Q109" s="204"/>
      <c r="R109" s="204"/>
    </row>
    <row r="110" spans="2:18" x14ac:dyDescent="0.2">
      <c r="B110" s="33"/>
      <c r="C110" s="34"/>
      <c r="D110" s="34"/>
      <c r="E110" s="34"/>
      <c r="F110" s="34"/>
      <c r="G110" s="34"/>
      <c r="H110" s="34"/>
      <c r="I110" s="34"/>
      <c r="J110" s="34"/>
      <c r="K110" s="34"/>
      <c r="L110" s="34"/>
      <c r="M110" s="22"/>
      <c r="N110" s="22"/>
      <c r="O110" s="22"/>
      <c r="P110" s="22"/>
      <c r="Q110" s="204"/>
      <c r="R110" s="204"/>
    </row>
    <row r="111" spans="2:18" x14ac:dyDescent="0.2">
      <c r="B111" s="35" t="s">
        <v>71</v>
      </c>
      <c r="C111" s="36"/>
      <c r="D111" s="36">
        <f>SUM(D81:D86)+SUM(D88:D92)+D109</f>
        <v>107142.92000000001</v>
      </c>
      <c r="E111" s="36">
        <f>SUM(E81:E86)+SUM(E88:E92)+E109</f>
        <v>111953.55</v>
      </c>
      <c r="F111" s="36">
        <f>SUM(F81:F86)+SUM(F88:F92)+F109</f>
        <v>124700.14</v>
      </c>
      <c r="G111" s="36">
        <f>SUM(G81:G86)+SUM(G88:G92)+G109</f>
        <v>111441.55000000002</v>
      </c>
      <c r="H111" s="36">
        <f t="shared" ref="H111:I111" si="88">SUM(H81:H86)+SUM(H88:H92)+H109</f>
        <v>102533.21000000002</v>
      </c>
      <c r="I111" s="36">
        <f t="shared" si="88"/>
        <v>117754.39</v>
      </c>
      <c r="J111" s="36">
        <f>SUM(J81:J86)+SUM(J88:J92)+J109</f>
        <v>124888.87</v>
      </c>
      <c r="K111" s="36">
        <f>SUM(K81:K86)+SUM(K88:K92)+K109</f>
        <v>176497.6</v>
      </c>
      <c r="L111" s="36">
        <f>SUM(L81:L86)+SUM(L88:L92)+L109</f>
        <v>275683.23000000004</v>
      </c>
      <c r="M111" s="24">
        <f t="shared" ref="M111:P111" si="89">SUM(M81:M86)+SUM(M88:M92)+M109</f>
        <v>433504.31671122275</v>
      </c>
      <c r="N111" s="24">
        <f t="shared" si="89"/>
        <v>616411.29507339268</v>
      </c>
      <c r="O111" s="24">
        <f t="shared" si="89"/>
        <v>742349.44018885773</v>
      </c>
      <c r="P111" s="24">
        <f t="shared" si="89"/>
        <v>784406.85206099425</v>
      </c>
      <c r="Q111" s="206"/>
      <c r="R111" s="206"/>
    </row>
    <row r="112" spans="2:18" x14ac:dyDescent="0.2">
      <c r="B112" s="37" t="s">
        <v>293</v>
      </c>
      <c r="C112" s="44"/>
      <c r="D112" s="44">
        <f>D75-D111</f>
        <v>0.0</v>
      </c>
      <c r="E112" s="44">
        <f>E75-E111</f>
        <v>1.4551915228366852e-11</v>
      </c>
      <c r="F112" s="44">
        <f>F75-F111</f>
        <v>0.0</v>
      </c>
      <c r="G112" s="44">
        <f>G75-G111</f>
        <v>-1.4551915228366852e-11</v>
      </c>
      <c r="H112" s="44">
        <f t="shared" ref="H112:I112" si="90">H75-H111</f>
        <v>0</v>
      </c>
      <c r="I112" s="44">
        <f t="shared" si="90"/>
        <v>0</v>
      </c>
      <c r="J112" s="44">
        <f>J75-J111</f>
        <v>0</v>
      </c>
      <c r="K112" s="44">
        <f>K75-K111</f>
        <v>-0.1999999999825377</v>
      </c>
      <c r="L112" s="44">
        <f>L75-L111</f>
        <v>0</v>
      </c>
      <c r="M112" s="28">
        <f t="shared" ref="M112:P112" si="91">M75-M111</f>
        <v>0</v>
      </c>
      <c r="N112" s="28">
        <f t="shared" si="91"/>
        <v>0</v>
      </c>
      <c r="O112" s="28">
        <f t="shared" si="91"/>
        <v>0</v>
      </c>
      <c r="P112" s="28">
        <f t="shared" si="91"/>
        <v>0</v>
      </c>
      <c r="Q112" s="211"/>
      <c r="R112" s="211"/>
    </row>
    <row r="113" spans="2:18" x14ac:dyDescent="0.2">
      <c r="Q113" s="212"/>
      <c r="R113" s="212"/>
    </row>
    <row r="114" spans="2:18" x14ac:dyDescent="0.2">
      <c r="B114" s="16" t="s">
        <v>78</v>
      </c>
      <c r="C114" s="8"/>
      <c r="D114" s="171">
        <f>D2</f>
        <v>2018.0</v>
      </c>
      <c r="E114" s="171">
        <f>E2</f>
        <v>2019.0</v>
      </c>
      <c r="F114" s="171">
        <f>F2</f>
        <v>2020.0</v>
      </c>
      <c r="G114" s="171">
        <f>G2</f>
        <v>2021.0</v>
      </c>
      <c r="H114" s="171">
        <f t="shared" ref="H114:P114" si="92">H2</f>
        <v>2022</v>
      </c>
      <c r="I114" s="171">
        <f t="shared" si="92"/>
        <v>2023</v>
      </c>
      <c r="J114" s="171">
        <f t="shared" si="92"/>
        <v>2024</v>
      </c>
      <c r="K114" s="171">
        <f t="shared" si="92"/>
        <v>2025</v>
      </c>
      <c r="L114" s="171">
        <f t="shared" ref="L114" si="93">L2</f>
        <v>2026</v>
      </c>
      <c r="M114" s="198" t="str">
        <f t="shared" si="92"/>
        <v>2027E</v>
      </c>
      <c r="N114" s="198" t="str">
        <f t="shared" si="92"/>
        <v>2028E</v>
      </c>
      <c r="O114" s="198" t="str">
        <f t="shared" si="92"/>
        <v>2029E</v>
      </c>
      <c r="P114" s="198" t="str">
        <f t="shared" si="92"/>
        <v>2030E</v>
      </c>
      <c r="Q114" s="213"/>
      <c r="R114" s="213"/>
    </row>
    <row r="115" spans="2:18" x14ac:dyDescent="0.2">
      <c r="B115" s="5" t="s">
        <v>79</v>
      </c>
      <c r="C115" s="5"/>
      <c r="D115" s="537">
        <v>-441.99</v>
      </c>
      <c r="E115" s="537">
        <v>-58.14</v>
      </c>
      <c r="F115" s="537">
        <v>-2106.77</v>
      </c>
      <c r="G115" s="537">
        <v>-11.09</v>
      </c>
      <c r="H115" s="5">
        <v>1024.26</v>
      </c>
      <c r="I115" s="5">
        <v>-154.01</v>
      </c>
      <c r="J115" s="5">
        <v>9094.25</v>
      </c>
      <c r="K115" s="5">
        <v>3380.36</v>
      </c>
      <c r="L115" s="5">
        <v>6768.24</v>
      </c>
      <c r="M115" s="29">
        <f t="shared" ref="M115:P115" si="94">M30</f>
        <v>12086.8268000809</v>
      </c>
      <c r="N115" s="29">
        <f t="shared" si="94"/>
        <v>23058.19422461696</v>
      </c>
      <c r="O115" s="29">
        <f t="shared" si="94"/>
        <v>31418.653524221932</v>
      </c>
      <c r="P115" s="29">
        <f t="shared" si="94"/>
        <v>39019.590116168889</v>
      </c>
      <c r="Q115" s="212"/>
      <c r="R115" s="212"/>
    </row>
    <row r="116" spans="2:18" x14ac:dyDescent="0.2">
      <c r="B116" s="20" t="s">
        <v>80</v>
      </c>
      <c r="C116" s="5"/>
      <c r="D116" s="5"/>
      <c r="E116" s="5"/>
      <c r="F116" s="5"/>
      <c r="G116" s="5"/>
      <c r="H116" s="5"/>
      <c r="I116" s="5"/>
      <c r="J116" s="5"/>
      <c r="K116" s="5"/>
      <c r="L116" s="5"/>
      <c r="M116" s="29"/>
      <c r="N116" s="29"/>
      <c r="O116" s="29"/>
      <c r="P116" s="29"/>
      <c r="Q116" s="212"/>
      <c r="R116" s="212"/>
    </row>
    <row r="117" spans="2:18" x14ac:dyDescent="0.2">
      <c r="B117" s="5" t="s">
        <v>81</v>
      </c>
      <c r="C117" s="5"/>
      <c r="D117" s="537">
        <v>3668.95</v>
      </c>
      <c r="E117" s="537">
        <v>5708.07</v>
      </c>
      <c r="F117" s="537">
        <v>7000.8</v>
      </c>
      <c r="G117" s="537">
        <v>6217.8</v>
      </c>
      <c r="H117" s="5">
        <v>5462.75</v>
      </c>
      <c r="I117" s="5">
        <v>4848.0200000000004</v>
      </c>
      <c r="J117" s="5">
        <v>3081.38</v>
      </c>
      <c r="K117" s="5">
        <v>2873.13</v>
      </c>
      <c r="L117" s="5">
        <v>4679.0200000000004</v>
      </c>
      <c r="M117" s="29">
        <f t="shared" ref="M117:P117" si="95">M20</f>
        <v>7198.5435616438353</v>
      </c>
      <c r="N117" s="29">
        <f t="shared" si="95"/>
        <v>15339.542465753426</v>
      </c>
      <c r="O117" s="29">
        <f t="shared" si="95"/>
        <v>21812.594520547951</v>
      </c>
      <c r="P117" s="29">
        <f t="shared" si="95"/>
        <v>29531.772602739729</v>
      </c>
      <c r="Q117" s="212"/>
      <c r="R117" s="212"/>
    </row>
    <row r="118" spans="2:18" x14ac:dyDescent="0.2">
      <c r="B118" s="5" t="s">
        <v>82</v>
      </c>
      <c r="C118" s="5"/>
      <c r="D118" s="537">
        <v>6503.15</v>
      </c>
      <c r="E118" s="537">
        <v>10173.2</v>
      </c>
      <c r="F118" s="537">
        <v>12368.28</v>
      </c>
      <c r="G118" s="537">
        <v>11505.63</v>
      </c>
      <c r="H118" s="5">
        <v>9960.08</v>
      </c>
      <c r="I118" s="5">
        <v>8090.97</v>
      </c>
      <c r="J118" s="5">
        <v>7672.93</v>
      </c>
      <c r="K118" s="5">
        <v>7592.07</v>
      </c>
      <c r="L118" s="5">
        <v>11229.88</v>
      </c>
      <c r="M118" s="29">
        <f t="shared" ref="M118:P118" si="96">M24</f>
        <v>17937.057200007013</v>
      </c>
      <c r="N118" s="29">
        <f t="shared" si="96"/>
        <v>28214.234839192006</v>
      </c>
      <c r="O118" s="29">
        <f t="shared" si="96"/>
        <v>37842.850240489301</v>
      </c>
      <c r="P118" s="29">
        <f t="shared" si="96"/>
        <v>42004.947810987673</v>
      </c>
      <c r="Q118" s="212"/>
      <c r="R118" s="212"/>
    </row>
    <row r="119" spans="2:18" x14ac:dyDescent="0.2">
      <c r="B119" s="5" t="s">
        <v>83</v>
      </c>
      <c r="C119" s="5"/>
      <c r="D119" s="537">
        <v>-599.2</v>
      </c>
      <c r="E119" s="537">
        <v>-1130.4</v>
      </c>
      <c r="F119" s="537">
        <v>-616.15</v>
      </c>
      <c r="G119" s="537">
        <v>-684.74</v>
      </c>
      <c r="H119" s="5">
        <v>-513.08000000000004</v>
      </c>
      <c r="I119" s="5">
        <v>-536.15</v>
      </c>
      <c r="J119" s="5">
        <v>-1208.58</v>
      </c>
      <c r="K119" s="5">
        <v>-1335.89</v>
      </c>
      <c r="L119" s="5">
        <v>-2555.8200000000002</v>
      </c>
      <c r="M119" s="29">
        <f t="shared" ref="M119:P119" si="97">-M19</f>
        <v>-4246.5051054200048</v>
      </c>
      <c r="N119" s="29">
        <f t="shared" si="97"/>
        <v>-5795.628480117326</v>
      </c>
      <c r="O119" s="29">
        <f t="shared" si="97"/>
        <v>-7246.9912674305115</v>
      </c>
      <c r="P119" s="29">
        <f t="shared" si="97"/>
        <v>-7874.3622111462682</v>
      </c>
      <c r="Q119" s="212"/>
      <c r="R119" s="212"/>
    </row>
    <row r="120" spans="2:18" x14ac:dyDescent="0.2">
      <c r="B120" s="5" t="s">
        <v>84</v>
      </c>
      <c r="C120" s="5"/>
      <c r="D120" s="537">
        <v>0.0</v>
      </c>
      <c r="E120" s="537">
        <v>-96.85</v>
      </c>
      <c r="F120" s="537">
        <v>-106.8</v>
      </c>
      <c r="G120" s="537">
        <v>-211.19</v>
      </c>
      <c r="H120" s="5">
        <v>-153.5</v>
      </c>
      <c r="I120" s="5">
        <v>-106.38</v>
      </c>
      <c r="J120" s="5">
        <v>-180.37</v>
      </c>
      <c r="K120" s="5">
        <v>-320.07</v>
      </c>
      <c r="L120" s="5">
        <v>-711.44</v>
      </c>
      <c r="M120" s="29"/>
      <c r="N120" s="29"/>
      <c r="O120" s="29"/>
      <c r="P120" s="29"/>
      <c r="Q120" s="212"/>
      <c r="R120" s="212"/>
    </row>
    <row r="121" spans="2:18" x14ac:dyDescent="0.2">
      <c r="B121" s="5" t="s">
        <v>85</v>
      </c>
      <c r="C121" s="5"/>
      <c r="D121" s="537">
        <v>9.98</v>
      </c>
      <c r="E121" s="537">
        <v>20.38</v>
      </c>
      <c r="F121" s="537">
        <v>22.25</v>
      </c>
      <c r="G121" s="537">
        <v>15.93</v>
      </c>
      <c r="H121" s="5">
        <v>9.36</v>
      </c>
      <c r="I121" s="5">
        <v>10.68</v>
      </c>
      <c r="J121" s="5">
        <v>10.02</v>
      </c>
      <c r="K121" s="5">
        <v>3.65</v>
      </c>
      <c r="L121" s="5">
        <v>1.95</v>
      </c>
      <c r="M121" s="29"/>
      <c r="N121" s="29"/>
      <c r="O121" s="29"/>
      <c r="P121" s="29"/>
      <c r="Q121" s="212"/>
      <c r="R121" s="212"/>
    </row>
    <row r="122" spans="2:18" x14ac:dyDescent="0.2">
      <c r="B122" s="5" t="s">
        <v>136</v>
      </c>
      <c r="C122" s="5"/>
      <c r="D122" s="537">
        <v>-31.03</v>
      </c>
      <c r="E122" s="537">
        <v>0.0</v>
      </c>
      <c r="F122" s="537">
        <v>0.0</v>
      </c>
      <c r="G122" s="537">
        <v>-1134.26</v>
      </c>
      <c r="H122" s="5">
        <v>-3295.63</v>
      </c>
      <c r="I122" s="5">
        <v>-225.67</v>
      </c>
      <c r="J122" s="5">
        <v>-7212.3</v>
      </c>
      <c r="K122" s="5"/>
      <c r="L122" s="5"/>
      <c r="M122" s="29"/>
      <c r="N122" s="29"/>
      <c r="O122" s="29"/>
      <c r="P122" s="29"/>
      <c r="Q122" s="212"/>
      <c r="R122" s="212"/>
    </row>
    <row r="123" spans="2:18" x14ac:dyDescent="0.2">
      <c r="B123" s="5" t="s">
        <v>86</v>
      </c>
      <c r="C123" s="5"/>
      <c r="D123" s="537">
        <v>0.0</v>
      </c>
      <c r="E123" s="537">
        <v>0.0</v>
      </c>
      <c r="F123" s="537">
        <v>0.0</v>
      </c>
      <c r="G123" s="537">
        <v>0.0</v>
      </c>
      <c r="H123" s="5">
        <v>0</v>
      </c>
      <c r="I123" s="5">
        <v>0</v>
      </c>
      <c r="J123" s="5">
        <v>122.28</v>
      </c>
      <c r="K123" s="5"/>
      <c r="L123" s="5"/>
      <c r="M123" s="29"/>
      <c r="N123" s="29"/>
      <c r="O123" s="29"/>
      <c r="P123" s="29"/>
      <c r="Q123" s="212"/>
      <c r="R123" s="212"/>
    </row>
    <row r="124" spans="2:18" x14ac:dyDescent="0.2">
      <c r="B124" s="5" t="s">
        <v>87</v>
      </c>
      <c r="C124" s="5"/>
      <c r="D124" s="537">
        <v>0.0</v>
      </c>
      <c r="E124" s="537">
        <v>0.0</v>
      </c>
      <c r="F124" s="537">
        <v>0.0</v>
      </c>
      <c r="G124" s="537">
        <v>0.0</v>
      </c>
      <c r="H124" s="5">
        <v>0</v>
      </c>
      <c r="I124" s="5">
        <v>-168.69</v>
      </c>
      <c r="J124" s="5">
        <v>-274.61</v>
      </c>
      <c r="K124" s="5">
        <v>-49.19</v>
      </c>
      <c r="L124" s="5">
        <v>-185.88</v>
      </c>
      <c r="M124" s="29"/>
      <c r="N124" s="29"/>
      <c r="O124" s="29"/>
      <c r="P124" s="29"/>
      <c r="Q124" s="212"/>
      <c r="R124" s="212"/>
    </row>
    <row r="125" spans="2:18" x14ac:dyDescent="0.2">
      <c r="B125" s="5" t="s">
        <v>88</v>
      </c>
      <c r="C125" s="5"/>
      <c r="D125" s="537">
        <v>0.0</v>
      </c>
      <c r="E125" s="537">
        <v>0.0</v>
      </c>
      <c r="F125" s="537">
        <v>0.0</v>
      </c>
      <c r="G125" s="537">
        <v>0.0</v>
      </c>
      <c r="H125" s="5">
        <v>0</v>
      </c>
      <c r="I125" s="5">
        <v>-4.67</v>
      </c>
      <c r="J125" s="5">
        <v>-58.86</v>
      </c>
      <c r="K125" s="5">
        <v>-26.03</v>
      </c>
      <c r="L125" s="5"/>
      <c r="M125" s="29"/>
      <c r="N125" s="29"/>
      <c r="O125" s="29"/>
      <c r="P125" s="29"/>
      <c r="Q125" s="212"/>
      <c r="R125" s="212"/>
    </row>
    <row r="126" spans="2:18" x14ac:dyDescent="0.2">
      <c r="B126" s="5" t="s">
        <v>89</v>
      </c>
      <c r="C126" s="5"/>
      <c r="D126" s="537">
        <v>0.0</v>
      </c>
      <c r="E126" s="537">
        <v>0.0</v>
      </c>
      <c r="F126" s="537">
        <v>0.0</v>
      </c>
      <c r="G126" s="537">
        <v>0.0</v>
      </c>
      <c r="H126" s="5">
        <v>0</v>
      </c>
      <c r="I126" s="5">
        <v>-0.33</v>
      </c>
      <c r="J126" s="5">
        <v>-4.5199999999999996</v>
      </c>
      <c r="K126" s="5">
        <v>16.82</v>
      </c>
      <c r="L126" s="5">
        <v>39.28</v>
      </c>
      <c r="M126" s="29"/>
      <c r="N126" s="29"/>
      <c r="O126" s="29"/>
      <c r="P126" s="29"/>
      <c r="Q126" s="212"/>
      <c r="R126" s="212"/>
    </row>
    <row r="127" spans="2:18" x14ac:dyDescent="0.2">
      <c r="B127" s="5" t="s">
        <v>90</v>
      </c>
      <c r="C127" s="5"/>
      <c r="D127" s="537">
        <v>-15.02</v>
      </c>
      <c r="E127" s="537">
        <v>-5.59</v>
      </c>
      <c r="F127" s="537">
        <v>-9.81</v>
      </c>
      <c r="G127" s="537">
        <v>-26.57</v>
      </c>
      <c r="H127" s="5">
        <v>-22.3</v>
      </c>
      <c r="I127" s="5">
        <v>-9.17</v>
      </c>
      <c r="J127" s="5">
        <v>-0.14000000000000001</v>
      </c>
      <c r="K127" s="5"/>
      <c r="L127" s="5"/>
      <c r="M127" s="29"/>
      <c r="N127" s="29"/>
      <c r="O127" s="29"/>
      <c r="P127" s="29"/>
      <c r="Q127" s="212"/>
      <c r="R127" s="212"/>
    </row>
    <row r="128" spans="2:18" x14ac:dyDescent="0.2">
      <c r="B128" s="5" t="s">
        <v>91</v>
      </c>
      <c r="C128" s="5"/>
      <c r="D128" s="537">
        <f>63.74+679.52</f>
        <v>743.26</v>
      </c>
      <c r="E128" s="537">
        <f>174.19+86.52</f>
        <v>260.71</v>
      </c>
      <c r="F128" s="537">
        <v>86.82</v>
      </c>
      <c r="G128" s="537">
        <v>-75.94</v>
      </c>
      <c r="H128" s="5">
        <v>-3.68</v>
      </c>
      <c r="I128" s="5">
        <v>-1.68</v>
      </c>
      <c r="J128" s="5">
        <v>-0.51</v>
      </c>
      <c r="K128" s="5">
        <v>0.39</v>
      </c>
      <c r="L128" s="5">
        <v>147.28</v>
      </c>
      <c r="M128" s="29"/>
      <c r="N128" s="29"/>
      <c r="O128" s="29"/>
      <c r="P128" s="29"/>
      <c r="Q128" s="212"/>
      <c r="R128" s="212"/>
    </row>
    <row r="129" spans="2:18" x14ac:dyDescent="0.2">
      <c r="B129" s="5" t="s">
        <v>228</v>
      </c>
      <c r="C129" s="5"/>
      <c r="D129" s="537">
        <f>5.75-344.85+18.33</f>
        <v>-320.77000000000004</v>
      </c>
      <c r="E129" s="537">
        <f>4.72-292.20</f>
        <v>-287.47999999999996</v>
      </c>
      <c r="F129" s="537">
        <f>1.10+1.11</f>
        <v>2.21</v>
      </c>
      <c r="G129" s="537">
        <f>1.50+1.37</f>
        <v>2.87</v>
      </c>
      <c r="H129" s="5"/>
      <c r="I129" s="5"/>
      <c r="J129" s="5"/>
      <c r="K129" s="5">
        <f>259.03+240.86</f>
        <v>499.89</v>
      </c>
      <c r="L129" s="5">
        <f>159.11-518.81+5.93+91.45</f>
        <v>-262.31999999999994</v>
      </c>
      <c r="M129" s="29"/>
      <c r="N129" s="29"/>
      <c r="O129" s="29"/>
      <c r="P129" s="29"/>
      <c r="Q129" s="212"/>
      <c r="R129" s="212"/>
    </row>
    <row r="130" spans="2:18" x14ac:dyDescent="0.2">
      <c r="B130" s="20" t="s">
        <v>92</v>
      </c>
      <c r="C130" s="5"/>
      <c r="D130" s="20">
        <f>SUM(D115:D129)</f>
        <v>9517.33</v>
      </c>
      <c r="E130" s="20">
        <f>SUM(E115:E129)</f>
        <v>14583.9</v>
      </c>
      <c r="F130" s="20">
        <f>SUM(F115:F129)</f>
        <v>16640.83</v>
      </c>
      <c r="G130" s="20">
        <f>SUM(G115:G129)</f>
        <v>15598.439999999999</v>
      </c>
      <c r="H130" s="20">
        <f t="shared" ref="H130:J130" si="98">SUM(H115:H129)</f>
        <v>12468.260000000002</v>
      </c>
      <c r="I130" s="20">
        <f t="shared" si="98"/>
        <v>11742.92</v>
      </c>
      <c r="J130" s="20">
        <f t="shared" si="98"/>
        <v>11040.970000000005</v>
      </c>
      <c r="K130" s="20">
        <f>SUM(K115:K129)</f>
        <v>12635.129999999997</v>
      </c>
      <c r="L130" s="20">
        <f>SUM(L115:L129)</f>
        <v>19150.189999999999</v>
      </c>
      <c r="M130" s="30">
        <f t="shared" ref="M130" si="99">SUM(M115:M129)</f>
        <v>32975.922456311746</v>
      </c>
      <c r="N130" s="30">
        <f t="shared" ref="N130:P130" si="100">SUM(N115:N128)</f>
        <v>60816.343049445066</v>
      </c>
      <c r="O130" s="30">
        <f t="shared" si="100"/>
        <v>83827.107017828675</v>
      </c>
      <c r="P130" s="30">
        <f t="shared" si="100"/>
        <v>102681.94831875002</v>
      </c>
      <c r="Q130" s="214"/>
      <c r="R130" s="214"/>
    </row>
    <row r="131" spans="2:18" x14ac:dyDescent="0.2">
      <c r="B131" s="20" t="s">
        <v>93</v>
      </c>
      <c r="C131" s="5"/>
      <c r="D131" s="5"/>
      <c r="E131" s="5"/>
      <c r="F131" s="5"/>
      <c r="G131" s="5"/>
      <c r="H131" s="5"/>
      <c r="I131" s="5"/>
      <c r="J131" s="5"/>
      <c r="K131" s="5"/>
      <c r="L131" s="5"/>
      <c r="M131" s="29"/>
      <c r="N131" s="29"/>
      <c r="O131" s="29"/>
      <c r="P131" s="29"/>
      <c r="Q131" s="212"/>
      <c r="R131" s="212"/>
    </row>
    <row r="132" spans="2:18" x14ac:dyDescent="0.2">
      <c r="B132" s="5" t="s">
        <v>94</v>
      </c>
      <c r="C132" s="5"/>
      <c r="D132" s="537">
        <v>-779.52</v>
      </c>
      <c r="E132" s="537">
        <v>-3745.24</v>
      </c>
      <c r="F132" s="537">
        <v>-1545.71</v>
      </c>
      <c r="G132" s="537">
        <v>-579.47</v>
      </c>
      <c r="H132" s="5">
        <v>-3986.25</v>
      </c>
      <c r="I132" s="5">
        <v>2321.41</v>
      </c>
      <c r="J132" s="5">
        <v>2362.39</v>
      </c>
      <c r="K132" s="5">
        <v>400.66</v>
      </c>
      <c r="L132" s="5">
        <v>478.72</v>
      </c>
      <c r="M132" s="29">
        <f t="shared" ref="M132:P132" si="101">L97-M97</f>
        <v>3325.518853541621</v>
      </c>
      <c r="N132" s="29">
        <f t="shared" si="101"/>
        <v>-2.8727926053278341</v>
      </c>
      <c r="O132" s="29">
        <f t="shared" si="101"/>
        <v>-2.5538939243005636</v>
      </c>
      <c r="P132" s="29">
        <f t="shared" si="101"/>
        <v>-1.8258383806063865</v>
      </c>
      <c r="Q132" s="212"/>
      <c r="R132" s="212"/>
    </row>
    <row r="133" spans="2:18" x14ac:dyDescent="0.2">
      <c r="B133" s="5" t="s">
        <v>95</v>
      </c>
      <c r="C133" s="5"/>
      <c r="D133" s="537">
        <v>194.43</v>
      </c>
      <c r="E133" s="537">
        <v>-1379.89</v>
      </c>
      <c r="F133" s="537">
        <v>-6621.39</v>
      </c>
      <c r="G133" s="537">
        <v>743.83</v>
      </c>
      <c r="H133" s="5">
        <v>873.9</v>
      </c>
      <c r="I133" s="5">
        <v>236.21</v>
      </c>
      <c r="J133" s="5">
        <v>447.72</v>
      </c>
      <c r="K133" s="5">
        <v>-185</v>
      </c>
      <c r="L133" s="5">
        <v>723.41</v>
      </c>
      <c r="M133" s="29"/>
      <c r="N133" s="29"/>
      <c r="O133" s="29"/>
      <c r="P133" s="29"/>
      <c r="Q133" s="212"/>
      <c r="R133" s="212"/>
    </row>
    <row r="134" spans="2:18" x14ac:dyDescent="0.2">
      <c r="B134" s="5" t="s">
        <v>96</v>
      </c>
      <c r="C134" s="5"/>
      <c r="D134" s="537">
        <v>-2165.95</v>
      </c>
      <c r="E134" s="537">
        <v>-62.21</v>
      </c>
      <c r="F134" s="537">
        <v>-185.3</v>
      </c>
      <c r="G134" s="537">
        <v>-162.76</v>
      </c>
      <c r="H134" s="5">
        <v>-997.04</v>
      </c>
      <c r="I134" s="5">
        <v>587.85</v>
      </c>
      <c r="J134" s="5">
        <v>-10173.120000000001</v>
      </c>
      <c r="K134" s="5">
        <f>-39.27+1489.03</f>
        <v>1449.76</v>
      </c>
      <c r="L134" s="5">
        <f>-134.46-3769.01</f>
        <v>-3903.4700000000003</v>
      </c>
      <c r="M134" s="29">
        <f t="shared" ref="M134:P134" si="102">L100-M100+L99-M99+L95-M95+L88-M88+L89-M89+L91-M91+L92-M92</f>
        <v>0</v>
      </c>
      <c r="N134" s="29">
        <f t="shared" si="102"/>
        <v>0</v>
      </c>
      <c r="O134" s="29">
        <f t="shared" si="102"/>
        <v>0</v>
      </c>
      <c r="P134" s="29">
        <f t="shared" si="102"/>
        <v>0</v>
      </c>
      <c r="Q134" s="212"/>
      <c r="R134" s="212"/>
    </row>
    <row r="135" spans="2:18" x14ac:dyDescent="0.2">
      <c r="B135" s="5" t="s">
        <v>97</v>
      </c>
      <c r="C135" s="5"/>
      <c r="D135" s="537">
        <v>278.64</v>
      </c>
      <c r="E135" s="537">
        <v>9.67</v>
      </c>
      <c r="F135" s="537">
        <v>167.29</v>
      </c>
      <c r="G135" s="537">
        <v>996.82</v>
      </c>
      <c r="H135" s="5">
        <v>1259.58</v>
      </c>
      <c r="I135" s="5">
        <v>-2110</v>
      </c>
      <c r="J135" s="5">
        <v>117.99</v>
      </c>
      <c r="K135" s="5">
        <v>1509.29</v>
      </c>
      <c r="L135" s="5">
        <v>-2100.4899999999998</v>
      </c>
      <c r="M135" s="29">
        <f t="shared" ref="M135:P135" si="103">M104-L104</f>
        <v>2223.1020966698934</v>
      </c>
      <c r="N135" s="29">
        <f t="shared" si="103"/>
        <v>1727.3940024576768</v>
      </c>
      <c r="O135" s="29">
        <f t="shared" si="103"/>
        <v>1535.6420228763636</v>
      </c>
      <c r="P135" s="29">
        <f t="shared" si="103"/>
        <v>1097.8663277910355</v>
      </c>
      <c r="Q135" s="212"/>
      <c r="R135" s="212"/>
    </row>
    <row r="136" spans="2:18" x14ac:dyDescent="0.2">
      <c r="B136" s="5" t="s">
        <v>98</v>
      </c>
      <c r="C136" s="5"/>
      <c r="D136" s="537">
        <v>244.33</v>
      </c>
      <c r="E136" s="537">
        <v>-9.92</v>
      </c>
      <c r="F136" s="537">
        <v>641.63</v>
      </c>
      <c r="G136" s="537">
        <v>891.51</v>
      </c>
      <c r="H136" s="5">
        <v>69.650000000000006</v>
      </c>
      <c r="I136" s="5">
        <v>-64.849999999999994</v>
      </c>
      <c r="J136" s="5">
        <v>5181.3999999999996</v>
      </c>
      <c r="K136" s="5">
        <v>779.38</v>
      </c>
      <c r="L136" s="5">
        <v>-1109.03</v>
      </c>
      <c r="M136" s="29"/>
      <c r="N136" s="29"/>
      <c r="O136" s="29"/>
      <c r="P136" s="29"/>
      <c r="Q136" s="212"/>
      <c r="R136" s="212"/>
    </row>
    <row r="137" spans="2:18" x14ac:dyDescent="0.2">
      <c r="B137" s="5" t="s">
        <v>99</v>
      </c>
      <c r="C137" s="5"/>
      <c r="D137" s="537">
        <v>-2.75</v>
      </c>
      <c r="E137" s="537">
        <v>3.05</v>
      </c>
      <c r="F137" s="537">
        <v>12.55</v>
      </c>
      <c r="G137" s="537">
        <v>3.57</v>
      </c>
      <c r="H137" s="5">
        <v>8.07</v>
      </c>
      <c r="I137" s="5">
        <v>31.18</v>
      </c>
      <c r="J137" s="5">
        <v>12.52</v>
      </c>
      <c r="K137" s="5">
        <v>45.02</v>
      </c>
      <c r="L137" s="5">
        <v>56.74</v>
      </c>
      <c r="M137" s="29"/>
      <c r="N137" s="29"/>
      <c r="O137" s="29"/>
      <c r="P137" s="29"/>
      <c r="Q137" s="212"/>
      <c r="R137" s="212"/>
    </row>
    <row r="138" spans="2:18" x14ac:dyDescent="0.2">
      <c r="B138" s="5" t="s">
        <v>100</v>
      </c>
      <c r="C138" s="5"/>
      <c r="D138" s="537">
        <v>196.78</v>
      </c>
      <c r="E138" s="537">
        <v>261.67</v>
      </c>
      <c r="F138" s="537">
        <v>316.63</v>
      </c>
      <c r="G138" s="537">
        <v>-63.68</v>
      </c>
      <c r="H138" s="5">
        <v>109.22</v>
      </c>
      <c r="I138" s="5">
        <v>437.53</v>
      </c>
      <c r="J138" s="5">
        <v>5463.47</v>
      </c>
      <c r="K138" s="5">
        <v>120.14</v>
      </c>
      <c r="L138" s="5">
        <v>11.52</v>
      </c>
      <c r="M138" s="29">
        <f t="shared" ref="M138:P138" si="104">M106-L106+M105-L105</f>
        <v>0</v>
      </c>
      <c r="N138" s="29">
        <f t="shared" si="104"/>
        <v>0</v>
      </c>
      <c r="O138" s="29">
        <f t="shared" si="104"/>
        <v>0</v>
      </c>
      <c r="P138" s="29">
        <f t="shared" si="104"/>
        <v>0</v>
      </c>
      <c r="Q138" s="212"/>
      <c r="R138" s="212"/>
    </row>
    <row r="139" spans="2:18" x14ac:dyDescent="0.2">
      <c r="B139" s="20" t="s">
        <v>101</v>
      </c>
      <c r="C139" s="5"/>
      <c r="D139" s="20">
        <f>SUM(D132:D138)+D130</f>
        <v>7483.29</v>
      </c>
      <c r="E139" s="20">
        <f>SUM(E132:E138)+E130</f>
        <v>9661.029999999999</v>
      </c>
      <c r="F139" s="20">
        <f>SUM(F132:F138)+F130</f>
        <v>9426.530000000002</v>
      </c>
      <c r="G139" s="20">
        <f>SUM(G132:G138)+G130</f>
        <v>17428.26</v>
      </c>
      <c r="H139" s="20">
        <f t="shared" ref="H139:I139" si="105">SUM(H132:H138)+H130</f>
        <v>9805.3900000000031</v>
      </c>
      <c r="I139" s="20">
        <f t="shared" si="105"/>
        <v>13182.25</v>
      </c>
      <c r="J139" s="20">
        <f>SUM(J132:J138)+J130</f>
        <v>14453.340000000004</v>
      </c>
      <c r="K139" s="20">
        <f>SUM(K132:K138)+K130</f>
        <v>16754.379999999997</v>
      </c>
      <c r="L139" s="20">
        <f>SUM(L132:L138)+L130</f>
        <v>13307.59</v>
      </c>
      <c r="M139" s="30">
        <f t="shared" ref="M139:P139" si="106">SUM(M132:M138)+M130</f>
        <v>38524.543406523262</v>
      </c>
      <c r="N139" s="30">
        <f t="shared" si="106"/>
        <v>62540.864259297414</v>
      </c>
      <c r="O139" s="30">
        <f t="shared" si="106"/>
        <v>85360.195146780738</v>
      </c>
      <c r="P139" s="30">
        <f t="shared" si="106"/>
        <v>103777.98880816044</v>
      </c>
      <c r="Q139" s="214"/>
      <c r="R139" s="214"/>
    </row>
    <row r="140" spans="2:18" x14ac:dyDescent="0.2">
      <c r="B140" s="5" t="s">
        <v>102</v>
      </c>
      <c r="C140" s="5"/>
      <c r="D140" s="537">
        <v>-212.69</v>
      </c>
      <c r="E140" s="537">
        <v>-264.0</v>
      </c>
      <c r="F140" s="537">
        <v>-208.82</v>
      </c>
      <c r="G140" s="537">
        <v>31.85</v>
      </c>
      <c r="H140" s="5">
        <v>-255.77</v>
      </c>
      <c r="I140" s="5">
        <v>-547.41999999999996</v>
      </c>
      <c r="J140" s="5">
        <v>-111.66</v>
      </c>
      <c r="K140" s="5">
        <v>-1324.19</v>
      </c>
      <c r="L140" s="5">
        <v>-821.68</v>
      </c>
      <c r="M140" s="29">
        <f t="shared" ref="M140:P140" si="107">-M36</f>
        <v>-3195.5201068219731</v>
      </c>
      <c r="N140" s="29">
        <f t="shared" si="107"/>
        <v>-6096.1346175057797</v>
      </c>
      <c r="O140" s="29">
        <f t="shared" si="107"/>
        <v>-8306.4761931768753</v>
      </c>
      <c r="P140" s="29">
        <f t="shared" si="107"/>
        <v>-10316.014851419484</v>
      </c>
      <c r="Q140" s="212"/>
      <c r="R140" s="212"/>
    </row>
    <row r="141" spans="2:18" x14ac:dyDescent="0.2">
      <c r="B141" s="20" t="s">
        <v>135</v>
      </c>
      <c r="C141" s="5"/>
      <c r="D141" s="20">
        <f>D139+D140</f>
        <v>7270.6</v>
      </c>
      <c r="E141" s="20">
        <f>E139+E140</f>
        <v>9397.029999999999</v>
      </c>
      <c r="F141" s="20">
        <f>F139+F140</f>
        <v>9217.710000000003</v>
      </c>
      <c r="G141" s="20">
        <f>G139+G140</f>
        <v>17460.109999999997</v>
      </c>
      <c r="H141" s="20">
        <f t="shared" ref="H141:I141" si="108">H139+H140</f>
        <v>9549.6200000000026</v>
      </c>
      <c r="I141" s="20">
        <f t="shared" si="108"/>
        <v>12634.83</v>
      </c>
      <c r="J141" s="20">
        <f>J139+J140</f>
        <v>14341.680000000004</v>
      </c>
      <c r="K141" s="20">
        <f>K139+K140</f>
        <v>15430.189999999997</v>
      </c>
      <c r="L141" s="20">
        <f>L139+L140</f>
        <v>12485.91</v>
      </c>
      <c r="M141" s="30">
        <f t="shared" ref="M141:P141" si="109">M139+M140</f>
        <v>35329.023299701286</v>
      </c>
      <c r="N141" s="30">
        <f t="shared" si="109"/>
        <v>56444.729641791637</v>
      </c>
      <c r="O141" s="30">
        <f t="shared" si="109"/>
        <v>77053.718953603864</v>
      </c>
      <c r="P141" s="30">
        <f t="shared" si="109"/>
        <v>93461.973956740956</v>
      </c>
      <c r="Q141" s="214"/>
      <c r="R141" s="214"/>
    </row>
    <row r="142" spans="2:18" x14ac:dyDescent="0.2">
      <c r="B142" s="20" t="s">
        <v>103</v>
      </c>
      <c r="C142" s="5"/>
      <c r="D142" s="5"/>
      <c r="E142" s="5"/>
      <c r="F142" s="5"/>
      <c r="G142" s="5"/>
      <c r="H142" s="5"/>
      <c r="I142" s="5"/>
      <c r="J142" s="5"/>
      <c r="K142" s="5"/>
      <c r="L142" s="5"/>
      <c r="M142" s="29"/>
      <c r="N142" s="29"/>
      <c r="O142" s="29"/>
      <c r="P142" s="29"/>
      <c r="Q142" s="212"/>
      <c r="R142" s="212"/>
    </row>
    <row r="143" spans="2:18" x14ac:dyDescent="0.2">
      <c r="B143" s="5" t="s">
        <v>104</v>
      </c>
      <c r="C143" s="5"/>
      <c r="D143" s="537">
        <v>-17772.66</v>
      </c>
      <c r="E143" s="537">
        <v>-20164.69</v>
      </c>
      <c r="F143" s="537">
        <v>-22489.44</v>
      </c>
      <c r="G143" s="537">
        <v>-1855.19</v>
      </c>
      <c r="H143" s="5">
        <v>-40186.49</v>
      </c>
      <c r="I143" s="5">
        <v>-7687.83</v>
      </c>
      <c r="J143" s="5">
        <v>-28226.9</v>
      </c>
      <c r="K143" s="5">
        <v>-32659.93</v>
      </c>
      <c r="L143" s="5">
        <v>-53212.04</v>
      </c>
      <c r="M143" s="29">
        <f t="shared" ref="M143:P143" si="110">L79-M79+L82-M82</f>
        <v>-197107.33117313962</v>
      </c>
      <c r="N143" s="29">
        <f t="shared" si="110"/>
        <v>-218628.94844382341</v>
      </c>
      <c r="O143" s="29">
        <f>N79-O79+N82-O82</f>
        <v>-139541.88763750164</v>
      </c>
      <c r="P143" s="29">
        <f t="shared" si="110"/>
        <v>-44030.095759233925</v>
      </c>
      <c r="Q143" s="212"/>
      <c r="R143" s="212"/>
    </row>
    <row r="144" spans="2:18" x14ac:dyDescent="0.2">
      <c r="B144" s="5" t="s">
        <v>105</v>
      </c>
      <c r="C144" s="5"/>
      <c r="D144" s="537">
        <v>0.0</v>
      </c>
      <c r="E144" s="537">
        <v>0.0</v>
      </c>
      <c r="F144" s="537">
        <v>0.0</v>
      </c>
      <c r="G144" s="537">
        <v>0.0</v>
      </c>
      <c r="H144" s="5">
        <v>0</v>
      </c>
      <c r="I144" s="5">
        <v>0</v>
      </c>
      <c r="J144" s="5">
        <v>-14.02</v>
      </c>
      <c r="K144" s="5"/>
      <c r="L144" s="5"/>
      <c r="M144" s="29">
        <f t="shared" ref="M144:P144" si="111">L88-M88</f>
        <v>0</v>
      </c>
      <c r="N144" s="29">
        <f t="shared" si="111"/>
        <v>0</v>
      </c>
      <c r="O144" s="29">
        <f t="shared" si="111"/>
        <v>0</v>
      </c>
      <c r="P144" s="29">
        <f t="shared" si="111"/>
        <v>0</v>
      </c>
      <c r="Q144" s="212"/>
      <c r="R144" s="212"/>
    </row>
    <row r="145" spans="2:18" x14ac:dyDescent="0.2">
      <c r="B145" s="5" t="s">
        <v>106</v>
      </c>
      <c r="C145" s="5"/>
      <c r="D145" s="537">
        <v>0.0</v>
      </c>
      <c r="E145" s="537">
        <v>0.0</v>
      </c>
      <c r="F145" s="537">
        <v>0.0</v>
      </c>
      <c r="G145" s="537">
        <v>0.0</v>
      </c>
      <c r="H145" s="5">
        <v>25679.08</v>
      </c>
      <c r="I145" s="5">
        <v>2.79</v>
      </c>
      <c r="J145" s="5">
        <v>206.2</v>
      </c>
      <c r="K145" s="5">
        <v>39.270000000000003</v>
      </c>
      <c r="L145" s="5">
        <v>20.41</v>
      </c>
      <c r="M145" s="29"/>
      <c r="N145" s="29"/>
      <c r="O145" s="29"/>
      <c r="P145" s="29"/>
      <c r="Q145" s="212"/>
      <c r="R145" s="212"/>
    </row>
    <row r="146" spans="2:18" x14ac:dyDescent="0.2">
      <c r="B146" s="5" t="s">
        <v>107</v>
      </c>
      <c r="C146" s="5"/>
      <c r="D146" s="537">
        <v>-1029.92</v>
      </c>
      <c r="E146" s="537">
        <v>0.0</v>
      </c>
      <c r="F146" s="537">
        <v>0.0</v>
      </c>
      <c r="G146" s="537">
        <v>0.0</v>
      </c>
      <c r="H146" s="5">
        <v>0</v>
      </c>
      <c r="I146" s="5">
        <v>-929.68</v>
      </c>
      <c r="J146" s="5">
        <v>-321.19</v>
      </c>
      <c r="K146" s="5">
        <v>-0.05</v>
      </c>
      <c r="L146" s="5"/>
      <c r="M146" s="29"/>
      <c r="N146" s="29"/>
      <c r="O146" s="29"/>
      <c r="P146" s="29"/>
      <c r="Q146" s="212"/>
      <c r="R146" s="212"/>
    </row>
    <row r="147" spans="2:18" x14ac:dyDescent="0.2">
      <c r="B147" s="5" t="s">
        <v>108</v>
      </c>
      <c r="C147" s="5"/>
      <c r="D147" s="537">
        <v>549.39</v>
      </c>
      <c r="E147" s="537">
        <v>1260.84</v>
      </c>
      <c r="F147" s="537">
        <v>1277.33</v>
      </c>
      <c r="G147" s="537">
        <v>682.39</v>
      </c>
      <c r="H147" s="5">
        <v>258.7</v>
      </c>
      <c r="I147" s="5">
        <v>556.72</v>
      </c>
      <c r="J147" s="5">
        <v>1204.8</v>
      </c>
      <c r="K147" s="5">
        <v>1530.38</v>
      </c>
      <c r="L147" s="5">
        <v>2665.94</v>
      </c>
      <c r="M147" s="29">
        <f t="shared" ref="M147:P147" si="112">M19</f>
        <v>4246.5051054200048</v>
      </c>
      <c r="N147" s="29">
        <f t="shared" si="112"/>
        <v>5795.628480117326</v>
      </c>
      <c r="O147" s="29">
        <f t="shared" si="112"/>
        <v>7246.9912674305115</v>
      </c>
      <c r="P147" s="29">
        <f t="shared" si="112"/>
        <v>7874.3622111462682</v>
      </c>
      <c r="Q147" s="212"/>
      <c r="R147" s="212"/>
    </row>
    <row r="148" spans="2:18" x14ac:dyDescent="0.2">
      <c r="B148" s="5" t="s">
        <v>109</v>
      </c>
      <c r="C148" s="5"/>
      <c r="D148" s="537">
        <v>32.39</v>
      </c>
      <c r="E148" s="537">
        <v>0.0</v>
      </c>
      <c r="F148" s="537">
        <v>0.0</v>
      </c>
      <c r="G148" s="537">
        <v>8708.48</v>
      </c>
      <c r="H148" s="5">
        <v>0</v>
      </c>
      <c r="I148" s="5">
        <v>0</v>
      </c>
      <c r="J148" s="5">
        <v>12503.63</v>
      </c>
      <c r="K148" s="5"/>
      <c r="L148" s="5"/>
      <c r="M148" s="29"/>
      <c r="N148" s="29"/>
      <c r="O148" s="29"/>
      <c r="P148" s="29"/>
      <c r="Q148" s="212"/>
      <c r="R148" s="212"/>
    </row>
    <row r="149" spans="2:18" x14ac:dyDescent="0.2">
      <c r="B149" s="5" t="s">
        <v>110</v>
      </c>
      <c r="C149" s="5"/>
      <c r="D149" s="537">
        <v>0.0</v>
      </c>
      <c r="E149" s="537">
        <v>0.0</v>
      </c>
      <c r="F149" s="537">
        <v>0.0</v>
      </c>
      <c r="G149" s="537">
        <v>0.0</v>
      </c>
      <c r="H149" s="5">
        <v>10860.22</v>
      </c>
      <c r="I149" s="5">
        <v>1106.29</v>
      </c>
      <c r="J149" s="5">
        <v>1086.26</v>
      </c>
      <c r="K149" s="5">
        <f>-2750+1498.68</f>
        <v>-1251.32</v>
      </c>
      <c r="L149" s="5"/>
      <c r="M149" s="29"/>
      <c r="N149" s="29"/>
      <c r="O149" s="29"/>
      <c r="P149" s="29"/>
      <c r="Q149" s="212"/>
      <c r="R149" s="212"/>
    </row>
    <row r="150" spans="2:18" x14ac:dyDescent="0.2">
      <c r="B150" s="5" t="s">
        <v>111</v>
      </c>
      <c r="C150" s="5"/>
      <c r="D150" s="537">
        <v>0.0</v>
      </c>
      <c r="E150" s="537">
        <v>0.0</v>
      </c>
      <c r="F150" s="537">
        <v>0.0</v>
      </c>
      <c r="G150" s="537">
        <v>0.0</v>
      </c>
      <c r="H150" s="5">
        <v>0</v>
      </c>
      <c r="I150" s="5">
        <v>0</v>
      </c>
      <c r="J150" s="5">
        <v>274.61</v>
      </c>
      <c r="K150" s="5">
        <v>49.19</v>
      </c>
      <c r="L150" s="5">
        <v>185.88</v>
      </c>
      <c r="M150" s="29"/>
      <c r="N150" s="29"/>
      <c r="O150" s="29"/>
      <c r="P150" s="29"/>
      <c r="Q150" s="212"/>
      <c r="R150" s="212"/>
    </row>
    <row r="151" spans="2:18" x14ac:dyDescent="0.2">
      <c r="B151" s="5" t="s">
        <v>112</v>
      </c>
      <c r="C151" s="5"/>
      <c r="D151" s="537">
        <v>0.0</v>
      </c>
      <c r="E151" s="537">
        <v>0.0</v>
      </c>
      <c r="F151" s="537">
        <v>0.0</v>
      </c>
      <c r="G151" s="537">
        <v>0.0</v>
      </c>
      <c r="H151" s="5">
        <v>0</v>
      </c>
      <c r="I151" s="5">
        <v>0</v>
      </c>
      <c r="J151" s="5">
        <v>-1498.68</v>
      </c>
      <c r="K151" s="5"/>
      <c r="L151" s="5"/>
      <c r="M151" s="29"/>
      <c r="N151" s="29"/>
      <c r="O151" s="29"/>
      <c r="P151" s="29"/>
      <c r="Q151" s="212"/>
      <c r="R151" s="212"/>
    </row>
    <row r="152" spans="2:18" x14ac:dyDescent="0.2">
      <c r="B152" s="5" t="s">
        <v>113</v>
      </c>
      <c r="C152" s="5"/>
      <c r="D152" s="537">
        <v>0.0</v>
      </c>
      <c r="E152" s="537">
        <v>0.0</v>
      </c>
      <c r="F152" s="537">
        <v>0.0</v>
      </c>
      <c r="G152" s="537">
        <v>0.0</v>
      </c>
      <c r="H152" s="5">
        <v>0</v>
      </c>
      <c r="I152" s="5">
        <v>0</v>
      </c>
      <c r="J152" s="5">
        <v>-477.8</v>
      </c>
      <c r="K152" s="5"/>
      <c r="L152" s="5"/>
      <c r="M152" s="29"/>
      <c r="N152" s="29"/>
      <c r="O152" s="29"/>
      <c r="P152" s="29"/>
      <c r="Q152" s="212"/>
      <c r="R152" s="212"/>
    </row>
    <row r="153" spans="2:18" x14ac:dyDescent="0.2">
      <c r="B153" s="5" t="s">
        <v>114</v>
      </c>
      <c r="C153" s="5"/>
      <c r="D153" s="537">
        <v>0.0</v>
      </c>
      <c r="E153" s="537">
        <v>0.0</v>
      </c>
      <c r="F153" s="537">
        <v>0.0</v>
      </c>
      <c r="G153" s="537">
        <v>0.0</v>
      </c>
      <c r="H153" s="5">
        <v>0</v>
      </c>
      <c r="I153" s="5">
        <v>0</v>
      </c>
      <c r="J153" s="5">
        <v>-478.4</v>
      </c>
      <c r="K153" s="5"/>
      <c r="L153" s="5"/>
      <c r="M153" s="29"/>
      <c r="N153" s="29"/>
      <c r="O153" s="29"/>
      <c r="P153" s="29"/>
      <c r="Q153" s="212"/>
      <c r="R153" s="212"/>
    </row>
    <row r="154" spans="2:18" x14ac:dyDescent="0.2">
      <c r="B154" s="5" t="s">
        <v>87</v>
      </c>
      <c r="C154" s="5"/>
      <c r="D154" s="537">
        <v>0.0</v>
      </c>
      <c r="E154" s="537">
        <v>0.0</v>
      </c>
      <c r="F154" s="537">
        <v>0.0</v>
      </c>
      <c r="G154" s="537">
        <v>0.0</v>
      </c>
      <c r="H154" s="5">
        <v>0</v>
      </c>
      <c r="I154" s="5">
        <v>168.69</v>
      </c>
      <c r="J154" s="5">
        <v>0</v>
      </c>
      <c r="K154" s="5"/>
      <c r="L154" s="5"/>
      <c r="M154" s="29"/>
      <c r="N154" s="29"/>
      <c r="O154" s="29"/>
      <c r="P154" s="29"/>
      <c r="Q154" s="212"/>
      <c r="R154" s="212"/>
    </row>
    <row r="155" spans="2:18" x14ac:dyDescent="0.2">
      <c r="B155" s="5" t="s">
        <v>115</v>
      </c>
      <c r="C155" s="5"/>
      <c r="D155" s="537">
        <v>-8190.42</v>
      </c>
      <c r="E155" s="537">
        <f>-208.20+7768.90</f>
        <v>7560.7</v>
      </c>
      <c r="F155" s="537">
        <v>7599.21</v>
      </c>
      <c r="G155" s="537">
        <v>-2211.68</v>
      </c>
      <c r="H155" s="5">
        <v>1013.64</v>
      </c>
      <c r="I155" s="5">
        <v>-5536.94</v>
      </c>
      <c r="J155" s="5">
        <v>-2947.75</v>
      </c>
      <c r="K155" s="5">
        <v>-6762.51</v>
      </c>
      <c r="L155" s="5">
        <v>-24708.3</v>
      </c>
      <c r="M155" s="29"/>
      <c r="N155" s="29"/>
      <c r="O155" s="29"/>
      <c r="P155" s="29"/>
      <c r="Q155" s="212"/>
      <c r="R155" s="212"/>
    </row>
    <row r="156" spans="2:18" x14ac:dyDescent="0.2">
      <c r="B156" s="5" t="s">
        <v>116</v>
      </c>
      <c r="C156" s="5"/>
      <c r="D156" s="537">
        <v>-84.66</v>
      </c>
      <c r="E156" s="537">
        <f>-855.74+388.02</f>
        <v>-467.72</v>
      </c>
      <c r="F156" s="537">
        <f>-899.68+251.62</f>
        <v>-648.06</v>
      </c>
      <c r="G156" s="537">
        <v>-389.62</v>
      </c>
      <c r="H156" s="5">
        <v>-1365.74</v>
      </c>
      <c r="I156" s="5">
        <v>-1779.2</v>
      </c>
      <c r="J156" s="5">
        <v>1382.41</v>
      </c>
      <c r="K156" s="5">
        <v>-706.33</v>
      </c>
      <c r="L156" s="5">
        <v>1874.35</v>
      </c>
      <c r="M156" s="29"/>
      <c r="N156" s="29"/>
      <c r="O156" s="29"/>
      <c r="P156" s="29"/>
      <c r="Q156" s="212"/>
      <c r="R156" s="212"/>
    </row>
    <row r="157" spans="2:18" x14ac:dyDescent="0.2">
      <c r="B157" s="20" t="s">
        <v>134</v>
      </c>
      <c r="C157" s="5"/>
      <c r="D157" s="20">
        <f>SUM(D143:D156)</f>
        <v>-26495.88</v>
      </c>
      <c r="E157" s="20">
        <f>SUM(E143:E156)</f>
        <v>-11810.869999999999</v>
      </c>
      <c r="F157" s="20">
        <f>SUM(F143:F156)</f>
        <v>-14260.96</v>
      </c>
      <c r="G157" s="20">
        <f>SUM(G143:G156)</f>
        <v>4934.379999999999</v>
      </c>
      <c r="H157" s="20">
        <f t="shared" ref="H157:I157" si="113">SUM(H143:H156)</f>
        <v>-3740.5899999999965</v>
      </c>
      <c r="I157" s="20">
        <f t="shared" si="113"/>
        <v>-14099.16</v>
      </c>
      <c r="J157" s="20">
        <f>SUM(J143:J156)</f>
        <v>-17306.829999999998</v>
      </c>
      <c r="K157" s="20">
        <f>SUM(K143:K156)</f>
        <v>-39761.300000000003</v>
      </c>
      <c r="L157" s="20">
        <f>SUM(L143:L156)</f>
        <v>-73173.759999999995</v>
      </c>
      <c r="M157" s="30">
        <f t="shared" ref="M157:P157" si="114">SUM(M143:M156)</f>
        <v>-192860.82606771961</v>
      </c>
      <c r="N157" s="30">
        <f t="shared" si="114"/>
        <v>-212833.31996370608</v>
      </c>
      <c r="O157" s="30">
        <f t="shared" si="114"/>
        <v>-132294.89637007113</v>
      </c>
      <c r="P157" s="30">
        <f t="shared" si="114"/>
        <v>-36155.733548087657</v>
      </c>
      <c r="Q157" s="214"/>
      <c r="R157" s="214"/>
    </row>
    <row r="158" spans="2:18" x14ac:dyDescent="0.2">
      <c r="B158" s="20" t="s">
        <v>117</v>
      </c>
      <c r="C158" s="5"/>
      <c r="D158" s="5"/>
      <c r="E158" s="5"/>
      <c r="F158" s="5"/>
      <c r="G158" s="5"/>
      <c r="H158" s="5"/>
      <c r="I158" s="5"/>
      <c r="J158" s="5"/>
      <c r="K158" s="5"/>
      <c r="L158" s="5"/>
      <c r="M158" s="29"/>
      <c r="N158" s="29"/>
      <c r="O158" s="29"/>
      <c r="P158" s="29"/>
      <c r="Q158" s="212"/>
      <c r="R158" s="212"/>
    </row>
    <row r="159" spans="2:18" x14ac:dyDescent="0.2">
      <c r="B159" s="5" t="s">
        <v>407</v>
      </c>
      <c r="C159" s="5"/>
      <c r="D159" s="537">
        <v>0.0</v>
      </c>
      <c r="E159" s="537">
        <v>0.0</v>
      </c>
      <c r="F159" s="537">
        <v>0.0</v>
      </c>
      <c r="G159" s="537">
        <v>0.0</v>
      </c>
      <c r="H159" s="5"/>
      <c r="I159" s="5"/>
      <c r="J159" s="5"/>
      <c r="K159" s="5">
        <v>22932.880000000001</v>
      </c>
      <c r="L159" s="5">
        <v>0.6</v>
      </c>
      <c r="M159" s="525">
        <f>Valuation!$C$41</f>
        <v>27999.999754999997</v>
      </c>
      <c r="N159" s="29"/>
      <c r="O159" s="29"/>
      <c r="P159" s="29"/>
      <c r="Q159" s="212"/>
      <c r="R159" s="212"/>
    </row>
    <row r="160" spans="2:18" x14ac:dyDescent="0.2">
      <c r="B160" s="5" t="s">
        <v>118</v>
      </c>
      <c r="C160" s="5"/>
      <c r="D160" s="537">
        <v>0.0</v>
      </c>
      <c r="E160" s="537">
        <v>0.0</v>
      </c>
      <c r="F160" s="537">
        <v>12000.0</v>
      </c>
      <c r="G160" s="537">
        <v>4878.17</v>
      </c>
      <c r="H160" s="5">
        <v>30027.93</v>
      </c>
      <c r="I160" s="5">
        <v>0</v>
      </c>
      <c r="J160" s="5">
        <v>0</v>
      </c>
      <c r="K160" s="5">
        <v>0</v>
      </c>
      <c r="L160" s="5"/>
      <c r="M160" s="29"/>
      <c r="N160" s="29"/>
      <c r="O160" s="29"/>
      <c r="P160" s="29"/>
      <c r="Q160" s="212"/>
      <c r="R160" s="212"/>
    </row>
    <row r="161" spans="2:18" x14ac:dyDescent="0.2">
      <c r="B161" s="5" t="s">
        <v>119</v>
      </c>
      <c r="C161" s="5"/>
      <c r="D161" s="537">
        <v>0.0</v>
      </c>
      <c r="E161" s="537">
        <v>0.0</v>
      </c>
      <c r="F161" s="537">
        <v>0.0</v>
      </c>
      <c r="G161" s="537">
        <v>-4694.77</v>
      </c>
      <c r="H161" s="5">
        <v>-12093.36</v>
      </c>
      <c r="I161" s="5">
        <v>-3758.49</v>
      </c>
      <c r="J161" s="5">
        <v>-1565.88</v>
      </c>
      <c r="K161" s="5">
        <v>-4736.5600000000004</v>
      </c>
      <c r="L161" s="5">
        <v>-11445.84</v>
      </c>
      <c r="M161" s="29"/>
      <c r="N161" s="29"/>
      <c r="O161" s="29"/>
      <c r="P161" s="29"/>
      <c r="Q161" s="212"/>
      <c r="R161" s="212"/>
    </row>
    <row r="162" spans="2:18" x14ac:dyDescent="0.2">
      <c r="B162" s="5" t="s">
        <v>120</v>
      </c>
      <c r="C162" s="5"/>
      <c r="D162" s="537">
        <v>0.0</v>
      </c>
      <c r="E162" s="537">
        <v>0.0</v>
      </c>
      <c r="F162" s="537">
        <v>0.0</v>
      </c>
      <c r="G162" s="537">
        <v>0.0</v>
      </c>
      <c r="H162" s="5">
        <v>0</v>
      </c>
      <c r="I162" s="5">
        <v>0</v>
      </c>
      <c r="J162" s="5">
        <v>0</v>
      </c>
      <c r="K162" s="5"/>
      <c r="L162" s="5"/>
      <c r="M162" s="29"/>
      <c r="N162" s="29"/>
      <c r="O162" s="29"/>
      <c r="P162" s="29"/>
      <c r="Q162" s="212"/>
      <c r="R162" s="212"/>
    </row>
    <row r="163" spans="2:18" x14ac:dyDescent="0.2">
      <c r="B163" s="5" t="s">
        <v>121</v>
      </c>
      <c r="C163" s="5"/>
      <c r="D163" s="537">
        <v>32878.28</v>
      </c>
      <c r="E163" s="537">
        <v>27573.24</v>
      </c>
      <c r="F163" s="537">
        <v>15331.18</v>
      </c>
      <c r="G163" s="537">
        <v>2586.32</v>
      </c>
      <c r="H163" s="5">
        <v>8014.34</v>
      </c>
      <c r="I163" s="5">
        <v>19262.11</v>
      </c>
      <c r="J163" s="5">
        <v>13246.32</v>
      </c>
      <c r="K163" s="5">
        <v>65239.42</v>
      </c>
      <c r="L163" s="5">
        <v>121187.71</v>
      </c>
      <c r="M163" s="29">
        <f>M66</f>
        <v>126057.14026296377</v>
      </c>
      <c r="N163" s="29">
        <f>N66</f>
        <v>174903.15875505877</v>
      </c>
      <c r="O163" s="29">
        <f>O66</f>
        <v>117384.20778441992</v>
      </c>
      <c r="P163" s="29">
        <f>P66</f>
        <v>35224.076607387142</v>
      </c>
      <c r="Q163" s="212"/>
      <c r="R163" s="212"/>
    </row>
    <row r="164" spans="2:18" x14ac:dyDescent="0.2">
      <c r="B164" s="5" t="s">
        <v>122</v>
      </c>
      <c r="C164" s="5"/>
      <c r="D164" s="537">
        <v>-4346.45</v>
      </c>
      <c r="E164" s="537">
        <v>-9613.7</v>
      </c>
      <c r="F164" s="537">
        <v>-15166.61</v>
      </c>
      <c r="G164" s="537">
        <v>-5367.79</v>
      </c>
      <c r="H164" s="5">
        <v>-23886.31</v>
      </c>
      <c r="I164" s="5">
        <v>-4239.96</v>
      </c>
      <c r="J164" s="5">
        <v>-1943.59</v>
      </c>
      <c r="K164" s="5">
        <v>-40402.78</v>
      </c>
      <c r="L164" s="5">
        <v>-27476.62</v>
      </c>
      <c r="M164" s="29">
        <f>-M67</f>
        <v>-5127.3600000000006</v>
      </c>
      <c r="N164" s="29">
        <f>-N67</f>
        <v>-8958.2400000000016</v>
      </c>
      <c r="O164" s="29">
        <f>-O67</f>
        <v>-14558.240000000002</v>
      </c>
      <c r="P164" s="29">
        <f>-P67</f>
        <v>-21870.239999999998</v>
      </c>
      <c r="Q164" s="212"/>
      <c r="R164" s="212"/>
    </row>
    <row r="165" spans="2:18" x14ac:dyDescent="0.2">
      <c r="B165" s="5" t="s">
        <v>123</v>
      </c>
      <c r="C165" s="5"/>
      <c r="D165" s="537">
        <v>-195.22</v>
      </c>
      <c r="E165" s="537">
        <v>-7104.67</v>
      </c>
      <c r="F165" s="537">
        <v>4218.31</v>
      </c>
      <c r="G165" s="537">
        <v>-5438.77</v>
      </c>
      <c r="H165" s="5">
        <v>1635.69</v>
      </c>
      <c r="I165" s="5">
        <v>-1431.31</v>
      </c>
      <c r="J165" s="5">
        <v>175.96</v>
      </c>
      <c r="K165" s="5">
        <v>1288.73</v>
      </c>
      <c r="L165" s="5">
        <v>4753.25</v>
      </c>
      <c r="M165" s="29"/>
      <c r="N165" s="29"/>
      <c r="O165" s="29"/>
      <c r="P165" s="29"/>
      <c r="Q165" s="212"/>
      <c r="R165" s="212"/>
    </row>
    <row r="166" spans="2:18" x14ac:dyDescent="0.2">
      <c r="B166" s="5" t="s">
        <v>128</v>
      </c>
      <c r="C166" s="5"/>
      <c r="D166" s="537">
        <v>0.0</v>
      </c>
      <c r="E166" s="537">
        <v>0.0</v>
      </c>
      <c r="F166" s="537">
        <v>-501.27</v>
      </c>
      <c r="G166" s="537">
        <v>-480.98</v>
      </c>
      <c r="H166" s="5">
        <v>-315.8</v>
      </c>
      <c r="I166" s="5">
        <v>-493.31</v>
      </c>
      <c r="J166" s="5">
        <v>-319.60000000000002</v>
      </c>
      <c r="K166" s="5">
        <v>-605.1</v>
      </c>
      <c r="L166" s="5">
        <v>-1649.48</v>
      </c>
      <c r="M166" s="29"/>
      <c r="N166" s="29"/>
      <c r="O166" s="29"/>
      <c r="P166" s="29"/>
      <c r="Q166" s="212"/>
      <c r="R166" s="212"/>
    </row>
    <row r="167" spans="2:18" x14ac:dyDescent="0.2">
      <c r="B167" s="5" t="s">
        <v>124</v>
      </c>
      <c r="C167" s="5"/>
      <c r="D167" s="537">
        <v>-5800.48</v>
      </c>
      <c r="E167" s="537">
        <v>-9595.36</v>
      </c>
      <c r="F167" s="537">
        <v>-11202.38</v>
      </c>
      <c r="G167" s="537">
        <v>-11935.28</v>
      </c>
      <c r="H167" s="5">
        <v>-10379.75</v>
      </c>
      <c r="I167" s="5">
        <v>-7184.78</v>
      </c>
      <c r="J167" s="5">
        <v>-6681.55</v>
      </c>
      <c r="K167" s="5">
        <v>-9634.34</v>
      </c>
      <c r="L167" s="5">
        <v>-14972.93</v>
      </c>
      <c r="M167" s="29">
        <f>-M118</f>
        <v>-17937.057200007013</v>
      </c>
      <c r="N167" s="29">
        <f>-N118</f>
        <v>-28214.234839192006</v>
      </c>
      <c r="O167" s="29">
        <f>-O118</f>
        <v>-37842.850240489301</v>
      </c>
      <c r="P167" s="29">
        <f>-P118</f>
        <v>-42004.947810987673</v>
      </c>
      <c r="Q167" s="212"/>
      <c r="R167" s="212"/>
    </row>
    <row r="168" spans="2:18" x14ac:dyDescent="0.2">
      <c r="B168" s="5" t="s">
        <v>125</v>
      </c>
      <c r="C168" s="5"/>
      <c r="D168" s="537">
        <v>0.0</v>
      </c>
      <c r="E168" s="537">
        <v>0.0</v>
      </c>
      <c r="F168" s="537">
        <v>0.0</v>
      </c>
      <c r="G168" s="537">
        <v>0.0</v>
      </c>
      <c r="H168" s="5">
        <v>-109.85</v>
      </c>
      <c r="I168" s="5">
        <v>0</v>
      </c>
      <c r="J168" s="5">
        <v>-54.07</v>
      </c>
      <c r="K168" s="5"/>
      <c r="L168" s="5"/>
      <c r="M168" s="29"/>
      <c r="N168" s="29"/>
      <c r="O168" s="29"/>
      <c r="P168" s="29"/>
      <c r="Q168" s="212"/>
      <c r="R168" s="212"/>
    </row>
    <row r="169" spans="2:18" x14ac:dyDescent="0.2">
      <c r="B169" s="5" t="s">
        <v>126</v>
      </c>
      <c r="C169" s="5"/>
      <c r="D169" s="537">
        <v>0.0</v>
      </c>
      <c r="E169" s="537">
        <v>0.0</v>
      </c>
      <c r="F169" s="537">
        <v>0.0</v>
      </c>
      <c r="G169" s="537">
        <v>0.0</v>
      </c>
      <c r="H169" s="5">
        <v>619.61</v>
      </c>
      <c r="I169" s="5">
        <v>0</v>
      </c>
      <c r="J169" s="5">
        <v>0.2</v>
      </c>
      <c r="K169" s="5"/>
      <c r="L169" s="5"/>
      <c r="M169" s="29"/>
      <c r="N169" s="29"/>
      <c r="O169" s="29"/>
      <c r="P169" s="29"/>
      <c r="Q169" s="212"/>
      <c r="R169" s="212"/>
    </row>
    <row r="170" spans="2:18" x14ac:dyDescent="0.2">
      <c r="B170" s="5" t="s">
        <v>127</v>
      </c>
      <c r="C170" s="5"/>
      <c r="D170" s="537">
        <v>-679.52</v>
      </c>
      <c r="E170" s="537">
        <v>-230.97</v>
      </c>
      <c r="F170" s="537">
        <v>57.88</v>
      </c>
      <c r="G170" s="537">
        <v>57.04</v>
      </c>
      <c r="H170" s="5">
        <v>929.42</v>
      </c>
      <c r="I170" s="5">
        <v>0</v>
      </c>
      <c r="J170" s="5">
        <v>-699.95</v>
      </c>
      <c r="K170" s="5"/>
      <c r="L170" s="5">
        <v>-242.1</v>
      </c>
      <c r="M170" s="29"/>
      <c r="N170" s="29"/>
      <c r="O170" s="29"/>
      <c r="P170" s="29"/>
      <c r="Q170" s="212"/>
      <c r="R170" s="212"/>
    </row>
    <row r="171" spans="2:18" x14ac:dyDescent="0.2">
      <c r="B171" s="20" t="s">
        <v>133</v>
      </c>
      <c r="C171" s="5"/>
      <c r="D171" s="20">
        <f>SUM(D160:D170)</f>
        <v>21856.61</v>
      </c>
      <c r="E171" s="20">
        <f>SUM(E160:E170)</f>
        <v>1028.5400000000002</v>
      </c>
      <c r="F171" s="20">
        <f>SUM(F160:F170)</f>
        <v>4737.110000000001</v>
      </c>
      <c r="G171" s="20">
        <f>SUM(G160:G170)</f>
        <v>-20396.06</v>
      </c>
      <c r="H171" s="20">
        <f t="shared" ref="H171:I171" si="115">SUM(H160:H170)</f>
        <v>-5558.0800000000027</v>
      </c>
      <c r="I171" s="20">
        <f t="shared" si="115"/>
        <v>2154.2600000000011</v>
      </c>
      <c r="J171" s="20">
        <f>SUM(J160:J170)</f>
        <v>2157.8399999999965</v>
      </c>
      <c r="K171" s="20">
        <f>SUM(K159:K170)</f>
        <v>34082.25</v>
      </c>
      <c r="L171" s="20">
        <f>SUM(L159:L170)</f>
        <v>70154.59</v>
      </c>
      <c r="M171" s="30">
        <f>SUM(M159:M170)</f>
        <v>130992.72281795678</v>
      </c>
      <c r="N171" s="30">
        <f t="shared" ref="N171:P171" si="116">SUM(N160:N170)</f>
        <v>137730.68391586677</v>
      </c>
      <c r="O171" s="30">
        <f t="shared" si="116"/>
        <v>64983.117543930617</v>
      </c>
      <c r="P171" s="30">
        <f t="shared" si="116"/>
        <v>-28651.111203600529</v>
      </c>
      <c r="Q171" s="214"/>
      <c r="R171" s="214"/>
    </row>
    <row r="172" spans="2:18" x14ac:dyDescent="0.2">
      <c r="B172" s="5"/>
      <c r="C172" s="5"/>
      <c r="D172" s="5"/>
      <c r="E172" s="5"/>
      <c r="F172" s="5"/>
      <c r="G172" s="5"/>
      <c r="H172" s="5"/>
      <c r="I172" s="5"/>
      <c r="J172" s="5"/>
      <c r="K172" s="5"/>
      <c r="L172" s="5"/>
      <c r="M172" s="29"/>
      <c r="N172" s="29"/>
      <c r="O172" s="29"/>
      <c r="P172" s="29"/>
      <c r="Q172" s="212"/>
      <c r="R172" s="212"/>
    </row>
    <row r="173" spans="2:18" x14ac:dyDescent="0.2">
      <c r="B173" s="5" t="s">
        <v>131</v>
      </c>
      <c r="C173" s="5"/>
      <c r="D173" s="20">
        <f>D171+D157+D141</f>
        <v>2631.33</v>
      </c>
      <c r="E173" s="20">
        <f>E171+E157+E141</f>
        <v>-1385.2999999999993</v>
      </c>
      <c r="F173" s="20">
        <f>F171+F157+F141</f>
        <v>-306.1399999999958</v>
      </c>
      <c r="G173" s="20">
        <f>G171+G157+G141</f>
        <v>1998.4299999999948</v>
      </c>
      <c r="H173" s="20">
        <f t="shared" ref="H173:P173" si="117">H171+H157+H141</f>
        <v>250.95000000000437</v>
      </c>
      <c r="I173" s="20">
        <f t="shared" si="117"/>
        <v>689.93000000000211</v>
      </c>
      <c r="J173" s="20">
        <f t="shared" si="117"/>
        <v>-807.30999999999767</v>
      </c>
      <c r="K173" s="20">
        <f t="shared" si="117"/>
        <v>9751.139999999994</v>
      </c>
      <c r="L173" s="20">
        <f t="shared" ref="L173" si="118">L171+L157+L141</f>
        <v>9466.7400000000016</v>
      </c>
      <c r="M173" s="30">
        <f t="shared" si="117"/>
        <v>-26539.079950061547</v>
      </c>
      <c r="N173" s="30">
        <f t="shared" si="117"/>
        <v>-18657.906406047667</v>
      </c>
      <c r="O173" s="30">
        <f t="shared" si="117"/>
        <v>9741.9401274633565</v>
      </c>
      <c r="P173" s="30">
        <f t="shared" si="117"/>
        <v>28655.12920505277</v>
      </c>
      <c r="Q173" s="214"/>
      <c r="R173" s="214"/>
    </row>
    <row r="174" spans="2:18" x14ac:dyDescent="0.2">
      <c r="B174" s="5" t="s">
        <v>129</v>
      </c>
      <c r="C174" s="5"/>
      <c r="D174" s="537">
        <v>2823.14</v>
      </c>
      <c r="E174" s="537">
        <v>5454.47</v>
      </c>
      <c r="F174" s="537">
        <v>4069.17</v>
      </c>
      <c r="G174" s="537">
        <v>3395.29</v>
      </c>
      <c r="H174" s="5">
        <v>5038.25</v>
      </c>
      <c r="I174" s="5">
        <f t="shared" ref="I174" si="119">H176</f>
        <v>4784.560000000004</v>
      </c>
      <c r="J174" s="5">
        <f>I176</f>
        <v>5474.4900000000061</v>
      </c>
      <c r="K174" s="5">
        <f>J176</f>
        <v>3091.6000000000085</v>
      </c>
      <c r="L174" s="5">
        <f>K176</f>
        <v>12842.740000000002</v>
      </c>
      <c r="M174" s="29">
        <f>L98</f>
        <v>61580.91</v>
      </c>
      <c r="N174" s="29">
        <f t="shared" ref="N174:P174" si="120">M176</f>
        <v>35041.830049938457</v>
      </c>
      <c r="O174" s="29">
        <f t="shared" si="120"/>
        <v>16383.92364389079</v>
      </c>
      <c r="P174" s="29">
        <f t="shared" si="120"/>
        <v>26125.863771354147</v>
      </c>
      <c r="Q174" s="212"/>
      <c r="R174" s="212"/>
    </row>
    <row r="175" spans="2:18" x14ac:dyDescent="0.2">
      <c r="B175" s="5" t="s">
        <v>130</v>
      </c>
      <c r="C175" s="5"/>
      <c r="D175" s="537">
        <v>0.0</v>
      </c>
      <c r="E175" s="537">
        <v>0.0</v>
      </c>
      <c r="F175" s="537">
        <v>-367.74</v>
      </c>
      <c r="G175" s="537">
        <v>-355.47</v>
      </c>
      <c r="H175" s="5">
        <v>-504.64</v>
      </c>
      <c r="I175" s="5">
        <v>0</v>
      </c>
      <c r="J175" s="5">
        <v>-1575.58</v>
      </c>
      <c r="K175" s="5"/>
      <c r="L175" s="5"/>
      <c r="M175" s="29"/>
      <c r="N175" s="29"/>
      <c r="O175" s="29"/>
      <c r="P175" s="29"/>
      <c r="Q175" s="212"/>
      <c r="R175" s="212"/>
    </row>
    <row r="176" spans="2:18" x14ac:dyDescent="0.2">
      <c r="B176" s="5" t="s">
        <v>132</v>
      </c>
      <c r="C176" s="5"/>
      <c r="D176" s="20">
        <f>SUM(D173:D175)</f>
        <v>5454.469999999999</v>
      </c>
      <c r="E176" s="20">
        <f>SUM(E173:E175)</f>
        <v>4069.170000000001</v>
      </c>
      <c r="F176" s="20">
        <f>SUM(F173:F175)</f>
        <v>3395.2900000000045</v>
      </c>
      <c r="G176" s="20">
        <f>SUM(G173:G175)</f>
        <v>5038.2499999999945</v>
      </c>
      <c r="H176" s="20">
        <f t="shared" ref="H176:I176" si="121">SUM(H173:H175)</f>
        <v>4784.560000000004</v>
      </c>
      <c r="I176" s="20">
        <f t="shared" si="121"/>
        <v>5474.4900000000061</v>
      </c>
      <c r="J176" s="20">
        <f>SUM(J173:J175)</f>
        <v>3091.6000000000085</v>
      </c>
      <c r="K176" s="20">
        <f>SUM(K173:K175)</f>
        <v>12842.740000000002</v>
      </c>
      <c r="L176" s="20">
        <f>SUM(L173:L175)</f>
        <v>22309.480000000003</v>
      </c>
      <c r="M176" s="30">
        <f t="shared" ref="M176:P176" si="122">SUM(M173:M175)</f>
        <v>35041.830049938457</v>
      </c>
      <c r="N176" s="30">
        <f t="shared" si="122"/>
        <v>16383.92364389079</v>
      </c>
      <c r="O176" s="30">
        <f t="shared" si="122"/>
        <v>26125.863771354147</v>
      </c>
      <c r="P176" s="30">
        <f t="shared" si="122"/>
        <v>54780.992976406917</v>
      </c>
      <c r="Q176" s="214"/>
      <c r="R176" s="214"/>
    </row>
    <row r="177" spans="2:21" x14ac:dyDescent="0.2">
      <c r="Q177" s="212"/>
      <c r="R177" s="212"/>
    </row>
    <row r="178" spans="2:21" x14ac:dyDescent="0.2">
      <c r="B178" s="191" t="s">
        <v>394</v>
      </c>
      <c r="C178" s="191"/>
      <c r="D178" s="197">
        <f>D114</f>
        <v>2018.0</v>
      </c>
      <c r="E178" s="197">
        <f>E114</f>
        <v>2019.0</v>
      </c>
      <c r="F178" s="197">
        <f>F114</f>
        <v>2020.0</v>
      </c>
      <c r="G178" s="197">
        <f>G114</f>
        <v>2021.0</v>
      </c>
      <c r="H178" s="197">
        <f t="shared" ref="H178:P178" si="123">H114</f>
        <v>2022</v>
      </c>
      <c r="I178" s="197">
        <f t="shared" si="123"/>
        <v>2023</v>
      </c>
      <c r="J178" s="197">
        <f t="shared" si="123"/>
        <v>2024</v>
      </c>
      <c r="K178" s="197">
        <f t="shared" si="123"/>
        <v>2025</v>
      </c>
      <c r="L178" s="197">
        <f t="shared" ref="L178" si="124">L114</f>
        <v>2026</v>
      </c>
      <c r="M178" s="199" t="str">
        <f t="shared" si="123"/>
        <v>2027E</v>
      </c>
      <c r="N178" s="199" t="str">
        <f t="shared" si="123"/>
        <v>2028E</v>
      </c>
      <c r="O178" s="199" t="str">
        <f t="shared" si="123"/>
        <v>2029E</v>
      </c>
      <c r="P178" s="199" t="str">
        <f t="shared" si="123"/>
        <v>2030E</v>
      </c>
      <c r="Q178" s="215"/>
      <c r="R178" s="215"/>
    </row>
    <row r="179" spans="2:21" x14ac:dyDescent="0.2">
      <c r="B179" s="192" t="s">
        <v>395</v>
      </c>
      <c r="C179" s="5"/>
      <c r="D179" s="5"/>
      <c r="E179" s="5"/>
      <c r="F179" s="5"/>
      <c r="G179" s="5"/>
      <c r="H179" s="5"/>
      <c r="I179" s="5"/>
      <c r="J179" s="5"/>
      <c r="K179" s="5"/>
      <c r="L179" s="5"/>
      <c r="M179" s="29"/>
      <c r="N179" s="29"/>
      <c r="O179" s="29"/>
      <c r="P179" s="29"/>
      <c r="Q179" s="212"/>
      <c r="R179" s="212"/>
    </row>
    <row r="180" spans="2:21" x14ac:dyDescent="0.2">
      <c r="B180" s="193" t="s">
        <v>396</v>
      </c>
      <c r="C180" s="5"/>
      <c r="D180" s="5">
        <f>D130</f>
        <v>9517.33</v>
      </c>
      <c r="E180" s="5">
        <f>E130</f>
        <v>14583.9</v>
      </c>
      <c r="F180" s="5">
        <f>F130</f>
        <v>16640.83</v>
      </c>
      <c r="G180" s="5">
        <f>G130</f>
        <v>15598.439999999999</v>
      </c>
      <c r="H180" s="5">
        <f t="shared" ref="H180:P180" si="125">H130</f>
        <v>12468.260000000002</v>
      </c>
      <c r="I180" s="5">
        <f t="shared" si="125"/>
        <v>11742.92</v>
      </c>
      <c r="J180" s="5">
        <f t="shared" si="125"/>
        <v>11040.970000000005</v>
      </c>
      <c r="K180" s="5">
        <f t="shared" si="125"/>
        <v>12635.129999999997</v>
      </c>
      <c r="L180" s="5">
        <f t="shared" ref="L180" si="126">L130</f>
        <v>19150.189999999999</v>
      </c>
      <c r="M180" s="29">
        <f t="shared" si="125"/>
        <v>32975.922456311746</v>
      </c>
      <c r="N180" s="29">
        <f t="shared" si="125"/>
        <v>60816.343049445066</v>
      </c>
      <c r="O180" s="29">
        <f t="shared" si="125"/>
        <v>83827.107017828675</v>
      </c>
      <c r="P180" s="29">
        <f t="shared" si="125"/>
        <v>102681.94831875002</v>
      </c>
      <c r="Q180" s="212"/>
      <c r="R180" s="212"/>
    </row>
    <row r="181" spans="2:21" x14ac:dyDescent="0.2">
      <c r="B181" s="193" t="s">
        <v>397</v>
      </c>
      <c r="C181" s="5"/>
      <c r="D181" s="5">
        <f>D147</f>
        <v>549.39</v>
      </c>
      <c r="E181" s="5">
        <f>E147</f>
        <v>1260.84</v>
      </c>
      <c r="F181" s="5">
        <f>F147</f>
        <v>1277.33</v>
      </c>
      <c r="G181" s="5">
        <f>G147</f>
        <v>682.39</v>
      </c>
      <c r="H181" s="5">
        <f t="shared" ref="H181:P181" si="127">H147</f>
        <v>258.7</v>
      </c>
      <c r="I181" s="5">
        <f t="shared" si="127"/>
        <v>556.72</v>
      </c>
      <c r="J181" s="5">
        <f t="shared" si="127"/>
        <v>1204.8</v>
      </c>
      <c r="K181" s="5">
        <f t="shared" si="127"/>
        <v>1530.38</v>
      </c>
      <c r="L181" s="5">
        <f t="shared" ref="L181" si="128">L147</f>
        <v>2665.94</v>
      </c>
      <c r="M181" s="29">
        <f t="shared" si="127"/>
        <v>4246.5051054200048</v>
      </c>
      <c r="N181" s="29">
        <f t="shared" si="127"/>
        <v>5795.628480117326</v>
      </c>
      <c r="O181" s="29">
        <f t="shared" si="127"/>
        <v>7246.9912674305115</v>
      </c>
      <c r="P181" s="29">
        <f t="shared" si="127"/>
        <v>7874.3622111462682</v>
      </c>
      <c r="Q181" s="212"/>
      <c r="R181" s="212"/>
    </row>
    <row r="182" spans="2:21" x14ac:dyDescent="0.2">
      <c r="B182" s="193" t="s">
        <v>398</v>
      </c>
      <c r="C182" s="5"/>
      <c r="D182" s="5">
        <f>D169+D168+D159</f>
        <v>0.0</v>
      </c>
      <c r="E182" s="5">
        <f>E169+E168+E159</f>
        <v>0.0</v>
      </c>
      <c r="F182" s="5">
        <f>F169+F168+F159</f>
        <v>0.0</v>
      </c>
      <c r="G182" s="5">
        <f>G169+G168+G159</f>
        <v>0.0</v>
      </c>
      <c r="H182" s="5">
        <f t="shared" ref="H182:J182" si="129">H169+H168+H159</f>
        <v>509.76</v>
      </c>
      <c r="I182" s="5">
        <f t="shared" si="129"/>
        <v>0</v>
      </c>
      <c r="J182" s="5">
        <f t="shared" si="129"/>
        <v>-53.87</v>
      </c>
      <c r="K182" s="5">
        <f>K169+K168+K159</f>
        <v>22932.880000000001</v>
      </c>
      <c r="L182" s="5">
        <f>L169+L168+L159</f>
        <v>0.6</v>
      </c>
      <c r="M182" s="29">
        <f t="shared" ref="M182:P182" si="130">M169+M168</f>
        <v>0</v>
      </c>
      <c r="N182" s="29">
        <f t="shared" si="130"/>
        <v>0</v>
      </c>
      <c r="O182" s="29">
        <f t="shared" si="130"/>
        <v>0</v>
      </c>
      <c r="P182" s="29">
        <f t="shared" si="130"/>
        <v>0</v>
      </c>
      <c r="Q182" s="212"/>
      <c r="R182" s="212"/>
    </row>
    <row r="183" spans="2:21" x14ac:dyDescent="0.2">
      <c r="B183" s="193" t="s">
        <v>73</v>
      </c>
      <c r="C183" s="5"/>
      <c r="D183" s="5">
        <f>+SUM(D160:D165)+D170</f>
        <v>27657.09</v>
      </c>
      <c r="E183" s="5">
        <f>+SUM(E160:E165)+E170</f>
        <v>10623.900000000001</v>
      </c>
      <c r="F183" s="5">
        <f>+SUM(F160:F165)+F170</f>
        <v>16440.760000000002</v>
      </c>
      <c r="G183" s="5">
        <f>+SUM(G160:G165)+G170</f>
        <v>-7979.8</v>
      </c>
      <c r="H183" s="5">
        <f>+SUM(H160:H165)+H170</f>
        <v>4627.7099999999982</v>
      </c>
      <c r="I183" s="5">
        <f t="shared" ref="I183:P183" si="131">+SUM(I160:I165)+I170</f>
        <v>9832.35</v>
      </c>
      <c r="J183" s="5">
        <f t="shared" si="131"/>
        <v>9212.8599999999969</v>
      </c>
      <c r="K183" s="5">
        <f t="shared" si="131"/>
        <v>21388.81</v>
      </c>
      <c r="L183" s="5">
        <f t="shared" ref="L183" si="132">+SUM(L160:L165)+L170</f>
        <v>86776.400000000009</v>
      </c>
      <c r="M183" s="29">
        <f t="shared" si="131"/>
        <v>120929.78026296377</v>
      </c>
      <c r="N183" s="29">
        <f t="shared" si="131"/>
        <v>165944.91875505878</v>
      </c>
      <c r="O183" s="29">
        <f t="shared" si="131"/>
        <v>102825.96778441992</v>
      </c>
      <c r="P183" s="29">
        <f t="shared" si="131"/>
        <v>13353.836607387144</v>
      </c>
      <c r="Q183" s="212"/>
      <c r="R183" s="212"/>
    </row>
    <row r="184" spans="2:21" x14ac:dyDescent="0.2">
      <c r="B184" s="194" t="s">
        <v>399</v>
      </c>
      <c r="C184" s="5"/>
      <c r="D184" s="20">
        <f>SUM(D180:D183)</f>
        <v>37723.81</v>
      </c>
      <c r="E184" s="20">
        <f>SUM(E180:E183)</f>
        <v>26468.64</v>
      </c>
      <c r="F184" s="20">
        <f>SUM(F180:F183)</f>
        <v>34358.920000000006</v>
      </c>
      <c r="G184" s="20">
        <f>SUM(G180:G183)</f>
        <v>8301.029999999999</v>
      </c>
      <c r="H184" s="20">
        <f>SUM(H180:H183)</f>
        <v>17864.43</v>
      </c>
      <c r="I184" s="20">
        <f t="shared" ref="I184:P184" si="133">SUM(I180:I183)</f>
        <v>22131.989999999998</v>
      </c>
      <c r="J184" s="20">
        <f t="shared" si="133"/>
        <v>21404.760000000002</v>
      </c>
      <c r="K184" s="20">
        <f t="shared" si="133"/>
        <v>58487.199999999997</v>
      </c>
      <c r="L184" s="20">
        <f t="shared" ref="L184" si="134">SUM(L180:L183)</f>
        <v>108593.13</v>
      </c>
      <c r="M184" s="30">
        <f t="shared" si="133"/>
        <v>158152.20782469551</v>
      </c>
      <c r="N184" s="30">
        <f t="shared" si="133"/>
        <v>232556.89028462116</v>
      </c>
      <c r="O184" s="30">
        <f t="shared" si="133"/>
        <v>193900.0660696791</v>
      </c>
      <c r="P184" s="30">
        <f t="shared" si="133"/>
        <v>123910.14713728343</v>
      </c>
      <c r="Q184" s="214"/>
      <c r="R184" s="214"/>
    </row>
    <row r="185" spans="2:21" x14ac:dyDescent="0.2">
      <c r="B185" s="195"/>
      <c r="C185" s="5"/>
      <c r="D185" s="5"/>
      <c r="E185" s="5"/>
      <c r="F185" s="5"/>
      <c r="G185" s="5"/>
      <c r="H185" s="5"/>
      <c r="I185" s="5"/>
      <c r="J185" s="5"/>
      <c r="K185" s="5"/>
      <c r="L185" s="5"/>
      <c r="M185" s="29"/>
      <c r="N185" s="29"/>
      <c r="O185" s="29"/>
      <c r="P185" s="29"/>
      <c r="Q185" s="212"/>
      <c r="R185" s="212"/>
    </row>
    <row r="186" spans="2:21" x14ac:dyDescent="0.2">
      <c r="B186" s="192" t="s">
        <v>400</v>
      </c>
      <c r="C186" s="5"/>
      <c r="D186" s="5"/>
      <c r="E186" s="5"/>
      <c r="F186" s="5"/>
      <c r="G186" s="5"/>
      <c r="H186" s="5"/>
      <c r="I186" s="5"/>
      <c r="J186" s="5"/>
      <c r="K186" s="5"/>
      <c r="L186" s="5"/>
      <c r="M186" s="29"/>
      <c r="N186" s="29"/>
      <c r="O186" s="29"/>
      <c r="P186" s="29"/>
      <c r="Q186" s="212"/>
      <c r="R186" s="212"/>
    </row>
    <row r="187" spans="2:21" x14ac:dyDescent="0.2">
      <c r="B187" s="193" t="s">
        <v>401</v>
      </c>
      <c r="C187" s="5"/>
      <c r="D187" s="5">
        <f>-SUM(D132:D138)</f>
        <v>2034.0399999999997</v>
      </c>
      <c r="E187" s="5">
        <f>-SUM(E132:E138)</f>
        <v>4922.87</v>
      </c>
      <c r="F187" s="5">
        <f>-SUM(F132:F138)</f>
        <v>7214.3</v>
      </c>
      <c r="G187" s="5">
        <f>-SUM(G132:G138)</f>
        <v>-1829.8200000000002</v>
      </c>
      <c r="H187" s="5">
        <f t="shared" ref="H187:P187" si="135">-SUM(H132:H138)</f>
        <v>2662.8699999999994</v>
      </c>
      <c r="I187" s="5">
        <f t="shared" si="135"/>
        <v>-1439.3299999999997</v>
      </c>
      <c r="J187" s="5">
        <f t="shared" si="135"/>
        <v>-3412.3699999999985</v>
      </c>
      <c r="K187" s="5">
        <f t="shared" si="135"/>
        <v>-4119.25</v>
      </c>
      <c r="L187" s="5">
        <f t="shared" ref="L187" si="136">-SUM(L132:L138)</f>
        <v>5842.5999999999995</v>
      </c>
      <c r="M187" s="29">
        <f t="shared" si="135"/>
        <v>-5548.6209502115144</v>
      </c>
      <c r="N187" s="29">
        <f t="shared" si="135"/>
        <v>-1724.5212098523491</v>
      </c>
      <c r="O187" s="29">
        <f t="shared" si="135"/>
        <v>-1533.088128952063</v>
      </c>
      <c r="P187" s="29">
        <f t="shared" si="135"/>
        <v>-1096.040489410429</v>
      </c>
      <c r="Q187" s="212"/>
      <c r="R187" s="212"/>
    </row>
    <row r="188" spans="2:21" x14ac:dyDescent="0.2">
      <c r="B188" s="193" t="s">
        <v>10</v>
      </c>
      <c r="C188" s="5"/>
      <c r="D188" s="5">
        <f>-D140</f>
        <v>212.69</v>
      </c>
      <c r="E188" s="5">
        <f>-E140</f>
        <v>264.0</v>
      </c>
      <c r="F188" s="5">
        <f>-F140</f>
        <v>208.82</v>
      </c>
      <c r="G188" s="5">
        <f>-G140</f>
        <v>-31.85</v>
      </c>
      <c r="H188" s="5">
        <f t="shared" ref="H188:P188" si="137">-H140</f>
        <v>255.77</v>
      </c>
      <c r="I188" s="5">
        <f t="shared" si="137"/>
        <v>547.41999999999996</v>
      </c>
      <c r="J188" s="5">
        <f t="shared" si="137"/>
        <v>111.66</v>
      </c>
      <c r="K188" s="5">
        <f t="shared" si="137"/>
        <v>1324.19</v>
      </c>
      <c r="L188" s="5">
        <f t="shared" ref="L188" si="138">-L140</f>
        <v>821.68</v>
      </c>
      <c r="M188" s="29">
        <f t="shared" si="137"/>
        <v>3195.5201068219731</v>
      </c>
      <c r="N188" s="29">
        <f t="shared" si="137"/>
        <v>6096.1346175057797</v>
      </c>
      <c r="O188" s="29">
        <f t="shared" si="137"/>
        <v>8306.4761931768753</v>
      </c>
      <c r="P188" s="29">
        <f t="shared" si="137"/>
        <v>10316.014851419484</v>
      </c>
      <c r="Q188" s="212"/>
      <c r="R188" s="212"/>
    </row>
    <row r="189" spans="2:21" x14ac:dyDescent="0.2">
      <c r="B189" s="193" t="s">
        <v>258</v>
      </c>
      <c r="C189" s="5"/>
      <c r="D189" s="5">
        <f>-(D143+D145)</f>
        <v>17772.66</v>
      </c>
      <c r="E189" s="5">
        <f>-(E143+E145)</f>
        <v>20164.69</v>
      </c>
      <c r="F189" s="5">
        <f>-(F143+F145)</f>
        <v>22489.44</v>
      </c>
      <c r="G189" s="5">
        <f>-(G143+G145)</f>
        <v>1855.19</v>
      </c>
      <c r="H189" s="5">
        <f t="shared" ref="H189:P189" si="139">-(H143+H145)</f>
        <v>14507.409999999996</v>
      </c>
      <c r="I189" s="5">
        <f t="shared" si="139"/>
        <v>7685.04</v>
      </c>
      <c r="J189" s="5">
        <f t="shared" si="139"/>
        <v>28020.7</v>
      </c>
      <c r="K189" s="5">
        <f t="shared" si="139"/>
        <v>32620.66</v>
      </c>
      <c r="L189" s="5">
        <f t="shared" ref="L189" si="140">-(L143+L145)</f>
        <v>53191.63</v>
      </c>
      <c r="M189" s="29">
        <f t="shared" si="139"/>
        <v>197107.33117313962</v>
      </c>
      <c r="N189" s="29">
        <f t="shared" si="139"/>
        <v>218628.94844382341</v>
      </c>
      <c r="O189" s="29">
        <f t="shared" si="139"/>
        <v>139541.88763750164</v>
      </c>
      <c r="P189" s="29">
        <f t="shared" si="139"/>
        <v>44030.095759233925</v>
      </c>
      <c r="Q189" s="212"/>
      <c r="R189" s="212"/>
      <c r="U189" s="303"/>
    </row>
    <row r="190" spans="2:21" x14ac:dyDescent="0.2">
      <c r="B190" s="193" t="s">
        <v>405</v>
      </c>
      <c r="C190" s="5"/>
      <c r="D190" s="5">
        <f>-(D146+D148+D153)</f>
        <v>997.5300000000001</v>
      </c>
      <c r="E190" s="5">
        <f>-(E146+E148+E153)</f>
        <v>-0.0</v>
      </c>
      <c r="F190" s="5">
        <f>-(F146+F148+F153)</f>
        <v>-0.0</v>
      </c>
      <c r="G190" s="5">
        <f>-(G146+G148+G153)</f>
        <v>-8708.48</v>
      </c>
      <c r="H190" s="5">
        <f t="shared" ref="H190:P190" si="141">-(H146+H148+H153)</f>
        <v>0</v>
      </c>
      <c r="I190" s="5">
        <f t="shared" si="141"/>
        <v>929.68</v>
      </c>
      <c r="J190" s="5">
        <f t="shared" si="141"/>
        <v>-11704.039999999999</v>
      </c>
      <c r="K190" s="5">
        <f t="shared" si="141"/>
        <v>0.05</v>
      </c>
      <c r="L190" s="5">
        <f t="shared" ref="L190" si="142">-(L146+L148+L153)</f>
        <v>0</v>
      </c>
      <c r="M190" s="29">
        <f t="shared" si="141"/>
        <v>0</v>
      </c>
      <c r="N190" s="29">
        <f t="shared" si="141"/>
        <v>0</v>
      </c>
      <c r="O190" s="29">
        <f t="shared" si="141"/>
        <v>0</v>
      </c>
      <c r="P190" s="29">
        <f t="shared" si="141"/>
        <v>0</v>
      </c>
      <c r="Q190" s="212"/>
      <c r="R190" s="212"/>
    </row>
    <row r="191" spans="2:21" x14ac:dyDescent="0.2">
      <c r="B191" s="193" t="s">
        <v>404</v>
      </c>
      <c r="C191" s="5"/>
      <c r="D191" s="5">
        <f>-D156</f>
        <v>84.66</v>
      </c>
      <c r="E191" s="5">
        <f>-E156</f>
        <v>467.72</v>
      </c>
      <c r="F191" s="5">
        <f>-F156</f>
        <v>648.06</v>
      </c>
      <c r="G191" s="5">
        <f>-G156</f>
        <v>389.62</v>
      </c>
      <c r="H191" s="5">
        <f t="shared" ref="H191:P191" si="143">-H156</f>
        <v>1365.74</v>
      </c>
      <c r="I191" s="5">
        <f t="shared" si="143"/>
        <v>1779.2</v>
      </c>
      <c r="J191" s="5">
        <f t="shared" si="143"/>
        <v>-1382.41</v>
      </c>
      <c r="K191" s="5">
        <f t="shared" si="143"/>
        <v>706.33</v>
      </c>
      <c r="L191" s="5">
        <f t="shared" ref="L191" si="144">-L156</f>
        <v>-1874.35</v>
      </c>
      <c r="M191" s="29">
        <f t="shared" si="143"/>
        <v>0</v>
      </c>
      <c r="N191" s="29">
        <f t="shared" si="143"/>
        <v>0</v>
      </c>
      <c r="O191" s="29">
        <f t="shared" si="143"/>
        <v>0</v>
      </c>
      <c r="P191" s="29">
        <f t="shared" si="143"/>
        <v>0</v>
      </c>
      <c r="Q191" s="212"/>
      <c r="R191" s="212"/>
    </row>
    <row r="192" spans="2:21" x14ac:dyDescent="0.2">
      <c r="B192" s="193" t="s">
        <v>250</v>
      </c>
      <c r="C192" s="5"/>
      <c r="D192" s="5">
        <f>-D167</f>
        <v>5800.48</v>
      </c>
      <c r="E192" s="5">
        <f>-E167</f>
        <v>9595.36</v>
      </c>
      <c r="F192" s="5">
        <f>-F167</f>
        <v>11202.38</v>
      </c>
      <c r="G192" s="5">
        <f>-G167</f>
        <v>11935.28</v>
      </c>
      <c r="H192" s="5">
        <f>-H167</f>
        <v>10379.75</v>
      </c>
      <c r="I192" s="5">
        <f t="shared" ref="I192:P192" si="145">-I167</f>
        <v>7184.78</v>
      </c>
      <c r="J192" s="5">
        <f t="shared" si="145"/>
        <v>6681.55</v>
      </c>
      <c r="K192" s="5">
        <f t="shared" si="145"/>
        <v>9634.34</v>
      </c>
      <c r="L192" s="5">
        <f t="shared" ref="L192" si="146">-L167</f>
        <v>14972.93</v>
      </c>
      <c r="M192" s="29">
        <f t="shared" si="145"/>
        <v>17937.057200007013</v>
      </c>
      <c r="N192" s="29">
        <f t="shared" si="145"/>
        <v>28214.234839192006</v>
      </c>
      <c r="O192" s="29">
        <f t="shared" si="145"/>
        <v>37842.850240489301</v>
      </c>
      <c r="P192" s="29">
        <f t="shared" si="145"/>
        <v>42004.947810987673</v>
      </c>
      <c r="Q192" s="212"/>
      <c r="R192" s="212"/>
    </row>
    <row r="193" spans="2:18" x14ac:dyDescent="0.2">
      <c r="B193" s="193" t="s">
        <v>406</v>
      </c>
      <c r="C193" s="5"/>
      <c r="D193" s="5">
        <f>-(D149+D144+D150+D151+D152+D154+D155)</f>
        <v>8190.42</v>
      </c>
      <c r="E193" s="5">
        <f>-(E149+E144+E150+E151+E152+E154+E155)</f>
        <v>-7560.7</v>
      </c>
      <c r="F193" s="5">
        <f>-(F149+F144+F150+F151+F152+F154+F155)</f>
        <v>-7599.21</v>
      </c>
      <c r="G193" s="5">
        <f>-(G149+G144+G150+G151+G152+G154+G155)</f>
        <v>2211.68</v>
      </c>
      <c r="H193" s="5">
        <f t="shared" ref="H193:P193" si="147">-(H149+H144+H150+H151+H152+H154+H155)</f>
        <v>-11873.859999999999</v>
      </c>
      <c r="I193" s="5">
        <f t="shared" si="147"/>
        <v>4261.9599999999991</v>
      </c>
      <c r="J193" s="5">
        <f t="shared" si="147"/>
        <v>3577.38</v>
      </c>
      <c r="K193" s="5">
        <f t="shared" si="147"/>
        <v>7964.64</v>
      </c>
      <c r="L193" s="5">
        <f t="shared" ref="L193" si="148">-(L149+L144+L150+L151+L152+L154+L155)</f>
        <v>24522.42</v>
      </c>
      <c r="M193" s="29">
        <f t="shared" si="147"/>
        <v>0</v>
      </c>
      <c r="N193" s="29">
        <f t="shared" si="147"/>
        <v>0</v>
      </c>
      <c r="O193" s="29">
        <f t="shared" si="147"/>
        <v>0</v>
      </c>
      <c r="P193" s="29">
        <f t="shared" si="147"/>
        <v>0</v>
      </c>
      <c r="Q193" s="212"/>
      <c r="R193" s="212"/>
    </row>
    <row r="194" spans="2:18" x14ac:dyDescent="0.2">
      <c r="B194" s="193" t="s">
        <v>228</v>
      </c>
      <c r="C194" s="5"/>
      <c r="D194" s="5">
        <f>-D166</f>
        <v>-0.0</v>
      </c>
      <c r="E194" s="5">
        <f>-E166</f>
        <v>-0.0</v>
      </c>
      <c r="F194" s="5">
        <f>-F166</f>
        <v>501.27</v>
      </c>
      <c r="G194" s="5">
        <f>-G166</f>
        <v>480.98</v>
      </c>
      <c r="H194" s="5">
        <f>-H166</f>
        <v>315.8</v>
      </c>
      <c r="I194" s="5">
        <f t="shared" ref="I194:P194" si="149">-I166</f>
        <v>493.31</v>
      </c>
      <c r="J194" s="5">
        <f t="shared" si="149"/>
        <v>319.60000000000002</v>
      </c>
      <c r="K194" s="5">
        <f t="shared" si="149"/>
        <v>605.1</v>
      </c>
      <c r="L194" s="5">
        <f t="shared" ref="L194" si="150">-L166</f>
        <v>1649.48</v>
      </c>
      <c r="M194" s="29">
        <f t="shared" si="149"/>
        <v>0</v>
      </c>
      <c r="N194" s="29">
        <f t="shared" si="149"/>
        <v>0</v>
      </c>
      <c r="O194" s="29">
        <f t="shared" si="149"/>
        <v>0</v>
      </c>
      <c r="P194" s="29">
        <f t="shared" si="149"/>
        <v>0</v>
      </c>
      <c r="Q194" s="212"/>
      <c r="R194" s="212"/>
    </row>
    <row r="195" spans="2:18" x14ac:dyDescent="0.2">
      <c r="B195" s="194" t="s">
        <v>402</v>
      </c>
      <c r="C195" s="5"/>
      <c r="D195" s="20">
        <f>SUM(D187:D194)</f>
        <v>35092.479999999996</v>
      </c>
      <c r="E195" s="20">
        <f>SUM(E187:E194)</f>
        <v>27853.94</v>
      </c>
      <c r="F195" s="20">
        <f>SUM(F187:F194)</f>
        <v>34665.06</v>
      </c>
      <c r="G195" s="20">
        <f>SUM(G187:G194)</f>
        <v>6302.600000000001</v>
      </c>
      <c r="H195" s="20">
        <f>SUM(H187:H194)</f>
        <v>17613.48</v>
      </c>
      <c r="I195" s="20">
        <f t="shared" ref="I195:P195" si="151">SUM(I187:I194)</f>
        <v>21442.06</v>
      </c>
      <c r="J195" s="20">
        <f t="shared" si="151"/>
        <v>22212.070000000003</v>
      </c>
      <c r="K195" s="20">
        <f t="shared" si="151"/>
        <v>48736.06</v>
      </c>
      <c r="L195" s="20">
        <f t="shared" ref="L195" si="152">SUM(L187:L194)</f>
        <v>99126.389999999985</v>
      </c>
      <c r="M195" s="30">
        <f t="shared" si="151"/>
        <v>212691.2875297571</v>
      </c>
      <c r="N195" s="30">
        <f t="shared" si="151"/>
        <v>251214.79669066885</v>
      </c>
      <c r="O195" s="30">
        <f t="shared" si="151"/>
        <v>184158.12594221576</v>
      </c>
      <c r="P195" s="30">
        <f t="shared" si="151"/>
        <v>95255.017932230665</v>
      </c>
      <c r="Q195" s="214"/>
      <c r="R195" s="214"/>
    </row>
    <row r="196" spans="2:18" x14ac:dyDescent="0.2">
      <c r="B196" s="195"/>
      <c r="C196" s="5"/>
      <c r="D196" s="5"/>
      <c r="E196" s="5"/>
      <c r="F196" s="5"/>
      <c r="G196" s="5"/>
      <c r="H196" s="5"/>
      <c r="I196" s="5"/>
      <c r="J196" s="5"/>
      <c r="K196" s="5"/>
      <c r="L196" s="5"/>
      <c r="M196" s="29"/>
      <c r="N196" s="29"/>
      <c r="O196" s="29"/>
      <c r="P196" s="29"/>
      <c r="Q196" s="212"/>
      <c r="R196" s="212"/>
    </row>
    <row r="197" spans="2:18" x14ac:dyDescent="0.2">
      <c r="B197" s="194" t="s">
        <v>403</v>
      </c>
      <c r="C197" s="5"/>
      <c r="D197" s="5">
        <f>+D184-D195</f>
        <v>2631.3300000000017</v>
      </c>
      <c r="E197" s="5">
        <f>+E184-E195</f>
        <v>-1385.2999999999993</v>
      </c>
      <c r="F197" s="5">
        <f>+F184-F195</f>
        <v>-306.13999999999214</v>
      </c>
      <c r="G197" s="5">
        <f>+G184-G195</f>
        <v>1998.4299999999976</v>
      </c>
      <c r="H197" s="5">
        <f>+H184-H195</f>
        <v>250.95000000000073</v>
      </c>
      <c r="I197" s="5">
        <f t="shared" ref="I197:P197" si="153">+I184-I195</f>
        <v>689.92999999999665</v>
      </c>
      <c r="J197" s="5">
        <f t="shared" si="153"/>
        <v>-807.31000000000131</v>
      </c>
      <c r="K197" s="5">
        <f t="shared" si="153"/>
        <v>9751.14</v>
      </c>
      <c r="L197" s="5">
        <f t="shared" ref="L197" si="154">+L184-L195</f>
        <v>9466.7400000000198</v>
      </c>
      <c r="M197" s="29">
        <f t="shared" si="153"/>
        <v>-54539.079705061595</v>
      </c>
      <c r="N197" s="29">
        <f t="shared" si="153"/>
        <v>-18657.906406047696</v>
      </c>
      <c r="O197" s="29">
        <f t="shared" si="153"/>
        <v>9741.9401274633419</v>
      </c>
      <c r="P197" s="29">
        <f t="shared" si="153"/>
        <v>28655.12920505277</v>
      </c>
      <c r="Q197" s="212"/>
      <c r="R197" s="212"/>
    </row>
    <row r="198" spans="2:18" x14ac:dyDescent="0.2">
      <c r="B198" s="196" t="s">
        <v>293</v>
      </c>
      <c r="C198" s="5"/>
      <c r="D198" s="190">
        <f>D197-D173</f>
        <v>1.8189894035458565e-12</v>
      </c>
      <c r="E198" s="190">
        <f>E197-E173</f>
        <v>0.0</v>
      </c>
      <c r="F198" s="190">
        <f>F197-F173</f>
        <v>3.637978807091713e-12</v>
      </c>
      <c r="G198" s="190">
        <f>G197-G173</f>
        <v>2.7284841053187847e-12</v>
      </c>
      <c r="H198" s="190">
        <f>H197-H173</f>
        <v>-3.637978807091713E-12</v>
      </c>
      <c r="I198" s="190">
        <f t="shared" ref="I198:P198" si="155">I197-I173</f>
        <v>-5.4569682106375694E-12</v>
      </c>
      <c r="J198" s="190">
        <f t="shared" si="155"/>
        <v>-3.637978807091713E-12</v>
      </c>
      <c r="K198" s="190">
        <f t="shared" si="155"/>
        <v>0</v>
      </c>
      <c r="L198" s="190">
        <f t="shared" ref="L198" si="156">L197-L173</f>
        <v>1.8189894035458565E-11</v>
      </c>
      <c r="M198" s="200">
        <f t="shared" si="155"/>
        <v>-27999.999755000048</v>
      </c>
      <c r="N198" s="200">
        <f t="shared" si="155"/>
        <v>-2.9103830456733704E-11</v>
      </c>
      <c r="O198" s="200">
        <f t="shared" si="155"/>
        <v>-1.4551915228366852E-11</v>
      </c>
      <c r="P198" s="200">
        <f t="shared" si="155"/>
        <v>0</v>
      </c>
      <c r="Q198" s="216"/>
      <c r="R198" s="216"/>
    </row>
    <row r="199" spans="2:18" x14ac:dyDescent="0.2">
      <c r="Q199" s="212"/>
      <c r="R199" s="212"/>
    </row>
    <row r="200" spans="2:18" x14ac:dyDescent="0.2">
      <c r="B200" s="20" t="s">
        <v>6</v>
      </c>
      <c r="C200" s="5"/>
      <c r="D200" s="5"/>
      <c r="E200" s="5"/>
      <c r="F200" s="5"/>
      <c r="G200" s="5"/>
      <c r="H200" s="5"/>
      <c r="I200" s="5"/>
      <c r="J200" s="5"/>
      <c r="K200" s="5"/>
      <c r="L200" s="5"/>
      <c r="M200" s="30"/>
      <c r="N200" s="30"/>
      <c r="O200" s="30"/>
      <c r="P200" s="30"/>
      <c r="Q200" s="214"/>
      <c r="R200" s="214"/>
    </row>
    <row r="201" spans="2:18" x14ac:dyDescent="0.2">
      <c r="B201" s="5" t="s">
        <v>222</v>
      </c>
      <c r="C201" s="5"/>
      <c r="D201" s="5"/>
      <c r="E201" s="5"/>
      <c r="F201" s="5"/>
      <c r="G201" s="5"/>
      <c r="H201" s="5"/>
      <c r="I201" s="5"/>
      <c r="J201" s="5"/>
      <c r="K201" s="300">
        <f>SUM(K202:K207)/AVERAGE(J98:K98)</f>
        <v>6.3149107271797747E-2</v>
      </c>
      <c r="L201" s="300">
        <f>SUM(L202:L207)/AVERAGE(K98:L98)</f>
        <v>5.6332055450427541E-2</v>
      </c>
      <c r="M201" s="301">
        <f t="shared" ref="M201:P201" si="157">$L$201</f>
        <v>5.6332055450427541E-2</v>
      </c>
      <c r="N201" s="301">
        <f t="shared" si="157"/>
        <v>5.6332055450427541E-2</v>
      </c>
      <c r="O201" s="301">
        <f t="shared" si="157"/>
        <v>5.6332055450427541E-2</v>
      </c>
      <c r="P201" s="301">
        <f t="shared" si="157"/>
        <v>5.6332055450427541E-2</v>
      </c>
      <c r="Q201" s="214"/>
      <c r="R201" s="214"/>
    </row>
    <row r="202" spans="2:18" x14ac:dyDescent="0.2">
      <c r="B202" s="45" t="s">
        <v>223</v>
      </c>
      <c r="C202" s="5"/>
      <c r="D202" s="537">
        <v>598.19</v>
      </c>
      <c r="E202" s="537">
        <v>1078.92</v>
      </c>
      <c r="F202" s="537">
        <v>539.37</v>
      </c>
      <c r="G202" s="537">
        <v>379.83</v>
      </c>
      <c r="H202" s="5">
        <v>213.12</v>
      </c>
      <c r="I202" s="5">
        <v>311.39999999999998</v>
      </c>
      <c r="J202" s="5">
        <v>486.08</v>
      </c>
      <c r="K202" s="5">
        <v>778.03</v>
      </c>
      <c r="L202" s="465">
        <v>1621.08</v>
      </c>
      <c r="M202" s="29">
        <f>M217*M219</f>
        <v>2703.7301054200043</v>
      </c>
      <c r="N202" s="29">
        <f>N217*N219</f>
        <v>4252.8534801173264</v>
      </c>
      <c r="O202" s="29">
        <f>O217*O219</f>
        <v>5704.2162674305118</v>
      </c>
      <c r="P202" s="29">
        <f>P217*P219</f>
        <v>6331.5872111462686</v>
      </c>
      <c r="Q202" s="212"/>
      <c r="R202" s="212"/>
    </row>
    <row r="203" spans="2:18" x14ac:dyDescent="0.2">
      <c r="B203" s="45" t="s">
        <v>224</v>
      </c>
      <c r="C203" s="5"/>
      <c r="D203" s="537">
        <v>0.0</v>
      </c>
      <c r="E203" s="537">
        <v>0.0</v>
      </c>
      <c r="F203" s="537">
        <v>1.65</v>
      </c>
      <c r="G203" s="537">
        <v>26.28</v>
      </c>
      <c r="H203" s="5">
        <v>39.57</v>
      </c>
      <c r="I203" s="5">
        <v>42.16</v>
      </c>
      <c r="J203" s="5">
        <v>299.85000000000002</v>
      </c>
      <c r="K203" s="5">
        <v>166.6</v>
      </c>
      <c r="L203" s="465">
        <v>22.8</v>
      </c>
      <c r="M203" s="304">
        <v>0</v>
      </c>
      <c r="N203" s="304">
        <v>0</v>
      </c>
      <c r="O203" s="304">
        <v>0</v>
      </c>
      <c r="P203" s="304">
        <v>0</v>
      </c>
      <c r="Q203" s="212"/>
      <c r="R203" s="212"/>
    </row>
    <row r="204" spans="2:18" x14ac:dyDescent="0.2">
      <c r="B204" s="45" t="s">
        <v>225</v>
      </c>
      <c r="C204" s="5"/>
      <c r="D204" s="538">
        <v>0.0</v>
      </c>
      <c r="E204" s="538">
        <v>0.0</v>
      </c>
      <c r="F204" s="538">
        <v>0.0</v>
      </c>
      <c r="G204" s="538">
        <v>0.0</v>
      </c>
      <c r="H204" s="46">
        <v>0</v>
      </c>
      <c r="I204" s="46">
        <v>0</v>
      </c>
      <c r="J204" s="46">
        <v>0</v>
      </c>
      <c r="K204" s="46">
        <v>335.15</v>
      </c>
      <c r="L204" s="507">
        <v>357.5</v>
      </c>
      <c r="M204" s="29">
        <f>L204</f>
        <v>357.5</v>
      </c>
      <c r="N204" s="29">
        <f>M204</f>
        <v>357.5</v>
      </c>
      <c r="O204" s="29">
        <f>N204</f>
        <v>357.5</v>
      </c>
      <c r="P204" s="29">
        <f>O204</f>
        <v>357.5</v>
      </c>
      <c r="Q204" s="212"/>
      <c r="R204" s="212"/>
    </row>
    <row r="205" spans="2:18" x14ac:dyDescent="0.2">
      <c r="B205" s="45" t="s">
        <v>226</v>
      </c>
      <c r="C205" s="5"/>
      <c r="D205" s="537">
        <v>0.0</v>
      </c>
      <c r="E205" s="537">
        <v>0.0</v>
      </c>
      <c r="F205" s="537">
        <v>0.0</v>
      </c>
      <c r="G205" s="537">
        <v>212.32</v>
      </c>
      <c r="H205" s="5">
        <v>226.78</v>
      </c>
      <c r="I205" s="5">
        <v>136.66</v>
      </c>
      <c r="J205" s="5">
        <v>90.54</v>
      </c>
      <c r="K205" s="5">
        <v>41.34</v>
      </c>
      <c r="L205" s="465">
        <v>110.37</v>
      </c>
      <c r="M205" s="29">
        <f>AVERAGE($K205,$L205)</f>
        <v>75.855000000000004</v>
      </c>
      <c r="N205" s="29">
        <f t="shared" ref="N205:P207" si="158">M205</f>
        <v>75.855000000000004</v>
      </c>
      <c r="O205" s="29">
        <f t="shared" si="158"/>
        <v>75.855000000000004</v>
      </c>
      <c r="P205" s="29">
        <f t="shared" si="158"/>
        <v>75.855000000000004</v>
      </c>
      <c r="Q205" s="212"/>
      <c r="R205" s="212"/>
    </row>
    <row r="206" spans="2:18" x14ac:dyDescent="0.2">
      <c r="B206" s="45" t="s">
        <v>227</v>
      </c>
      <c r="C206" s="5"/>
      <c r="D206" s="537">
        <v>0.0</v>
      </c>
      <c r="E206" s="537">
        <v>0.0</v>
      </c>
      <c r="F206" s="537">
        <v>0.0</v>
      </c>
      <c r="G206" s="537">
        <v>0.0</v>
      </c>
      <c r="H206" s="5">
        <v>0</v>
      </c>
      <c r="I206" s="5">
        <v>22.21</v>
      </c>
      <c r="J206" s="5">
        <v>290.62</v>
      </c>
      <c r="K206" s="5">
        <v>4.92</v>
      </c>
      <c r="L206" s="465">
        <v>420.74</v>
      </c>
      <c r="M206" s="29">
        <f>AVERAGE($K206,$L206)</f>
        <v>212.83</v>
      </c>
      <c r="N206" s="29">
        <f t="shared" si="158"/>
        <v>212.83</v>
      </c>
      <c r="O206" s="29">
        <f t="shared" si="158"/>
        <v>212.83</v>
      </c>
      <c r="P206" s="29">
        <f t="shared" si="158"/>
        <v>212.83</v>
      </c>
      <c r="Q206" s="212"/>
      <c r="R206" s="212"/>
    </row>
    <row r="207" spans="2:18" x14ac:dyDescent="0.2">
      <c r="B207" s="45" t="s">
        <v>228</v>
      </c>
      <c r="C207" s="5"/>
      <c r="D207" s="537">
        <v>1.01</v>
      </c>
      <c r="E207" s="537">
        <v>51.48</v>
      </c>
      <c r="F207" s="537">
        <v>75.13</v>
      </c>
      <c r="G207" s="537">
        <v>66.31</v>
      </c>
      <c r="H207" s="5">
        <v>33.61</v>
      </c>
      <c r="I207" s="5">
        <v>23.72</v>
      </c>
      <c r="J207" s="5">
        <v>41.49</v>
      </c>
      <c r="K207" s="5">
        <v>9.85</v>
      </c>
      <c r="L207" s="465">
        <v>23.33</v>
      </c>
      <c r="M207" s="29">
        <f>AVERAGE($K207,$L207)</f>
        <v>16.59</v>
      </c>
      <c r="N207" s="29">
        <f t="shared" si="158"/>
        <v>16.59</v>
      </c>
      <c r="O207" s="29">
        <f t="shared" si="158"/>
        <v>16.59</v>
      </c>
      <c r="P207" s="29">
        <f t="shared" si="158"/>
        <v>16.59</v>
      </c>
      <c r="Q207" s="212"/>
      <c r="R207" s="212"/>
    </row>
    <row r="208" spans="2:18" x14ac:dyDescent="0.2">
      <c r="B208" s="5" t="s">
        <v>229</v>
      </c>
      <c r="C208" s="5"/>
      <c r="D208" s="537">
        <v>0.0</v>
      </c>
      <c r="E208" s="537">
        <v>96.85</v>
      </c>
      <c r="F208" s="537">
        <v>106.8</v>
      </c>
      <c r="G208" s="537">
        <v>211.19</v>
      </c>
      <c r="H208" s="5">
        <v>153.5</v>
      </c>
      <c r="I208" s="5">
        <v>106.38</v>
      </c>
      <c r="J208" s="5">
        <v>180.37</v>
      </c>
      <c r="K208" s="5">
        <v>320.07</v>
      </c>
      <c r="L208" s="465">
        <v>711.44</v>
      </c>
      <c r="M208" s="366">
        <v>880</v>
      </c>
      <c r="N208" s="366">
        <v>880</v>
      </c>
      <c r="O208" s="366">
        <v>880</v>
      </c>
      <c r="P208" s="366">
        <v>880</v>
      </c>
      <c r="Q208" s="212"/>
      <c r="R208" s="212"/>
    </row>
    <row r="209" spans="2:18" x14ac:dyDescent="0.2">
      <c r="B209" s="5" t="s">
        <v>88</v>
      </c>
      <c r="C209" s="5"/>
      <c r="D209" s="537">
        <v>20.52</v>
      </c>
      <c r="E209" s="537">
        <v>33.09</v>
      </c>
      <c r="F209" s="537">
        <v>18.19</v>
      </c>
      <c r="G209" s="537">
        <v>25.77</v>
      </c>
      <c r="H209" s="5">
        <v>17.489999999999998</v>
      </c>
      <c r="I209" s="5">
        <v>4.67</v>
      </c>
      <c r="J209" s="5">
        <v>58.86</v>
      </c>
      <c r="K209" s="5">
        <v>26.03</v>
      </c>
      <c r="L209" s="465">
        <v>49.55</v>
      </c>
      <c r="M209" s="29">
        <v>0</v>
      </c>
      <c r="N209" s="29">
        <v>0</v>
      </c>
      <c r="O209" s="29">
        <v>0</v>
      </c>
      <c r="P209" s="29">
        <v>0</v>
      </c>
      <c r="Q209" s="212"/>
      <c r="R209" s="212"/>
    </row>
    <row r="210" spans="2:18" x14ac:dyDescent="0.2">
      <c r="B210" s="5" t="s">
        <v>89</v>
      </c>
      <c r="C210" s="5"/>
      <c r="D210" s="537">
        <v>31.03</v>
      </c>
      <c r="E210" s="537">
        <v>0.0</v>
      </c>
      <c r="F210" s="537">
        <v>1.12</v>
      </c>
      <c r="G210" s="537">
        <v>1134.26</v>
      </c>
      <c r="H210" s="5">
        <v>0</v>
      </c>
      <c r="I210" s="5">
        <v>0.33</v>
      </c>
      <c r="J210" s="5">
        <v>4.5199999999999996</v>
      </c>
      <c r="K210" s="5"/>
      <c r="L210" s="465">
        <v>0</v>
      </c>
      <c r="M210" s="29">
        <v>0</v>
      </c>
      <c r="N210" s="29">
        <v>0</v>
      </c>
      <c r="O210" s="29">
        <v>0</v>
      </c>
      <c r="P210" s="29">
        <v>0</v>
      </c>
      <c r="Q210" s="212"/>
      <c r="R210" s="212"/>
    </row>
    <row r="211" spans="2:18" x14ac:dyDescent="0.2">
      <c r="B211" s="5" t="s">
        <v>230</v>
      </c>
      <c r="C211" s="5"/>
      <c r="D211" s="537">
        <v>232.7</v>
      </c>
      <c r="E211" s="537">
        <v>31.49</v>
      </c>
      <c r="F211" s="537">
        <v>0.0</v>
      </c>
      <c r="G211" s="537">
        <v>75.94</v>
      </c>
      <c r="H211" s="5">
        <v>3.68</v>
      </c>
      <c r="I211" s="5">
        <v>1.68</v>
      </c>
      <c r="J211" s="5">
        <v>0.51</v>
      </c>
      <c r="K211" s="5"/>
      <c r="L211" s="465">
        <v>0</v>
      </c>
      <c r="M211" s="29">
        <v>0</v>
      </c>
      <c r="N211" s="29">
        <v>0</v>
      </c>
      <c r="O211" s="29">
        <v>0</v>
      </c>
      <c r="P211" s="29">
        <v>0</v>
      </c>
      <c r="Q211" s="212"/>
      <c r="R211" s="212"/>
    </row>
    <row r="212" spans="2:18" x14ac:dyDescent="0.2">
      <c r="B212" s="5" t="s">
        <v>90</v>
      </c>
      <c r="C212" s="5"/>
      <c r="D212" s="537">
        <v>15.02</v>
      </c>
      <c r="E212" s="537">
        <v>5.59</v>
      </c>
      <c r="F212" s="537">
        <v>9.81</v>
      </c>
      <c r="G212" s="537">
        <v>26.57</v>
      </c>
      <c r="H212" s="5">
        <v>22.3</v>
      </c>
      <c r="I212" s="5">
        <v>9.17</v>
      </c>
      <c r="J212" s="5">
        <v>0.14000000000000001</v>
      </c>
      <c r="K212" s="5"/>
      <c r="L212" s="465">
        <v>0</v>
      </c>
      <c r="M212" s="29">
        <v>0</v>
      </c>
      <c r="N212" s="29">
        <v>0</v>
      </c>
      <c r="O212" s="29">
        <v>0</v>
      </c>
      <c r="P212" s="29">
        <v>0</v>
      </c>
      <c r="Q212" s="212"/>
      <c r="R212" s="212"/>
    </row>
    <row r="213" spans="2:18" x14ac:dyDescent="0.2">
      <c r="B213" s="5" t="s">
        <v>231</v>
      </c>
      <c r="C213" s="5"/>
      <c r="D213" s="538">
        <v>0.0</v>
      </c>
      <c r="E213" s="538">
        <v>0.0</v>
      </c>
      <c r="F213" s="538">
        <v>0.0</v>
      </c>
      <c r="G213" s="538">
        <v>0.0</v>
      </c>
      <c r="H213" s="46">
        <v>0</v>
      </c>
      <c r="I213" s="46">
        <v>0</v>
      </c>
      <c r="J213" s="46">
        <v>0</v>
      </c>
      <c r="K213" s="46"/>
      <c r="L213" s="507">
        <v>1302.49</v>
      </c>
      <c r="M213" s="29">
        <v>0</v>
      </c>
      <c r="N213" s="29">
        <v>0</v>
      </c>
      <c r="O213" s="29">
        <v>0</v>
      </c>
      <c r="P213" s="29">
        <v>0</v>
      </c>
      <c r="Q213" s="212"/>
      <c r="R213" s="212"/>
    </row>
    <row r="214" spans="2:18" x14ac:dyDescent="0.2">
      <c r="B214" s="5" t="s">
        <v>232</v>
      </c>
      <c r="C214" s="5"/>
      <c r="D214" s="537">
        <v>2.85</v>
      </c>
      <c r="E214" s="537">
        <v>6.81</v>
      </c>
      <c r="F214" s="537">
        <v>24.51</v>
      </c>
      <c r="G214" s="537">
        <v>26.2</v>
      </c>
      <c r="H214" s="5">
        <v>38.19</v>
      </c>
      <c r="I214" s="5">
        <v>6.31</v>
      </c>
      <c r="J214" s="5">
        <v>17.190000000000001</v>
      </c>
      <c r="K214" s="5">
        <v>19.11</v>
      </c>
      <c r="L214" s="465">
        <v>217.71</v>
      </c>
      <c r="M214" s="29">
        <v>0</v>
      </c>
      <c r="N214" s="29">
        <v>0</v>
      </c>
      <c r="O214" s="29">
        <v>0</v>
      </c>
      <c r="P214" s="29">
        <v>0</v>
      </c>
      <c r="Q214" s="212"/>
      <c r="R214" s="212"/>
    </row>
    <row r="215" spans="2:18" x14ac:dyDescent="0.2">
      <c r="B215" s="20" t="s">
        <v>220</v>
      </c>
      <c r="C215" s="5"/>
      <c r="D215" s="20">
        <f>SUM(D202:D214)</f>
        <v>901.32</v>
      </c>
      <c r="E215" s="20">
        <f>SUM(E202:E214)</f>
        <v>1304.23</v>
      </c>
      <c r="F215" s="20">
        <f>SUM(F202:F214)</f>
        <v>776.58</v>
      </c>
      <c r="G215" s="20">
        <f>SUM(G202:G214)</f>
        <v>2184.67</v>
      </c>
      <c r="H215" s="20">
        <f>SUM(H202:H214)</f>
        <v>748.24</v>
      </c>
      <c r="I215" s="20">
        <f t="shared" ref="I215:J215" si="159">SUM(I202:I214)</f>
        <v>664.68999999999983</v>
      </c>
      <c r="J215" s="20">
        <f t="shared" si="159"/>
        <v>1470.1700000000003</v>
      </c>
      <c r="K215" s="20">
        <f>SUM(K202:K214)</f>
        <v>1701.0999999999997</v>
      </c>
      <c r="L215" s="20">
        <f>SUM(L202:L214)</f>
        <v>4837.01</v>
      </c>
      <c r="M215" s="89">
        <f t="shared" ref="M215" si="160">SUM(M202:M214)</f>
        <v>4246.5051054200048</v>
      </c>
      <c r="N215" s="89">
        <f t="shared" ref="N215:O215" si="161">SUM(N202:N214)</f>
        <v>5795.628480117326</v>
      </c>
      <c r="O215" s="89">
        <f t="shared" si="161"/>
        <v>7246.9912674305115</v>
      </c>
      <c r="P215" s="89">
        <f t="shared" ref="P215" si="162">SUM(P202:P214)</f>
        <v>7874.3622111462682</v>
      </c>
      <c r="Q215" s="217"/>
      <c r="R215" s="217"/>
    </row>
    <row r="216" spans="2:18" x14ac:dyDescent="0.2">
      <c r="Q216" s="212"/>
      <c r="R216" s="212"/>
    </row>
    <row r="217" spans="2:18" x14ac:dyDescent="0.2">
      <c r="B217" s="510" t="s">
        <v>761</v>
      </c>
      <c r="C217" s="8"/>
      <c r="D217" s="8"/>
      <c r="E217" s="8"/>
      <c r="F217" s="8"/>
      <c r="G217" s="8"/>
      <c r="H217" s="8"/>
      <c r="I217" s="8"/>
      <c r="J217" s="8"/>
      <c r="K217" s="8"/>
      <c r="L217" s="8"/>
      <c r="M217" s="508">
        <f>AVERAGE(L$69,M$69)*M218</f>
        <v>75103.614039444568</v>
      </c>
      <c r="N217" s="508">
        <f>AVERAGE(M$69,N$69)*N218</f>
        <v>118134.81889214796</v>
      </c>
      <c r="O217" s="508">
        <f>AVERAGE(N$69,O$69)*O218</f>
        <v>158450.45187306977</v>
      </c>
      <c r="P217" s="508">
        <f>AVERAGE(O$69,P$69)*P218</f>
        <v>175877.4225318408</v>
      </c>
      <c r="Q217" s="212"/>
      <c r="R217" s="212"/>
    </row>
    <row r="218" spans="2:18" x14ac:dyDescent="0.2">
      <c r="B218" s="511" t="s">
        <v>762</v>
      </c>
      <c r="C218" s="5"/>
      <c r="D218" s="5"/>
      <c r="E218" s="5"/>
      <c r="F218" s="5"/>
      <c r="G218" s="5"/>
      <c r="H218" s="5"/>
      <c r="I218" s="5"/>
      <c r="J218" s="5"/>
      <c r="K218" s="512">
        <v>0.28000000000000003</v>
      </c>
      <c r="L218" s="512">
        <v>0.32400000000000001</v>
      </c>
      <c r="M218" s="509">
        <v>0.3</v>
      </c>
      <c r="N218" s="509">
        <v>0.3</v>
      </c>
      <c r="O218" s="509">
        <v>0.3</v>
      </c>
      <c r="P218" s="509">
        <v>0.3</v>
      </c>
      <c r="Q218" s="218"/>
      <c r="R218" s="218"/>
    </row>
    <row r="219" spans="2:18" x14ac:dyDescent="0.2">
      <c r="B219" s="511" t="s">
        <v>763</v>
      </c>
      <c r="C219" s="5"/>
      <c r="D219" s="5">
        <f>(AVERAGE(C97:D97)/D$5)*365</f>
        <v>57.59901617867888</v>
      </c>
      <c r="E219" s="5">
        <f>(AVERAGE(D97:E97)/E$5)*365</f>
        <v>78.59370093528376</v>
      </c>
      <c r="F219" s="5">
        <f>(AVERAGE(E97:F97)/F$5)*365</f>
        <v>125.31552890020222</v>
      </c>
      <c r="G219" s="5">
        <f>(AVERAGE(F97:G97)/G$5)*365</f>
        <v>150.59112779999347</v>
      </c>
      <c r="H219" s="5">
        <f>(AVERAGE(G97:H97)/H$5)*365</f>
        <v>228.49278379893295</v>
      </c>
      <c r="I219" s="5">
        <f>(AVERAGE(H97:I97)/I$5)*365</f>
        <v>229.83104345959234</v>
      </c>
      <c r="J219" s="5">
        <f>(AVERAGE(I97:J97)/J$5)*365</f>
        <v>154.96169414440024</v>
      </c>
      <c r="K219" s="512">
        <v>3.6799999999999999E-2</v>
      </c>
      <c r="L219" s="512">
        <v>3.5700000000000003E-2</v>
      </c>
      <c r="M219" s="509">
        <v>3.5999999999999997E-2</v>
      </c>
      <c r="N219" s="509">
        <v>3.5999999999999997E-2</v>
      </c>
      <c r="O219" s="509">
        <v>3.5999999999999997E-2</v>
      </c>
      <c r="P219" s="509">
        <v>3.5999999999999997E-2</v>
      </c>
      <c r="Q219" s="218"/>
      <c r="R219" s="218"/>
    </row>
    <row r="220" spans="2:18" x14ac:dyDescent="0.2">
      <c r="B220" s="45" t="s">
        <v>291</v>
      </c>
      <c r="C220" s="5"/>
      <c r="D220" s="5">
        <f>(AVERAGE(C99:D99)/D$5)*365</f>
        <v>7.9294547929359</v>
      </c>
      <c r="E220" s="5">
        <f>(AVERAGE(D99:E99)/E$5)*365</f>
        <v>10.485760503475388</v>
      </c>
      <c r="F220" s="5">
        <f>(AVERAGE(E99:F99)/F$5)*365</f>
        <v>19.77074604980492</v>
      </c>
      <c r="G220" s="5">
        <f>(AVERAGE(F99:G99)/G$5)*365</f>
        <v>30.47367954390289</v>
      </c>
      <c r="H220" s="5">
        <f t="shared" ref="H220:J220" si="163">(AVERAGE(G99:H99)/H$5)*365</f>
        <v>39.818529714994675</v>
      </c>
      <c r="I220" s="5">
        <f t="shared" si="163"/>
        <v>71.350387750752176</v>
      </c>
      <c r="J220" s="5">
        <f t="shared" si="163"/>
        <v>95.158411976501796</v>
      </c>
      <c r="K220" s="5"/>
      <c r="L220" s="5"/>
      <c r="M220" s="47">
        <f t="shared" ref="M220:P223" si="164">L220</f>
        <v>0</v>
      </c>
      <c r="N220" s="47">
        <f t="shared" si="164"/>
        <v>0</v>
      </c>
      <c r="O220" s="47">
        <f t="shared" si="164"/>
        <v>0</v>
      </c>
      <c r="P220" s="47">
        <f t="shared" si="164"/>
        <v>0</v>
      </c>
      <c r="Q220" s="212"/>
      <c r="R220" s="212"/>
    </row>
    <row r="221" spans="2:18" x14ac:dyDescent="0.2">
      <c r="B221" s="45" t="s">
        <v>290</v>
      </c>
      <c r="C221" s="5"/>
      <c r="D221" s="5">
        <f>(AVERAGE(C100:D100)/D$5)*365</f>
        <v>55.374986087467406</v>
      </c>
      <c r="E221" s="5">
        <f>(AVERAGE(D100:E100)/E$5)*365</f>
        <v>102.10749572791178</v>
      </c>
      <c r="F221" s="5">
        <f>(AVERAGE(E100:F100)/F$5)*365</f>
        <v>459.7170044349316</v>
      </c>
      <c r="G221" s="5">
        <f>(AVERAGE(F100:G100)/G$5)*365</f>
        <v>449.125440004256</v>
      </c>
      <c r="H221" s="5">
        <f t="shared" ref="H221:J221" si="165">(AVERAGE(G100:H100)/H$5)*365</f>
        <v>118.50132602819271</v>
      </c>
      <c r="I221" s="5">
        <f t="shared" si="165"/>
        <v>113.24421926258624</v>
      </c>
      <c r="J221" s="5">
        <f t="shared" si="165"/>
        <v>219.9727799886299</v>
      </c>
      <c r="K221" s="5">
        <f t="shared" ref="K221:L221" si="166">(AVERAGE(J100:K100)/K$5)*365</f>
        <v>227.36405893827691</v>
      </c>
      <c r="L221" s="5">
        <f t="shared" si="166"/>
        <v>86.425028380743299</v>
      </c>
      <c r="M221" s="47">
        <f t="shared" si="164"/>
        <v>86.425028380743299</v>
      </c>
      <c r="N221" s="47">
        <f t="shared" si="164"/>
        <v>86.425028380743299</v>
      </c>
      <c r="O221" s="47">
        <f t="shared" si="164"/>
        <v>86.425028380743299</v>
      </c>
      <c r="P221" s="47">
        <f t="shared" si="164"/>
        <v>86.425028380743299</v>
      </c>
      <c r="Q221" s="212"/>
      <c r="R221" s="212"/>
    </row>
    <row r="222" spans="2:18" x14ac:dyDescent="0.2">
      <c r="B222" s="45" t="s">
        <v>288</v>
      </c>
      <c r="C222" s="5"/>
      <c r="D222" s="5">
        <f>(AVERAGE(C104:D104)/D$5)*365</f>
        <v>10.974967476604137</v>
      </c>
      <c r="E222" s="5">
        <f>(AVERAGE(D104:E104)/E$5)*365</f>
        <v>7.300986782096286</v>
      </c>
      <c r="F222" s="5">
        <f>(AVERAGE(E104:F104)/F$5)*365</f>
        <v>8.618272908655712</v>
      </c>
      <c r="G222" s="5">
        <f>(AVERAGE(F104:G104)/G$5)*365</f>
        <v>21.539324780034814</v>
      </c>
      <c r="H222" s="5">
        <f t="shared" ref="H222:L223" si="167">(AVERAGE(G104:H104)/H$5)*365</f>
        <v>66.972589592594147</v>
      </c>
      <c r="I222" s="5">
        <f t="shared" si="167"/>
        <v>47.230837189475047</v>
      </c>
      <c r="J222" s="5">
        <f t="shared" si="167"/>
        <v>18.7954595414061</v>
      </c>
      <c r="K222" s="5">
        <f t="shared" si="167"/>
        <v>38.767438765495889</v>
      </c>
      <c r="L222" s="5">
        <f t="shared" si="167"/>
        <v>21.646597103162581</v>
      </c>
      <c r="M222" s="47">
        <f t="shared" si="164"/>
        <v>21.646597103162581</v>
      </c>
      <c r="N222" s="47">
        <f t="shared" si="164"/>
        <v>21.646597103162581</v>
      </c>
      <c r="O222" s="47">
        <f t="shared" si="164"/>
        <v>21.646597103162581</v>
      </c>
      <c r="P222" s="47">
        <f t="shared" si="164"/>
        <v>21.646597103162581</v>
      </c>
      <c r="Q222" s="218"/>
      <c r="R222" s="218"/>
    </row>
    <row r="223" spans="2:18" x14ac:dyDescent="0.2">
      <c r="B223" s="45" t="s">
        <v>289</v>
      </c>
      <c r="C223" s="5"/>
      <c r="D223" s="5"/>
      <c r="E223" s="5"/>
      <c r="F223" s="5"/>
      <c r="G223" s="5"/>
      <c r="H223" s="5">
        <f t="shared" si="167"/>
        <v>88.347347473153462</v>
      </c>
      <c r="I223" s="5">
        <f t="shared" si="167"/>
        <v>99.934543410167848</v>
      </c>
      <c r="J223" s="5">
        <f t="shared" si="167"/>
        <v>164.00846503695283</v>
      </c>
      <c r="K223" s="5">
        <f t="shared" si="167"/>
        <v>177.23864536473826</v>
      </c>
      <c r="L223" s="5">
        <f t="shared" si="167"/>
        <v>133.75736453724193</v>
      </c>
      <c r="M223" s="47">
        <f t="shared" si="164"/>
        <v>133.75736453724193</v>
      </c>
      <c r="N223" s="47">
        <f t="shared" si="164"/>
        <v>133.75736453724193</v>
      </c>
      <c r="O223" s="47">
        <f t="shared" si="164"/>
        <v>133.75736453724193</v>
      </c>
      <c r="P223" s="47">
        <f t="shared" si="164"/>
        <v>133.75736453724193</v>
      </c>
      <c r="Q223" s="212"/>
      <c r="R223" s="212"/>
    </row>
    <row r="224" spans="2:18" x14ac:dyDescent="0.2">
      <c r="B224" s="88" t="s">
        <v>292</v>
      </c>
      <c r="C224" s="5"/>
      <c r="D224" s="20">
        <f>D218+D219+D220+D221-D222-D223</f>
        <v>109.92848958247805</v>
      </c>
      <c r="E224" s="20">
        <f>E218+E219+E220+E221-E222-E223</f>
        <v>183.88597038457465</v>
      </c>
      <c r="F224" s="20">
        <f>F218+F219+F220+F221-F222-F223</f>
        <v>596.185006476283</v>
      </c>
      <c r="G224" s="20">
        <f>G218+G219+G220+G221-G222-G223</f>
        <v>608.6509225681175</v>
      </c>
      <c r="H224" s="20">
        <f>H218+H219+H220+H221-H222-H223</f>
        <v>231.49270247637273</v>
      </c>
      <c r="I224" s="20">
        <f t="shared" ref="I224:J224" si="168">I218+I219+I220+I221-I222-I223</f>
        <v>267.26026987328783</v>
      </c>
      <c r="J224" s="20">
        <f t="shared" si="168"/>
        <v>287.28896153117302</v>
      </c>
      <c r="K224" s="20">
        <f t="shared" ref="K224:L224" si="169">K218+K219+K220+K221-K222-K223</f>
        <v>11.67477480804277</v>
      </c>
      <c r="L224" s="20">
        <f t="shared" si="169"/>
        <v>-68.6192332596612</v>
      </c>
      <c r="M224" s="30">
        <f t="shared" ref="M224" si="170">M218+M219+M220+M221-M222-M223</f>
        <v>-68.642933259661206</v>
      </c>
      <c r="N224" s="30">
        <f t="shared" ref="N224" si="171">N218+N219+N220+N221-N222-N223</f>
        <v>-68.642933259661206</v>
      </c>
      <c r="O224" s="30">
        <f t="shared" ref="O224" si="172">O218+O219+O220+O221-O222-O223</f>
        <v>-68.642933259661206</v>
      </c>
      <c r="P224" s="30">
        <f t="shared" ref="P224" si="173">P218+P219+P220+P221-P222-P223</f>
        <v>-68.642933259661206</v>
      </c>
      <c r="Q224" s="214"/>
      <c r="R224" s="214"/>
    </row>
    <row r="225" spans="2:18" x14ac:dyDescent="0.2">
      <c r="Q225" s="212"/>
      <c r="R225" s="212"/>
    </row>
    <row r="226" spans="2:18" x14ac:dyDescent="0.2">
      <c r="B226" s="466" t="s">
        <v>744</v>
      </c>
      <c r="M226" s="461">
        <v>8.4000000000000005E-2</v>
      </c>
      <c r="N226" s="461">
        <v>8.4000000000000005E-2</v>
      </c>
      <c r="O226" s="461">
        <v>8.4000000000000005E-2</v>
      </c>
      <c r="P226" s="461">
        <v>8.4000000000000005E-2</v>
      </c>
    </row>
    <row r="227" spans="2:18" x14ac:dyDescent="0.2">
      <c r="B227" s="20" t="s">
        <v>451</v>
      </c>
      <c r="C227" s="5"/>
      <c r="D227" s="201"/>
      <c r="E227" s="201"/>
      <c r="F227" s="201"/>
      <c r="G227" s="201"/>
      <c r="H227" s="201"/>
      <c r="I227" s="201"/>
      <c r="J227" s="201"/>
      <c r="K227" s="201"/>
      <c r="L227" s="201"/>
      <c r="M227" s="202"/>
      <c r="N227" s="202"/>
      <c r="O227" s="202"/>
      <c r="P227" s="202"/>
    </row>
    <row r="228" spans="2:18" x14ac:dyDescent="0.2">
      <c r="B228" s="20" t="s">
        <v>511</v>
      </c>
      <c r="C228" s="5"/>
      <c r="D228" s="201"/>
      <c r="E228" s="201"/>
      <c r="F228" s="201"/>
      <c r="G228" s="201"/>
      <c r="H228" s="201"/>
      <c r="I228" s="201"/>
      <c r="J228" s="201"/>
      <c r="K228" s="300">
        <f>+SUM(K229:K233)/AVERAGE(J69:K69)</f>
        <v>7.4183164707595284E-2</v>
      </c>
      <c r="L228" s="300">
        <f>+SUM(L229:L233)/AVERAGE(K69:L69)</f>
        <v>7.16492438989145E-2</v>
      </c>
      <c r="M228" s="302">
        <f>L228</f>
        <v>7.16492438989145E-2</v>
      </c>
      <c r="N228" s="302">
        <f t="shared" ref="N228:P228" si="174">M228</f>
        <v>7.16492438989145E-2</v>
      </c>
      <c r="O228" s="302">
        <f t="shared" si="174"/>
        <v>7.16492438989145E-2</v>
      </c>
      <c r="P228" s="302">
        <f t="shared" si="174"/>
        <v>7.16492438989145E-2</v>
      </c>
    </row>
    <row r="229" spans="2:18" x14ac:dyDescent="0.2">
      <c r="B229" s="45" t="s">
        <v>512</v>
      </c>
      <c r="C229" s="5"/>
      <c r="D229" s="539">
        <v>5497.28</v>
      </c>
      <c r="E229" s="539">
        <v>9478.42</v>
      </c>
      <c r="F229" s="539">
        <v>11790.23</v>
      </c>
      <c r="G229" s="539">
        <v>10440.65</v>
      </c>
      <c r="H229" s="201"/>
      <c r="I229" s="201"/>
      <c r="J229" s="5">
        <v>4119.37</v>
      </c>
      <c r="K229" s="5">
        <v>4292.3900000000003</v>
      </c>
      <c r="L229" s="465">
        <v>7702.41</v>
      </c>
      <c r="M229" s="29">
        <f>AVERAGE(L$69,M$69)*M$228</f>
        <v>17937.057200007013</v>
      </c>
      <c r="N229" s="29">
        <f>AVERAGE(M$69,N$69)*N$228</f>
        <v>28214.234839192006</v>
      </c>
      <c r="O229" s="29">
        <f>AVERAGE(N$69,O$69)*O$228</f>
        <v>37842.850240489301</v>
      </c>
      <c r="P229" s="29">
        <f>AVERAGE(O$69,P$69)*P$228</f>
        <v>42004.947810987673</v>
      </c>
    </row>
    <row r="230" spans="2:18" x14ac:dyDescent="0.2">
      <c r="B230" s="45" t="s">
        <v>513</v>
      </c>
      <c r="C230" s="5"/>
      <c r="D230" s="539">
        <v>0.0</v>
      </c>
      <c r="E230" s="539">
        <v>0.0</v>
      </c>
      <c r="F230" s="539">
        <v>0.0</v>
      </c>
      <c r="G230" s="539">
        <v>0.0</v>
      </c>
      <c r="H230" s="201"/>
      <c r="I230" s="201"/>
      <c r="J230" s="5">
        <v>2621.99</v>
      </c>
      <c r="K230" s="5">
        <v>2320.42</v>
      </c>
      <c r="L230" s="465">
        <v>2124.35</v>
      </c>
      <c r="M230" s="304"/>
      <c r="N230" s="304"/>
      <c r="O230" s="304"/>
      <c r="P230" s="304"/>
    </row>
    <row r="231" spans="2:18" x14ac:dyDescent="0.2">
      <c r="B231" s="45" t="s">
        <v>514</v>
      </c>
      <c r="C231" s="5"/>
      <c r="D231" s="539">
        <v>0.0</v>
      </c>
      <c r="E231" s="539">
        <v>0.0</v>
      </c>
      <c r="F231" s="539">
        <v>425.83</v>
      </c>
      <c r="G231" s="539">
        <v>277.2</v>
      </c>
      <c r="H231" s="201"/>
      <c r="I231" s="201"/>
      <c r="J231" s="5">
        <v>217.01</v>
      </c>
      <c r="K231" s="5">
        <v>209.72</v>
      </c>
      <c r="L231" s="465">
        <v>319.55</v>
      </c>
      <c r="M231" s="202"/>
      <c r="N231" s="202"/>
      <c r="O231" s="202"/>
      <c r="P231" s="202"/>
    </row>
    <row r="232" spans="2:18" x14ac:dyDescent="0.2">
      <c r="B232" s="45" t="s">
        <v>515</v>
      </c>
      <c r="C232" s="5"/>
      <c r="D232" s="539">
        <v>12.38</v>
      </c>
      <c r="E232" s="539">
        <v>2.09</v>
      </c>
      <c r="F232" s="539">
        <v>27.78</v>
      </c>
      <c r="G232" s="539">
        <v>17.31</v>
      </c>
      <c r="H232" s="201"/>
      <c r="I232" s="201"/>
      <c r="J232" s="5">
        <v>0.9</v>
      </c>
      <c r="K232" s="5">
        <v>43.99</v>
      </c>
      <c r="L232" s="465">
        <v>48.66</v>
      </c>
      <c r="M232" s="202"/>
      <c r="N232" s="202"/>
      <c r="O232" s="202"/>
      <c r="P232" s="202"/>
    </row>
    <row r="233" spans="2:18" x14ac:dyDescent="0.2">
      <c r="B233" s="45" t="s">
        <v>228</v>
      </c>
      <c r="C233" s="5"/>
      <c r="D233" s="539">
        <v>0.0</v>
      </c>
      <c r="E233" s="539">
        <v>0.0</v>
      </c>
      <c r="F233" s="539">
        <v>0.82</v>
      </c>
      <c r="G233" s="539">
        <v>0.28</v>
      </c>
      <c r="H233" s="201"/>
      <c r="I233" s="201"/>
      <c r="J233" s="5">
        <v>28.1</v>
      </c>
      <c r="K233" s="5">
        <v>47.46</v>
      </c>
      <c r="L233" s="465">
        <v>341.32</v>
      </c>
      <c r="M233" s="202"/>
      <c r="N233" s="202"/>
      <c r="O233" s="202"/>
      <c r="P233" s="202"/>
    </row>
    <row r="234" spans="2:18" x14ac:dyDescent="0.2">
      <c r="B234" s="5" t="s">
        <v>516</v>
      </c>
      <c r="C234" s="5"/>
      <c r="D234" s="539">
        <v>0.0</v>
      </c>
      <c r="E234" s="539">
        <v>0.0</v>
      </c>
      <c r="F234" s="539">
        <v>0.0</v>
      </c>
      <c r="G234" s="539">
        <v>236.47</v>
      </c>
      <c r="H234" s="201"/>
      <c r="I234" s="201"/>
      <c r="J234" s="5">
        <v>611.48</v>
      </c>
      <c r="K234" s="5">
        <v>641.64</v>
      </c>
      <c r="L234" s="465">
        <v>494.21</v>
      </c>
      <c r="M234" s="29"/>
      <c r="N234" s="29"/>
      <c r="O234" s="29"/>
      <c r="P234" s="29"/>
    </row>
    <row r="235" spans="2:18" x14ac:dyDescent="0.2">
      <c r="B235" s="5" t="s">
        <v>517</v>
      </c>
      <c r="C235" s="5"/>
      <c r="D235" s="539">
        <v>631.11</v>
      </c>
      <c r="E235" s="539">
        <v>144.45</v>
      </c>
      <c r="F235" s="539">
        <v>52.45</v>
      </c>
      <c r="G235" s="539">
        <v>0.0</v>
      </c>
      <c r="H235" s="201"/>
      <c r="I235" s="201"/>
      <c r="J235" s="5">
        <v>68.34</v>
      </c>
      <c r="K235" s="5"/>
      <c r="L235" s="465">
        <v>76.989999999999995</v>
      </c>
      <c r="M235" s="29"/>
      <c r="N235" s="29"/>
      <c r="O235" s="29"/>
      <c r="P235" s="29"/>
    </row>
    <row r="236" spans="2:18" x14ac:dyDescent="0.2">
      <c r="B236" s="5" t="s">
        <v>518</v>
      </c>
      <c r="C236" s="5"/>
      <c r="D236" s="539">
        <v>362.38</v>
      </c>
      <c r="E236" s="539">
        <v>548.24</v>
      </c>
      <c r="F236" s="539">
        <v>71.17</v>
      </c>
      <c r="G236" s="539">
        <v>533.72</v>
      </c>
      <c r="H236" s="201"/>
      <c r="I236" s="201"/>
      <c r="J236" s="5">
        <v>5.74</v>
      </c>
      <c r="K236" s="5">
        <v>36.450000000000003</v>
      </c>
      <c r="L236" s="465">
        <v>122.39</v>
      </c>
      <c r="M236" s="29"/>
      <c r="N236" s="29"/>
      <c r="O236" s="29"/>
      <c r="P236" s="29"/>
    </row>
    <row r="237" spans="2:18" x14ac:dyDescent="0.2">
      <c r="B237" s="20" t="s">
        <v>220</v>
      </c>
      <c r="C237" s="5"/>
      <c r="D237" s="201"/>
      <c r="E237" s="201"/>
      <c r="F237" s="201"/>
      <c r="G237" s="201"/>
      <c r="H237" s="201"/>
      <c r="I237" s="201"/>
      <c r="J237" s="20">
        <f>+SUM(J229:J236)</f>
        <v>7672.93</v>
      </c>
      <c r="K237" s="20">
        <f>+SUM(K229:K236)</f>
        <v>7592.0700000000006</v>
      </c>
      <c r="L237" s="20">
        <f>+SUM(L229:L236)</f>
        <v>11229.879999999997</v>
      </c>
      <c r="M237" s="30">
        <f t="shared" ref="M237:P237" si="175">+SUM(M229:M236)</f>
        <v>17937.057200007013</v>
      </c>
      <c r="N237" s="30">
        <f t="shared" si="175"/>
        <v>28214.234839192006</v>
      </c>
      <c r="O237" s="30">
        <f t="shared" si="175"/>
        <v>37842.850240489301</v>
      </c>
      <c r="P237" s="30">
        <f t="shared" si="175"/>
        <v>42004.947810987673</v>
      </c>
    </row>
    <row r="239" spans="2:18" x14ac:dyDescent="0.2">
      <c r="B239" s="1" t="s">
        <v>543</v>
      </c>
      <c r="K239" s="1">
        <f>+K141-K24</f>
        <v>7838.1199999999972</v>
      </c>
      <c r="L239" s="1">
        <f>0+(+L141-L24)</f>
        <v>1256.0300000000007</v>
      </c>
      <c r="M239" s="1">
        <f>0+(+M141-M24)</f>
        <v>17391.966099694273</v>
      </c>
      <c r="N239" s="1">
        <f>0+(+N141-N24)</f>
        <v>28230.494802599631</v>
      </c>
      <c r="O239" s="1">
        <f>0+(+O141-O24)</f>
        <v>39210.868713114563</v>
      </c>
      <c r="P239" s="1">
        <f>0+(+P141-P24)</f>
        <v>51457.026145753283</v>
      </c>
    </row>
    <row r="240" spans="2:18" x14ac:dyDescent="0.2">
      <c r="B240" s="1" t="s">
        <v>473</v>
      </c>
      <c r="K240" s="1">
        <f t="shared" ref="K240:P240" si="176">K189</f>
        <v>32620.66</v>
      </c>
      <c r="L240" s="1">
        <f t="shared" si="176"/>
        <v>53191.63</v>
      </c>
      <c r="M240" s="1">
        <f t="shared" si="176"/>
        <v>197107.33117313962</v>
      </c>
      <c r="N240" s="1">
        <f t="shared" si="176"/>
        <v>218628.94844382341</v>
      </c>
      <c r="O240" s="1">
        <f t="shared" si="176"/>
        <v>139541.88763750164</v>
      </c>
      <c r="P240" s="1">
        <f t="shared" si="176"/>
        <v>44030.095759233925</v>
      </c>
    </row>
    <row r="243" spans="2:16" ht="15" x14ac:dyDescent="0.25">
      <c r="B243"/>
      <c r="C243"/>
      <c r="D243" s="1"/>
      <c r="E243" s="1"/>
      <c r="F243" s="1"/>
      <c r="G243" s="1"/>
      <c r="H243"/>
      <c r="I243"/>
      <c r="J243"/>
      <c r="K243"/>
      <c r="L243"/>
      <c r="M243"/>
      <c r="N243"/>
      <c r="O243"/>
      <c r="P243"/>
    </row>
    <row r="244" spans="2:16" ht="15" x14ac:dyDescent="0.25">
      <c r="B244"/>
      <c r="C244"/>
      <c r="D244" s="1"/>
      <c r="E244" s="1"/>
      <c r="F244" s="1"/>
      <c r="G244" s="1"/>
      <c r="H244"/>
      <c r="I244"/>
      <c r="J244"/>
      <c r="K244"/>
      <c r="L244"/>
      <c r="M244"/>
      <c r="N244"/>
      <c r="O244"/>
      <c r="P244"/>
    </row>
    <row r="245" spans="2:16" ht="15" x14ac:dyDescent="0.25">
      <c r="B245"/>
      <c r="C245"/>
      <c r="D245" s="1"/>
      <c r="E245" s="1"/>
      <c r="F245" s="1"/>
      <c r="G245" s="1"/>
      <c r="H245"/>
      <c r="I245"/>
      <c r="J245"/>
      <c r="K245"/>
      <c r="L245"/>
      <c r="M245"/>
      <c r="N245"/>
      <c r="O245"/>
      <c r="P245"/>
    </row>
    <row r="246" spans="2:16" ht="15" x14ac:dyDescent="0.25">
      <c r="B246"/>
      <c r="C246"/>
      <c r="D246" s="1"/>
      <c r="E246" s="1"/>
      <c r="F246" s="1"/>
      <c r="G246" s="1"/>
      <c r="H246"/>
      <c r="I246"/>
      <c r="J246"/>
      <c r="K246"/>
      <c r="L246"/>
      <c r="M246"/>
      <c r="N246"/>
      <c r="O246"/>
      <c r="P246"/>
    </row>
    <row r="247" spans="2:16" ht="15" x14ac:dyDescent="0.25">
      <c r="B247"/>
      <c r="C247"/>
      <c r="D247" s="1"/>
      <c r="E247" s="1"/>
      <c r="F247" s="1"/>
      <c r="G247" s="1"/>
      <c r="H247"/>
      <c r="I247"/>
      <c r="J247"/>
      <c r="K247"/>
      <c r="L247"/>
      <c r="M247"/>
      <c r="N247"/>
      <c r="O247"/>
      <c r="P247"/>
    </row>
    <row r="248" spans="2:16" ht="15" x14ac:dyDescent="0.25">
      <c r="B248"/>
      <c r="C248"/>
      <c r="D248" s="1"/>
      <c r="E248" s="1"/>
      <c r="F248" s="1"/>
      <c r="G248" s="1"/>
      <c r="H248"/>
      <c r="I248"/>
      <c r="J248"/>
      <c r="K248"/>
      <c r="L248"/>
      <c r="M248"/>
      <c r="N248"/>
      <c r="O248"/>
      <c r="P248"/>
    </row>
    <row r="249" spans="2:16" ht="15" x14ac:dyDescent="0.25">
      <c r="B249"/>
      <c r="C249"/>
      <c r="D249" s="1"/>
      <c r="E249" s="1"/>
      <c r="F249" s="1"/>
      <c r="G249" s="1"/>
      <c r="H249"/>
      <c r="I249"/>
      <c r="J249"/>
      <c r="K249"/>
      <c r="L249"/>
      <c r="M249"/>
      <c r="N249"/>
      <c r="O249"/>
      <c r="P249"/>
    </row>
  </sheetData>
  <phoneticPr fontId="27" type="noConversion"/>
  <pageMargins left="0.7" right="0.7" top="0.75" bottom="0.75" header="0.3" footer="0.3"/>
  <ignoredErrors>
    <ignoredError sqref="N57:P57 M27" formula="1"/>
    <ignoredError sqref="H219 I219:J219 H220:J220 K228" formulaRange="1"/>
  </ignoredErrors>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174C4-CA73-4335-BDDD-D90554B7F345}">
  <dimension ref="B1:GB174"/>
  <sheetViews>
    <sheetView showGridLines="0" zoomScaleNormal="100" workbookViewId="0">
      <pane xSplit="2" ySplit="2" topLeftCell="C25" activePane="bottomRight" state="frozen"/>
      <selection pane="topRight" activeCell="C1" sqref="C1"/>
      <selection pane="bottomLeft" activeCell="A3" sqref="A3"/>
      <selection pane="bottomRight" activeCell="G37" sqref="G37"/>
    </sheetView>
  </sheetViews>
  <sheetFormatPr defaultColWidth="12.7109375" defaultRowHeight="12" x14ac:dyDescent="0.2"/>
  <cols>
    <col min="1" max="1" width="2.7109375" style="51" customWidth="1"/>
    <col min="2" max="32" width="12.7109375" style="51"/>
    <col min="33" max="33" width="12.7109375" style="442"/>
    <col min="34" max="80" width="12.7109375" style="51"/>
    <col min="81" max="81" width="12.7109375" style="107"/>
    <col min="82" max="16384" width="12.7109375" style="51"/>
  </cols>
  <sheetData>
    <row r="1" spans="2:130" s="440" customFormat="1" ht="12.75" x14ac:dyDescent="0.2">
      <c r="B1" s="437"/>
      <c r="C1" s="437"/>
      <c r="D1" s="438"/>
      <c r="E1" s="438"/>
      <c r="F1" s="439"/>
      <c r="G1" s="439"/>
      <c r="H1" s="439"/>
      <c r="I1" s="439"/>
      <c r="J1" s="439"/>
      <c r="K1" s="439"/>
      <c r="Q1" s="441"/>
      <c r="Y1" s="441"/>
      <c r="AG1" s="442"/>
      <c r="AH1" s="441"/>
      <c r="AP1" s="441"/>
      <c r="AX1" s="441"/>
      <c r="BF1" s="441"/>
      <c r="BN1" s="441">
        <f>IF(AND($J360&gt;DG$304,$J360&lt;=DI$304),IF($I360&gt;DG$304,$J360-$I360,$J360-DG$304),IF($J360&lt;=DG$304,0,IF(AND($I360&gt;DG$304,$I360&lt;=DI$304),DI$304-$I360,IF($I360&gt;DI$304,0,DI$304-DG$304))))</f>
        <v>0</v>
      </c>
      <c r="BV1" s="441"/>
      <c r="CC1" s="463"/>
      <c r="CD1" s="441"/>
      <c r="CL1" s="441"/>
      <c r="CT1" s="441"/>
      <c r="DB1" s="441"/>
      <c r="DJ1" s="441"/>
      <c r="DR1" s="441"/>
      <c r="DZ1" s="441"/>
    </row>
    <row r="2" spans="2:130" ht="12.75" x14ac:dyDescent="0.2">
      <c r="B2" s="412" t="s">
        <v>271</v>
      </c>
      <c r="C2" s="412" t="s">
        <v>272</v>
      </c>
      <c r="D2" s="433" t="s">
        <v>696</v>
      </c>
      <c r="E2" s="433" t="s">
        <v>697</v>
      </c>
      <c r="F2" s="433" t="s">
        <v>698</v>
      </c>
      <c r="G2" s="434" t="s">
        <v>275</v>
      </c>
      <c r="H2" s="434" t="s">
        <v>276</v>
      </c>
      <c r="I2" s="434" t="s">
        <v>277</v>
      </c>
      <c r="J2" s="434" t="s">
        <v>278</v>
      </c>
      <c r="K2" s="434" t="s">
        <v>685</v>
      </c>
      <c r="Q2" s="50"/>
      <c r="Y2" s="50" t="s">
        <v>237</v>
      </c>
      <c r="AH2" s="50"/>
      <c r="AP2" s="50"/>
      <c r="AX2" s="50"/>
      <c r="BF2" s="50"/>
      <c r="BN2" s="50"/>
      <c r="BV2" s="50"/>
      <c r="CD2" s="50"/>
      <c r="CL2" s="50"/>
      <c r="CT2" s="50"/>
      <c r="DB2" s="50"/>
      <c r="DJ2" s="50"/>
      <c r="DR2" s="50"/>
      <c r="DZ2" s="50"/>
    </row>
    <row r="3" spans="2:130" ht="12.75" x14ac:dyDescent="0.2">
      <c r="B3" s="413" t="s">
        <v>699</v>
      </c>
      <c r="C3" s="412" t="s">
        <v>695</v>
      </c>
      <c r="D3" s="413"/>
      <c r="E3" s="413"/>
      <c r="F3" s="413"/>
      <c r="G3" s="426"/>
      <c r="H3" s="426"/>
      <c r="I3" s="426"/>
      <c r="J3" s="426"/>
      <c r="K3" s="426"/>
      <c r="Q3" s="50"/>
      <c r="R3" s="390" t="s">
        <v>686</v>
      </c>
      <c r="S3" s="390"/>
      <c r="Y3" s="50"/>
      <c r="AH3" s="50"/>
      <c r="AP3" s="50"/>
      <c r="AX3" s="50"/>
      <c r="BF3" s="50"/>
      <c r="BN3" s="50"/>
      <c r="BV3" s="50"/>
      <c r="CD3" s="50"/>
      <c r="CL3" s="50"/>
      <c r="CT3" s="50"/>
      <c r="DB3" s="50"/>
      <c r="DJ3" s="50"/>
      <c r="DR3" s="50"/>
      <c r="DZ3" s="50"/>
    </row>
    <row r="4" spans="2:130" ht="12.75" x14ac:dyDescent="0.2">
      <c r="B4" s="414" t="s">
        <v>510</v>
      </c>
      <c r="C4" s="415"/>
      <c r="D4" s="416"/>
      <c r="E4" s="456">
        <v>14051.31</v>
      </c>
      <c r="F4" s="456">
        <v>20233.79</v>
      </c>
      <c r="G4" s="427" cm="1">
        <f t="array" ref="G4">SUMPRODUCT(($D$53:$D$133&lt;&gt;"BESS")*FX$53:FX$133*AZ$53:AZ$133)</f>
        <v>25063.56695663014</v>
      </c>
      <c r="H4" s="427" cm="1">
        <f t="array" ref="H4">SUMPRODUCT(($D$53:$D$133&lt;&gt;"BESS")*FY$53:FY$133*BA$53:BA$133)</f>
        <v>52196.349534164379</v>
      </c>
      <c r="I4" s="427" cm="1">
        <f t="array" ref="I4">SUMPRODUCT(($D$53:$D$133&lt;&gt;"BESS")*FZ$53:FZ$133*BB$53:BB$133)</f>
        <v>75437.118989901399</v>
      </c>
      <c r="J4" s="427" cm="1">
        <f t="array" ref="J4">SUMPRODUCT(($D$53:$D$133&lt;&gt;"BESS")*GA$53:GA$133*BC$53:BC$133)</f>
        <v>97636.751154000027</v>
      </c>
      <c r="K4" s="427" cm="1">
        <f t="array" ref="K4">SUMPRODUCT(($D$53:$D$133&lt;&gt;"BESS")*GB$53:GB$133*BD$53:BD$133)</f>
        <v>97636.751154000027</v>
      </c>
      <c r="Q4" s="50"/>
      <c r="R4" s="51" t="s">
        <v>687</v>
      </c>
      <c r="S4" s="385">
        <v>4</v>
      </c>
      <c r="Y4" s="50"/>
      <c r="AH4" s="50"/>
      <c r="AP4" s="50"/>
      <c r="AX4" s="50"/>
      <c r="BF4" s="50"/>
      <c r="BN4" s="50"/>
      <c r="BV4" s="50"/>
      <c r="CD4" s="50"/>
      <c r="CL4" s="50"/>
      <c r="CT4" s="50"/>
      <c r="DB4" s="50"/>
      <c r="DJ4" s="50"/>
      <c r="DR4" s="50"/>
      <c r="DZ4" s="50"/>
    </row>
    <row r="5" spans="2:130" ht="12.75" x14ac:dyDescent="0.2">
      <c r="B5" s="414" t="s">
        <v>411</v>
      </c>
      <c r="C5" s="415"/>
      <c r="D5" s="416"/>
      <c r="E5" s="416"/>
      <c r="F5" s="416"/>
      <c r="G5" s="427" cm="1">
        <f t="array" ref="G5">SUMPRODUCT(($D$53:$D$133="BESS")*FX$53:FX$133*AZ$53:AZ$133)</f>
        <v>14996.667968600552</v>
      </c>
      <c r="H5" s="427" cm="1">
        <f t="array" ref="H5">SUMPRODUCT(($D$53:$D$133="BESS")*FY$53:FY$133*BA$53:BA$133)</f>
        <v>16990.810417306853</v>
      </c>
      <c r="I5" s="427" cm="1">
        <f t="array" ref="I5">SUMPRODUCT(($D$53:$D$133="BESS")*FZ$53:FZ$133*BB$53:BB$133)</f>
        <v>19643.687694061649</v>
      </c>
      <c r="J5" s="427" cm="1">
        <f t="array" ref="J5">SUMPRODUCT(($D$53:$D$133="BESS")*GA$53:GA$133*BC$53:BC$133)</f>
        <v>15956.028</v>
      </c>
      <c r="K5" s="427" cm="1">
        <f t="array" ref="K5">SUMPRODUCT(($D$53:$D$133="BESS")*GB$53:GB$133*BD$53:BD$133)</f>
        <v>15956.028</v>
      </c>
      <c r="Q5" s="50"/>
      <c r="R5" s="51" t="s">
        <v>688</v>
      </c>
      <c r="S5" s="385">
        <v>1</v>
      </c>
      <c r="Y5" s="50"/>
      <c r="AH5" s="50"/>
      <c r="AP5" s="50"/>
      <c r="AX5" s="50"/>
      <c r="BF5" s="50"/>
      <c r="BN5" s="50"/>
      <c r="BV5" s="50"/>
      <c r="CD5" s="50"/>
      <c r="CL5" s="50"/>
      <c r="CT5" s="50"/>
      <c r="DB5" s="50"/>
      <c r="DJ5" s="50"/>
      <c r="DR5" s="50"/>
      <c r="DZ5" s="50"/>
    </row>
    <row r="6" spans="2:130" ht="12.75" x14ac:dyDescent="0.2">
      <c r="B6" s="417" t="s">
        <v>220</v>
      </c>
      <c r="C6" s="418"/>
      <c r="D6" s="419"/>
      <c r="E6" s="419">
        <f t="shared" ref="E6:K6" si="0">E4+E5</f>
        <v>14051.31</v>
      </c>
      <c r="F6" s="419">
        <f t="shared" si="0"/>
        <v>20233.79</v>
      </c>
      <c r="G6" s="428">
        <f t="shared" si="0"/>
        <v>40060.234925230689</v>
      </c>
      <c r="H6" s="428">
        <f t="shared" si="0"/>
        <v>69187.159951471229</v>
      </c>
      <c r="I6" s="428">
        <f t="shared" si="0"/>
        <v>95080.806683963048</v>
      </c>
      <c r="J6" s="428">
        <f t="shared" si="0"/>
        <v>113592.77915400003</v>
      </c>
      <c r="K6" s="428">
        <f t="shared" si="0"/>
        <v>113592.77915400003</v>
      </c>
      <c r="Q6" s="50"/>
      <c r="R6" s="51" t="s">
        <v>689</v>
      </c>
      <c r="S6" s="385">
        <v>9.3000000000000007</v>
      </c>
      <c r="Y6" s="50"/>
      <c r="AH6" s="50"/>
      <c r="AP6" s="50"/>
      <c r="AX6" s="50"/>
      <c r="BF6" s="50"/>
      <c r="BN6" s="50"/>
      <c r="BV6" s="50"/>
      <c r="CD6" s="50"/>
      <c r="CL6" s="50"/>
      <c r="CT6" s="50"/>
      <c r="DB6" s="50"/>
      <c r="DJ6" s="50"/>
      <c r="DR6" s="50"/>
      <c r="DZ6" s="50"/>
    </row>
    <row r="7" spans="2:130" ht="12.75" x14ac:dyDescent="0.2">
      <c r="B7" s="447" t="s">
        <v>701</v>
      </c>
      <c r="C7" s="448" t="s">
        <v>678</v>
      </c>
      <c r="D7" s="449"/>
      <c r="E7" s="449"/>
      <c r="F7" s="449">
        <f t="shared" ref="F7:K7" si="1">IFERROR(F6/E6-1,"–")</f>
        <v>0.43999313942970453</v>
      </c>
      <c r="G7" s="450">
        <f t="shared" si="1"/>
        <v>0.97986807835955037</v>
      </c>
      <c r="H7" s="450">
        <f t="shared" si="1"/>
        <v>0.72707823807333338</v>
      </c>
      <c r="I7" s="450">
        <f t="shared" si="1"/>
        <v>0.37425508939308916</v>
      </c>
      <c r="J7" s="450">
        <f t="shared" si="1"/>
        <v>0.19469725926462234</v>
      </c>
      <c r="K7" s="450">
        <f t="shared" si="1"/>
        <v>0</v>
      </c>
      <c r="Q7" s="50"/>
      <c r="R7" s="51" t="s">
        <v>680</v>
      </c>
      <c r="S7" s="385">
        <v>1</v>
      </c>
      <c r="Y7" s="50"/>
      <c r="AH7" s="50"/>
      <c r="AP7" s="50"/>
      <c r="AX7" s="50"/>
      <c r="BF7" s="50"/>
      <c r="BN7" s="50"/>
      <c r="BV7" s="50"/>
      <c r="CD7" s="50"/>
      <c r="CL7" s="50"/>
      <c r="CT7" s="50"/>
      <c r="DB7" s="50"/>
      <c r="DJ7" s="50"/>
      <c r="DR7" s="50"/>
      <c r="DZ7" s="50"/>
    </row>
    <row r="8" spans="2:130" ht="12.75" x14ac:dyDescent="0.2">
      <c r="B8" s="414"/>
      <c r="C8" s="415"/>
      <c r="D8" s="420"/>
      <c r="E8" s="420"/>
      <c r="F8" s="420"/>
      <c r="G8" s="429"/>
      <c r="H8" s="429"/>
      <c r="I8" s="429"/>
      <c r="J8" s="429"/>
      <c r="K8" s="429"/>
      <c r="Q8" s="50"/>
      <c r="S8" s="385"/>
      <c r="Y8" s="50"/>
      <c r="AH8" s="50"/>
      <c r="AP8" s="50"/>
      <c r="AX8" s="50"/>
      <c r="BF8" s="50"/>
      <c r="BN8" s="50"/>
      <c r="BV8" s="50"/>
      <c r="CD8" s="50"/>
      <c r="CL8" s="50"/>
      <c r="CT8" s="50"/>
      <c r="DB8" s="50"/>
      <c r="DJ8" s="50"/>
      <c r="DR8" s="50"/>
      <c r="DZ8" s="50"/>
    </row>
    <row r="9" spans="2:130" x14ac:dyDescent="0.2">
      <c r="B9" s="451" t="s">
        <v>702</v>
      </c>
      <c r="C9" s="452"/>
      <c r="D9" s="453">
        <v>2024</v>
      </c>
      <c r="E9" s="453">
        <v>2025</v>
      </c>
      <c r="F9" s="453">
        <v>2026</v>
      </c>
      <c r="G9" s="454">
        <v>2027</v>
      </c>
      <c r="H9" s="454">
        <v>2028</v>
      </c>
      <c r="I9" s="454">
        <v>2029</v>
      </c>
      <c r="J9" s="454">
        <v>2030</v>
      </c>
      <c r="K9" s="454">
        <v>2031</v>
      </c>
      <c r="Q9" s="50"/>
      <c r="R9" s="51" t="s">
        <v>682</v>
      </c>
      <c r="S9" s="385">
        <v>0.93</v>
      </c>
      <c r="Y9" s="50"/>
      <c r="AH9" s="50"/>
      <c r="AP9" s="50"/>
      <c r="AX9" s="50"/>
      <c r="BF9" s="50"/>
      <c r="BN9" s="50"/>
      <c r="BV9" s="50"/>
      <c r="CD9" s="50"/>
      <c r="CL9" s="50"/>
      <c r="CT9" s="50"/>
      <c r="DB9" s="50"/>
      <c r="DJ9" s="50"/>
      <c r="DR9" s="50"/>
      <c r="DZ9" s="50"/>
    </row>
    <row r="10" spans="2:130" ht="12.75" x14ac:dyDescent="0.2">
      <c r="B10" s="421" t="s">
        <v>703</v>
      </c>
      <c r="C10" s="422"/>
      <c r="D10" s="423"/>
      <c r="E10" s="423"/>
      <c r="F10" s="423"/>
      <c r="G10" s="430"/>
      <c r="H10" s="430"/>
      <c r="I10" s="430"/>
      <c r="J10" s="430"/>
      <c r="K10" s="430"/>
      <c r="Q10" s="50"/>
      <c r="R10" s="51" t="s">
        <v>681</v>
      </c>
      <c r="S10" s="385">
        <v>0.89</v>
      </c>
      <c r="Y10" s="50"/>
      <c r="AH10" s="50"/>
      <c r="AP10" s="50"/>
      <c r="AX10" s="50"/>
      <c r="BF10" s="50"/>
      <c r="BN10" s="50"/>
      <c r="BV10" s="50"/>
      <c r="CD10" s="50"/>
      <c r="CL10" s="50"/>
      <c r="CT10" s="50"/>
      <c r="DB10" s="50"/>
      <c r="DJ10" s="50"/>
      <c r="DR10" s="50"/>
      <c r="DZ10" s="50"/>
    </row>
    <row r="11" spans="2:130" ht="12.75" x14ac:dyDescent="0.2">
      <c r="B11" s="414" t="s">
        <v>140</v>
      </c>
      <c r="C11" s="415" t="s">
        <v>389</v>
      </c>
      <c r="D11" s="456">
        <v>1340</v>
      </c>
      <c r="E11" s="456">
        <v>2540</v>
      </c>
      <c r="F11" s="456">
        <v>2840</v>
      </c>
      <c r="G11" s="427">
        <f t="shared" ref="G11:K12" si="2">SUMIFS($F$53:$F$133,$D$53:$D$133,$B11,$I$53:$I$133,"&lt;="&amp;G$9)</f>
        <v>2840</v>
      </c>
      <c r="H11" s="427">
        <f t="shared" si="2"/>
        <v>3140</v>
      </c>
      <c r="I11" s="427">
        <f t="shared" si="2"/>
        <v>3140</v>
      </c>
      <c r="J11" s="427">
        <f t="shared" si="2"/>
        <v>3140</v>
      </c>
      <c r="K11" s="427">
        <f t="shared" si="2"/>
        <v>3140</v>
      </c>
      <c r="Q11" s="50"/>
      <c r="R11" s="51" t="s">
        <v>683</v>
      </c>
      <c r="S11" s="388">
        <v>0.99</v>
      </c>
      <c r="Y11" s="50"/>
      <c r="AH11" s="50"/>
      <c r="AP11" s="50"/>
      <c r="AX11" s="50"/>
      <c r="BF11" s="50"/>
      <c r="BN11" s="50"/>
      <c r="BV11" s="50"/>
      <c r="CD11" s="50"/>
      <c r="CL11" s="50"/>
      <c r="CT11" s="50"/>
      <c r="DB11" s="50"/>
      <c r="DJ11" s="50"/>
      <c r="DR11" s="50"/>
      <c r="DZ11" s="50"/>
    </row>
    <row r="12" spans="2:130" ht="12.75" x14ac:dyDescent="0.2">
      <c r="B12" s="414" t="s">
        <v>214</v>
      </c>
      <c r="C12" s="415" t="s">
        <v>389</v>
      </c>
      <c r="D12" s="456">
        <v>0</v>
      </c>
      <c r="E12" s="456">
        <v>0</v>
      </c>
      <c r="F12" s="456">
        <v>142</v>
      </c>
      <c r="G12" s="427">
        <f t="shared" si="2"/>
        <v>150</v>
      </c>
      <c r="H12" s="427">
        <f t="shared" si="2"/>
        <v>150</v>
      </c>
      <c r="I12" s="427">
        <f t="shared" si="2"/>
        <v>150</v>
      </c>
      <c r="J12" s="427">
        <f t="shared" si="2"/>
        <v>150</v>
      </c>
      <c r="K12" s="427">
        <f t="shared" si="2"/>
        <v>150</v>
      </c>
      <c r="Q12" s="50"/>
      <c r="R12" s="51" t="s">
        <v>691</v>
      </c>
      <c r="S12" s="385">
        <v>4</v>
      </c>
      <c r="Y12" s="50"/>
      <c r="AH12" s="50"/>
      <c r="AP12" s="50"/>
      <c r="AX12" s="50"/>
      <c r="BF12" s="50"/>
      <c r="BN12" s="50"/>
      <c r="BV12" s="50"/>
      <c r="CD12" s="50"/>
      <c r="CL12" s="50"/>
      <c r="CT12" s="50"/>
      <c r="DB12" s="50"/>
      <c r="DJ12" s="50"/>
      <c r="DR12" s="50"/>
      <c r="DZ12" s="50"/>
    </row>
    <row r="13" spans="2:130" ht="12.75" x14ac:dyDescent="0.2">
      <c r="B13" s="414" t="s">
        <v>660</v>
      </c>
      <c r="C13" s="415"/>
      <c r="D13" s="456">
        <v>0</v>
      </c>
      <c r="E13" s="456">
        <v>0</v>
      </c>
      <c r="F13" s="456">
        <v>1324</v>
      </c>
      <c r="G13" s="427">
        <f>SUMIFS($F$53:$F$133,$D$53:$D$133,"BESS",$I$53:$I$133,"&lt;="&amp;G$9)</f>
        <v>11508</v>
      </c>
      <c r="H13" s="427">
        <f>SUMIFS($F$53:$F$133,$D$53:$D$133,"BESS",$I$53:$I$133,"&lt;="&amp;H$9)</f>
        <v>16508</v>
      </c>
      <c r="I13" s="427">
        <f>SUMIFS($F$53:$F$133,$D$53:$D$133,"BESS",$I$53:$I$133,"&lt;="&amp;I$9)</f>
        <v>23958</v>
      </c>
      <c r="J13" s="427">
        <f>SUMIFS($F$53:$F$133,$D$53:$D$133,"BESS",$I$53:$I$133,"&lt;="&amp;J$9)</f>
        <v>23958</v>
      </c>
      <c r="K13" s="427">
        <f>SUMIFS($F$53:$F$133,$D$53:$D$133,"BESS",$I$53:$I$133,"&lt;="&amp;K$9)</f>
        <v>23958</v>
      </c>
      <c r="Q13" s="50"/>
      <c r="R13" s="51" t="s">
        <v>731</v>
      </c>
      <c r="S13" s="388">
        <v>9</v>
      </c>
      <c r="Y13" s="50"/>
      <c r="AH13" s="50"/>
      <c r="AP13" s="50"/>
      <c r="AX13" s="50"/>
      <c r="BF13" s="50"/>
      <c r="BN13" s="50"/>
      <c r="BV13" s="50"/>
      <c r="CD13" s="50"/>
      <c r="CL13" s="50"/>
      <c r="CT13" s="50"/>
      <c r="DB13" s="50"/>
      <c r="DJ13" s="50"/>
      <c r="DR13" s="50"/>
      <c r="DZ13" s="50"/>
    </row>
    <row r="14" spans="2:130" ht="12.75" x14ac:dyDescent="0.2">
      <c r="B14" s="414" t="s">
        <v>409</v>
      </c>
      <c r="C14" s="415" t="s">
        <v>389</v>
      </c>
      <c r="D14" s="416">
        <f t="shared" ref="D14:K14" si="3">D15+D16</f>
        <v>0</v>
      </c>
      <c r="E14" s="416">
        <f t="shared" si="3"/>
        <v>0</v>
      </c>
      <c r="F14" s="416">
        <f t="shared" si="3"/>
        <v>0</v>
      </c>
      <c r="G14" s="427">
        <f t="shared" si="3"/>
        <v>1030</v>
      </c>
      <c r="H14" s="427">
        <f t="shared" si="3"/>
        <v>2580</v>
      </c>
      <c r="I14" s="427">
        <f t="shared" si="3"/>
        <v>4780</v>
      </c>
      <c r="J14" s="427">
        <f t="shared" si="3"/>
        <v>5580</v>
      </c>
      <c r="K14" s="427">
        <f t="shared" si="3"/>
        <v>5980</v>
      </c>
      <c r="Q14" s="50"/>
      <c r="R14" s="51" t="s">
        <v>690</v>
      </c>
      <c r="S14" s="385">
        <v>1.4</v>
      </c>
      <c r="Y14" s="50"/>
      <c r="AH14" s="50"/>
      <c r="AP14" s="50"/>
      <c r="AX14" s="50"/>
      <c r="BF14" s="50"/>
      <c r="BN14" s="50"/>
      <c r="BV14" s="50"/>
      <c r="CD14" s="50"/>
      <c r="CL14" s="50"/>
      <c r="CT14" s="50"/>
      <c r="DB14" s="50"/>
      <c r="DJ14" s="50"/>
      <c r="DR14" s="50"/>
      <c r="DZ14" s="50"/>
    </row>
    <row r="15" spans="2:130" ht="12.75" x14ac:dyDescent="0.2">
      <c r="B15" s="424" t="s">
        <v>216</v>
      </c>
      <c r="C15" s="415" t="s">
        <v>389</v>
      </c>
      <c r="D15" s="456">
        <v>0</v>
      </c>
      <c r="E15" s="456">
        <v>0</v>
      </c>
      <c r="F15" s="456">
        <v>0</v>
      </c>
      <c r="G15" s="427">
        <f t="shared" ref="G15:K16" si="4">SUMIFS($F$53:$F$133,$D$53:$D$133,$B15,$I$53:$I$133,"&lt;="&amp;G$9)</f>
        <v>0</v>
      </c>
      <c r="H15" s="427">
        <f t="shared" si="4"/>
        <v>300</v>
      </c>
      <c r="I15" s="427">
        <f t="shared" si="4"/>
        <v>750</v>
      </c>
      <c r="J15" s="427">
        <f t="shared" si="4"/>
        <v>750</v>
      </c>
      <c r="K15" s="427">
        <f t="shared" si="4"/>
        <v>750</v>
      </c>
      <c r="Q15" s="50"/>
      <c r="R15" s="51" t="s">
        <v>692</v>
      </c>
      <c r="S15" s="386">
        <v>2.2200000000000002</v>
      </c>
      <c r="Y15" s="50"/>
      <c r="AH15" s="50"/>
      <c r="AP15" s="50"/>
      <c r="AX15" s="50"/>
      <c r="BF15" s="50"/>
      <c r="BN15" s="50"/>
      <c r="BV15" s="50"/>
      <c r="CD15" s="50"/>
      <c r="CL15" s="50"/>
      <c r="CT15" s="50"/>
      <c r="DB15" s="50"/>
      <c r="DJ15" s="50"/>
      <c r="DR15" s="50"/>
      <c r="DZ15" s="50"/>
    </row>
    <row r="16" spans="2:130" ht="12.75" x14ac:dyDescent="0.2">
      <c r="B16" s="424" t="s">
        <v>215</v>
      </c>
      <c r="C16" s="415" t="s">
        <v>389</v>
      </c>
      <c r="D16" s="456">
        <v>0</v>
      </c>
      <c r="E16" s="456">
        <v>0</v>
      </c>
      <c r="F16" s="456">
        <v>0</v>
      </c>
      <c r="G16" s="427">
        <f t="shared" si="4"/>
        <v>1030</v>
      </c>
      <c r="H16" s="427">
        <f t="shared" si="4"/>
        <v>2280</v>
      </c>
      <c r="I16" s="427">
        <f t="shared" si="4"/>
        <v>4030</v>
      </c>
      <c r="J16" s="427">
        <f t="shared" si="4"/>
        <v>4830</v>
      </c>
      <c r="K16" s="427">
        <f t="shared" si="4"/>
        <v>5230</v>
      </c>
      <c r="Q16" s="50"/>
      <c r="R16" s="51" t="s">
        <v>693</v>
      </c>
      <c r="S16" s="385">
        <v>0.09</v>
      </c>
      <c r="Y16" s="50"/>
      <c r="AH16" s="50"/>
      <c r="AP16" s="50"/>
      <c r="AX16" s="50"/>
      <c r="BF16" s="50"/>
      <c r="BN16" s="50"/>
      <c r="BV16" s="50"/>
      <c r="CD16" s="50"/>
      <c r="CL16" s="50"/>
      <c r="CT16" s="50"/>
      <c r="DB16" s="50"/>
      <c r="DJ16" s="50"/>
      <c r="DR16" s="50"/>
      <c r="DZ16" s="50"/>
    </row>
    <row r="17" spans="2:130" ht="12.75" x14ac:dyDescent="0.2">
      <c r="B17" s="417" t="s">
        <v>388</v>
      </c>
      <c r="C17" s="418" t="s">
        <v>389</v>
      </c>
      <c r="D17" s="419">
        <f t="shared" ref="D17:K17" si="5">D11+D12+D14</f>
        <v>1340</v>
      </c>
      <c r="E17" s="419">
        <f t="shared" si="5"/>
        <v>2540</v>
      </c>
      <c r="F17" s="419">
        <f t="shared" si="5"/>
        <v>2982</v>
      </c>
      <c r="G17" s="428">
        <f t="shared" si="5"/>
        <v>4020</v>
      </c>
      <c r="H17" s="428">
        <f t="shared" si="5"/>
        <v>5870</v>
      </c>
      <c r="I17" s="428">
        <f t="shared" si="5"/>
        <v>8070</v>
      </c>
      <c r="J17" s="428">
        <f t="shared" si="5"/>
        <v>8870</v>
      </c>
      <c r="K17" s="428">
        <f t="shared" si="5"/>
        <v>9270</v>
      </c>
      <c r="L17" s="81"/>
      <c r="Q17" s="50"/>
      <c r="R17" s="51" t="s">
        <v>694</v>
      </c>
      <c r="S17" s="387">
        <v>20</v>
      </c>
      <c r="Y17" s="50"/>
      <c r="AH17" s="50"/>
      <c r="AP17" s="50"/>
      <c r="AX17" s="50"/>
      <c r="BF17" s="50"/>
      <c r="BN17" s="50"/>
      <c r="BV17" s="50"/>
      <c r="CD17" s="50"/>
      <c r="CL17" s="50"/>
      <c r="CT17" s="50"/>
      <c r="DB17" s="50"/>
      <c r="DJ17" s="50"/>
      <c r="DR17" s="50"/>
      <c r="DZ17" s="50"/>
    </row>
    <row r="18" spans="2:130" ht="12.75" x14ac:dyDescent="0.2">
      <c r="B18" s="425"/>
      <c r="C18" s="415"/>
      <c r="D18" s="425"/>
      <c r="E18" s="425"/>
      <c r="F18" s="425"/>
      <c r="G18" s="431"/>
      <c r="H18" s="431"/>
      <c r="I18" s="431"/>
      <c r="J18" s="431"/>
      <c r="K18" s="431"/>
      <c r="Q18" s="50"/>
      <c r="R18" s="383" t="s">
        <v>732</v>
      </c>
      <c r="S18" s="391">
        <v>1</v>
      </c>
      <c r="Y18" s="50"/>
      <c r="AH18" s="50"/>
      <c r="AP18" s="50"/>
      <c r="AX18" s="50"/>
      <c r="BF18" s="50"/>
      <c r="BN18" s="50"/>
      <c r="BV18" s="50"/>
      <c r="CD18" s="50"/>
      <c r="CL18" s="50"/>
      <c r="CT18" s="50"/>
      <c r="DB18" s="50"/>
      <c r="DJ18" s="50"/>
      <c r="DR18" s="50"/>
      <c r="DZ18" s="50"/>
    </row>
    <row r="19" spans="2:130" ht="12.75" x14ac:dyDescent="0.2">
      <c r="B19" s="413" t="s">
        <v>700</v>
      </c>
      <c r="C19" s="412" t="s">
        <v>389</v>
      </c>
      <c r="D19" s="413"/>
      <c r="E19" s="413"/>
      <c r="F19" s="413"/>
      <c r="G19" s="426"/>
      <c r="H19" s="426"/>
      <c r="I19" s="426"/>
      <c r="J19" s="426"/>
      <c r="K19" s="426"/>
      <c r="Q19" s="50"/>
      <c r="R19" s="384" t="s">
        <v>735</v>
      </c>
      <c r="S19" s="435">
        <v>9</v>
      </c>
      <c r="Y19" s="50"/>
      <c r="AH19" s="50"/>
      <c r="AP19" s="50"/>
      <c r="AX19" s="50"/>
      <c r="BF19" s="50"/>
      <c r="BN19" s="50"/>
      <c r="BV19" s="50"/>
      <c r="CD19" s="50"/>
      <c r="CL19" s="50"/>
      <c r="CT19" s="50"/>
      <c r="DB19" s="50"/>
      <c r="DJ19" s="50"/>
      <c r="DR19" s="50"/>
      <c r="DZ19" s="50"/>
    </row>
    <row r="20" spans="2:130" ht="12.75" x14ac:dyDescent="0.2">
      <c r="B20" s="414" t="s">
        <v>140</v>
      </c>
      <c r="C20" s="415"/>
      <c r="D20" s="416">
        <f t="shared" ref="D20:K21" si="6">SUMIFS($F$53:$F$133,$D$53:$D$133,$B20,$I$53:$I$133,D$9)</f>
        <v>250</v>
      </c>
      <c r="E20" s="416">
        <f t="shared" si="6"/>
        <v>1200</v>
      </c>
      <c r="F20" s="416">
        <f t="shared" si="6"/>
        <v>300</v>
      </c>
      <c r="G20" s="427">
        <f t="shared" si="6"/>
        <v>0</v>
      </c>
      <c r="H20" s="427">
        <f t="shared" si="6"/>
        <v>300</v>
      </c>
      <c r="I20" s="427">
        <f t="shared" si="6"/>
        <v>0</v>
      </c>
      <c r="J20" s="427">
        <f t="shared" si="6"/>
        <v>0</v>
      </c>
      <c r="K20" s="432">
        <f t="shared" si="6"/>
        <v>0</v>
      </c>
      <c r="Q20" s="50"/>
      <c r="R20" s="383" t="s">
        <v>733</v>
      </c>
      <c r="S20" s="446">
        <f>365*S7*S9*S11/8760</f>
        <v>3.8362500000000008E-2</v>
      </c>
      <c r="Y20" s="50"/>
      <c r="AH20" s="50"/>
      <c r="AP20" s="50"/>
      <c r="AX20" s="50"/>
      <c r="BF20" s="50"/>
      <c r="BN20" s="50"/>
      <c r="BV20" s="50"/>
      <c r="CD20" s="50"/>
      <c r="CL20" s="50"/>
      <c r="CT20" s="50"/>
      <c r="DB20" s="50"/>
      <c r="DJ20" s="50"/>
      <c r="DR20" s="50"/>
      <c r="DZ20" s="50"/>
    </row>
    <row r="21" spans="2:130" ht="12.75" x14ac:dyDescent="0.2">
      <c r="B21" s="414" t="s">
        <v>214</v>
      </c>
      <c r="C21" s="415"/>
      <c r="D21" s="416">
        <f t="shared" si="6"/>
        <v>0</v>
      </c>
      <c r="E21" s="416">
        <f t="shared" si="6"/>
        <v>0</v>
      </c>
      <c r="F21" s="416">
        <f t="shared" si="6"/>
        <v>142</v>
      </c>
      <c r="G21" s="427">
        <f t="shared" si="6"/>
        <v>8</v>
      </c>
      <c r="H21" s="427">
        <f t="shared" si="6"/>
        <v>0</v>
      </c>
      <c r="I21" s="427">
        <f t="shared" si="6"/>
        <v>0</v>
      </c>
      <c r="J21" s="427">
        <f t="shared" si="6"/>
        <v>0</v>
      </c>
      <c r="K21" s="432">
        <f t="shared" si="6"/>
        <v>0</v>
      </c>
      <c r="Q21" s="50"/>
      <c r="R21" s="51" t="s">
        <v>734</v>
      </c>
      <c r="S21" s="445">
        <f>(S15/10*12/S12)/(8.766*S20)</f>
        <v>1.9804590249049414</v>
      </c>
      <c r="Y21" s="50"/>
      <c r="AH21" s="50"/>
      <c r="AP21" s="50"/>
      <c r="AX21" s="50"/>
      <c r="BF21" s="50"/>
      <c r="BN21" s="50"/>
      <c r="BV21" s="50"/>
      <c r="CD21" s="50"/>
      <c r="CL21" s="50"/>
      <c r="CT21" s="50"/>
      <c r="DB21" s="50"/>
      <c r="DJ21" s="50"/>
      <c r="DR21" s="50"/>
      <c r="DZ21" s="50"/>
    </row>
    <row r="22" spans="2:130" ht="12.75" x14ac:dyDescent="0.2">
      <c r="B22" s="414" t="s">
        <v>660</v>
      </c>
      <c r="C22" s="415"/>
      <c r="D22" s="416">
        <f t="shared" ref="D22:K22" si="7">SUMIFS($F$53:$F$133,$D$53:$D$133,"BESS",$I$53:$I$133,D$9)</f>
        <v>0</v>
      </c>
      <c r="E22" s="416">
        <f t="shared" si="7"/>
        <v>0</v>
      </c>
      <c r="F22" s="416">
        <f t="shared" si="7"/>
        <v>1324</v>
      </c>
      <c r="G22" s="427">
        <f t="shared" si="7"/>
        <v>10184</v>
      </c>
      <c r="H22" s="427">
        <f t="shared" si="7"/>
        <v>5000</v>
      </c>
      <c r="I22" s="427">
        <f t="shared" si="7"/>
        <v>7450</v>
      </c>
      <c r="J22" s="427">
        <f t="shared" si="7"/>
        <v>0</v>
      </c>
      <c r="K22" s="427">
        <f t="shared" si="7"/>
        <v>0</v>
      </c>
      <c r="Q22" s="50"/>
      <c r="R22" s="392" t="s">
        <v>738</v>
      </c>
      <c r="S22" s="392"/>
      <c r="Y22" s="50"/>
      <c r="AH22" s="50"/>
      <c r="AP22" s="50"/>
      <c r="AX22" s="50"/>
      <c r="BF22" s="50"/>
      <c r="BN22" s="50"/>
      <c r="BV22" s="50"/>
      <c r="CD22" s="50"/>
      <c r="CL22" s="50"/>
      <c r="CT22" s="50"/>
      <c r="DB22" s="50"/>
      <c r="DJ22" s="50"/>
      <c r="DR22" s="50"/>
      <c r="DZ22" s="50"/>
    </row>
    <row r="23" spans="2:130" ht="12.75" x14ac:dyDescent="0.2">
      <c r="B23" s="414" t="s">
        <v>409</v>
      </c>
      <c r="C23" s="415"/>
      <c r="D23" s="416">
        <f t="shared" ref="D23:K23" si="8">D24+D25</f>
        <v>0</v>
      </c>
      <c r="E23" s="416">
        <f t="shared" si="8"/>
        <v>0</v>
      </c>
      <c r="F23" s="416">
        <f t="shared" si="8"/>
        <v>0</v>
      </c>
      <c r="G23" s="427">
        <f t="shared" si="8"/>
        <v>1030</v>
      </c>
      <c r="H23" s="427">
        <f t="shared" si="8"/>
        <v>1550</v>
      </c>
      <c r="I23" s="427">
        <f t="shared" si="8"/>
        <v>2200</v>
      </c>
      <c r="J23" s="427">
        <f t="shared" si="8"/>
        <v>800</v>
      </c>
      <c r="K23" s="427">
        <f t="shared" si="8"/>
        <v>400</v>
      </c>
      <c r="Q23" s="50"/>
      <c r="R23" s="51" t="s">
        <v>739</v>
      </c>
      <c r="S23" s="461">
        <v>0.41089999999999999</v>
      </c>
      <c r="Y23" s="50"/>
      <c r="AH23" s="50"/>
      <c r="AP23" s="50"/>
      <c r="AX23" s="50"/>
      <c r="BF23" s="50"/>
      <c r="BN23" s="50"/>
      <c r="BV23" s="50"/>
      <c r="CD23" s="50"/>
      <c r="CL23" s="50"/>
      <c r="CT23" s="50"/>
      <c r="DB23" s="50"/>
      <c r="DJ23" s="50"/>
      <c r="DR23" s="50"/>
      <c r="DZ23" s="50"/>
    </row>
    <row r="24" spans="2:130" ht="15" x14ac:dyDescent="0.25">
      <c r="B24" s="424" t="s">
        <v>216</v>
      </c>
      <c r="C24" s="415"/>
      <c r="D24" s="416">
        <f t="shared" ref="D24:K25" si="9">SUMIFS($F$53:$F$133,$D$53:$D$133,$B24,$I$53:$I$133,D$9)</f>
        <v>0</v>
      </c>
      <c r="E24" s="416">
        <f t="shared" si="9"/>
        <v>0</v>
      </c>
      <c r="F24" s="416">
        <f t="shared" si="9"/>
        <v>0</v>
      </c>
      <c r="G24" s="427">
        <f t="shared" si="9"/>
        <v>0</v>
      </c>
      <c r="H24" s="427">
        <f t="shared" si="9"/>
        <v>300</v>
      </c>
      <c r="I24" s="427">
        <f t="shared" si="9"/>
        <v>450</v>
      </c>
      <c r="J24" s="427">
        <f t="shared" si="9"/>
        <v>0</v>
      </c>
      <c r="K24" s="427">
        <f t="shared" si="9"/>
        <v>0</v>
      </c>
      <c r="L24"/>
      <c r="M24"/>
      <c r="Q24" s="50"/>
      <c r="R24" s="51" t="s">
        <v>740</v>
      </c>
      <c r="S24" s="1">
        <f>SUMPRODUCT($K$53:$K$133,$O$53:$O$133)</f>
        <v>48317.393273972608</v>
      </c>
      <c r="Y24" s="50"/>
      <c r="AH24" s="50"/>
      <c r="AP24" s="50"/>
      <c r="AX24" s="50"/>
      <c r="BF24" s="50"/>
      <c r="BN24" s="50"/>
      <c r="BV24" s="50"/>
      <c r="CD24" s="50"/>
      <c r="CL24" s="50"/>
      <c r="CT24" s="50"/>
      <c r="DB24" s="50"/>
      <c r="DJ24" s="50"/>
      <c r="DR24" s="50"/>
      <c r="DZ24" s="50"/>
    </row>
    <row r="25" spans="2:130" ht="15" x14ac:dyDescent="0.25">
      <c r="B25" s="424" t="s">
        <v>215</v>
      </c>
      <c r="C25" s="415"/>
      <c r="D25" s="416">
        <f t="shared" si="9"/>
        <v>0</v>
      </c>
      <c r="E25" s="416">
        <f t="shared" si="9"/>
        <v>0</v>
      </c>
      <c r="F25" s="416">
        <f t="shared" si="9"/>
        <v>0</v>
      </c>
      <c r="G25" s="427">
        <f t="shared" si="9"/>
        <v>1030</v>
      </c>
      <c r="H25" s="427">
        <f t="shared" si="9"/>
        <v>1250</v>
      </c>
      <c r="I25" s="427">
        <f t="shared" si="9"/>
        <v>1750</v>
      </c>
      <c r="J25" s="427">
        <f t="shared" si="9"/>
        <v>800</v>
      </c>
      <c r="K25" s="427">
        <f t="shared" si="9"/>
        <v>400</v>
      </c>
      <c r="L25"/>
      <c r="M25"/>
      <c r="Q25" s="50"/>
      <c r="R25" s="51" t="s">
        <v>741</v>
      </c>
      <c r="S25" s="460">
        <v>43577</v>
      </c>
      <c r="Y25" s="50"/>
      <c r="AH25" s="50"/>
      <c r="AP25" s="50"/>
      <c r="AX25" s="50"/>
      <c r="BF25" s="50"/>
      <c r="BN25" s="50"/>
      <c r="BV25" s="50"/>
      <c r="CD25" s="50"/>
      <c r="CL25" s="50"/>
      <c r="CT25" s="50"/>
      <c r="DB25" s="50"/>
      <c r="DJ25" s="50"/>
      <c r="DR25" s="50"/>
      <c r="DZ25" s="50"/>
    </row>
    <row r="26" spans="2:130" ht="15" x14ac:dyDescent="0.25">
      <c r="B26" s="417" t="s">
        <v>550</v>
      </c>
      <c r="C26" s="418"/>
      <c r="D26" s="419">
        <f t="shared" ref="D26:K26" si="10">D20+D21+D23</f>
        <v>250</v>
      </c>
      <c r="E26" s="419">
        <f t="shared" si="10"/>
        <v>1200</v>
      </c>
      <c r="F26" s="419">
        <f t="shared" si="10"/>
        <v>442</v>
      </c>
      <c r="G26" s="428">
        <f t="shared" si="10"/>
        <v>1038</v>
      </c>
      <c r="H26" s="428">
        <f t="shared" si="10"/>
        <v>1850</v>
      </c>
      <c r="I26" s="428">
        <f t="shared" si="10"/>
        <v>2200</v>
      </c>
      <c r="J26" s="428">
        <f t="shared" si="10"/>
        <v>800</v>
      </c>
      <c r="K26" s="428">
        <f t="shared" si="10"/>
        <v>400</v>
      </c>
      <c r="L26"/>
      <c r="M26"/>
      <c r="Q26" s="50"/>
      <c r="R26" s="51" t="s">
        <v>742</v>
      </c>
      <c r="S26" s="382">
        <v>24</v>
      </c>
      <c r="Y26" s="50"/>
      <c r="AH26" s="50"/>
      <c r="AP26" s="50"/>
      <c r="AX26" s="50"/>
      <c r="BF26" s="50"/>
      <c r="BN26" s="50"/>
      <c r="BV26" s="50"/>
      <c r="CD26" s="50"/>
      <c r="CL26" s="50"/>
      <c r="CT26" s="50"/>
      <c r="DB26" s="50"/>
      <c r="DJ26" s="50"/>
      <c r="DR26" s="50"/>
      <c r="DZ26" s="50"/>
    </row>
    <row r="27" spans="2:130" ht="15" x14ac:dyDescent="0.25">
      <c r="B27" s="467"/>
      <c r="C27" s="468"/>
      <c r="D27" s="469"/>
      <c r="E27" s="469"/>
      <c r="F27" s="469"/>
      <c r="G27" s="470"/>
      <c r="H27" s="470"/>
      <c r="I27" s="470"/>
      <c r="J27" s="470"/>
      <c r="K27" s="470"/>
      <c r="L27"/>
      <c r="M27"/>
      <c r="Q27" s="50"/>
      <c r="R27" s="51" t="s">
        <v>760</v>
      </c>
      <c r="S27" s="461">
        <v>0.05</v>
      </c>
      <c r="Y27" s="50"/>
      <c r="AH27" s="50"/>
      <c r="AP27" s="50"/>
      <c r="AX27" s="50"/>
      <c r="BF27" s="50"/>
      <c r="BN27" s="50"/>
      <c r="BV27" s="50"/>
      <c r="CD27" s="50"/>
      <c r="CL27" s="50"/>
      <c r="CT27" s="50"/>
      <c r="DB27" s="50"/>
      <c r="DJ27" s="50"/>
      <c r="DR27" s="50"/>
      <c r="DZ27" s="50"/>
    </row>
    <row r="28" spans="2:130" ht="15" x14ac:dyDescent="0.25">
      <c r="B28" s="471" t="s">
        <v>745</v>
      </c>
      <c r="C28" s="473"/>
      <c r="D28" s="472"/>
      <c r="E28" s="472"/>
      <c r="F28" s="472"/>
      <c r="G28" s="472"/>
      <c r="H28" s="472"/>
      <c r="I28" s="472"/>
      <c r="J28" s="472"/>
      <c r="K28" s="472"/>
      <c r="L28"/>
      <c r="M28"/>
      <c r="Q28" s="50"/>
      <c r="S28" s="382"/>
      <c r="Y28" s="50"/>
      <c r="AH28" s="50"/>
      <c r="AP28" s="50"/>
      <c r="AX28" s="50"/>
      <c r="BF28" s="50"/>
      <c r="BN28" s="50"/>
      <c r="BV28" s="50"/>
      <c r="CD28" s="50"/>
      <c r="CL28" s="50"/>
      <c r="CT28" s="50"/>
      <c r="DB28" s="50"/>
      <c r="DJ28" s="50"/>
      <c r="DR28" s="50"/>
      <c r="DZ28" s="50"/>
    </row>
    <row r="29" spans="2:130" ht="15" x14ac:dyDescent="0.25">
      <c r="B29" s="474" t="s">
        <v>746</v>
      </c>
      <c r="C29" s="475" t="s">
        <v>695</v>
      </c>
      <c r="D29" s="477">
        <f t="shared" ref="D29:K30" si="11">D4</f>
        <v>0</v>
      </c>
      <c r="E29" s="477">
        <f t="shared" si="11"/>
        <v>14051.31</v>
      </c>
      <c r="F29" s="477">
        <f t="shared" si="11"/>
        <v>20233.79</v>
      </c>
      <c r="G29" s="478">
        <f t="shared" si="11"/>
        <v>25063.56695663014</v>
      </c>
      <c r="H29" s="478">
        <f t="shared" si="11"/>
        <v>52196.349534164379</v>
      </c>
      <c r="I29" s="478">
        <f t="shared" si="11"/>
        <v>75437.118989901399</v>
      </c>
      <c r="J29" s="478">
        <f t="shared" si="11"/>
        <v>97636.751154000027</v>
      </c>
      <c r="K29" s="478">
        <f t="shared" si="11"/>
        <v>97636.751154000027</v>
      </c>
      <c r="L29"/>
      <c r="M29"/>
      <c r="Q29" s="50"/>
      <c r="S29" s="382"/>
      <c r="Y29" s="50"/>
      <c r="AH29" s="50"/>
      <c r="AP29" s="50"/>
      <c r="AX29" s="50"/>
      <c r="BF29" s="50"/>
      <c r="BN29" s="50"/>
      <c r="BV29" s="50"/>
      <c r="CD29" s="50"/>
      <c r="CL29" s="50"/>
      <c r="CT29" s="50"/>
      <c r="DB29" s="50"/>
      <c r="DJ29" s="50"/>
      <c r="DR29" s="50"/>
      <c r="DZ29" s="50"/>
    </row>
    <row r="30" spans="2:130" ht="15" x14ac:dyDescent="0.25">
      <c r="B30" s="474" t="s">
        <v>747</v>
      </c>
      <c r="C30" s="475" t="s">
        <v>695</v>
      </c>
      <c r="D30" s="477">
        <f t="shared" si="11"/>
        <v>0</v>
      </c>
      <c r="E30" s="477">
        <f t="shared" si="11"/>
        <v>0</v>
      </c>
      <c r="F30" s="477">
        <f t="shared" si="11"/>
        <v>0</v>
      </c>
      <c r="G30" s="478">
        <f t="shared" si="11"/>
        <v>14996.667968600552</v>
      </c>
      <c r="H30" s="478">
        <f t="shared" si="11"/>
        <v>16990.810417306853</v>
      </c>
      <c r="I30" s="478">
        <f t="shared" si="11"/>
        <v>19643.687694061649</v>
      </c>
      <c r="J30" s="478">
        <f t="shared" si="11"/>
        <v>15956.028</v>
      </c>
      <c r="K30" s="478">
        <f t="shared" si="11"/>
        <v>15956.028</v>
      </c>
      <c r="L30"/>
      <c r="M30"/>
      <c r="Q30" s="50"/>
      <c r="S30" s="382"/>
      <c r="Y30" s="50"/>
      <c r="AH30" s="50"/>
      <c r="AP30" s="50"/>
      <c r="AX30" s="50"/>
      <c r="BF30" s="50"/>
      <c r="BN30" s="50"/>
      <c r="BV30" s="50"/>
      <c r="CD30" s="50"/>
      <c r="CL30" s="50"/>
      <c r="CT30" s="50"/>
      <c r="DB30" s="50"/>
      <c r="DJ30" s="50"/>
      <c r="DR30" s="50"/>
      <c r="DZ30" s="50"/>
    </row>
    <row r="31" spans="2:130" ht="15" x14ac:dyDescent="0.25">
      <c r="B31" s="417" t="s">
        <v>748</v>
      </c>
      <c r="C31" s="476" t="s">
        <v>695</v>
      </c>
      <c r="D31" s="479">
        <f t="shared" ref="D31:K31" si="12">D29+D30</f>
        <v>0</v>
      </c>
      <c r="E31" s="479">
        <f t="shared" si="12"/>
        <v>14051.31</v>
      </c>
      <c r="F31" s="479">
        <f t="shared" si="12"/>
        <v>20233.79</v>
      </c>
      <c r="G31" s="480">
        <f t="shared" si="12"/>
        <v>40060.234925230689</v>
      </c>
      <c r="H31" s="480">
        <f t="shared" si="12"/>
        <v>69187.159951471229</v>
      </c>
      <c r="I31" s="480">
        <f t="shared" si="12"/>
        <v>95080.806683963048</v>
      </c>
      <c r="J31" s="480">
        <f t="shared" si="12"/>
        <v>113592.77915400003</v>
      </c>
      <c r="K31" s="480">
        <f t="shared" si="12"/>
        <v>113592.77915400003</v>
      </c>
      <c r="L31"/>
      <c r="M31"/>
      <c r="Q31" s="50"/>
      <c r="S31" s="382"/>
      <c r="Y31" s="50"/>
      <c r="AH31" s="50"/>
      <c r="AP31" s="50"/>
      <c r="AX31" s="50"/>
      <c r="BF31" s="50"/>
      <c r="BN31" s="50"/>
      <c r="BV31" s="50"/>
      <c r="CD31" s="50"/>
      <c r="CL31" s="50"/>
      <c r="CT31" s="50"/>
      <c r="DB31" s="50"/>
      <c r="DJ31" s="50"/>
      <c r="DR31" s="50"/>
      <c r="DZ31" s="50"/>
    </row>
    <row r="32" spans="2:130" ht="15" x14ac:dyDescent="0.25">
      <c r="B32" s="467"/>
      <c r="C32" s="475"/>
      <c r="D32" s="469"/>
      <c r="E32" s="469"/>
      <c r="F32" s="469"/>
      <c r="G32" s="470"/>
      <c r="H32" s="470"/>
      <c r="I32" s="470"/>
      <c r="J32" s="470"/>
      <c r="K32" s="470"/>
      <c r="L32"/>
      <c r="M32"/>
      <c r="Q32" s="50"/>
      <c r="S32" s="382"/>
      <c r="Y32" s="50"/>
      <c r="AH32" s="50"/>
      <c r="AP32" s="50"/>
      <c r="AX32" s="50"/>
      <c r="BF32" s="50"/>
      <c r="BN32" s="50"/>
      <c r="BV32" s="50"/>
      <c r="CD32" s="50"/>
      <c r="CL32" s="50"/>
      <c r="CT32" s="50"/>
      <c r="DB32" s="50"/>
      <c r="DJ32" s="50"/>
      <c r="DR32" s="50"/>
      <c r="DZ32" s="50"/>
    </row>
    <row r="33" spans="2:146" ht="15" x14ac:dyDescent="0.25">
      <c r="B33" s="474" t="s">
        <v>754</v>
      </c>
      <c r="C33" s="475" t="s">
        <v>695</v>
      </c>
      <c r="D33" s="469" cm="1">
        <f t="array" ref="D33">IFERROR(SUMPRODUCT(($D$53:$D$133="BESS")*(Y$53:Y$133&gt;0)*(Y$53:Y$133&lt;=$S$18)*AW$53:AW$133)*D34/$S$10,0)</f>
        <v>0</v>
      </c>
      <c r="E33" s="485" cm="1">
        <f t="array" ref="E33">IFERROR(SUMPRODUCT(($D$53:$D$133="BESS")*(Z$53:Z$133&gt;0)*(Z$53:Z$133&lt;=$S$18)*AX$53:AX$133)*E34/$S$10,0)</f>
        <v>0</v>
      </c>
      <c r="F33" s="485" cm="1">
        <f t="array" ref="F33">IFERROR(SUMPRODUCT(($D$53:$D$133="BESS")*(AA$53:AA$133&gt;0)*(AA$53:AA$133&lt;=$S$18)*AY$53:AY$133)*F34/$S$10,0)</f>
        <v>0</v>
      </c>
      <c r="G33" s="486" cm="1">
        <f t="array" ref="G33">IFERROR(SUMPRODUCT(($D$53:$D$133="BESS")*(AB$53:AB$133&gt;0)*(AB$53:AB$133&lt;=$S$18)*AZ$53:AZ$133)*G34/$S$10,0)</f>
        <v>2621.1404689189476</v>
      </c>
      <c r="H33" s="486" cm="1">
        <f t="array" ref="H33">IFERROR(SUMPRODUCT(($D$53:$D$133="BESS")*(AC$53:AC$133&gt;0)*(AC$53:AC$133&lt;=$S$18)*BA$53:BA$133)*H34/$S$10,0)</f>
        <v>1630.0968020261666</v>
      </c>
      <c r="I33" s="486" cm="1">
        <f t="array" ref="I33">IFERROR(SUMPRODUCT(($D$53:$D$133="BESS")*(AD$53:AD$133&gt;0)*(AD$53:AD$133&lt;=$S$18)*BB$53:BB$133)*I34/$S$10,0)</f>
        <v>1511.7482611343698</v>
      </c>
      <c r="J33" s="486" cm="1">
        <f t="array" ref="J33">IFERROR(SUMPRODUCT(($D$53:$D$133="BESS")*(AE$53:AE$133&gt;0)*(AE$53:AE$133&lt;=$S$18)*BC$53:BC$133)*J34/$S$10,0)</f>
        <v>0</v>
      </c>
      <c r="K33" s="486" cm="1">
        <f t="array" ref="K33">IFERROR(SUMPRODUCT(($D$53:$D$133="BESS")*(AF$53:AF$133&gt;0)*(AF$53:AF$133&lt;=$S$18)*BD$53:BD$133)*K34/$S$10,0)</f>
        <v>0</v>
      </c>
      <c r="L33"/>
      <c r="M33"/>
      <c r="Q33" s="50"/>
      <c r="S33" s="382"/>
      <c r="Y33" s="50"/>
      <c r="AH33" s="50"/>
      <c r="AP33" s="50"/>
      <c r="AX33" s="50"/>
      <c r="BF33" s="50"/>
      <c r="BN33" s="50"/>
      <c r="BV33" s="50"/>
      <c r="CD33" s="50"/>
      <c r="CL33" s="50"/>
      <c r="CT33" s="50"/>
      <c r="DB33" s="50"/>
      <c r="DJ33" s="50"/>
      <c r="DR33" s="50"/>
      <c r="DZ33" s="50"/>
    </row>
    <row r="34" spans="2:146" ht="15" x14ac:dyDescent="0.25">
      <c r="B34" s="490" t="s">
        <v>755</v>
      </c>
      <c r="C34" s="489" t="s">
        <v>684</v>
      </c>
      <c r="D34" s="491"/>
      <c r="E34" s="499">
        <f t="shared" ref="E34:K34" si="13">$S$14</f>
        <v>1.4</v>
      </c>
      <c r="F34" s="499">
        <f t="shared" si="13"/>
        <v>1.4</v>
      </c>
      <c r="G34" s="500">
        <f t="shared" si="13"/>
        <v>1.4</v>
      </c>
      <c r="H34" s="500">
        <f t="shared" si="13"/>
        <v>1.4</v>
      </c>
      <c r="I34" s="500">
        <f t="shared" si="13"/>
        <v>1.4</v>
      </c>
      <c r="J34" s="500">
        <f t="shared" si="13"/>
        <v>1.4</v>
      </c>
      <c r="K34" s="500">
        <f t="shared" si="13"/>
        <v>1.4</v>
      </c>
      <c r="L34"/>
      <c r="M34"/>
      <c r="Q34" s="50"/>
      <c r="S34" s="382"/>
      <c r="Y34" s="50"/>
      <c r="AH34" s="50"/>
      <c r="AP34" s="50"/>
      <c r="AX34" s="50"/>
      <c r="BF34" s="50"/>
      <c r="BN34" s="50"/>
      <c r="BV34" s="50"/>
      <c r="CD34" s="50"/>
      <c r="CL34" s="50"/>
      <c r="CT34" s="50"/>
      <c r="DB34" s="50"/>
      <c r="DJ34" s="50"/>
      <c r="DR34" s="50"/>
      <c r="DZ34" s="50"/>
    </row>
    <row r="35" spans="2:146" ht="15" x14ac:dyDescent="0.25">
      <c r="B35" s="474" t="s">
        <v>2</v>
      </c>
      <c r="C35" s="475" t="s">
        <v>695</v>
      </c>
      <c r="D35" s="477">
        <f t="shared" ref="D35:K35" si="14">D36*D17</f>
        <v>0</v>
      </c>
      <c r="E35" s="477">
        <f t="shared" si="14"/>
        <v>528.31999999999994</v>
      </c>
      <c r="F35" s="477">
        <f t="shared" si="14"/>
        <v>620.25599999999997</v>
      </c>
      <c r="G35" s="478">
        <f>G36*G17</f>
        <v>877.96800000000007</v>
      </c>
      <c r="H35" s="478">
        <f t="shared" si="14"/>
        <v>1346.1084000000001</v>
      </c>
      <c r="I35" s="478">
        <f t="shared" si="14"/>
        <v>1943.1430200000002</v>
      </c>
      <c r="J35" s="478">
        <f t="shared" si="14"/>
        <v>2242.5604110000004</v>
      </c>
      <c r="K35" s="478">
        <f t="shared" si="14"/>
        <v>2460.8750575500003</v>
      </c>
      <c r="L35"/>
      <c r="M35"/>
      <c r="Q35" s="50"/>
      <c r="S35" s="382"/>
      <c r="Y35" s="50"/>
      <c r="AH35" s="50"/>
      <c r="AP35" s="50"/>
      <c r="AX35" s="50"/>
      <c r="BF35" s="50"/>
      <c r="BN35" s="50"/>
      <c r="BV35" s="50"/>
      <c r="CD35" s="50"/>
      <c r="CL35" s="50"/>
      <c r="CT35" s="50"/>
      <c r="DB35" s="50"/>
      <c r="DJ35" s="50"/>
      <c r="DR35" s="50"/>
      <c r="DZ35" s="50"/>
    </row>
    <row r="36" spans="2:146" ht="15" x14ac:dyDescent="0.25">
      <c r="B36" s="490" t="s">
        <v>756</v>
      </c>
      <c r="C36" s="489" t="s">
        <v>679</v>
      </c>
      <c r="D36" s="492">
        <f t="shared" ref="D36" si="15">D29*D33</f>
        <v>0</v>
      </c>
      <c r="E36" s="501">
        <v>0.20799999999999999</v>
      </c>
      <c r="F36" s="501">
        <v>0.20799999999999999</v>
      </c>
      <c r="G36" s="493">
        <f>F36*(1+$S$27)</f>
        <v>0.21840000000000001</v>
      </c>
      <c r="H36" s="493">
        <f>G36*(1+$S$27)</f>
        <v>0.22932000000000002</v>
      </c>
      <c r="I36" s="493">
        <f>H36*(1+$S$27)</f>
        <v>0.24078600000000003</v>
      </c>
      <c r="J36" s="493">
        <f>I36*(1+$S$27)</f>
        <v>0.25282530000000003</v>
      </c>
      <c r="K36" s="493">
        <f>J36*(1+$S$27)</f>
        <v>0.26546656500000004</v>
      </c>
      <c r="L36"/>
      <c r="M36"/>
      <c r="Q36" s="50"/>
      <c r="S36" s="382"/>
      <c r="Y36" s="50"/>
      <c r="AH36" s="50"/>
      <c r="AP36" s="50"/>
      <c r="AX36" s="50"/>
      <c r="BF36" s="50"/>
      <c r="BN36" s="50"/>
      <c r="BV36" s="50"/>
      <c r="CD36" s="50"/>
      <c r="CL36" s="50"/>
      <c r="CT36" s="50"/>
      <c r="DB36" s="50"/>
      <c r="DJ36" s="50"/>
      <c r="DR36" s="50"/>
      <c r="DZ36" s="50"/>
    </row>
    <row r="37" spans="2:146" ht="15" x14ac:dyDescent="0.25">
      <c r="B37" s="474" t="s">
        <v>757</v>
      </c>
      <c r="C37" s="475" t="s">
        <v>695</v>
      </c>
      <c r="D37" s="477">
        <f t="shared" ref="D37:K37" ca="1" si="16">D38*D17+D13*$S$16</f>
        <v>0</v>
      </c>
      <c r="E37" s="477">
        <f t="shared" si="16"/>
        <v>1534.1599999999999</v>
      </c>
      <c r="F37" s="477">
        <f t="shared" si="16"/>
        <v>1920.288</v>
      </c>
      <c r="G37" s="478">
        <f t="shared" si="16"/>
        <v>3585.2039999999997</v>
      </c>
      <c r="H37" s="478">
        <f t="shared" si="16"/>
        <v>5394.6117000000004</v>
      </c>
      <c r="I37" s="478">
        <f t="shared" si="16"/>
        <v>7798.8083850000003</v>
      </c>
      <c r="J37" s="478">
        <f t="shared" si="16"/>
        <v>8668.2704242500004</v>
      </c>
      <c r="K37" s="478">
        <f t="shared" si="16"/>
        <v>9302.2225709625</v>
      </c>
      <c r="L37"/>
      <c r="M37"/>
      <c r="Q37" s="50"/>
      <c r="S37" s="382"/>
      <c r="Y37" s="50"/>
      <c r="AH37" s="50"/>
      <c r="AP37" s="50"/>
      <c r="AX37" s="50"/>
      <c r="BF37" s="50"/>
      <c r="BN37" s="50"/>
      <c r="BV37" s="50"/>
      <c r="CD37" s="50"/>
      <c r="CL37" s="50"/>
      <c r="CT37" s="50"/>
      <c r="DB37" s="50"/>
      <c r="DJ37" s="50"/>
      <c r="DR37" s="50"/>
      <c r="DZ37" s="50"/>
    </row>
    <row r="38" spans="2:146" ht="15" x14ac:dyDescent="0.25">
      <c r="B38" s="495" t="s">
        <v>758</v>
      </c>
      <c r="C38" s="494" t="s">
        <v>679</v>
      </c>
      <c r="D38" s="496">
        <f t="shared" ref="D38" ca="1" si="17">D36+D37</f>
        <v>0</v>
      </c>
      <c r="E38" s="502">
        <v>0.60399999999999998</v>
      </c>
      <c r="F38" s="502">
        <v>0.60399999999999998</v>
      </c>
      <c r="G38" s="497">
        <f>F38*(1+$S$27)</f>
        <v>0.63419999999999999</v>
      </c>
      <c r="H38" s="497">
        <f>G38*(1+$S$27)</f>
        <v>0.66591</v>
      </c>
      <c r="I38" s="497">
        <f>H38*(1+$S$27)</f>
        <v>0.69920550000000004</v>
      </c>
      <c r="J38" s="497">
        <f>I38*(1+$S$27)</f>
        <v>0.73416577500000002</v>
      </c>
      <c r="K38" s="497">
        <f>J38*(1+$S$27)</f>
        <v>0.77087406375</v>
      </c>
      <c r="L38"/>
      <c r="M38"/>
      <c r="Q38" s="50"/>
      <c r="S38" s="382"/>
      <c r="Y38" s="50"/>
      <c r="AH38" s="50"/>
      <c r="AP38" s="50"/>
      <c r="AX38" s="50"/>
      <c r="BF38" s="50"/>
      <c r="BN38" s="50"/>
      <c r="BV38" s="50"/>
      <c r="CD38" s="50"/>
      <c r="CL38" s="50"/>
      <c r="CT38" s="50"/>
      <c r="DB38" s="50"/>
      <c r="DJ38" s="50"/>
      <c r="DR38" s="50"/>
      <c r="DZ38" s="50"/>
    </row>
    <row r="39" spans="2:146" ht="15" x14ac:dyDescent="0.25">
      <c r="B39" s="498" t="s">
        <v>759</v>
      </c>
      <c r="C39" s="476" t="s">
        <v>695</v>
      </c>
      <c r="D39" s="479">
        <f t="shared" ref="D39:K39" ca="1" si="18">D33+D35+D37</f>
        <v>0</v>
      </c>
      <c r="E39" s="479">
        <f t="shared" si="18"/>
        <v>2062.4799999999996</v>
      </c>
      <c r="F39" s="479">
        <f t="shared" si="18"/>
        <v>2540.5439999999999</v>
      </c>
      <c r="G39" s="480">
        <f t="shared" si="18"/>
        <v>7084.3124689189472</v>
      </c>
      <c r="H39" s="480">
        <f t="shared" si="18"/>
        <v>8370.8169020261666</v>
      </c>
      <c r="I39" s="480">
        <f t="shared" si="18"/>
        <v>11253.699666134369</v>
      </c>
      <c r="J39" s="480">
        <f t="shared" si="18"/>
        <v>10910.830835250001</v>
      </c>
      <c r="K39" s="480">
        <f t="shared" si="18"/>
        <v>11763.0976285125</v>
      </c>
      <c r="L39"/>
      <c r="M39"/>
      <c r="Q39" s="50"/>
      <c r="S39" s="382"/>
      <c r="Y39" s="50"/>
      <c r="AH39" s="50"/>
      <c r="AP39" s="50"/>
      <c r="AX39" s="50"/>
      <c r="BF39" s="50"/>
      <c r="BN39" s="50"/>
      <c r="BV39" s="50"/>
      <c r="CD39" s="50"/>
      <c r="CL39" s="50"/>
      <c r="CT39" s="50"/>
      <c r="DB39" s="50"/>
      <c r="DJ39" s="50"/>
      <c r="DR39" s="50"/>
      <c r="DZ39" s="50"/>
    </row>
    <row r="40" spans="2:146" ht="15" x14ac:dyDescent="0.25">
      <c r="B40" s="467"/>
      <c r="C40" s="475"/>
      <c r="D40" s="477"/>
      <c r="E40" s="477"/>
      <c r="F40" s="477"/>
      <c r="G40" s="478"/>
      <c r="H40" s="478"/>
      <c r="I40" s="478"/>
      <c r="J40" s="478"/>
      <c r="K40" s="478"/>
      <c r="L40"/>
      <c r="M40"/>
      <c r="Q40" s="50"/>
      <c r="S40" s="382"/>
      <c r="Y40" s="50"/>
      <c r="AH40" s="50"/>
      <c r="AP40" s="50"/>
      <c r="AX40" s="50"/>
      <c r="BF40" s="50"/>
      <c r="BN40" s="50"/>
      <c r="BV40" s="50"/>
      <c r="CD40" s="50"/>
      <c r="CL40" s="50"/>
      <c r="CT40" s="50"/>
      <c r="DB40" s="50"/>
      <c r="DJ40" s="50"/>
      <c r="DR40" s="50"/>
      <c r="DZ40" s="50"/>
    </row>
    <row r="41" spans="2:146" ht="15" x14ac:dyDescent="0.25">
      <c r="B41" s="498" t="s">
        <v>4</v>
      </c>
      <c r="C41" s="476" t="s">
        <v>695</v>
      </c>
      <c r="D41" s="479">
        <f t="shared" ref="D41:K41" ca="1" si="19">D31-D39</f>
        <v>0</v>
      </c>
      <c r="E41" s="479">
        <f t="shared" si="19"/>
        <v>11988.83</v>
      </c>
      <c r="F41" s="479">
        <f t="shared" si="19"/>
        <v>17693.245999999999</v>
      </c>
      <c r="G41" s="480">
        <f t="shared" si="19"/>
        <v>32975.922456311739</v>
      </c>
      <c r="H41" s="480">
        <f t="shared" si="19"/>
        <v>60816.343049445059</v>
      </c>
      <c r="I41" s="480">
        <f t="shared" si="19"/>
        <v>83827.107017828675</v>
      </c>
      <c r="J41" s="480">
        <f t="shared" si="19"/>
        <v>102681.94831875003</v>
      </c>
      <c r="K41" s="480">
        <f t="shared" si="19"/>
        <v>101829.68152548754</v>
      </c>
      <c r="L41"/>
      <c r="M41"/>
      <c r="Q41" s="50"/>
      <c r="S41" s="382"/>
      <c r="Y41" s="50"/>
      <c r="AH41" s="50"/>
      <c r="AP41" s="50"/>
      <c r="AX41" s="50"/>
      <c r="BF41" s="50"/>
      <c r="BN41" s="50"/>
      <c r="BV41" s="50"/>
      <c r="CD41" s="50"/>
      <c r="CL41" s="50"/>
      <c r="CT41" s="50"/>
      <c r="DB41" s="50"/>
      <c r="DJ41" s="50"/>
      <c r="DR41" s="50"/>
      <c r="DZ41" s="50"/>
    </row>
    <row r="42" spans="2:146" ht="15" x14ac:dyDescent="0.25">
      <c r="B42" s="474" t="s">
        <v>751</v>
      </c>
      <c r="C42" s="475" t="s">
        <v>678</v>
      </c>
      <c r="D42" s="481" t="str">
        <f t="shared" ref="D42:K42" ca="1" si="20">IFERROR(D41/D31,"–")</f>
        <v>–</v>
      </c>
      <c r="E42" s="481">
        <f t="shared" si="20"/>
        <v>0.85321795619056162</v>
      </c>
      <c r="F42" s="481">
        <f t="shared" si="20"/>
        <v>0.87444052745432266</v>
      </c>
      <c r="G42" s="482">
        <f t="shared" si="20"/>
        <v>0.82315848915660961</v>
      </c>
      <c r="H42" s="482">
        <f t="shared" si="20"/>
        <v>0.87901198852651896</v>
      </c>
      <c r="I42" s="482">
        <f t="shared" si="20"/>
        <v>0.88164067955859593</v>
      </c>
      <c r="J42" s="482">
        <f t="shared" si="20"/>
        <v>0.90394784847672427</v>
      </c>
      <c r="K42" s="482">
        <f t="shared" si="20"/>
        <v>0.89644502303649931</v>
      </c>
      <c r="L42"/>
      <c r="M42"/>
      <c r="Q42" s="50"/>
      <c r="S42" s="382"/>
      <c r="Y42" s="50"/>
      <c r="AH42" s="50"/>
      <c r="AP42" s="50"/>
      <c r="AX42" s="50"/>
      <c r="BF42" s="50"/>
      <c r="BN42" s="50"/>
      <c r="BV42" s="50"/>
      <c r="CD42" s="50"/>
      <c r="CL42" s="50"/>
      <c r="CT42" s="50"/>
      <c r="DB42" s="50"/>
      <c r="DJ42" s="50"/>
      <c r="DR42" s="50"/>
      <c r="DZ42" s="50"/>
    </row>
    <row r="43" spans="2:146" ht="15" x14ac:dyDescent="0.25">
      <c r="B43" s="467"/>
      <c r="C43" s="475"/>
      <c r="D43" s="477"/>
      <c r="E43" s="477"/>
      <c r="F43" s="477"/>
      <c r="G43" s="478"/>
      <c r="H43" s="478"/>
      <c r="I43" s="478"/>
      <c r="J43" s="478"/>
      <c r="K43" s="478"/>
      <c r="L43"/>
      <c r="M43"/>
      <c r="Q43" s="50"/>
      <c r="S43" s="382"/>
      <c r="Y43" s="50"/>
      <c r="AH43" s="50"/>
      <c r="AP43" s="50"/>
      <c r="AX43" s="50"/>
      <c r="BF43" s="50"/>
      <c r="BN43" s="50"/>
      <c r="BV43" s="50"/>
      <c r="CD43" s="50"/>
      <c r="CL43" s="50"/>
      <c r="CT43" s="50"/>
      <c r="DB43" s="50"/>
      <c r="DJ43" s="50"/>
      <c r="DR43" s="50"/>
      <c r="DZ43" s="50"/>
    </row>
    <row r="44" spans="2:146" ht="15" x14ac:dyDescent="0.25">
      <c r="B44" s="474" t="s">
        <v>752</v>
      </c>
      <c r="C44" s="475" t="s">
        <v>695</v>
      </c>
      <c r="D44" s="477">
        <f t="shared" ref="D44:K44" ca="1" si="21">IFERROR(D29-(D35+D37)*D29/D31,0)</f>
        <v>0</v>
      </c>
      <c r="E44" s="477">
        <f t="shared" si="21"/>
        <v>11988.83</v>
      </c>
      <c r="F44" s="477">
        <f t="shared" si="21"/>
        <v>17693.245999999999</v>
      </c>
      <c r="G44" s="478">
        <f t="shared" si="21"/>
        <v>22271.196655513824</v>
      </c>
      <c r="H44" s="478">
        <f t="shared" si="21"/>
        <v>47110.998687296938</v>
      </c>
      <c r="I44" s="478">
        <f t="shared" si="21"/>
        <v>67707.854031353505</v>
      </c>
      <c r="J44" s="478">
        <f t="shared" si="21"/>
        <v>88258.531137915648</v>
      </c>
      <c r="K44" s="478">
        <f t="shared" si="21"/>
        <v>87525.979637456505</v>
      </c>
      <c r="L44"/>
      <c r="M44"/>
      <c r="Q44" s="50"/>
      <c r="S44" s="382"/>
      <c r="Y44" s="50"/>
      <c r="AH44" s="50"/>
      <c r="AP44" s="50"/>
      <c r="AX44" s="50"/>
      <c r="BF44" s="50"/>
      <c r="BN44" s="50"/>
      <c r="BV44" s="50"/>
      <c r="CD44" s="50"/>
      <c r="CL44" s="50"/>
      <c r="CT44" s="50"/>
      <c r="DB44" s="50"/>
      <c r="DJ44" s="50"/>
      <c r="DR44" s="50"/>
      <c r="DZ44" s="50"/>
    </row>
    <row r="45" spans="2:146" ht="15" x14ac:dyDescent="0.25">
      <c r="B45" s="474" t="s">
        <v>753</v>
      </c>
      <c r="C45" s="475" t="s">
        <v>695</v>
      </c>
      <c r="D45" s="477">
        <f t="shared" ref="D45:K45" ca="1" si="22">IFERROR(D30-D33-(D35+D37)*D30/D31,0)</f>
        <v>0</v>
      </c>
      <c r="E45" s="477">
        <f t="shared" si="22"/>
        <v>0</v>
      </c>
      <c r="F45" s="477">
        <f t="shared" si="22"/>
        <v>0</v>
      </c>
      <c r="G45" s="478">
        <f t="shared" si="22"/>
        <v>10704.725800797922</v>
      </c>
      <c r="H45" s="478">
        <f t="shared" si="22"/>
        <v>13705.344362148129</v>
      </c>
      <c r="I45" s="478">
        <f t="shared" si="22"/>
        <v>16119.252986475176</v>
      </c>
      <c r="J45" s="478">
        <f t="shared" si="22"/>
        <v>14423.417180834371</v>
      </c>
      <c r="K45" s="478">
        <f t="shared" si="22"/>
        <v>14303.701888031028</v>
      </c>
      <c r="L45"/>
      <c r="M45"/>
      <c r="Q45" s="50"/>
      <c r="S45" s="382"/>
      <c r="Y45" s="50"/>
      <c r="AH45" s="50"/>
      <c r="AP45" s="50"/>
      <c r="AX45" s="50"/>
      <c r="BF45" s="50"/>
      <c r="BN45" s="50"/>
      <c r="BV45" s="50"/>
      <c r="CD45" s="50"/>
      <c r="CL45" s="50"/>
      <c r="CT45" s="50"/>
      <c r="DB45" s="50"/>
      <c r="DJ45" s="50"/>
      <c r="DR45" s="50"/>
      <c r="DZ45" s="50"/>
    </row>
    <row r="46" spans="2:146" ht="15" x14ac:dyDescent="0.25">
      <c r="B46" s="474" t="s">
        <v>749</v>
      </c>
      <c r="C46" s="475" t="s">
        <v>678</v>
      </c>
      <c r="D46" s="481" t="str">
        <f t="shared" ref="D46:K47" ca="1" si="23">IFERROR(D44/D29,"–")</f>
        <v>–</v>
      </c>
      <c r="E46" s="481">
        <f t="shared" si="23"/>
        <v>0.85321795619056162</v>
      </c>
      <c r="F46" s="481">
        <f t="shared" si="23"/>
        <v>0.87444052745432266</v>
      </c>
      <c r="G46" s="482">
        <f t="shared" si="23"/>
        <v>0.88858847162703458</v>
      </c>
      <c r="H46" s="482">
        <f t="shared" si="23"/>
        <v>0.90257267237550975</v>
      </c>
      <c r="I46" s="482">
        <f t="shared" si="23"/>
        <v>0.89754029498949195</v>
      </c>
      <c r="J46" s="482">
        <f t="shared" si="23"/>
        <v>0.90394784847672427</v>
      </c>
      <c r="K46" s="482">
        <f t="shared" si="23"/>
        <v>0.89644502303649931</v>
      </c>
      <c r="L46"/>
      <c r="M46"/>
      <c r="Q46" s="50"/>
      <c r="S46" s="382"/>
      <c r="Y46" s="50"/>
      <c r="AH46" s="50"/>
      <c r="AP46" s="50"/>
      <c r="AX46" s="50"/>
      <c r="BF46" s="50"/>
      <c r="BN46" s="50"/>
      <c r="BV46" s="50"/>
      <c r="CD46" s="50"/>
      <c r="CL46" s="50"/>
      <c r="CT46" s="50"/>
      <c r="DB46" s="50"/>
      <c r="DJ46" s="50"/>
      <c r="DR46" s="50"/>
      <c r="DZ46" s="50"/>
    </row>
    <row r="47" spans="2:146" ht="15" x14ac:dyDescent="0.25">
      <c r="B47" s="488" t="s">
        <v>750</v>
      </c>
      <c r="C47" s="503" t="s">
        <v>678</v>
      </c>
      <c r="D47" s="487" t="str">
        <f t="shared" ca="1" si="23"/>
        <v>–</v>
      </c>
      <c r="E47" s="487" t="str">
        <f t="shared" si="23"/>
        <v>–</v>
      </c>
      <c r="F47" s="487" t="str">
        <f t="shared" si="23"/>
        <v>–</v>
      </c>
      <c r="G47" s="487">
        <f t="shared" si="23"/>
        <v>0.71380694853090476</v>
      </c>
      <c r="H47" s="487">
        <f t="shared" si="23"/>
        <v>0.80663276356658387</v>
      </c>
      <c r="I47" s="487">
        <f t="shared" si="23"/>
        <v>0.82058181933670626</v>
      </c>
      <c r="J47" s="487">
        <f t="shared" si="23"/>
        <v>0.90394784847672427</v>
      </c>
      <c r="K47" s="487">
        <f t="shared" si="23"/>
        <v>0.89644502303649931</v>
      </c>
      <c r="L47"/>
      <c r="M47"/>
      <c r="Q47" s="50"/>
      <c r="Y47" s="50"/>
      <c r="AH47" s="50"/>
      <c r="AP47" s="50"/>
      <c r="AX47" s="50"/>
      <c r="BF47" s="50"/>
      <c r="BN47" s="50"/>
      <c r="BV47" s="50"/>
      <c r="CD47" s="50"/>
      <c r="CL47" s="50"/>
      <c r="CT47" s="50"/>
      <c r="DB47" s="50"/>
      <c r="DJ47" s="50"/>
      <c r="DR47" s="50"/>
      <c r="DZ47" s="50" t="s">
        <v>250</v>
      </c>
      <c r="EP47" s="51" t="s">
        <v>268</v>
      </c>
    </row>
    <row r="48" spans="2:146" ht="15" x14ac:dyDescent="0.25">
      <c r="B48" s="488"/>
      <c r="C48" s="503"/>
      <c r="D48" s="487"/>
      <c r="E48" s="487"/>
      <c r="F48" s="487"/>
      <c r="G48" s="487"/>
      <c r="H48" s="487"/>
      <c r="I48" s="487"/>
      <c r="J48" s="487"/>
      <c r="K48" s="487"/>
      <c r="L48"/>
      <c r="M48"/>
      <c r="Q48" s="50"/>
      <c r="Y48" s="50"/>
      <c r="AH48" s="50"/>
      <c r="AP48" s="50"/>
      <c r="AX48" s="50"/>
      <c r="BF48" s="50"/>
      <c r="BN48" s="50"/>
      <c r="BV48" s="50"/>
      <c r="CD48" s="50"/>
      <c r="CL48" s="50"/>
      <c r="CT48" s="50"/>
      <c r="DB48" s="50"/>
      <c r="DJ48" s="50"/>
      <c r="DR48" s="50"/>
      <c r="DZ48" s="50"/>
    </row>
    <row r="49" spans="2:184" ht="15" x14ac:dyDescent="0.25">
      <c r="B49" s="411" t="s">
        <v>253</v>
      </c>
      <c r="C49" s="62"/>
      <c r="D49" s="504"/>
      <c r="E49" s="504"/>
      <c r="F49" s="505"/>
      <c r="G49" s="505"/>
      <c r="H49" s="504"/>
      <c r="I49" s="506"/>
      <c r="J49" s="505"/>
      <c r="K49" s="505"/>
      <c r="L49" s="436"/>
      <c r="M49" s="436"/>
      <c r="N49" s="16"/>
      <c r="O49" s="74"/>
      <c r="P49" s="63">
        <v>45382</v>
      </c>
      <c r="Q49" s="63">
        <v>45747</v>
      </c>
      <c r="R49" s="63">
        <v>46112</v>
      </c>
      <c r="S49" s="63">
        <v>46477</v>
      </c>
      <c r="T49" s="63">
        <v>46843</v>
      </c>
      <c r="U49" s="63">
        <v>47208</v>
      </c>
      <c r="V49" s="63">
        <v>47573</v>
      </c>
      <c r="W49" s="63">
        <v>47938</v>
      </c>
      <c r="Y49" s="63">
        <v>45382</v>
      </c>
      <c r="Z49" s="63">
        <v>45747</v>
      </c>
      <c r="AA49" s="63">
        <v>46112</v>
      </c>
      <c r="AB49" s="63">
        <v>46477</v>
      </c>
      <c r="AC49" s="63">
        <v>46843</v>
      </c>
      <c r="AD49" s="63">
        <v>47208</v>
      </c>
      <c r="AE49" s="63">
        <v>47573</v>
      </c>
      <c r="AF49" s="63">
        <v>47938</v>
      </c>
      <c r="AG49" s="443"/>
      <c r="AH49" s="63">
        <v>45747</v>
      </c>
      <c r="AI49" s="63">
        <v>46112</v>
      </c>
      <c r="AJ49" s="63">
        <v>46477</v>
      </c>
      <c r="AK49" s="63">
        <v>46843</v>
      </c>
      <c r="AL49" s="63">
        <v>47208</v>
      </c>
      <c r="AM49" s="63">
        <v>47573</v>
      </c>
      <c r="AN49" s="365">
        <v>47938</v>
      </c>
      <c r="AP49" s="63">
        <v>45747</v>
      </c>
      <c r="AQ49" s="63">
        <v>46112</v>
      </c>
      <c r="AR49" s="63">
        <v>46477</v>
      </c>
      <c r="AS49" s="63">
        <v>46843</v>
      </c>
      <c r="AT49" s="63">
        <v>47208</v>
      </c>
      <c r="AU49" s="63">
        <v>47573</v>
      </c>
      <c r="AV49" s="365">
        <v>47938</v>
      </c>
      <c r="AX49" s="63">
        <v>45747</v>
      </c>
      <c r="AY49" s="63">
        <v>46112</v>
      </c>
      <c r="AZ49" s="63">
        <v>46477</v>
      </c>
      <c r="BA49" s="63">
        <v>46843</v>
      </c>
      <c r="BB49" s="63">
        <v>47208</v>
      </c>
      <c r="BC49" s="63">
        <v>47573</v>
      </c>
      <c r="BD49" s="365">
        <v>47938</v>
      </c>
      <c r="BF49" s="63">
        <v>45747</v>
      </c>
      <c r="BG49" s="63">
        <v>46112</v>
      </c>
      <c r="BH49" s="63">
        <v>46477</v>
      </c>
      <c r="BI49" s="63">
        <v>46843</v>
      </c>
      <c r="BJ49" s="63">
        <v>47208</v>
      </c>
      <c r="BK49" s="63">
        <v>47573</v>
      </c>
      <c r="BL49" s="365">
        <v>47938</v>
      </c>
      <c r="BN49" s="63">
        <v>45747</v>
      </c>
      <c r="BO49" s="63">
        <v>46112</v>
      </c>
      <c r="BP49" s="63">
        <v>46477</v>
      </c>
      <c r="BQ49" s="63">
        <v>46843</v>
      </c>
      <c r="BR49" s="63">
        <v>47208</v>
      </c>
      <c r="BS49" s="63">
        <v>47573</v>
      </c>
      <c r="BT49" s="365">
        <v>47938</v>
      </c>
      <c r="BV49" s="63">
        <v>45747</v>
      </c>
      <c r="BW49" s="63">
        <v>46112</v>
      </c>
      <c r="BX49" s="63">
        <v>46477</v>
      </c>
      <c r="BY49" s="63">
        <v>46843</v>
      </c>
      <c r="BZ49" s="63">
        <v>47208</v>
      </c>
      <c r="CA49" s="63">
        <v>47573</v>
      </c>
      <c r="CB49" s="365">
        <v>47938</v>
      </c>
      <c r="CD49" s="63">
        <v>45747</v>
      </c>
      <c r="CE49" s="63">
        <v>46112</v>
      </c>
      <c r="CF49" s="63">
        <v>46477</v>
      </c>
      <c r="CG49" s="63">
        <v>46843</v>
      </c>
      <c r="CH49" s="63">
        <v>47208</v>
      </c>
      <c r="CI49" s="63">
        <v>47573</v>
      </c>
      <c r="CJ49" s="365">
        <v>47938</v>
      </c>
      <c r="CL49" s="63">
        <v>45747</v>
      </c>
      <c r="CM49" s="63">
        <v>46112</v>
      </c>
      <c r="CN49" s="63">
        <v>46477</v>
      </c>
      <c r="CO49" s="63">
        <v>46843</v>
      </c>
      <c r="CP49" s="63">
        <v>47208</v>
      </c>
      <c r="CQ49" s="63">
        <v>47573</v>
      </c>
      <c r="CR49" s="365">
        <v>47938</v>
      </c>
      <c r="CT49" s="63">
        <v>45747</v>
      </c>
      <c r="CU49" s="63">
        <v>46112</v>
      </c>
      <c r="CV49" s="63">
        <v>46477</v>
      </c>
      <c r="CW49" s="63">
        <v>46843</v>
      </c>
      <c r="CX49" s="63">
        <v>47208</v>
      </c>
      <c r="CY49" s="63">
        <v>47573</v>
      </c>
      <c r="CZ49" s="365">
        <v>47938</v>
      </c>
      <c r="DB49" s="63">
        <v>45747</v>
      </c>
      <c r="DC49" s="63">
        <v>46112</v>
      </c>
      <c r="DD49" s="63">
        <v>46477</v>
      </c>
      <c r="DE49" s="63">
        <v>46843</v>
      </c>
      <c r="DF49" s="63">
        <v>47208</v>
      </c>
      <c r="DG49" s="63">
        <v>47573</v>
      </c>
      <c r="DH49" s="365">
        <v>47938</v>
      </c>
      <c r="DJ49" s="63">
        <v>45747</v>
      </c>
      <c r="DK49" s="63">
        <v>46112</v>
      </c>
      <c r="DL49" s="63">
        <v>46477</v>
      </c>
      <c r="DM49" s="63">
        <v>46843</v>
      </c>
      <c r="DN49" s="63">
        <v>47208</v>
      </c>
      <c r="DO49" s="63">
        <v>47573</v>
      </c>
      <c r="DP49" s="365">
        <v>47938</v>
      </c>
      <c r="DR49" s="63">
        <v>45747</v>
      </c>
      <c r="DS49" s="63">
        <v>46112</v>
      </c>
      <c r="DT49" s="63">
        <v>46477</v>
      </c>
      <c r="DU49" s="63">
        <v>46843</v>
      </c>
      <c r="DV49" s="63">
        <v>47208</v>
      </c>
      <c r="DW49" s="63">
        <v>47573</v>
      </c>
      <c r="DX49" s="365">
        <v>47938</v>
      </c>
      <c r="DZ49" s="63">
        <v>45747</v>
      </c>
      <c r="EA49" s="63">
        <v>46112</v>
      </c>
      <c r="EB49" s="63">
        <v>46477</v>
      </c>
      <c r="EC49" s="63">
        <v>46843</v>
      </c>
      <c r="ED49" s="63">
        <v>47208</v>
      </c>
      <c r="EE49" s="63">
        <v>47573</v>
      </c>
      <c r="EF49" s="365">
        <v>47938</v>
      </c>
      <c r="EH49" s="63">
        <v>45747</v>
      </c>
      <c r="EI49" s="63">
        <v>46112</v>
      </c>
      <c r="EJ49" s="63">
        <v>46477</v>
      </c>
      <c r="EK49" s="63">
        <v>46843</v>
      </c>
      <c r="EL49" s="63">
        <v>47208</v>
      </c>
      <c r="EM49" s="63">
        <v>47573</v>
      </c>
      <c r="EN49" s="365">
        <v>47938</v>
      </c>
      <c r="EP49" s="63">
        <v>45747</v>
      </c>
      <c r="EQ49" s="63">
        <v>46112</v>
      </c>
      <c r="ER49" s="63">
        <v>46477</v>
      </c>
      <c r="ES49" s="63">
        <v>46843</v>
      </c>
      <c r="ET49" s="63">
        <v>47208</v>
      </c>
      <c r="EU49" s="63">
        <v>47573</v>
      </c>
      <c r="EV49" s="365">
        <v>47938</v>
      </c>
      <c r="EX49" s="63">
        <v>45747</v>
      </c>
      <c r="EY49" s="63">
        <v>46112</v>
      </c>
      <c r="EZ49" s="63">
        <v>46477</v>
      </c>
      <c r="FA49" s="63">
        <v>46843</v>
      </c>
      <c r="FB49" s="63">
        <v>47208</v>
      </c>
      <c r="FC49" s="63">
        <v>47573</v>
      </c>
      <c r="FD49" s="365">
        <v>47938</v>
      </c>
      <c r="FF49" s="63">
        <v>45747</v>
      </c>
      <c r="FG49" s="63">
        <v>46112</v>
      </c>
      <c r="FH49" s="63">
        <v>46477</v>
      </c>
      <c r="FI49" s="63">
        <v>46843</v>
      </c>
      <c r="FJ49" s="63">
        <v>47208</v>
      </c>
      <c r="FK49" s="63">
        <v>47573</v>
      </c>
      <c r="FL49" s="365">
        <v>47938</v>
      </c>
      <c r="FN49" s="63">
        <v>45747</v>
      </c>
      <c r="FO49" s="63">
        <v>46112</v>
      </c>
      <c r="FP49" s="63">
        <v>46477</v>
      </c>
      <c r="FQ49" s="63">
        <v>46843</v>
      </c>
      <c r="FR49" s="63">
        <v>47208</v>
      </c>
      <c r="FS49" s="63">
        <v>47573</v>
      </c>
      <c r="FT49" s="63">
        <v>47938</v>
      </c>
      <c r="FV49" s="63">
        <v>45747</v>
      </c>
      <c r="FW49" s="63">
        <v>46112</v>
      </c>
      <c r="FX49" s="63">
        <v>46477</v>
      </c>
      <c r="FY49" s="63">
        <v>46843</v>
      </c>
      <c r="FZ49" s="63">
        <v>47208</v>
      </c>
      <c r="GA49" s="63">
        <v>47573</v>
      </c>
      <c r="GB49" s="63">
        <v>47938</v>
      </c>
    </row>
    <row r="50" spans="2:184" ht="24" x14ac:dyDescent="0.2">
      <c r="B50" s="405" t="s">
        <v>262</v>
      </c>
      <c r="C50" s="405" t="s">
        <v>233</v>
      </c>
      <c r="D50" s="406" t="s">
        <v>139</v>
      </c>
      <c r="E50" s="406" t="s">
        <v>234</v>
      </c>
      <c r="F50" s="406" t="s">
        <v>254</v>
      </c>
      <c r="G50" s="406" t="s">
        <v>743</v>
      </c>
      <c r="H50" s="406" t="s">
        <v>159</v>
      </c>
      <c r="I50" s="406" t="s">
        <v>650</v>
      </c>
      <c r="J50" s="406" t="s">
        <v>256</v>
      </c>
      <c r="K50" s="406" t="s">
        <v>258</v>
      </c>
      <c r="L50" s="407" t="s">
        <v>241</v>
      </c>
      <c r="M50" s="407" t="s">
        <v>242</v>
      </c>
      <c r="N50" s="406" t="s">
        <v>260</v>
      </c>
      <c r="O50" s="50" t="s">
        <v>736</v>
      </c>
      <c r="P50" s="70" t="s">
        <v>236</v>
      </c>
      <c r="Q50" s="70"/>
      <c r="R50" s="70"/>
      <c r="S50" s="70"/>
      <c r="T50" s="70"/>
      <c r="U50" s="70"/>
      <c r="V50" s="70"/>
      <c r="W50" s="70"/>
      <c r="Y50" s="70" t="s">
        <v>237</v>
      </c>
      <c r="Z50" s="70"/>
      <c r="AA50" s="70"/>
      <c r="AB50" s="70"/>
      <c r="AC50" s="70"/>
      <c r="AD50" s="70"/>
      <c r="AE50" s="70"/>
      <c r="AF50" s="70"/>
      <c r="AG50" s="443"/>
      <c r="AH50" s="70" t="s">
        <v>238</v>
      </c>
      <c r="AI50" s="70"/>
      <c r="AJ50" s="70"/>
      <c r="AK50" s="70"/>
      <c r="AL50" s="70"/>
      <c r="AM50" s="70"/>
      <c r="AN50" s="70"/>
      <c r="AP50" s="70" t="s">
        <v>239</v>
      </c>
      <c r="AQ50" s="70"/>
      <c r="AR50" s="70"/>
      <c r="AS50" s="70"/>
      <c r="AT50" s="70"/>
      <c r="AU50" s="70"/>
      <c r="AV50" s="70"/>
      <c r="AX50" s="70" t="s">
        <v>263</v>
      </c>
      <c r="AY50" s="70"/>
      <c r="AZ50" s="70"/>
      <c r="BA50" s="70"/>
      <c r="BB50" s="70"/>
      <c r="BC50" s="70"/>
      <c r="BD50" s="70"/>
      <c r="BF50" s="70" t="s">
        <v>240</v>
      </c>
      <c r="BG50" s="70"/>
      <c r="BH50" s="70"/>
      <c r="BI50" s="70"/>
      <c r="BJ50" s="70"/>
      <c r="BK50" s="70"/>
      <c r="BL50" s="70"/>
      <c r="BN50" s="70" t="s">
        <v>72</v>
      </c>
      <c r="BO50" s="70"/>
      <c r="BP50" s="70"/>
      <c r="BQ50" s="70"/>
      <c r="BR50" s="70"/>
      <c r="BS50" s="70"/>
      <c r="BT50" s="70"/>
      <c r="BV50" s="70" t="s">
        <v>244</v>
      </c>
      <c r="BW50" s="70"/>
      <c r="BX50" s="70"/>
      <c r="BY50" s="70"/>
      <c r="BZ50" s="70"/>
      <c r="CA50" s="70"/>
      <c r="CB50" s="70"/>
      <c r="CD50" s="70" t="s">
        <v>245</v>
      </c>
      <c r="CE50" s="70"/>
      <c r="CF50" s="70"/>
      <c r="CG50" s="70"/>
      <c r="CH50" s="70"/>
      <c r="CI50" s="70"/>
      <c r="CJ50" s="70"/>
      <c r="CL50" s="70" t="s">
        <v>243</v>
      </c>
      <c r="CM50" s="70"/>
      <c r="CN50" s="70"/>
      <c r="CO50" s="70"/>
      <c r="CP50" s="70"/>
      <c r="CQ50" s="70"/>
      <c r="CR50" s="70"/>
      <c r="CT50" s="70" t="s">
        <v>246</v>
      </c>
      <c r="CU50" s="70"/>
      <c r="CV50" s="70"/>
      <c r="CW50" s="70"/>
      <c r="CX50" s="70"/>
      <c r="CY50" s="70"/>
      <c r="CZ50" s="70"/>
      <c r="DB50" s="70" t="s">
        <v>247</v>
      </c>
      <c r="DC50" s="70"/>
      <c r="DD50" s="70"/>
      <c r="DE50" s="70"/>
      <c r="DF50" s="70"/>
      <c r="DG50" s="70"/>
      <c r="DH50" s="70"/>
      <c r="DJ50" s="70" t="s">
        <v>248</v>
      </c>
      <c r="DK50" s="70"/>
      <c r="DL50" s="70"/>
      <c r="DM50" s="70"/>
      <c r="DN50" s="70"/>
      <c r="DO50" s="70"/>
      <c r="DP50" s="70"/>
      <c r="DR50" s="70" t="s">
        <v>249</v>
      </c>
      <c r="DS50" s="70"/>
      <c r="DT50" s="70"/>
      <c r="DU50" s="70"/>
      <c r="DV50" s="70"/>
      <c r="DW50" s="70"/>
      <c r="DX50" s="70"/>
      <c r="DY50" s="71" t="s">
        <v>251</v>
      </c>
      <c r="DZ50" s="72">
        <v>7.0000000000000007E-2</v>
      </c>
      <c r="EA50" s="72">
        <v>7.0000000000000007E-2</v>
      </c>
      <c r="EB50" s="72">
        <v>7.0000000000000007E-2</v>
      </c>
      <c r="EC50" s="72">
        <v>7.0000000000000007E-2</v>
      </c>
      <c r="ED50" s="72">
        <v>7.0000000000000007E-2</v>
      </c>
      <c r="EE50" s="72">
        <v>7.0000000000000007E-2</v>
      </c>
      <c r="EF50" s="72">
        <v>7.0000000000000007E-2</v>
      </c>
      <c r="EH50" s="49" t="s">
        <v>267</v>
      </c>
      <c r="EI50" s="72">
        <v>5.7200000000000001E-2</v>
      </c>
      <c r="EJ50" s="72">
        <v>5.7200000000000001E-2</v>
      </c>
      <c r="EK50" s="72">
        <v>5.7200000000000001E-2</v>
      </c>
      <c r="EL50" s="72">
        <v>5.7200000000000001E-2</v>
      </c>
      <c r="EM50" s="72">
        <v>5.7200000000000001E-2</v>
      </c>
      <c r="EN50" s="72">
        <v>5.7200000000000001E-2</v>
      </c>
      <c r="EO50" s="71" t="s">
        <v>251</v>
      </c>
      <c r="EP50" s="72">
        <v>7.0000000000000007E-2</v>
      </c>
      <c r="EQ50" s="72">
        <v>7.0000000000000007E-2</v>
      </c>
      <c r="ER50" s="72">
        <v>7.0000000000000007E-2</v>
      </c>
      <c r="ES50" s="72">
        <v>7.0000000000000007E-2</v>
      </c>
      <c r="ET50" s="72">
        <v>7.0000000000000007E-2</v>
      </c>
      <c r="EU50" s="72">
        <v>7.0000000000000007E-2</v>
      </c>
      <c r="EV50" s="72">
        <v>7.0000000000000007E-2</v>
      </c>
      <c r="EX50" s="49" t="s">
        <v>220</v>
      </c>
      <c r="EY50" s="48"/>
      <c r="EZ50" s="48"/>
      <c r="FA50" s="48"/>
      <c r="FB50" s="48"/>
      <c r="FC50" s="48"/>
      <c r="FD50" s="48"/>
      <c r="FF50" s="49" t="s">
        <v>269</v>
      </c>
      <c r="FG50" s="48"/>
      <c r="FH50" s="48"/>
      <c r="FI50" s="48"/>
      <c r="FJ50" s="48"/>
      <c r="FK50" s="48"/>
      <c r="FL50" s="48"/>
      <c r="FN50" s="49" t="s">
        <v>270</v>
      </c>
      <c r="FO50" s="48"/>
      <c r="FP50" s="48"/>
      <c r="FQ50" s="48"/>
      <c r="FR50" s="48"/>
      <c r="FS50" s="48"/>
      <c r="FT50" s="48"/>
      <c r="FV50" s="48" t="s">
        <v>158</v>
      </c>
      <c r="FW50" s="48"/>
      <c r="FX50" s="48"/>
      <c r="FY50" s="48"/>
      <c r="FZ50" s="48"/>
      <c r="GA50" s="48"/>
      <c r="GB50" s="48"/>
    </row>
    <row r="51" spans="2:184" ht="24" x14ac:dyDescent="0.2">
      <c r="B51" s="408" t="s">
        <v>253</v>
      </c>
      <c r="C51" s="408"/>
      <c r="D51" s="409"/>
      <c r="E51" s="409"/>
      <c r="F51" s="409" t="s">
        <v>255</v>
      </c>
      <c r="G51" s="409" t="s">
        <v>764</v>
      </c>
      <c r="H51" s="409"/>
      <c r="I51" s="409"/>
      <c r="J51" s="409" t="s">
        <v>257</v>
      </c>
      <c r="K51" s="409" t="s">
        <v>259</v>
      </c>
      <c r="L51" s="410"/>
      <c r="M51" s="410"/>
      <c r="N51" s="409" t="s">
        <v>261</v>
      </c>
      <c r="O51" s="50" t="s">
        <v>737</v>
      </c>
      <c r="P51" s="70"/>
      <c r="Q51" s="70"/>
      <c r="R51" s="70"/>
      <c r="S51" s="70"/>
      <c r="T51" s="70"/>
      <c r="U51" s="70"/>
      <c r="V51" s="70"/>
      <c r="W51" s="70"/>
      <c r="Y51" s="70"/>
      <c r="Z51" s="70"/>
      <c r="AA51" s="70"/>
      <c r="AB51" s="70"/>
      <c r="AC51" s="70"/>
      <c r="AD51" s="70"/>
      <c r="AE51" s="70"/>
      <c r="AF51" s="70"/>
      <c r="AG51" s="443"/>
      <c r="AH51" s="70"/>
      <c r="AI51" s="70"/>
      <c r="AJ51" s="70"/>
      <c r="AK51" s="70"/>
      <c r="AL51" s="70"/>
      <c r="AM51" s="70"/>
      <c r="AN51" s="70"/>
      <c r="AP51" s="70"/>
      <c r="AQ51" s="70"/>
      <c r="AR51" s="70"/>
      <c r="AS51" s="70"/>
      <c r="AT51" s="70"/>
      <c r="AU51" s="70"/>
      <c r="AV51" s="70"/>
      <c r="AX51" s="70"/>
      <c r="AY51" s="70"/>
      <c r="AZ51" s="70"/>
      <c r="BA51" s="70"/>
      <c r="BB51" s="70"/>
      <c r="BC51" s="70"/>
      <c r="BD51" s="70"/>
      <c r="BF51" s="70"/>
      <c r="BG51" s="70"/>
      <c r="BH51" s="70"/>
      <c r="BI51" s="70"/>
      <c r="BJ51" s="70"/>
      <c r="BK51" s="70"/>
      <c r="BL51" s="70"/>
      <c r="BN51" s="70"/>
      <c r="BO51" s="70"/>
      <c r="BP51" s="70"/>
      <c r="BQ51" s="70"/>
      <c r="BR51" s="70"/>
      <c r="BS51" s="70"/>
      <c r="BT51" s="70"/>
      <c r="BV51" s="70"/>
      <c r="BW51" s="70"/>
      <c r="BX51" s="70"/>
      <c r="BY51" s="70"/>
      <c r="BZ51" s="70"/>
      <c r="CA51" s="70"/>
      <c r="CB51" s="70"/>
      <c r="CD51" s="70"/>
      <c r="CE51" s="70"/>
      <c r="CF51" s="70"/>
      <c r="CG51" s="70"/>
      <c r="CH51" s="70"/>
      <c r="CI51" s="70"/>
      <c r="CJ51" s="70"/>
      <c r="CL51" s="70"/>
      <c r="CM51" s="70"/>
      <c r="CN51" s="70"/>
      <c r="CO51" s="70"/>
      <c r="CP51" s="70"/>
      <c r="CQ51" s="70"/>
      <c r="CR51" s="70"/>
      <c r="CT51" s="70"/>
      <c r="CU51" s="70"/>
      <c r="CV51" s="70"/>
      <c r="CW51" s="70"/>
      <c r="CX51" s="70"/>
      <c r="CY51" s="70"/>
      <c r="CZ51" s="70"/>
      <c r="DB51" s="70"/>
      <c r="DC51" s="70"/>
      <c r="DD51" s="70"/>
      <c r="DE51" s="70"/>
      <c r="DF51" s="70"/>
      <c r="DG51" s="70"/>
      <c r="DH51" s="70"/>
      <c r="DJ51" s="70"/>
      <c r="DK51" s="70"/>
      <c r="DL51" s="70"/>
      <c r="DM51" s="70"/>
      <c r="DN51" s="70"/>
      <c r="DO51" s="70"/>
      <c r="DP51" s="70"/>
      <c r="DR51" s="70"/>
      <c r="DS51" s="70"/>
      <c r="DT51" s="70"/>
      <c r="DU51" s="70"/>
      <c r="DV51" s="70"/>
      <c r="DW51" s="70"/>
      <c r="DX51" s="70"/>
      <c r="DY51" s="71" t="s">
        <v>252</v>
      </c>
      <c r="DZ51" s="72">
        <f>DZ50+3%</f>
        <v>0.1</v>
      </c>
      <c r="EA51" s="72">
        <f t="shared" ref="EA51:EE51" si="24">EA50+3%</f>
        <v>0.1</v>
      </c>
      <c r="EB51" s="72">
        <f t="shared" si="24"/>
        <v>0.1</v>
      </c>
      <c r="EC51" s="72">
        <f t="shared" si="24"/>
        <v>0.1</v>
      </c>
      <c r="ED51" s="72">
        <f t="shared" si="24"/>
        <v>0.1</v>
      </c>
      <c r="EE51" s="72">
        <f t="shared" si="24"/>
        <v>0.1</v>
      </c>
      <c r="EF51" s="72"/>
      <c r="EG51" s="51" t="s">
        <v>140</v>
      </c>
      <c r="EH51" s="65">
        <v>0.8</v>
      </c>
      <c r="EI51" s="76">
        <f>EH51*(1+EI$50)</f>
        <v>0.84575999999999996</v>
      </c>
      <c r="EJ51" s="76">
        <f t="shared" ref="EJ51:EM52" si="25">EI51*(1+EJ$50)</f>
        <v>0.89413747199999993</v>
      </c>
      <c r="EK51" s="76">
        <f t="shared" si="25"/>
        <v>0.94528213539839989</v>
      </c>
      <c r="EL51" s="76">
        <f t="shared" si="25"/>
        <v>0.99935227354318834</v>
      </c>
      <c r="EM51" s="76">
        <f t="shared" si="25"/>
        <v>1.0565152235898587</v>
      </c>
      <c r="EN51" s="76"/>
      <c r="EO51" s="71" t="s">
        <v>252</v>
      </c>
      <c r="EP51" s="72">
        <f>EP50+3%</f>
        <v>0.1</v>
      </c>
      <c r="EQ51" s="72">
        <f t="shared" ref="EQ51" si="26">EQ50+3%</f>
        <v>0.1</v>
      </c>
      <c r="ER51" s="72">
        <f t="shared" ref="ER51" si="27">ER50+3%</f>
        <v>0.1</v>
      </c>
      <c r="ES51" s="72">
        <f t="shared" ref="ES51" si="28">ES50+3%</f>
        <v>0.1</v>
      </c>
      <c r="ET51" s="72">
        <f t="shared" ref="ET51" si="29">ET50+3%</f>
        <v>0.1</v>
      </c>
      <c r="EU51" s="72">
        <f t="shared" ref="EU51" si="30">EU50+3%</f>
        <v>0.1</v>
      </c>
      <c r="EV51" s="72"/>
      <c r="EX51" s="48"/>
      <c r="EY51" s="48"/>
      <c r="EZ51" s="48"/>
      <c r="FA51" s="48"/>
      <c r="FB51" s="48"/>
      <c r="FC51" s="48"/>
      <c r="FD51" s="48"/>
      <c r="FF51" s="48"/>
      <c r="FG51" s="48"/>
      <c r="FH51" s="48"/>
      <c r="FI51" s="48"/>
      <c r="FJ51" s="48"/>
      <c r="FK51" s="48"/>
      <c r="FL51" s="48"/>
      <c r="FN51" s="48"/>
      <c r="FO51" s="48"/>
      <c r="FP51" s="48"/>
      <c r="FQ51" s="48"/>
      <c r="FR51" s="48"/>
      <c r="FS51" s="48"/>
      <c r="FT51" s="48"/>
      <c r="FV51" s="48"/>
      <c r="FW51" s="48"/>
      <c r="FX51" s="48"/>
      <c r="FY51" s="48"/>
      <c r="FZ51" s="48"/>
      <c r="GA51" s="48"/>
      <c r="GB51" s="48"/>
    </row>
    <row r="52" spans="2:184" x14ac:dyDescent="0.2">
      <c r="B52" s="49"/>
      <c r="C52" s="49"/>
      <c r="D52" s="49"/>
      <c r="E52" s="49"/>
      <c r="F52" s="49"/>
      <c r="G52" s="49" t="str">
        <f t="shared" ref="G52:G83" si="31">IF(NOT(ISNUMBER($H52)),"",IF($H52&lt;=DATE(2026,3,31),$H52,EDATE($H52,-IF($D52="BESS",$S$19,$S$26))))</f>
        <v/>
      </c>
      <c r="H52" s="49"/>
      <c r="I52" s="49"/>
      <c r="J52" s="49"/>
      <c r="K52" s="73"/>
      <c r="L52" s="389"/>
      <c r="M52" s="389"/>
      <c r="N52" s="49"/>
      <c r="O52" s="50"/>
      <c r="P52" s="70"/>
      <c r="Q52" s="70"/>
      <c r="R52" s="70"/>
      <c r="S52" s="70"/>
      <c r="T52" s="70"/>
      <c r="U52" s="70"/>
      <c r="V52" s="70"/>
      <c r="W52" s="70"/>
      <c r="Y52" s="70"/>
      <c r="Z52" s="70"/>
      <c r="AA52" s="70"/>
      <c r="AB52" s="70"/>
      <c r="AC52" s="70"/>
      <c r="AD52" s="70"/>
      <c r="AE52" s="70"/>
      <c r="AF52" s="70"/>
      <c r="AG52" s="443"/>
      <c r="AH52" s="70"/>
      <c r="AI52" s="70"/>
      <c r="AJ52" s="70"/>
      <c r="AK52" s="70"/>
      <c r="AL52" s="70"/>
      <c r="AM52" s="70"/>
      <c r="AN52" s="70"/>
      <c r="AP52" s="70"/>
      <c r="AQ52" s="117"/>
      <c r="AR52" s="117"/>
      <c r="AS52" s="70"/>
      <c r="AT52" s="70"/>
      <c r="AU52" s="70"/>
      <c r="AV52" s="70"/>
      <c r="AX52" s="70"/>
      <c r="AY52" s="70"/>
      <c r="AZ52" s="70"/>
      <c r="BA52" s="70"/>
      <c r="BB52" s="70"/>
      <c r="BC52" s="70"/>
      <c r="BD52" s="70"/>
      <c r="BF52" s="70"/>
      <c r="BG52" s="70"/>
      <c r="BH52" s="70"/>
      <c r="BI52" s="70"/>
      <c r="BJ52" s="70"/>
      <c r="BK52" s="70"/>
      <c r="BL52" s="70"/>
      <c r="BM52" s="221"/>
      <c r="BN52" s="70"/>
      <c r="BO52" s="299">
        <v>0.8</v>
      </c>
      <c r="BP52" s="70"/>
      <c r="BQ52" s="70"/>
      <c r="BR52" s="70"/>
      <c r="BS52" s="70"/>
      <c r="BT52" s="70"/>
      <c r="BV52" s="70"/>
      <c r="BW52" s="70"/>
      <c r="BX52" s="70"/>
      <c r="BY52" s="70"/>
      <c r="BZ52" s="70"/>
      <c r="CA52" s="70"/>
      <c r="CB52" s="70"/>
      <c r="CD52" s="70"/>
      <c r="CE52" s="70">
        <f t="shared" ref="CE52:CE87" si="32">IF(SUM($BX52:$CB52)=0,0,BX52/SUM($BX52:$CB52)*(1-$O52))</f>
        <v>0</v>
      </c>
      <c r="CF52" s="70">
        <f t="shared" ref="CF52:CF87" si="33">IF(SUM($BX52:$CB52)=0,0,BY52/SUM($BX52:$CB52)*(1-$O52))</f>
        <v>0</v>
      </c>
      <c r="CG52" s="70">
        <f t="shared" ref="CG52:CG87" si="34">IF(SUM($BX52:$CB52)=0,0,BZ52/SUM($BX52:$CB52)*(1-$O52))</f>
        <v>0</v>
      </c>
      <c r="CH52" s="70"/>
      <c r="CI52" s="70"/>
      <c r="CJ52" s="70"/>
      <c r="CL52" s="70"/>
      <c r="CM52" s="70"/>
      <c r="CN52" s="70"/>
      <c r="CO52" s="70"/>
      <c r="CP52" s="70"/>
      <c r="CQ52" s="70"/>
      <c r="CR52" s="70"/>
      <c r="CT52" s="70"/>
      <c r="CU52" s="70"/>
      <c r="CV52" s="70"/>
      <c r="CW52" s="70"/>
      <c r="CX52" s="70"/>
      <c r="CY52" s="70"/>
      <c r="CZ52" s="70"/>
      <c r="DB52" s="70"/>
      <c r="DC52" s="70"/>
      <c r="DD52" s="70"/>
      <c r="DE52" s="70"/>
      <c r="DF52" s="70"/>
      <c r="DG52" s="70"/>
      <c r="DH52" s="70"/>
      <c r="DJ52" s="70"/>
      <c r="DK52" s="70"/>
      <c r="DL52" s="70"/>
      <c r="DM52" s="70"/>
      <c r="DN52" s="70"/>
      <c r="DO52" s="70"/>
      <c r="DP52" s="70"/>
      <c r="DR52" s="70"/>
      <c r="DS52" s="70"/>
      <c r="DT52" s="70"/>
      <c r="DU52" s="70"/>
      <c r="DV52" s="70"/>
      <c r="DW52" s="70"/>
      <c r="DX52" s="70"/>
      <c r="DY52" s="71"/>
      <c r="DZ52" s="72"/>
      <c r="EA52" s="72"/>
      <c r="EB52" s="72"/>
      <c r="EC52" s="72"/>
      <c r="ED52" s="72"/>
      <c r="EE52" s="72"/>
      <c r="EF52" s="72"/>
      <c r="EG52" s="51" t="s">
        <v>228</v>
      </c>
      <c r="EH52" s="65">
        <v>1</v>
      </c>
      <c r="EI52" s="76">
        <f>EH52*(1+EI$50)</f>
        <v>1.0571999999999999</v>
      </c>
      <c r="EJ52" s="76">
        <f t="shared" si="25"/>
        <v>1.1176718399999999</v>
      </c>
      <c r="EK52" s="76">
        <f t="shared" si="25"/>
        <v>1.1816026692479997</v>
      </c>
      <c r="EL52" s="76">
        <f t="shared" si="25"/>
        <v>1.2491903419289851</v>
      </c>
      <c r="EM52" s="76">
        <f t="shared" si="25"/>
        <v>1.320644029487323</v>
      </c>
      <c r="EN52" s="76"/>
      <c r="EP52" s="48"/>
      <c r="EQ52" s="48"/>
      <c r="ER52" s="48"/>
      <c r="ES52" s="48"/>
      <c r="ET52" s="48"/>
      <c r="EU52" s="48"/>
      <c r="EV52" s="48"/>
      <c r="EX52" s="48"/>
      <c r="EY52" s="48"/>
      <c r="EZ52" s="48"/>
      <c r="FA52" s="48"/>
      <c r="FB52" s="48"/>
      <c r="FC52" s="48"/>
      <c r="FD52" s="48"/>
      <c r="FF52" s="48"/>
      <c r="FG52" s="48"/>
      <c r="FH52" s="48"/>
      <c r="FI52" s="48"/>
      <c r="FJ52" s="48"/>
      <c r="FK52" s="48"/>
      <c r="FL52" s="48"/>
      <c r="FN52" s="48"/>
      <c r="FO52" s="48"/>
      <c r="FP52" s="48"/>
      <c r="FQ52" s="48"/>
      <c r="FR52" s="48"/>
      <c r="FS52" s="48"/>
      <c r="FT52" s="48"/>
      <c r="FV52" s="48"/>
      <c r="FW52" s="48"/>
      <c r="FX52" s="48"/>
      <c r="FY52" s="48"/>
      <c r="FZ52" s="48"/>
      <c r="GA52" s="48"/>
      <c r="GB52" s="48"/>
    </row>
    <row r="53" spans="2:184" x14ac:dyDescent="0.2">
      <c r="B53" s="393" t="str">
        <f>Key_New!D3</f>
        <v>Gujarat</v>
      </c>
      <c r="C53" s="394" t="str">
        <f>Key_New!B3</f>
        <v>ACME Solar Technologies (Gujarat) Pvt Ltd</v>
      </c>
      <c r="D53" s="395" t="str">
        <f>Key_New!E3</f>
        <v>Solar</v>
      </c>
      <c r="E53" s="396" t="str">
        <f>Key_New!C3</f>
        <v>Operational</v>
      </c>
      <c r="F53" s="397">
        <f>Key_New!F3</f>
        <v>15</v>
      </c>
      <c r="G53" s="398">
        <f t="shared" si="31"/>
        <v>40999</v>
      </c>
      <c r="H53" s="399">
        <f>Key_New!O3</f>
        <v>40999</v>
      </c>
      <c r="I53" s="369">
        <f t="shared" ref="I53:I85" si="35">IF(MONTH(H53)&lt;=3,YEAR(H53),YEAR(H53)+1)</f>
        <v>2012</v>
      </c>
      <c r="J53" s="367">
        <v>70</v>
      </c>
      <c r="K53" s="370">
        <f t="shared" ref="K53:K85" si="36">J53*F53</f>
        <v>1050</v>
      </c>
      <c r="L53" s="368">
        <v>0.12</v>
      </c>
      <c r="M53" s="368">
        <v>0.25</v>
      </c>
      <c r="N53" s="403">
        <f>Key_New!J3</f>
        <v>5</v>
      </c>
      <c r="O53" s="462">
        <f t="shared" ref="O53:O84" si="37">IF(OR(NOT(ISNUMBER($G53)),NOT(ISNUMBER($H53)),$H53&lt;=DATE(2026,3,31)),0,MIN(1,MAX(0,(DATE(2026,3,31)-$G53)/($H53-$G53)))*$S$23)</f>
        <v>0</v>
      </c>
      <c r="P53" s="54">
        <f>IF(OR(ISERROR(P$49-$H53),(P$49-$H53)&gt;=365),365,IF((P$49-$H53)&lt;=0,0,P$49-$H53))</f>
        <v>365</v>
      </c>
      <c r="Q53" s="54">
        <f>IF(OR(ISERROR(Q$49-$H53),(Q$49-$H53)&gt;=365),365,IF((Q$49-$H53)&lt;=0,0,Q$49-$H53))</f>
        <v>365</v>
      </c>
      <c r="R53" s="54">
        <f t="shared" ref="R53:W68" si="38">IF(OR(ISERROR(R$49-$H53),(R$49-$H53)&gt;=365),365,IF((R$49-$H53)&lt;=0,0,R$49-$H53))</f>
        <v>365</v>
      </c>
      <c r="S53" s="54">
        <f t="shared" si="38"/>
        <v>365</v>
      </c>
      <c r="T53" s="54">
        <f t="shared" si="38"/>
        <v>365</v>
      </c>
      <c r="U53" s="54">
        <f t="shared" ref="U53:V72" si="39">IF(OR(ISERROR(U$49-$H53),(U$49-$H53)&gt;=365),365,IF((U$49-$H53)&lt;=0,0,U$49-$H53))</f>
        <v>365</v>
      </c>
      <c r="V53" s="54">
        <f t="shared" si="39"/>
        <v>365</v>
      </c>
      <c r="W53" s="54">
        <f t="shared" si="38"/>
        <v>365</v>
      </c>
      <c r="Y53" s="60">
        <v>12</v>
      </c>
      <c r="Z53" s="54">
        <f t="shared" ref="Z53:AF53" si="40">IF(AND(P53=0,Q53&gt;0),1,IF(Y53=0,0,Y53+1))</f>
        <v>13</v>
      </c>
      <c r="AA53" s="54">
        <f t="shared" si="40"/>
        <v>14</v>
      </c>
      <c r="AB53" s="54">
        <f t="shared" si="40"/>
        <v>15</v>
      </c>
      <c r="AC53" s="54">
        <f t="shared" si="40"/>
        <v>16</v>
      </c>
      <c r="AD53" s="54">
        <f t="shared" si="40"/>
        <v>17</v>
      </c>
      <c r="AE53" s="54">
        <f t="shared" si="40"/>
        <v>18</v>
      </c>
      <c r="AF53" s="54">
        <f t="shared" si="40"/>
        <v>19</v>
      </c>
      <c r="AG53" s="444"/>
      <c r="AH53" s="48">
        <f t="shared" ref="AH53" si="41">IF(AND(P53&lt;=0,Q53&gt;0),$F53,IF(P53&gt;0,$F53,0))</f>
        <v>15</v>
      </c>
      <c r="AI53" s="48">
        <f t="shared" ref="AI53" si="42">IF(AND(Q53&lt;=0,R53&gt;0),$F53,IF(Q53&gt;0,$F53,0))</f>
        <v>15</v>
      </c>
      <c r="AJ53" s="48">
        <f t="shared" ref="AJ53" si="43">IF(AND(R53&lt;=0,S53&gt;0),$F53,IF(R53&gt;0,$F53,0))</f>
        <v>15</v>
      </c>
      <c r="AK53" s="48">
        <f t="shared" ref="AK53" si="44">IF(AND(S53&lt;=0,T53&gt;0),$F53,IF(S53&gt;0,$F53,0))</f>
        <v>15</v>
      </c>
      <c r="AL53" s="48">
        <f t="shared" ref="AL53" si="45">IF(AND(T53&lt;=0,U53&gt;0),$F53,IF(T53&gt;0,$F53,0))</f>
        <v>15</v>
      </c>
      <c r="AM53" s="48">
        <f t="shared" ref="AM53:AM84" si="46">IF(AND(U53&lt;=0,V53&gt;0),$F53,IF(U53&gt;0,$F53,0))</f>
        <v>15</v>
      </c>
      <c r="AN53" s="48">
        <f t="shared" ref="AN53:AN84" si="47">IF(AND(V53&lt;=0,W53&gt;0),$F53,IF(V53&gt;0,$F53,0))</f>
        <v>15</v>
      </c>
      <c r="AP53" s="61">
        <v>0.25</v>
      </c>
      <c r="AQ53" s="61">
        <v>0.25</v>
      </c>
      <c r="AR53" s="61">
        <v>0.25</v>
      </c>
      <c r="AS53" s="61">
        <v>0.25</v>
      </c>
      <c r="AT53" s="61">
        <v>0.25</v>
      </c>
      <c r="AU53" s="61">
        <v>0.25</v>
      </c>
      <c r="AV53" s="61">
        <v>0.25</v>
      </c>
      <c r="AX53" s="52">
        <f t="shared" ref="AX53" si="48">$F53*8.766*AP53*(Q53/365)</f>
        <v>32.872500000000002</v>
      </c>
      <c r="AY53" s="52">
        <f t="shared" ref="AY53" si="49">$F53*8.766*AQ53*(R53/365)</f>
        <v>32.872500000000002</v>
      </c>
      <c r="AZ53" s="52">
        <f t="shared" ref="AZ53" si="50">$F53*8.766*AR53*(S53/365)</f>
        <v>32.872500000000002</v>
      </c>
      <c r="BA53" s="52">
        <f t="shared" ref="BA53" si="51">$F53*8.766*AS53*(T53/365)</f>
        <v>32.872500000000002</v>
      </c>
      <c r="BB53" s="52">
        <f t="shared" ref="BB53" si="52">$F53*8.766*AT53*(U53/365)</f>
        <v>32.872500000000002</v>
      </c>
      <c r="BC53" s="52">
        <f t="shared" ref="BC53:BC84" si="53">$F53*8.766*AU53*(V53/365)</f>
        <v>32.872500000000002</v>
      </c>
      <c r="BD53" s="52">
        <f t="shared" ref="BD53:BD84" si="54">$F53*8.766*AV53*(W53/365)</f>
        <v>32.872500000000002</v>
      </c>
      <c r="BE53" s="57">
        <v>0.2</v>
      </c>
      <c r="BF53" s="52">
        <f t="shared" ref="BF53" si="55">$BE53*$K53*(Q53/365)*($L53/(1-$M53))</f>
        <v>33.6</v>
      </c>
      <c r="BG53" s="52">
        <f t="shared" ref="BG53" si="56">$BE53*$K53*(R53/365)*($L53/(1-$M53))</f>
        <v>33.6</v>
      </c>
      <c r="BH53" s="52">
        <f t="shared" ref="BH53" si="57">$BE53*$K53*(S53/365)*($L53/(1-$M53))</f>
        <v>33.6</v>
      </c>
      <c r="BI53" s="52">
        <f t="shared" ref="BI53" si="58">$BE53*$K53*(T53/365)*($L53/(1-$M53))</f>
        <v>33.6</v>
      </c>
      <c r="BJ53" s="52">
        <f t="shared" ref="BJ53" si="59">$BE53*$K53*(U53/365)*($L53/(1-$M53))</f>
        <v>33.6</v>
      </c>
      <c r="BK53" s="52">
        <f t="shared" ref="BK53:BK84" si="60">$BE53*$K53*(V53/365)*($L53/(1-$M53))</f>
        <v>33.6</v>
      </c>
      <c r="BL53" s="52">
        <f t="shared" ref="BL53:BL84" si="61">$BE53*$K53*(W53/365)*($L53/(1-$M53))</f>
        <v>33.6</v>
      </c>
      <c r="BM53" s="297">
        <v>0.04</v>
      </c>
      <c r="BN53" s="69">
        <f>$BM53*$K53*(Q53/365)</f>
        <v>42</v>
      </c>
      <c r="BO53" s="69">
        <f>($BM53*$K53*(R53/365))</f>
        <v>42</v>
      </c>
      <c r="BP53" s="69">
        <f>$BM53*$K53*(S53/365)</f>
        <v>42</v>
      </c>
      <c r="BQ53" s="69">
        <f>$BM53*$K53*(T53/365)</f>
        <v>42</v>
      </c>
      <c r="BR53" s="69">
        <f>$BM53*$K53*(U53/365)</f>
        <v>42</v>
      </c>
      <c r="BS53" s="69">
        <f>$BM53*$K53*(V53/365)</f>
        <v>42</v>
      </c>
      <c r="BT53" s="69">
        <f>$BM53*$K53*(W53/365)</f>
        <v>42</v>
      </c>
      <c r="BV53" s="69"/>
      <c r="BW53" s="69"/>
      <c r="BX53" s="69"/>
      <c r="BY53" s="69"/>
      <c r="BZ53" s="69"/>
      <c r="CA53" s="69"/>
      <c r="CB53" s="69"/>
      <c r="CC53" s="107">
        <v>0</v>
      </c>
      <c r="CD53" s="69">
        <v>0</v>
      </c>
      <c r="CE53" s="69">
        <f t="shared" si="32"/>
        <v>0</v>
      </c>
      <c r="CF53" s="69">
        <f t="shared" ref="CF53:CF87" si="62">IF(SUM($BX53:$CB53)=0,0,BY53/SUM($BX53:$CB53)*(1-$O53))</f>
        <v>0</v>
      </c>
      <c r="CG53" s="69">
        <f t="shared" si="34"/>
        <v>0</v>
      </c>
      <c r="CH53" s="69">
        <f t="shared" ref="CH53:CH84" si="63">IF(SUM($BX53:$CB53)=0,0,CA53/SUM($BX53:$CB53)*(1-$O53))</f>
        <v>0</v>
      </c>
      <c r="CI53" s="69">
        <f t="shared" ref="CI53:CI84" si="64">IF(SUM($BX53:$CB53)=0,0,CB53/SUM($BX53:$CB53)*(1-$O53))</f>
        <v>0</v>
      </c>
      <c r="CJ53" s="69">
        <f t="shared" ref="CJ53:CJ84" si="65">$O53+SUM(CC53:CI53)</f>
        <v>0</v>
      </c>
      <c r="CL53" s="54">
        <f t="shared" ref="CL53:CL84" si="66">IF($K53*CC53&lt;=0,,$K53*CC53)</f>
        <v>0</v>
      </c>
      <c r="CM53" s="54">
        <f t="shared" ref="CM53:CM84" si="67">IF($K53*CD53&lt;=0,,$K53*CD53)</f>
        <v>0</v>
      </c>
      <c r="CN53" s="54">
        <f t="shared" ref="CN53:CN84" si="68">IF($K53*CE53&lt;=0,,$K53*CE53)</f>
        <v>0</v>
      </c>
      <c r="CO53" s="54">
        <f t="shared" ref="CO53:CO84" si="69">IF($K53*CF53&lt;=0,,$K53*CF53)</f>
        <v>0</v>
      </c>
      <c r="CP53" s="54">
        <f t="shared" ref="CP53:CP84" si="70">IF($K53*CG53&lt;=0,,$K53*CG53)</f>
        <v>0</v>
      </c>
      <c r="CQ53" s="54">
        <f t="shared" ref="CQ53:CQ84" si="71">IF($K53*CH53&lt;=0,,$K53*CH53)</f>
        <v>0</v>
      </c>
      <c r="CR53" s="54">
        <f t="shared" ref="CR53:CR84" si="72">IF($K53*CI53&lt;=0,,$K53*CI53)</f>
        <v>0</v>
      </c>
      <c r="CT53" s="54">
        <f t="shared" ref="CT53:CY53" si="73">$BE53*CL53</f>
        <v>0</v>
      </c>
      <c r="CU53" s="54">
        <f t="shared" si="73"/>
        <v>0</v>
      </c>
      <c r="CV53" s="54">
        <f t="shared" si="73"/>
        <v>0</v>
      </c>
      <c r="CW53" s="54">
        <f t="shared" si="73"/>
        <v>0</v>
      </c>
      <c r="CX53" s="54">
        <f t="shared" si="73"/>
        <v>0</v>
      </c>
      <c r="CY53" s="54">
        <f t="shared" si="73"/>
        <v>0</v>
      </c>
      <c r="CZ53" s="54">
        <f t="shared" ref="CZ53:CZ84" si="74">$BE53*CR53</f>
        <v>0</v>
      </c>
      <c r="DB53" s="54">
        <f t="shared" ref="DB53:DG53" si="75">CL53-CT53</f>
        <v>0</v>
      </c>
      <c r="DC53" s="54">
        <f t="shared" si="75"/>
        <v>0</v>
      </c>
      <c r="DD53" s="54">
        <f t="shared" si="75"/>
        <v>0</v>
      </c>
      <c r="DE53" s="54">
        <f t="shared" si="75"/>
        <v>0</v>
      </c>
      <c r="DF53" s="54">
        <f t="shared" si="75"/>
        <v>0</v>
      </c>
      <c r="DG53" s="54">
        <f t="shared" si="75"/>
        <v>0</v>
      </c>
      <c r="DH53" s="54">
        <f t="shared" ref="DH53:DH84" si="76">CR53-CZ53</f>
        <v>0</v>
      </c>
      <c r="DJ53" s="54">
        <f t="shared" ref="DJ53:DP53" si="77">IF(Z53&lt;=26,IF(AND(P53=0,Q53&gt;0),0,IF(Q53&gt;0,($K53*(1-$BE53))/25,0)),0)</f>
        <v>33.6</v>
      </c>
      <c r="DK53" s="54">
        <f t="shared" si="77"/>
        <v>33.6</v>
      </c>
      <c r="DL53" s="54">
        <f t="shared" si="77"/>
        <v>33.6</v>
      </c>
      <c r="DM53" s="54">
        <f t="shared" si="77"/>
        <v>33.6</v>
      </c>
      <c r="DN53" s="54">
        <f t="shared" si="77"/>
        <v>33.6</v>
      </c>
      <c r="DO53" s="54">
        <f t="shared" si="77"/>
        <v>33.6</v>
      </c>
      <c r="DP53" s="54">
        <f t="shared" si="77"/>
        <v>33.6</v>
      </c>
      <c r="DR53" s="54">
        <f>+IF(Z53&gt;0,$K53*(1-$BE53)-SUM($DJ53:DJ53),DB53)</f>
        <v>806.4</v>
      </c>
      <c r="DS53" s="54">
        <f>+IF(AA53&gt;0,$K53*(1-$BE53)-SUM($DJ53:DK53),DC53)</f>
        <v>772.8</v>
      </c>
      <c r="DT53" s="54">
        <f>+IF(AB53&gt;0,$K53*(1-$BE53)-SUM($DJ53:DL53),DD53)</f>
        <v>739.2</v>
      </c>
      <c r="DU53" s="54">
        <f>+IF(AC53&gt;0,$K53*(1-$BE53)-SUM($DJ53:DM53),DE53)</f>
        <v>705.6</v>
      </c>
      <c r="DV53" s="54">
        <f>+IF(AD53&gt;0,$K53*(1-$BE53)-SUM($DJ53:DN53),DF53)</f>
        <v>672</v>
      </c>
      <c r="DW53" s="54">
        <f>+IF(AE53&gt;0,$K53*(1-$BE53)-SUM($DJ53:DO53),DG53)</f>
        <v>638.4</v>
      </c>
      <c r="DX53" s="54">
        <f>+IF(AF53&gt;0,$K53*(1-$BE53)-SUM($DJ53:DP53),DH53)</f>
        <v>604.79999999999995</v>
      </c>
      <c r="DZ53" s="54">
        <f t="shared" ref="DZ53:EE53" si="78">DR53*(DZ$51)*(Q53/365)</f>
        <v>80.64</v>
      </c>
      <c r="EA53" s="54">
        <f t="shared" si="78"/>
        <v>77.28</v>
      </c>
      <c r="EB53" s="54">
        <f t="shared" si="78"/>
        <v>73.92</v>
      </c>
      <c r="EC53" s="54">
        <f t="shared" si="78"/>
        <v>70.56</v>
      </c>
      <c r="ED53" s="54">
        <f t="shared" si="78"/>
        <v>67.2</v>
      </c>
      <c r="EE53" s="54">
        <f t="shared" si="78"/>
        <v>63.84</v>
      </c>
      <c r="EF53" s="54">
        <f t="shared" ref="EF53:EF84" si="79">DY53*(EF$51)*(W53/365)</f>
        <v>0</v>
      </c>
      <c r="EH53" s="48"/>
      <c r="EI53" s="48"/>
      <c r="EJ53" s="48"/>
      <c r="EK53" s="48"/>
      <c r="EL53" s="48"/>
      <c r="EM53" s="48"/>
      <c r="EN53" s="48"/>
      <c r="EP53" s="48"/>
      <c r="EQ53" s="48"/>
      <c r="ER53" s="48"/>
      <c r="ES53" s="48"/>
      <c r="ET53" s="48"/>
      <c r="EU53" s="48"/>
      <c r="EV53" s="48"/>
      <c r="EX53" s="48"/>
      <c r="EY53" s="48"/>
      <c r="EZ53" s="48"/>
      <c r="FA53" s="48"/>
      <c r="FB53" s="48"/>
      <c r="FC53" s="48"/>
      <c r="FD53" s="48"/>
      <c r="FF53" s="48"/>
      <c r="FG53" s="48"/>
      <c r="FH53" s="48"/>
      <c r="FI53" s="48"/>
      <c r="FJ53" s="48"/>
      <c r="FK53" s="48"/>
      <c r="FL53" s="48"/>
      <c r="FM53" s="51">
        <v>0</v>
      </c>
      <c r="FN53" s="48">
        <v>0</v>
      </c>
      <c r="FO53" s="48">
        <f t="shared" ref="FO53:FO84" si="80">IF(AA53&lt;1,$K53*$O53,0)</f>
        <v>0</v>
      </c>
      <c r="FP53" s="48"/>
      <c r="FQ53" s="48"/>
      <c r="FR53" s="48"/>
      <c r="FS53" s="48"/>
      <c r="FT53" s="48"/>
      <c r="FV53" s="48">
        <f t="shared" ref="FV53:FV84" si="81">IF($D53="BESS",IF(Z53&lt;=$S$18,$S$13,$S$21),$N53)</f>
        <v>5</v>
      </c>
      <c r="FW53" s="48">
        <f t="shared" ref="FW53:FW84" si="82">IF($D53="BESS",IF(AA53&lt;=$S$18,$S$13,$S$21),$N53)</f>
        <v>5</v>
      </c>
      <c r="FX53" s="48">
        <f t="shared" ref="FX53:FX84" si="83">IF($D53="BESS",IF(AB53&lt;=$S$18,$S$13,$S$21),$N53)</f>
        <v>5</v>
      </c>
      <c r="FY53" s="48">
        <f t="shared" ref="FY53:FY84" si="84">IF($D53="BESS",IF(AC53&lt;=$S$18,$S$13,$S$21),$N53)</f>
        <v>5</v>
      </c>
      <c r="FZ53" s="48">
        <f t="shared" ref="FZ53:FZ84" si="85">IF($D53="BESS",IF(AD53&lt;=$S$18,$S$13,$S$21),$N53)</f>
        <v>5</v>
      </c>
      <c r="GA53" s="48">
        <f t="shared" ref="GA53:GA84" si="86">IF($D53="BESS",IF(AE53&lt;=$S$18,$S$13,$S$21),$N53)</f>
        <v>5</v>
      </c>
      <c r="GB53" s="48">
        <f t="shared" ref="GB53:GB84" si="87">IF($D53="BESS",IF(AF53&lt;=$S$18,$S$13,$S$21),$N53)</f>
        <v>5</v>
      </c>
    </row>
    <row r="54" spans="2:184" x14ac:dyDescent="0.2">
      <c r="B54" s="393" t="str">
        <f>Key_New!D4</f>
        <v>Madhya Pradesh</v>
      </c>
      <c r="C54" s="394" t="str">
        <f>Key_New!B4</f>
        <v>ACME Solar Energy MP Pvt Ltd</v>
      </c>
      <c r="D54" s="395" t="str">
        <f>Key_New!E4</f>
        <v>Solar</v>
      </c>
      <c r="E54" s="396" t="str">
        <f>Key_New!C4</f>
        <v>Operational</v>
      </c>
      <c r="F54" s="397">
        <f>Key_New!F4</f>
        <v>25</v>
      </c>
      <c r="G54" s="398">
        <f t="shared" si="31"/>
        <v>41670</v>
      </c>
      <c r="H54" s="399">
        <f>Key_New!O4</f>
        <v>41670</v>
      </c>
      <c r="I54" s="369">
        <f t="shared" si="35"/>
        <v>2014</v>
      </c>
      <c r="J54" s="367">
        <v>70</v>
      </c>
      <c r="K54" s="370">
        <f t="shared" si="36"/>
        <v>1750</v>
      </c>
      <c r="L54" s="368">
        <v>0.12</v>
      </c>
      <c r="M54" s="368">
        <v>0.25</v>
      </c>
      <c r="N54" s="403">
        <f>Key_New!J4</f>
        <v>8.0500000000000007</v>
      </c>
      <c r="O54" s="462">
        <f t="shared" si="37"/>
        <v>0</v>
      </c>
      <c r="P54" s="54">
        <f t="shared" ref="P54:W84" si="88">IF(OR(ISERROR(P$49-$H54),(P$49-$H54)&gt;=365),365,IF((P$49-$H54)&lt;=0,0,P$49-$H54))</f>
        <v>365</v>
      </c>
      <c r="Q54" s="54">
        <f t="shared" si="88"/>
        <v>365</v>
      </c>
      <c r="R54" s="54">
        <f t="shared" si="38"/>
        <v>365</v>
      </c>
      <c r="S54" s="54">
        <f t="shared" si="38"/>
        <v>365</v>
      </c>
      <c r="T54" s="54">
        <f t="shared" si="38"/>
        <v>365</v>
      </c>
      <c r="U54" s="54">
        <f t="shared" si="39"/>
        <v>365</v>
      </c>
      <c r="V54" s="54">
        <f t="shared" si="39"/>
        <v>365</v>
      </c>
      <c r="W54" s="54">
        <f t="shared" si="38"/>
        <v>365</v>
      </c>
      <c r="Y54" s="60">
        <v>10</v>
      </c>
      <c r="Z54" s="54">
        <f t="shared" ref="Z54:Z84" si="89">IF(AND(P54=0,Q54&gt;0),1,IF(Y54=0,0,Y54+1))</f>
        <v>11</v>
      </c>
      <c r="AA54" s="54">
        <f t="shared" ref="AA54:AA84" si="90">IF(AND(Q54=0,R54&gt;0),1,IF(Z54=0,0,Z54+1))</f>
        <v>12</v>
      </c>
      <c r="AB54" s="54">
        <f t="shared" ref="AB54:AB84" si="91">IF(AND(R54=0,S54&gt;0),1,IF(AA54=0,0,AA54+1))</f>
        <v>13</v>
      </c>
      <c r="AC54" s="54">
        <f t="shared" ref="AC54:AC84" si="92">IF(AND(S54=0,T54&gt;0),1,IF(AB54=0,0,AB54+1))</f>
        <v>14</v>
      </c>
      <c r="AD54" s="54">
        <f t="shared" ref="AD54:AD84" si="93">IF(AND(T54=0,U54&gt;0),1,IF(AC54=0,0,AC54+1))</f>
        <v>15</v>
      </c>
      <c r="AE54" s="54">
        <f t="shared" ref="AE54:AF84" si="94">IF(AND(U54=0,V54&gt;0),1,IF(AD54=0,0,AD54+1))</f>
        <v>16</v>
      </c>
      <c r="AF54" s="54">
        <f t="shared" si="94"/>
        <v>17</v>
      </c>
      <c r="AG54" s="444"/>
      <c r="AH54" s="48">
        <f t="shared" ref="AH54:AH84" si="95">IF(AND(P54&lt;=0,Q54&gt;0),$F54,IF(P54&gt;0,$F54,0))</f>
        <v>25</v>
      </c>
      <c r="AI54" s="48">
        <f t="shared" ref="AI54:AI84" si="96">IF(AND(Q54&lt;=0,R54&gt;0),$F54,IF(Q54&gt;0,$F54,0))</f>
        <v>25</v>
      </c>
      <c r="AJ54" s="48">
        <f t="shared" ref="AJ54:AJ84" si="97">IF(AND(R54&lt;=0,S54&gt;0),$F54,IF(R54&gt;0,$F54,0))</f>
        <v>25</v>
      </c>
      <c r="AK54" s="48">
        <f t="shared" ref="AK54:AK84" si="98">IF(AND(S54&lt;=0,T54&gt;0),$F54,IF(S54&gt;0,$F54,0))</f>
        <v>25</v>
      </c>
      <c r="AL54" s="48">
        <f t="shared" ref="AL54:AL84" si="99">IF(AND(T54&lt;=0,U54&gt;0),$F54,IF(T54&gt;0,$F54,0))</f>
        <v>25</v>
      </c>
      <c r="AM54" s="48">
        <f t="shared" si="46"/>
        <v>25</v>
      </c>
      <c r="AN54" s="48">
        <f t="shared" si="47"/>
        <v>25</v>
      </c>
      <c r="AP54" s="61">
        <v>0.25</v>
      </c>
      <c r="AQ54" s="61">
        <v>0.25</v>
      </c>
      <c r="AR54" s="61">
        <v>0.25</v>
      </c>
      <c r="AS54" s="61">
        <v>0.25</v>
      </c>
      <c r="AT54" s="61">
        <v>0.25</v>
      </c>
      <c r="AU54" s="61">
        <v>0.25</v>
      </c>
      <c r="AV54" s="61">
        <v>0.25</v>
      </c>
      <c r="AX54" s="52">
        <f t="shared" ref="AX54:AX84" si="100">$F54*8.766*AP54*(Q54/365)</f>
        <v>54.787500000000001</v>
      </c>
      <c r="AY54" s="52">
        <f t="shared" ref="AY54:AY84" si="101">$F54*8.766*AQ54*(R54/365)</f>
        <v>54.787500000000001</v>
      </c>
      <c r="AZ54" s="52">
        <f t="shared" ref="AZ54:AZ84" si="102">$F54*8.766*AR54*(S54/365)</f>
        <v>54.787500000000001</v>
      </c>
      <c r="BA54" s="52">
        <f t="shared" ref="BA54:BA84" si="103">$F54*8.766*AS54*(T54/365)</f>
        <v>54.787500000000001</v>
      </c>
      <c r="BB54" s="52">
        <f t="shared" ref="BB54:BB84" si="104">$F54*8.766*AT54*(U54/365)</f>
        <v>54.787500000000001</v>
      </c>
      <c r="BC54" s="52">
        <f t="shared" si="53"/>
        <v>54.787500000000001</v>
      </c>
      <c r="BD54" s="52">
        <f t="shared" si="54"/>
        <v>54.787500000000001</v>
      </c>
      <c r="BE54" s="57">
        <v>0.2</v>
      </c>
      <c r="BF54" s="52">
        <f t="shared" ref="BF54:BF84" si="105">$BE54*$K54*(Q54/365)*($L54/(1-$M54))</f>
        <v>56</v>
      </c>
      <c r="BG54" s="52">
        <f t="shared" ref="BG54:BG84" si="106">$BE54*$K54*(R54/365)*($L54/(1-$M54))</f>
        <v>56</v>
      </c>
      <c r="BH54" s="52">
        <f t="shared" ref="BH54:BH84" si="107">$BE54*$K54*(S54/365)*($L54/(1-$M54))</f>
        <v>56</v>
      </c>
      <c r="BI54" s="52">
        <f t="shared" ref="BI54:BI84" si="108">$BE54*$K54*(T54/365)*($L54/(1-$M54))</f>
        <v>56</v>
      </c>
      <c r="BJ54" s="52">
        <f t="shared" ref="BJ54:BJ84" si="109">$BE54*$K54*(U54/365)*($L54/(1-$M54))</f>
        <v>56</v>
      </c>
      <c r="BK54" s="52">
        <f t="shared" si="60"/>
        <v>56</v>
      </c>
      <c r="BL54" s="52">
        <f t="shared" si="61"/>
        <v>56</v>
      </c>
      <c r="BM54" s="297">
        <v>0.04</v>
      </c>
      <c r="BN54" s="69">
        <f t="shared" ref="BN54:BN84" si="110">$BM54*$K54*(Q54/365)</f>
        <v>70</v>
      </c>
      <c r="BO54" s="69">
        <f t="shared" ref="BO54:BO84" si="111">($BM54*$K54*(R54/365))</f>
        <v>70</v>
      </c>
      <c r="BP54" s="69">
        <f t="shared" ref="BP54:BP84" si="112">$BM54*$K54*(S54/365)</f>
        <v>70</v>
      </c>
      <c r="BQ54" s="69">
        <f t="shared" ref="BQ54:BQ84" si="113">$BM54*$K54*(T54/365)</f>
        <v>70</v>
      </c>
      <c r="BR54" s="69">
        <f t="shared" ref="BR54:BR84" si="114">$BM54*$K54*(U54/365)</f>
        <v>70</v>
      </c>
      <c r="BS54" s="69">
        <f t="shared" ref="BS54:BS84" si="115">$BM54*$K54*(V54/365)</f>
        <v>70</v>
      </c>
      <c r="BT54" s="69">
        <f t="shared" ref="BT54:BT84" si="116">$BM54*$K54*(W54/365)</f>
        <v>70</v>
      </c>
      <c r="BV54" s="69"/>
      <c r="BW54" s="69"/>
      <c r="BX54" s="69"/>
      <c r="BY54" s="69"/>
      <c r="BZ54" s="69"/>
      <c r="CA54" s="69"/>
      <c r="CB54" s="69"/>
      <c r="CC54" s="107">
        <v>0</v>
      </c>
      <c r="CD54" s="69">
        <v>0</v>
      </c>
      <c r="CE54" s="69">
        <f t="shared" si="32"/>
        <v>0</v>
      </c>
      <c r="CF54" s="69">
        <f t="shared" si="62"/>
        <v>0</v>
      </c>
      <c r="CG54" s="69">
        <f t="shared" si="34"/>
        <v>0</v>
      </c>
      <c r="CH54" s="69">
        <f t="shared" si="63"/>
        <v>0</v>
      </c>
      <c r="CI54" s="69">
        <f t="shared" si="64"/>
        <v>0</v>
      </c>
      <c r="CJ54" s="69">
        <f t="shared" si="65"/>
        <v>0</v>
      </c>
      <c r="CL54" s="54">
        <f t="shared" si="66"/>
        <v>0</v>
      </c>
      <c r="CM54" s="54">
        <f t="shared" si="67"/>
        <v>0</v>
      </c>
      <c r="CN54" s="54">
        <f t="shared" si="68"/>
        <v>0</v>
      </c>
      <c r="CO54" s="54">
        <f t="shared" si="69"/>
        <v>0</v>
      </c>
      <c r="CP54" s="54">
        <f t="shared" si="70"/>
        <v>0</v>
      </c>
      <c r="CQ54" s="54">
        <f t="shared" si="71"/>
        <v>0</v>
      </c>
      <c r="CR54" s="54">
        <f t="shared" si="72"/>
        <v>0</v>
      </c>
      <c r="CT54" s="54">
        <f t="shared" ref="CT54:CT84" si="117">$BE54*CL54</f>
        <v>0</v>
      </c>
      <c r="CU54" s="54">
        <f t="shared" ref="CU54:CU84" si="118">$BE54*CM54</f>
        <v>0</v>
      </c>
      <c r="CV54" s="54">
        <f t="shared" ref="CV54:CV84" si="119">$BE54*CN54</f>
        <v>0</v>
      </c>
      <c r="CW54" s="54">
        <f t="shared" ref="CW54:CW84" si="120">$BE54*CO54</f>
        <v>0</v>
      </c>
      <c r="CX54" s="54">
        <f t="shared" ref="CX54:CX84" si="121">$BE54*CP54</f>
        <v>0</v>
      </c>
      <c r="CY54" s="54">
        <f t="shared" ref="CY54:CY84" si="122">$BE54*CQ54</f>
        <v>0</v>
      </c>
      <c r="CZ54" s="54">
        <f t="shared" si="74"/>
        <v>0</v>
      </c>
      <c r="DB54" s="54">
        <f t="shared" ref="DB54:DB84" si="123">CL54-CT54</f>
        <v>0</v>
      </c>
      <c r="DC54" s="54">
        <f t="shared" ref="DC54:DC84" si="124">CM54-CU54</f>
        <v>0</v>
      </c>
      <c r="DD54" s="54">
        <f t="shared" ref="DD54:DD84" si="125">CN54-CV54</f>
        <v>0</v>
      </c>
      <c r="DE54" s="54">
        <f t="shared" ref="DE54:DE84" si="126">CO54-CW54</f>
        <v>0</v>
      </c>
      <c r="DF54" s="54">
        <f t="shared" ref="DF54:DF84" si="127">CP54-CX54</f>
        <v>0</v>
      </c>
      <c r="DG54" s="54">
        <f t="shared" ref="DG54:DG84" si="128">CQ54-CY54</f>
        <v>0</v>
      </c>
      <c r="DH54" s="54">
        <f t="shared" si="76"/>
        <v>0</v>
      </c>
      <c r="DJ54" s="54">
        <f t="shared" ref="DJ54:DJ84" si="129">IF(Z54&lt;=26,IF(AND(P54=0,Q54&gt;0),0,IF(Q54&gt;0,($K54*(1-$BE54))/25,0)),0)</f>
        <v>56</v>
      </c>
      <c r="DK54" s="54">
        <f t="shared" ref="DK54:DK84" si="130">IF(AA54&lt;=26,IF(AND(Q54=0,R54&gt;0),0,IF(R54&gt;0,($K54*(1-$BE54))/25,0)),0)</f>
        <v>56</v>
      </c>
      <c r="DL54" s="54">
        <f t="shared" ref="DL54:DL84" si="131">IF(AB54&lt;=26,IF(AND(R54=0,S54&gt;0),0,IF(S54&gt;0,($K54*(1-$BE54))/25,0)),0)</f>
        <v>56</v>
      </c>
      <c r="DM54" s="54">
        <f t="shared" ref="DM54:DM84" si="132">IF(AC54&lt;=26,IF(AND(S54=0,T54&gt;0),0,IF(T54&gt;0,($K54*(1-$BE54))/25,0)),0)</f>
        <v>56</v>
      </c>
      <c r="DN54" s="54">
        <f t="shared" ref="DN54:DN84" si="133">IF(AD54&lt;=26,IF(AND(T54=0,U54&gt;0),0,IF(U54&gt;0,($K54*(1-$BE54))/25,0)),0)</f>
        <v>56</v>
      </c>
      <c r="DO54" s="54">
        <f t="shared" ref="DO54:DO84" si="134">IF(AE54&lt;=26,IF(AND(U54=0,V54&gt;0),0,IF(V54&gt;0,($K54*(1-$BE54))/25,0)),0)</f>
        <v>56</v>
      </c>
      <c r="DP54" s="54">
        <f t="shared" ref="DP54:DP84" si="135">IF(AF54&lt;=26,IF(AND(V54=0,W54&gt;0),0,IF(W54&gt;0,($K54*(1-$BE54))/25,0)),0)</f>
        <v>56</v>
      </c>
      <c r="DR54" s="54">
        <f>+IF(Z54&gt;0,$K54*(1-$BE54)-SUM($DJ54:DJ54),DB54)</f>
        <v>1344</v>
      </c>
      <c r="DS54" s="54">
        <f>+IF(AA54&gt;0,$K54*(1-$BE54)-SUM($DJ54:DK54),DC54)</f>
        <v>1288</v>
      </c>
      <c r="DT54" s="54">
        <f>+IF(AB54&gt;0,$K54*(1-$BE54)-SUM($DJ54:DL54),DD54)</f>
        <v>1232</v>
      </c>
      <c r="DU54" s="54">
        <f>+IF(AC54&gt;0,$K54*(1-$BE54)-SUM($DJ54:DM54),DE54)</f>
        <v>1176</v>
      </c>
      <c r="DV54" s="54">
        <f>+IF(AD54&gt;0,$K54*(1-$BE54)-SUM($DJ54:DN54),DF54)</f>
        <v>1120</v>
      </c>
      <c r="DW54" s="54">
        <f>+IF(AE54&gt;0,$K54*(1-$BE54)-SUM($DJ54:DO54),DG54)</f>
        <v>1064</v>
      </c>
      <c r="DX54" s="54">
        <f>+IF(AF54&gt;0,$K54*(1-$BE54)-SUM($DJ54:DP54),DH54)</f>
        <v>1008</v>
      </c>
      <c r="DZ54" s="54">
        <f t="shared" ref="DZ54:DZ84" si="136">DR54*(DZ$51)*(Q54/365)</f>
        <v>134.4</v>
      </c>
      <c r="EA54" s="54">
        <f t="shared" ref="EA54:EA84" si="137">DS54*(EA$51)*(R54/365)</f>
        <v>128.80000000000001</v>
      </c>
      <c r="EB54" s="54">
        <f t="shared" ref="EB54:EB84" si="138">DT54*(EB$51)*(S54/365)</f>
        <v>123.2</v>
      </c>
      <c r="EC54" s="54">
        <f t="shared" ref="EC54:EC84" si="139">DU54*(EC$51)*(T54/365)</f>
        <v>117.60000000000001</v>
      </c>
      <c r="ED54" s="54">
        <f t="shared" ref="ED54:ED84" si="140">DV54*(ED$51)*(U54/365)</f>
        <v>112</v>
      </c>
      <c r="EE54" s="54">
        <f t="shared" ref="EE54:EE84" si="141">DW54*(EE$51)*(V54/365)</f>
        <v>106.4</v>
      </c>
      <c r="EF54" s="54">
        <f t="shared" si="79"/>
        <v>0</v>
      </c>
      <c r="EH54" s="48"/>
      <c r="EI54" s="48"/>
      <c r="EJ54" s="48"/>
      <c r="EK54" s="48"/>
      <c r="EL54" s="48"/>
      <c r="EM54" s="48"/>
      <c r="EN54" s="48"/>
      <c r="EP54" s="48"/>
      <c r="EQ54" s="48"/>
      <c r="ER54" s="48"/>
      <c r="ES54" s="48"/>
      <c r="ET54" s="48"/>
      <c r="EU54" s="48"/>
      <c r="EV54" s="48"/>
      <c r="EX54" s="48"/>
      <c r="EY54" s="48"/>
      <c r="EZ54" s="48"/>
      <c r="FA54" s="48"/>
      <c r="FB54" s="48"/>
      <c r="FC54" s="48"/>
      <c r="FD54" s="48"/>
      <c r="FF54" s="48"/>
      <c r="FG54" s="48"/>
      <c r="FH54" s="48"/>
      <c r="FI54" s="48"/>
      <c r="FJ54" s="48"/>
      <c r="FK54" s="48"/>
      <c r="FL54" s="48"/>
      <c r="FM54" s="51">
        <v>0</v>
      </c>
      <c r="FN54" s="48">
        <v>0</v>
      </c>
      <c r="FO54" s="48">
        <f t="shared" si="80"/>
        <v>0</v>
      </c>
      <c r="FP54" s="48"/>
      <c r="FQ54" s="48"/>
      <c r="FR54" s="48"/>
      <c r="FS54" s="48"/>
      <c r="FT54" s="48"/>
      <c r="FV54" s="48">
        <f t="shared" si="81"/>
        <v>8.0500000000000007</v>
      </c>
      <c r="FW54" s="48">
        <f t="shared" si="82"/>
        <v>8.0500000000000007</v>
      </c>
      <c r="FX54" s="48">
        <f t="shared" si="83"/>
        <v>8.0500000000000007</v>
      </c>
      <c r="FY54" s="48">
        <f t="shared" si="84"/>
        <v>8.0500000000000007</v>
      </c>
      <c r="FZ54" s="48">
        <f t="shared" si="85"/>
        <v>8.0500000000000007</v>
      </c>
      <c r="GA54" s="48">
        <f t="shared" si="86"/>
        <v>8.0500000000000007</v>
      </c>
      <c r="GB54" s="48">
        <f t="shared" si="87"/>
        <v>8.0500000000000007</v>
      </c>
    </row>
    <row r="55" spans="2:184" x14ac:dyDescent="0.2">
      <c r="B55" s="393" t="str">
        <f>Key_New!D5</f>
        <v>Odisha</v>
      </c>
      <c r="C55" s="394" t="str">
        <f>Key_New!B5</f>
        <v>ACME Odisha Solar Power Pvt Ltd</v>
      </c>
      <c r="D55" s="395" t="str">
        <f>Key_New!E5</f>
        <v>Solar</v>
      </c>
      <c r="E55" s="396" t="str">
        <f>Key_New!C5</f>
        <v>Operational</v>
      </c>
      <c r="F55" s="397">
        <f>Key_New!F5</f>
        <v>25</v>
      </c>
      <c r="G55" s="398">
        <f t="shared" si="31"/>
        <v>42185</v>
      </c>
      <c r="H55" s="399">
        <f>Key_New!O5</f>
        <v>42185</v>
      </c>
      <c r="I55" s="369">
        <f t="shared" si="35"/>
        <v>2016</v>
      </c>
      <c r="J55" s="367">
        <v>70</v>
      </c>
      <c r="K55" s="370">
        <f t="shared" si="36"/>
        <v>1750</v>
      </c>
      <c r="L55" s="368">
        <v>0.12</v>
      </c>
      <c r="M55" s="368">
        <v>0.25</v>
      </c>
      <c r="N55" s="403">
        <f>Key_New!J5</f>
        <v>7.28</v>
      </c>
      <c r="O55" s="462">
        <f t="shared" si="37"/>
        <v>0</v>
      </c>
      <c r="P55" s="54">
        <f t="shared" si="88"/>
        <v>365</v>
      </c>
      <c r="Q55" s="54">
        <f t="shared" si="88"/>
        <v>365</v>
      </c>
      <c r="R55" s="54">
        <f t="shared" si="38"/>
        <v>365</v>
      </c>
      <c r="S55" s="54">
        <f t="shared" si="38"/>
        <v>365</v>
      </c>
      <c r="T55" s="54">
        <f t="shared" si="38"/>
        <v>365</v>
      </c>
      <c r="U55" s="54">
        <f t="shared" si="39"/>
        <v>365</v>
      </c>
      <c r="V55" s="54">
        <f t="shared" si="39"/>
        <v>365</v>
      </c>
      <c r="W55" s="54">
        <f t="shared" si="38"/>
        <v>365</v>
      </c>
      <c r="Y55" s="60">
        <v>8</v>
      </c>
      <c r="Z55" s="54">
        <f t="shared" si="89"/>
        <v>9</v>
      </c>
      <c r="AA55" s="54">
        <f t="shared" si="90"/>
        <v>10</v>
      </c>
      <c r="AB55" s="54">
        <f t="shared" si="91"/>
        <v>11</v>
      </c>
      <c r="AC55" s="54">
        <f t="shared" si="92"/>
        <v>12</v>
      </c>
      <c r="AD55" s="54">
        <f t="shared" si="93"/>
        <v>13</v>
      </c>
      <c r="AE55" s="54">
        <f t="shared" si="94"/>
        <v>14</v>
      </c>
      <c r="AF55" s="54">
        <f t="shared" si="94"/>
        <v>15</v>
      </c>
      <c r="AG55" s="444"/>
      <c r="AH55" s="48">
        <f t="shared" si="95"/>
        <v>25</v>
      </c>
      <c r="AI55" s="48">
        <f t="shared" si="96"/>
        <v>25</v>
      </c>
      <c r="AJ55" s="48">
        <f t="shared" si="97"/>
        <v>25</v>
      </c>
      <c r="AK55" s="48">
        <f t="shared" si="98"/>
        <v>25</v>
      </c>
      <c r="AL55" s="48">
        <f t="shared" si="99"/>
        <v>25</v>
      </c>
      <c r="AM55" s="48">
        <f t="shared" si="46"/>
        <v>25</v>
      </c>
      <c r="AN55" s="48">
        <f t="shared" si="47"/>
        <v>25</v>
      </c>
      <c r="AP55" s="61">
        <v>0.25</v>
      </c>
      <c r="AQ55" s="61">
        <v>0.25</v>
      </c>
      <c r="AR55" s="61">
        <v>0.25</v>
      </c>
      <c r="AS55" s="61">
        <v>0.25</v>
      </c>
      <c r="AT55" s="61">
        <v>0.25</v>
      </c>
      <c r="AU55" s="61">
        <v>0.25</v>
      </c>
      <c r="AV55" s="61">
        <v>0.25</v>
      </c>
      <c r="AX55" s="52">
        <f t="shared" si="100"/>
        <v>54.787500000000001</v>
      </c>
      <c r="AY55" s="52">
        <f t="shared" si="101"/>
        <v>54.787500000000001</v>
      </c>
      <c r="AZ55" s="52">
        <f t="shared" si="102"/>
        <v>54.787500000000001</v>
      </c>
      <c r="BA55" s="52">
        <f t="shared" si="103"/>
        <v>54.787500000000001</v>
      </c>
      <c r="BB55" s="52">
        <f t="shared" si="104"/>
        <v>54.787500000000001</v>
      </c>
      <c r="BC55" s="52">
        <f t="shared" si="53"/>
        <v>54.787500000000001</v>
      </c>
      <c r="BD55" s="52">
        <f t="shared" si="54"/>
        <v>54.787500000000001</v>
      </c>
      <c r="BE55" s="57">
        <v>0.2</v>
      </c>
      <c r="BF55" s="52">
        <f t="shared" si="105"/>
        <v>56</v>
      </c>
      <c r="BG55" s="52">
        <f t="shared" si="106"/>
        <v>56</v>
      </c>
      <c r="BH55" s="52">
        <f t="shared" si="107"/>
        <v>56</v>
      </c>
      <c r="BI55" s="52">
        <f t="shared" si="108"/>
        <v>56</v>
      </c>
      <c r="BJ55" s="52">
        <f t="shared" si="109"/>
        <v>56</v>
      </c>
      <c r="BK55" s="52">
        <f t="shared" si="60"/>
        <v>56</v>
      </c>
      <c r="BL55" s="52">
        <f t="shared" si="61"/>
        <v>56</v>
      </c>
      <c r="BM55" s="297">
        <v>0.04</v>
      </c>
      <c r="BN55" s="69">
        <f t="shared" si="110"/>
        <v>70</v>
      </c>
      <c r="BO55" s="69">
        <f t="shared" si="111"/>
        <v>70</v>
      </c>
      <c r="BP55" s="69">
        <f t="shared" si="112"/>
        <v>70</v>
      </c>
      <c r="BQ55" s="69">
        <f t="shared" si="113"/>
        <v>70</v>
      </c>
      <c r="BR55" s="69">
        <f t="shared" si="114"/>
        <v>70</v>
      </c>
      <c r="BS55" s="69">
        <f t="shared" si="115"/>
        <v>70</v>
      </c>
      <c r="BT55" s="69">
        <f t="shared" si="116"/>
        <v>70</v>
      </c>
      <c r="BV55" s="69"/>
      <c r="BW55" s="69"/>
      <c r="BX55" s="69"/>
      <c r="BY55" s="69"/>
      <c r="BZ55" s="69"/>
      <c r="CA55" s="69"/>
      <c r="CB55" s="69"/>
      <c r="CC55" s="107">
        <v>0</v>
      </c>
      <c r="CD55" s="69">
        <v>0</v>
      </c>
      <c r="CE55" s="69">
        <f t="shared" si="32"/>
        <v>0</v>
      </c>
      <c r="CF55" s="69">
        <f t="shared" si="62"/>
        <v>0</v>
      </c>
      <c r="CG55" s="69">
        <f t="shared" si="34"/>
        <v>0</v>
      </c>
      <c r="CH55" s="69">
        <f t="shared" si="63"/>
        <v>0</v>
      </c>
      <c r="CI55" s="69">
        <f t="shared" si="64"/>
        <v>0</v>
      </c>
      <c r="CJ55" s="69">
        <f t="shared" si="65"/>
        <v>0</v>
      </c>
      <c r="CL55" s="54">
        <f t="shared" si="66"/>
        <v>0</v>
      </c>
      <c r="CM55" s="54">
        <f t="shared" si="67"/>
        <v>0</v>
      </c>
      <c r="CN55" s="54">
        <f t="shared" si="68"/>
        <v>0</v>
      </c>
      <c r="CO55" s="54">
        <f t="shared" si="69"/>
        <v>0</v>
      </c>
      <c r="CP55" s="54">
        <f t="shared" si="70"/>
        <v>0</v>
      </c>
      <c r="CQ55" s="54">
        <f t="shared" si="71"/>
        <v>0</v>
      </c>
      <c r="CR55" s="54">
        <f t="shared" si="72"/>
        <v>0</v>
      </c>
      <c r="CT55" s="54">
        <f t="shared" si="117"/>
        <v>0</v>
      </c>
      <c r="CU55" s="54">
        <f t="shared" si="118"/>
        <v>0</v>
      </c>
      <c r="CV55" s="54">
        <f t="shared" si="119"/>
        <v>0</v>
      </c>
      <c r="CW55" s="54">
        <f t="shared" si="120"/>
        <v>0</v>
      </c>
      <c r="CX55" s="54">
        <f t="shared" si="121"/>
        <v>0</v>
      </c>
      <c r="CY55" s="54">
        <f t="shared" si="122"/>
        <v>0</v>
      </c>
      <c r="CZ55" s="54">
        <f t="shared" si="74"/>
        <v>0</v>
      </c>
      <c r="DB55" s="54">
        <f t="shared" si="123"/>
        <v>0</v>
      </c>
      <c r="DC55" s="54">
        <f t="shared" si="124"/>
        <v>0</v>
      </c>
      <c r="DD55" s="54">
        <f t="shared" si="125"/>
        <v>0</v>
      </c>
      <c r="DE55" s="54">
        <f t="shared" si="126"/>
        <v>0</v>
      </c>
      <c r="DF55" s="54">
        <f t="shared" si="127"/>
        <v>0</v>
      </c>
      <c r="DG55" s="54">
        <f t="shared" si="128"/>
        <v>0</v>
      </c>
      <c r="DH55" s="54">
        <f t="shared" si="76"/>
        <v>0</v>
      </c>
      <c r="DJ55" s="54">
        <f t="shared" si="129"/>
        <v>56</v>
      </c>
      <c r="DK55" s="54">
        <f t="shared" si="130"/>
        <v>56</v>
      </c>
      <c r="DL55" s="54">
        <f t="shared" si="131"/>
        <v>56</v>
      </c>
      <c r="DM55" s="54">
        <f t="shared" si="132"/>
        <v>56</v>
      </c>
      <c r="DN55" s="54">
        <f t="shared" si="133"/>
        <v>56</v>
      </c>
      <c r="DO55" s="54">
        <f t="shared" si="134"/>
        <v>56</v>
      </c>
      <c r="DP55" s="54">
        <f t="shared" si="135"/>
        <v>56</v>
      </c>
      <c r="DR55" s="54">
        <f>+IF(Z55&gt;0,$K55*(1-$BE55)-SUM($DJ55:DJ55),DB55)</f>
        <v>1344</v>
      </c>
      <c r="DS55" s="54">
        <f>+IF(AA55&gt;0,$K55*(1-$BE55)-SUM($DJ55:DK55),DC55)</f>
        <v>1288</v>
      </c>
      <c r="DT55" s="54">
        <f>+IF(AB55&gt;0,$K55*(1-$BE55)-SUM($DJ55:DL55),DD55)</f>
        <v>1232</v>
      </c>
      <c r="DU55" s="54">
        <f>+IF(AC55&gt;0,$K55*(1-$BE55)-SUM($DJ55:DM55),DE55)</f>
        <v>1176</v>
      </c>
      <c r="DV55" s="54">
        <f>+IF(AD55&gt;0,$K55*(1-$BE55)-SUM($DJ55:DN55),DF55)</f>
        <v>1120</v>
      </c>
      <c r="DW55" s="54">
        <f>+IF(AE55&gt;0,$K55*(1-$BE55)-SUM($DJ55:DO55),DG55)</f>
        <v>1064</v>
      </c>
      <c r="DX55" s="54">
        <f>+IF(AF55&gt;0,$K55*(1-$BE55)-SUM($DJ55:DP55),DH55)</f>
        <v>1008</v>
      </c>
      <c r="DZ55" s="54">
        <f t="shared" si="136"/>
        <v>134.4</v>
      </c>
      <c r="EA55" s="54">
        <f t="shared" si="137"/>
        <v>128.80000000000001</v>
      </c>
      <c r="EB55" s="54">
        <f t="shared" si="138"/>
        <v>123.2</v>
      </c>
      <c r="EC55" s="54">
        <f t="shared" si="139"/>
        <v>117.60000000000001</v>
      </c>
      <c r="ED55" s="54">
        <f t="shared" si="140"/>
        <v>112</v>
      </c>
      <c r="EE55" s="54">
        <f t="shared" si="141"/>
        <v>106.4</v>
      </c>
      <c r="EF55" s="54">
        <f t="shared" si="79"/>
        <v>0</v>
      </c>
      <c r="EH55" s="48"/>
      <c r="EI55" s="48"/>
      <c r="EJ55" s="48"/>
      <c r="EK55" s="48"/>
      <c r="EL55" s="48"/>
      <c r="EM55" s="48"/>
      <c r="EN55" s="48"/>
      <c r="EP55" s="48"/>
      <c r="EQ55" s="48"/>
      <c r="ER55" s="48"/>
      <c r="ES55" s="48"/>
      <c r="ET55" s="48"/>
      <c r="EU55" s="48"/>
      <c r="EV55" s="48"/>
      <c r="EX55" s="48"/>
      <c r="EY55" s="48"/>
      <c r="EZ55" s="48"/>
      <c r="FA55" s="48"/>
      <c r="FB55" s="48"/>
      <c r="FC55" s="48"/>
      <c r="FD55" s="48"/>
      <c r="FF55" s="48"/>
      <c r="FG55" s="48"/>
      <c r="FH55" s="48"/>
      <c r="FI55" s="48"/>
      <c r="FJ55" s="48"/>
      <c r="FK55" s="48"/>
      <c r="FL55" s="48"/>
      <c r="FM55" s="51">
        <v>0</v>
      </c>
      <c r="FN55" s="48">
        <v>0</v>
      </c>
      <c r="FO55" s="48">
        <f t="shared" si="80"/>
        <v>0</v>
      </c>
      <c r="FP55" s="48"/>
      <c r="FQ55" s="48"/>
      <c r="FR55" s="48"/>
      <c r="FS55" s="48"/>
      <c r="FT55" s="48"/>
      <c r="FV55" s="48">
        <f t="shared" si="81"/>
        <v>7.28</v>
      </c>
      <c r="FW55" s="48">
        <f t="shared" si="82"/>
        <v>7.28</v>
      </c>
      <c r="FX55" s="48">
        <f t="shared" si="83"/>
        <v>7.28</v>
      </c>
      <c r="FY55" s="48">
        <f t="shared" si="84"/>
        <v>7.28</v>
      </c>
      <c r="FZ55" s="48">
        <f t="shared" si="85"/>
        <v>7.28</v>
      </c>
      <c r="GA55" s="48">
        <f t="shared" si="86"/>
        <v>7.28</v>
      </c>
      <c r="GB55" s="48">
        <f t="shared" si="87"/>
        <v>7.28</v>
      </c>
    </row>
    <row r="56" spans="2:184" x14ac:dyDescent="0.2">
      <c r="B56" s="393" t="str">
        <f>Key_New!D6</f>
        <v>Chhattisgarh</v>
      </c>
      <c r="C56" s="394" t="str">
        <f>Key_New!B6</f>
        <v>ACME Raipur Solar Power Pvt Ltd</v>
      </c>
      <c r="D56" s="395" t="str">
        <f>Key_New!E6</f>
        <v>Solar</v>
      </c>
      <c r="E56" s="396" t="str">
        <f>Key_New!C6</f>
        <v>Operational</v>
      </c>
      <c r="F56" s="397">
        <f>Key_New!F6</f>
        <v>30</v>
      </c>
      <c r="G56" s="398">
        <f t="shared" si="31"/>
        <v>42460</v>
      </c>
      <c r="H56" s="399">
        <f>Key_New!O6</f>
        <v>42460</v>
      </c>
      <c r="I56" s="369">
        <f t="shared" si="35"/>
        <v>2016</v>
      </c>
      <c r="J56" s="367">
        <v>70</v>
      </c>
      <c r="K56" s="370">
        <f t="shared" si="36"/>
        <v>2100</v>
      </c>
      <c r="L56" s="368">
        <v>0.12</v>
      </c>
      <c r="M56" s="368">
        <v>0.25</v>
      </c>
      <c r="N56" s="403">
        <f>Key_New!J6</f>
        <v>6.46</v>
      </c>
      <c r="O56" s="462">
        <f t="shared" si="37"/>
        <v>0</v>
      </c>
      <c r="P56" s="54">
        <f t="shared" si="88"/>
        <v>365</v>
      </c>
      <c r="Q56" s="54">
        <f t="shared" si="88"/>
        <v>365</v>
      </c>
      <c r="R56" s="54">
        <f t="shared" si="38"/>
        <v>365</v>
      </c>
      <c r="S56" s="54">
        <f t="shared" si="38"/>
        <v>365</v>
      </c>
      <c r="T56" s="54">
        <f t="shared" si="38"/>
        <v>365</v>
      </c>
      <c r="U56" s="54">
        <f t="shared" si="39"/>
        <v>365</v>
      </c>
      <c r="V56" s="54">
        <f t="shared" si="39"/>
        <v>365</v>
      </c>
      <c r="W56" s="54">
        <f t="shared" si="38"/>
        <v>365</v>
      </c>
      <c r="Y56" s="60">
        <v>8</v>
      </c>
      <c r="Z56" s="54">
        <f t="shared" si="89"/>
        <v>9</v>
      </c>
      <c r="AA56" s="54">
        <f t="shared" si="90"/>
        <v>10</v>
      </c>
      <c r="AB56" s="54">
        <f t="shared" si="91"/>
        <v>11</v>
      </c>
      <c r="AC56" s="54">
        <f t="shared" si="92"/>
        <v>12</v>
      </c>
      <c r="AD56" s="54">
        <f t="shared" si="93"/>
        <v>13</v>
      </c>
      <c r="AE56" s="54">
        <f t="shared" si="94"/>
        <v>14</v>
      </c>
      <c r="AF56" s="54">
        <f t="shared" si="94"/>
        <v>15</v>
      </c>
      <c r="AG56" s="444"/>
      <c r="AH56" s="48">
        <f t="shared" si="95"/>
        <v>30</v>
      </c>
      <c r="AI56" s="48">
        <f t="shared" si="96"/>
        <v>30</v>
      </c>
      <c r="AJ56" s="48">
        <f t="shared" si="97"/>
        <v>30</v>
      </c>
      <c r="AK56" s="48">
        <f t="shared" si="98"/>
        <v>30</v>
      </c>
      <c r="AL56" s="48">
        <f t="shared" si="99"/>
        <v>30</v>
      </c>
      <c r="AM56" s="48">
        <f t="shared" si="46"/>
        <v>30</v>
      </c>
      <c r="AN56" s="48">
        <f t="shared" si="47"/>
        <v>30</v>
      </c>
      <c r="AP56" s="61">
        <v>0.25</v>
      </c>
      <c r="AQ56" s="61">
        <v>0.25</v>
      </c>
      <c r="AR56" s="61">
        <v>0.25</v>
      </c>
      <c r="AS56" s="61">
        <v>0.25</v>
      </c>
      <c r="AT56" s="61">
        <v>0.25</v>
      </c>
      <c r="AU56" s="61">
        <v>0.25</v>
      </c>
      <c r="AV56" s="61">
        <v>0.25</v>
      </c>
      <c r="AX56" s="52">
        <f t="shared" si="100"/>
        <v>65.745000000000005</v>
      </c>
      <c r="AY56" s="52">
        <f t="shared" si="101"/>
        <v>65.745000000000005</v>
      </c>
      <c r="AZ56" s="52">
        <f t="shared" si="102"/>
        <v>65.745000000000005</v>
      </c>
      <c r="BA56" s="52">
        <f t="shared" si="103"/>
        <v>65.745000000000005</v>
      </c>
      <c r="BB56" s="52">
        <f t="shared" si="104"/>
        <v>65.745000000000005</v>
      </c>
      <c r="BC56" s="52">
        <f t="shared" si="53"/>
        <v>65.745000000000005</v>
      </c>
      <c r="BD56" s="52">
        <f t="shared" si="54"/>
        <v>65.745000000000005</v>
      </c>
      <c r="BE56" s="57">
        <v>0.2</v>
      </c>
      <c r="BF56" s="52">
        <f t="shared" si="105"/>
        <v>67.2</v>
      </c>
      <c r="BG56" s="52">
        <f t="shared" si="106"/>
        <v>67.2</v>
      </c>
      <c r="BH56" s="52">
        <f t="shared" si="107"/>
        <v>67.2</v>
      </c>
      <c r="BI56" s="52">
        <f t="shared" si="108"/>
        <v>67.2</v>
      </c>
      <c r="BJ56" s="52">
        <f t="shared" si="109"/>
        <v>67.2</v>
      </c>
      <c r="BK56" s="52">
        <f t="shared" si="60"/>
        <v>67.2</v>
      </c>
      <c r="BL56" s="52">
        <f t="shared" si="61"/>
        <v>67.2</v>
      </c>
      <c r="BM56" s="297">
        <v>0.04</v>
      </c>
      <c r="BN56" s="69">
        <f t="shared" si="110"/>
        <v>84</v>
      </c>
      <c r="BO56" s="69">
        <f t="shared" si="111"/>
        <v>84</v>
      </c>
      <c r="BP56" s="69">
        <f t="shared" si="112"/>
        <v>84</v>
      </c>
      <c r="BQ56" s="69">
        <f t="shared" si="113"/>
        <v>84</v>
      </c>
      <c r="BR56" s="69">
        <f t="shared" si="114"/>
        <v>84</v>
      </c>
      <c r="BS56" s="69">
        <f t="shared" si="115"/>
        <v>84</v>
      </c>
      <c r="BT56" s="69">
        <f t="shared" si="116"/>
        <v>84</v>
      </c>
      <c r="BV56" s="69"/>
      <c r="BW56" s="69"/>
      <c r="BX56" s="69"/>
      <c r="BY56" s="69"/>
      <c r="BZ56" s="69"/>
      <c r="CA56" s="69"/>
      <c r="CB56" s="69"/>
      <c r="CC56" s="107">
        <v>0</v>
      </c>
      <c r="CD56" s="69">
        <v>0</v>
      </c>
      <c r="CE56" s="69">
        <f t="shared" si="32"/>
        <v>0</v>
      </c>
      <c r="CF56" s="69">
        <f t="shared" si="62"/>
        <v>0</v>
      </c>
      <c r="CG56" s="69">
        <f t="shared" si="34"/>
        <v>0</v>
      </c>
      <c r="CH56" s="69">
        <f t="shared" si="63"/>
        <v>0</v>
      </c>
      <c r="CI56" s="69">
        <f t="shared" si="64"/>
        <v>0</v>
      </c>
      <c r="CJ56" s="69">
        <f t="shared" si="65"/>
        <v>0</v>
      </c>
      <c r="CL56" s="54">
        <f t="shared" si="66"/>
        <v>0</v>
      </c>
      <c r="CM56" s="54">
        <f t="shared" si="67"/>
        <v>0</v>
      </c>
      <c r="CN56" s="54">
        <f t="shared" si="68"/>
        <v>0</v>
      </c>
      <c r="CO56" s="54">
        <f t="shared" si="69"/>
        <v>0</v>
      </c>
      <c r="CP56" s="54">
        <f t="shared" si="70"/>
        <v>0</v>
      </c>
      <c r="CQ56" s="54">
        <f t="shared" si="71"/>
        <v>0</v>
      </c>
      <c r="CR56" s="54">
        <f t="shared" si="72"/>
        <v>0</v>
      </c>
      <c r="CT56" s="54">
        <f t="shared" si="117"/>
        <v>0</v>
      </c>
      <c r="CU56" s="54">
        <f t="shared" si="118"/>
        <v>0</v>
      </c>
      <c r="CV56" s="54">
        <f t="shared" si="119"/>
        <v>0</v>
      </c>
      <c r="CW56" s="54">
        <f t="shared" si="120"/>
        <v>0</v>
      </c>
      <c r="CX56" s="54">
        <f t="shared" si="121"/>
        <v>0</v>
      </c>
      <c r="CY56" s="54">
        <f t="shared" si="122"/>
        <v>0</v>
      </c>
      <c r="CZ56" s="54">
        <f t="shared" si="74"/>
        <v>0</v>
      </c>
      <c r="DB56" s="54">
        <f t="shared" si="123"/>
        <v>0</v>
      </c>
      <c r="DC56" s="54">
        <f t="shared" si="124"/>
        <v>0</v>
      </c>
      <c r="DD56" s="54">
        <f t="shared" si="125"/>
        <v>0</v>
      </c>
      <c r="DE56" s="54">
        <f t="shared" si="126"/>
        <v>0</v>
      </c>
      <c r="DF56" s="54">
        <f t="shared" si="127"/>
        <v>0</v>
      </c>
      <c r="DG56" s="54">
        <f t="shared" si="128"/>
        <v>0</v>
      </c>
      <c r="DH56" s="54">
        <f t="shared" si="76"/>
        <v>0</v>
      </c>
      <c r="DJ56" s="54">
        <f t="shared" si="129"/>
        <v>67.2</v>
      </c>
      <c r="DK56" s="54">
        <f t="shared" si="130"/>
        <v>67.2</v>
      </c>
      <c r="DL56" s="54">
        <f t="shared" si="131"/>
        <v>67.2</v>
      </c>
      <c r="DM56" s="54">
        <f t="shared" si="132"/>
        <v>67.2</v>
      </c>
      <c r="DN56" s="54">
        <f t="shared" si="133"/>
        <v>67.2</v>
      </c>
      <c r="DO56" s="54">
        <f t="shared" si="134"/>
        <v>67.2</v>
      </c>
      <c r="DP56" s="54">
        <f t="shared" si="135"/>
        <v>67.2</v>
      </c>
      <c r="DR56" s="54">
        <f>+IF(Z56&gt;0,$K56*(1-$BE56)-SUM($DJ56:DJ56),DB56)</f>
        <v>1612.8</v>
      </c>
      <c r="DS56" s="54">
        <f>+IF(AA56&gt;0,$K56*(1-$BE56)-SUM($DJ56:DK56),DC56)</f>
        <v>1545.6</v>
      </c>
      <c r="DT56" s="54">
        <f>+IF(AB56&gt;0,$K56*(1-$BE56)-SUM($DJ56:DL56),DD56)</f>
        <v>1478.4</v>
      </c>
      <c r="DU56" s="54">
        <f>+IF(AC56&gt;0,$K56*(1-$BE56)-SUM($DJ56:DM56),DE56)</f>
        <v>1411.2</v>
      </c>
      <c r="DV56" s="54">
        <f>+IF(AD56&gt;0,$K56*(1-$BE56)-SUM($DJ56:DN56),DF56)</f>
        <v>1344</v>
      </c>
      <c r="DW56" s="54">
        <f>+IF(AE56&gt;0,$K56*(1-$BE56)-SUM($DJ56:DO56),DG56)</f>
        <v>1276.8</v>
      </c>
      <c r="DX56" s="54">
        <f>+IF(AF56&gt;0,$K56*(1-$BE56)-SUM($DJ56:DP56),DH56)</f>
        <v>1209.5999999999999</v>
      </c>
      <c r="DZ56" s="54">
        <f t="shared" si="136"/>
        <v>161.28</v>
      </c>
      <c r="EA56" s="54">
        <f t="shared" si="137"/>
        <v>154.56</v>
      </c>
      <c r="EB56" s="54">
        <f t="shared" si="138"/>
        <v>147.84</v>
      </c>
      <c r="EC56" s="54">
        <f t="shared" si="139"/>
        <v>141.12</v>
      </c>
      <c r="ED56" s="54">
        <f t="shared" si="140"/>
        <v>134.4</v>
      </c>
      <c r="EE56" s="54">
        <f t="shared" si="141"/>
        <v>127.68</v>
      </c>
      <c r="EF56" s="54">
        <f t="shared" si="79"/>
        <v>0</v>
      </c>
      <c r="EH56" s="48"/>
      <c r="EI56" s="48"/>
      <c r="EJ56" s="48"/>
      <c r="EK56" s="48"/>
      <c r="EL56" s="48"/>
      <c r="EM56" s="48"/>
      <c r="EN56" s="48"/>
      <c r="EP56" s="48"/>
      <c r="EQ56" s="48"/>
      <c r="ER56" s="48"/>
      <c r="ES56" s="48"/>
      <c r="ET56" s="48"/>
      <c r="EU56" s="48"/>
      <c r="EV56" s="48"/>
      <c r="EX56" s="48"/>
      <c r="EY56" s="48"/>
      <c r="EZ56" s="48"/>
      <c r="FA56" s="48"/>
      <c r="FB56" s="48"/>
      <c r="FC56" s="48"/>
      <c r="FD56" s="48"/>
      <c r="FF56" s="48"/>
      <c r="FG56" s="48"/>
      <c r="FH56" s="48"/>
      <c r="FI56" s="48"/>
      <c r="FJ56" s="48"/>
      <c r="FK56" s="48"/>
      <c r="FL56" s="48"/>
      <c r="FM56" s="51">
        <v>0</v>
      </c>
      <c r="FN56" s="48">
        <v>0</v>
      </c>
      <c r="FO56" s="48">
        <f t="shared" si="80"/>
        <v>0</v>
      </c>
      <c r="FP56" s="48"/>
      <c r="FQ56" s="48"/>
      <c r="FR56" s="48"/>
      <c r="FS56" s="48"/>
      <c r="FT56" s="48"/>
      <c r="FV56" s="48">
        <f t="shared" si="81"/>
        <v>6.46</v>
      </c>
      <c r="FW56" s="48">
        <f t="shared" si="82"/>
        <v>6.46</v>
      </c>
      <c r="FX56" s="48">
        <f t="shared" si="83"/>
        <v>6.46</v>
      </c>
      <c r="FY56" s="48">
        <f t="shared" si="84"/>
        <v>6.46</v>
      </c>
      <c r="FZ56" s="48">
        <f t="shared" si="85"/>
        <v>6.46</v>
      </c>
      <c r="GA56" s="48">
        <f t="shared" si="86"/>
        <v>6.46</v>
      </c>
      <c r="GB56" s="48">
        <f t="shared" si="87"/>
        <v>6.46</v>
      </c>
    </row>
    <row r="57" spans="2:184" x14ac:dyDescent="0.2">
      <c r="B57" s="393" t="str">
        <f>Key_New!D7</f>
        <v>Punjab</v>
      </c>
      <c r="C57" s="394" t="str">
        <f>Key_New!B7</f>
        <v>ACME Solar Rooftop Systems Pvt Ltd</v>
      </c>
      <c r="D57" s="395" t="str">
        <f>Key_New!E7</f>
        <v>Solar</v>
      </c>
      <c r="E57" s="396" t="str">
        <f>Key_New!C7</f>
        <v>Operational</v>
      </c>
      <c r="F57" s="397">
        <f>Key_New!F7</f>
        <v>30</v>
      </c>
      <c r="G57" s="398">
        <f t="shared" si="31"/>
        <v>42521</v>
      </c>
      <c r="H57" s="399">
        <f>Key_New!O7</f>
        <v>42521</v>
      </c>
      <c r="I57" s="369">
        <f t="shared" si="35"/>
        <v>2017</v>
      </c>
      <c r="J57" s="367">
        <v>70</v>
      </c>
      <c r="K57" s="370">
        <f t="shared" si="36"/>
        <v>2100</v>
      </c>
      <c r="L57" s="368">
        <v>0.12</v>
      </c>
      <c r="M57" s="368">
        <v>0.25</v>
      </c>
      <c r="N57" s="403">
        <f>Key_New!J7</f>
        <v>7.57</v>
      </c>
      <c r="O57" s="462">
        <f t="shared" si="37"/>
        <v>0</v>
      </c>
      <c r="P57" s="54">
        <f t="shared" si="88"/>
        <v>365</v>
      </c>
      <c r="Q57" s="54">
        <f t="shared" si="88"/>
        <v>365</v>
      </c>
      <c r="R57" s="54">
        <f t="shared" si="38"/>
        <v>365</v>
      </c>
      <c r="S57" s="54">
        <f t="shared" si="38"/>
        <v>365</v>
      </c>
      <c r="T57" s="54">
        <f t="shared" si="38"/>
        <v>365</v>
      </c>
      <c r="U57" s="54">
        <f t="shared" si="39"/>
        <v>365</v>
      </c>
      <c r="V57" s="54">
        <f t="shared" si="39"/>
        <v>365</v>
      </c>
      <c r="W57" s="54">
        <f t="shared" si="38"/>
        <v>365</v>
      </c>
      <c r="Y57" s="60">
        <v>7</v>
      </c>
      <c r="Z57" s="54">
        <f t="shared" si="89"/>
        <v>8</v>
      </c>
      <c r="AA57" s="54">
        <f t="shared" si="90"/>
        <v>9</v>
      </c>
      <c r="AB57" s="54">
        <f t="shared" si="91"/>
        <v>10</v>
      </c>
      <c r="AC57" s="54">
        <f t="shared" si="92"/>
        <v>11</v>
      </c>
      <c r="AD57" s="54">
        <f t="shared" si="93"/>
        <v>12</v>
      </c>
      <c r="AE57" s="54">
        <f t="shared" si="94"/>
        <v>13</v>
      </c>
      <c r="AF57" s="54">
        <f t="shared" si="94"/>
        <v>14</v>
      </c>
      <c r="AG57" s="444"/>
      <c r="AH57" s="48">
        <f t="shared" si="95"/>
        <v>30</v>
      </c>
      <c r="AI57" s="48">
        <f t="shared" si="96"/>
        <v>30</v>
      </c>
      <c r="AJ57" s="48">
        <f t="shared" si="97"/>
        <v>30</v>
      </c>
      <c r="AK57" s="48">
        <f t="shared" si="98"/>
        <v>30</v>
      </c>
      <c r="AL57" s="48">
        <f t="shared" si="99"/>
        <v>30</v>
      </c>
      <c r="AM57" s="48">
        <f t="shared" si="46"/>
        <v>30</v>
      </c>
      <c r="AN57" s="48">
        <f t="shared" si="47"/>
        <v>30</v>
      </c>
      <c r="AP57" s="61">
        <v>0.25</v>
      </c>
      <c r="AQ57" s="61">
        <v>0.25</v>
      </c>
      <c r="AR57" s="61">
        <v>0.25</v>
      </c>
      <c r="AS57" s="61">
        <v>0.25</v>
      </c>
      <c r="AT57" s="61">
        <v>0.25</v>
      </c>
      <c r="AU57" s="61">
        <v>0.25</v>
      </c>
      <c r="AV57" s="61">
        <v>0.25</v>
      </c>
      <c r="AX57" s="52">
        <f t="shared" si="100"/>
        <v>65.745000000000005</v>
      </c>
      <c r="AY57" s="52">
        <f t="shared" si="101"/>
        <v>65.745000000000005</v>
      </c>
      <c r="AZ57" s="52">
        <f t="shared" si="102"/>
        <v>65.745000000000005</v>
      </c>
      <c r="BA57" s="52">
        <f t="shared" si="103"/>
        <v>65.745000000000005</v>
      </c>
      <c r="BB57" s="52">
        <f t="shared" si="104"/>
        <v>65.745000000000005</v>
      </c>
      <c r="BC57" s="52">
        <f t="shared" si="53"/>
        <v>65.745000000000005</v>
      </c>
      <c r="BD57" s="52">
        <f t="shared" si="54"/>
        <v>65.745000000000005</v>
      </c>
      <c r="BE57" s="57">
        <v>0.2</v>
      </c>
      <c r="BF57" s="52">
        <f t="shared" si="105"/>
        <v>67.2</v>
      </c>
      <c r="BG57" s="52">
        <f t="shared" si="106"/>
        <v>67.2</v>
      </c>
      <c r="BH57" s="52">
        <f t="shared" si="107"/>
        <v>67.2</v>
      </c>
      <c r="BI57" s="52">
        <f t="shared" si="108"/>
        <v>67.2</v>
      </c>
      <c r="BJ57" s="52">
        <f t="shared" si="109"/>
        <v>67.2</v>
      </c>
      <c r="BK57" s="52">
        <f t="shared" si="60"/>
        <v>67.2</v>
      </c>
      <c r="BL57" s="52">
        <f t="shared" si="61"/>
        <v>67.2</v>
      </c>
      <c r="BM57" s="297">
        <v>0.04</v>
      </c>
      <c r="BN57" s="69">
        <f t="shared" si="110"/>
        <v>84</v>
      </c>
      <c r="BO57" s="69">
        <f t="shared" si="111"/>
        <v>84</v>
      </c>
      <c r="BP57" s="69">
        <f t="shared" si="112"/>
        <v>84</v>
      </c>
      <c r="BQ57" s="69">
        <f t="shared" si="113"/>
        <v>84</v>
      </c>
      <c r="BR57" s="69">
        <f t="shared" si="114"/>
        <v>84</v>
      </c>
      <c r="BS57" s="69">
        <f t="shared" si="115"/>
        <v>84</v>
      </c>
      <c r="BT57" s="69">
        <f t="shared" si="116"/>
        <v>84</v>
      </c>
      <c r="BV57" s="69"/>
      <c r="BW57" s="69"/>
      <c r="BX57" s="69"/>
      <c r="BY57" s="69"/>
      <c r="BZ57" s="69"/>
      <c r="CA57" s="69"/>
      <c r="CB57" s="69"/>
      <c r="CC57" s="107">
        <v>0</v>
      </c>
      <c r="CD57" s="69">
        <v>0</v>
      </c>
      <c r="CE57" s="69">
        <f t="shared" si="32"/>
        <v>0</v>
      </c>
      <c r="CF57" s="69">
        <f t="shared" si="62"/>
        <v>0</v>
      </c>
      <c r="CG57" s="69">
        <f t="shared" si="34"/>
        <v>0</v>
      </c>
      <c r="CH57" s="69">
        <f t="shared" si="63"/>
        <v>0</v>
      </c>
      <c r="CI57" s="69">
        <f t="shared" si="64"/>
        <v>0</v>
      </c>
      <c r="CJ57" s="69">
        <f t="shared" si="65"/>
        <v>0</v>
      </c>
      <c r="CL57" s="54">
        <f t="shared" si="66"/>
        <v>0</v>
      </c>
      <c r="CM57" s="54">
        <f t="shared" si="67"/>
        <v>0</v>
      </c>
      <c r="CN57" s="54">
        <f t="shared" si="68"/>
        <v>0</v>
      </c>
      <c r="CO57" s="54">
        <f t="shared" si="69"/>
        <v>0</v>
      </c>
      <c r="CP57" s="54">
        <f t="shared" si="70"/>
        <v>0</v>
      </c>
      <c r="CQ57" s="54">
        <f t="shared" si="71"/>
        <v>0</v>
      </c>
      <c r="CR57" s="54">
        <f t="shared" si="72"/>
        <v>0</v>
      </c>
      <c r="CT57" s="54">
        <f t="shared" si="117"/>
        <v>0</v>
      </c>
      <c r="CU57" s="54">
        <f t="shared" si="118"/>
        <v>0</v>
      </c>
      <c r="CV57" s="54">
        <f t="shared" si="119"/>
        <v>0</v>
      </c>
      <c r="CW57" s="54">
        <f t="shared" si="120"/>
        <v>0</v>
      </c>
      <c r="CX57" s="54">
        <f t="shared" si="121"/>
        <v>0</v>
      </c>
      <c r="CY57" s="54">
        <f t="shared" si="122"/>
        <v>0</v>
      </c>
      <c r="CZ57" s="54">
        <f t="shared" si="74"/>
        <v>0</v>
      </c>
      <c r="DB57" s="54">
        <f t="shared" si="123"/>
        <v>0</v>
      </c>
      <c r="DC57" s="54">
        <f t="shared" si="124"/>
        <v>0</v>
      </c>
      <c r="DD57" s="54">
        <f t="shared" si="125"/>
        <v>0</v>
      </c>
      <c r="DE57" s="54">
        <f t="shared" si="126"/>
        <v>0</v>
      </c>
      <c r="DF57" s="54">
        <f t="shared" si="127"/>
        <v>0</v>
      </c>
      <c r="DG57" s="54">
        <f t="shared" si="128"/>
        <v>0</v>
      </c>
      <c r="DH57" s="54">
        <f t="shared" si="76"/>
        <v>0</v>
      </c>
      <c r="DJ57" s="54">
        <f t="shared" si="129"/>
        <v>67.2</v>
      </c>
      <c r="DK57" s="54">
        <f t="shared" si="130"/>
        <v>67.2</v>
      </c>
      <c r="DL57" s="54">
        <f t="shared" si="131"/>
        <v>67.2</v>
      </c>
      <c r="DM57" s="54">
        <f t="shared" si="132"/>
        <v>67.2</v>
      </c>
      <c r="DN57" s="54">
        <f t="shared" si="133"/>
        <v>67.2</v>
      </c>
      <c r="DO57" s="54">
        <f t="shared" si="134"/>
        <v>67.2</v>
      </c>
      <c r="DP57" s="54">
        <f t="shared" si="135"/>
        <v>67.2</v>
      </c>
      <c r="DR57" s="54">
        <f>+IF(Z57&gt;0,$K57*(1-$BE57)-SUM($DJ57:DJ57),DB57)</f>
        <v>1612.8</v>
      </c>
      <c r="DS57" s="54">
        <f>+IF(AA57&gt;0,$K57*(1-$BE57)-SUM($DJ57:DK57),DC57)</f>
        <v>1545.6</v>
      </c>
      <c r="DT57" s="54">
        <f>+IF(AB57&gt;0,$K57*(1-$BE57)-SUM($DJ57:DL57),DD57)</f>
        <v>1478.4</v>
      </c>
      <c r="DU57" s="54">
        <f>+IF(AC57&gt;0,$K57*(1-$BE57)-SUM($DJ57:DM57),DE57)</f>
        <v>1411.2</v>
      </c>
      <c r="DV57" s="54">
        <f>+IF(AD57&gt;0,$K57*(1-$BE57)-SUM($DJ57:DN57),DF57)</f>
        <v>1344</v>
      </c>
      <c r="DW57" s="54">
        <f>+IF(AE57&gt;0,$K57*(1-$BE57)-SUM($DJ57:DO57),DG57)</f>
        <v>1276.8</v>
      </c>
      <c r="DX57" s="54">
        <f>+IF(AF57&gt;0,$K57*(1-$BE57)-SUM($DJ57:DP57),DH57)</f>
        <v>1209.5999999999999</v>
      </c>
      <c r="DZ57" s="54">
        <f t="shared" si="136"/>
        <v>161.28</v>
      </c>
      <c r="EA57" s="54">
        <f t="shared" si="137"/>
        <v>154.56</v>
      </c>
      <c r="EB57" s="54">
        <f t="shared" si="138"/>
        <v>147.84</v>
      </c>
      <c r="EC57" s="54">
        <f t="shared" si="139"/>
        <v>141.12</v>
      </c>
      <c r="ED57" s="54">
        <f t="shared" si="140"/>
        <v>134.4</v>
      </c>
      <c r="EE57" s="54">
        <f t="shared" si="141"/>
        <v>127.68</v>
      </c>
      <c r="EF57" s="54">
        <f t="shared" si="79"/>
        <v>0</v>
      </c>
      <c r="EH57" s="48"/>
      <c r="EI57" s="48"/>
      <c r="EJ57" s="48"/>
      <c r="EK57" s="48"/>
      <c r="EL57" s="48"/>
      <c r="EM57" s="48"/>
      <c r="EN57" s="48"/>
      <c r="EP57" s="48"/>
      <c r="EQ57" s="48"/>
      <c r="ER57" s="48"/>
      <c r="ES57" s="48"/>
      <c r="ET57" s="48"/>
      <c r="EU57" s="48"/>
      <c r="EV57" s="48"/>
      <c r="EX57" s="48"/>
      <c r="EY57" s="48"/>
      <c r="EZ57" s="48"/>
      <c r="FA57" s="48"/>
      <c r="FB57" s="48"/>
      <c r="FC57" s="48"/>
      <c r="FD57" s="48"/>
      <c r="FF57" s="48"/>
      <c r="FG57" s="48"/>
      <c r="FH57" s="48"/>
      <c r="FI57" s="48"/>
      <c r="FJ57" s="48"/>
      <c r="FK57" s="48"/>
      <c r="FL57" s="48"/>
      <c r="FM57" s="51">
        <v>0</v>
      </c>
      <c r="FN57" s="48">
        <v>0</v>
      </c>
      <c r="FO57" s="48">
        <f t="shared" si="80"/>
        <v>0</v>
      </c>
      <c r="FP57" s="48"/>
      <c r="FQ57" s="48"/>
      <c r="FR57" s="48"/>
      <c r="FS57" s="48"/>
      <c r="FT57" s="48"/>
      <c r="FV57" s="48">
        <f t="shared" si="81"/>
        <v>7.57</v>
      </c>
      <c r="FW57" s="48">
        <f t="shared" si="82"/>
        <v>7.57</v>
      </c>
      <c r="FX57" s="48">
        <f t="shared" si="83"/>
        <v>7.57</v>
      </c>
      <c r="FY57" s="48">
        <f t="shared" si="84"/>
        <v>7.57</v>
      </c>
      <c r="FZ57" s="48">
        <f t="shared" si="85"/>
        <v>7.57</v>
      </c>
      <c r="GA57" s="48">
        <f t="shared" si="86"/>
        <v>7.57</v>
      </c>
      <c r="GB57" s="48">
        <f t="shared" si="87"/>
        <v>7.57</v>
      </c>
    </row>
    <row r="58" spans="2:184" x14ac:dyDescent="0.2">
      <c r="B58" s="393" t="str">
        <f>Key_New!D8</f>
        <v>Andhra Pradesh</v>
      </c>
      <c r="C58" s="394" t="str">
        <f>Key_New!B8</f>
        <v>Aarohi Solar Power Pvt Ltd</v>
      </c>
      <c r="D58" s="395" t="str">
        <f>Key_New!E8</f>
        <v>Solar</v>
      </c>
      <c r="E58" s="396" t="str">
        <f>Key_New!C8</f>
        <v>Operational</v>
      </c>
      <c r="F58" s="397">
        <f>Key_New!F8</f>
        <v>50</v>
      </c>
      <c r="G58" s="398">
        <f t="shared" si="31"/>
        <v>42460</v>
      </c>
      <c r="H58" s="399">
        <f>Key_New!O8</f>
        <v>42460</v>
      </c>
      <c r="I58" s="369">
        <f t="shared" si="35"/>
        <v>2016</v>
      </c>
      <c r="J58" s="367">
        <v>70</v>
      </c>
      <c r="K58" s="370">
        <f t="shared" si="36"/>
        <v>3500</v>
      </c>
      <c r="L58" s="368">
        <v>0.12</v>
      </c>
      <c r="M58" s="368">
        <v>0.25</v>
      </c>
      <c r="N58" s="403">
        <f>Key_New!J8</f>
        <v>7.35</v>
      </c>
      <c r="O58" s="462">
        <f t="shared" si="37"/>
        <v>0</v>
      </c>
      <c r="P58" s="54">
        <f t="shared" si="88"/>
        <v>365</v>
      </c>
      <c r="Q58" s="54">
        <f t="shared" si="88"/>
        <v>365</v>
      </c>
      <c r="R58" s="54">
        <f t="shared" si="38"/>
        <v>365</v>
      </c>
      <c r="S58" s="54">
        <f t="shared" si="38"/>
        <v>365</v>
      </c>
      <c r="T58" s="54">
        <f t="shared" si="38"/>
        <v>365</v>
      </c>
      <c r="U58" s="54">
        <f t="shared" si="39"/>
        <v>365</v>
      </c>
      <c r="V58" s="54">
        <f t="shared" si="39"/>
        <v>365</v>
      </c>
      <c r="W58" s="54">
        <f t="shared" si="38"/>
        <v>365</v>
      </c>
      <c r="Y58" s="60">
        <v>8</v>
      </c>
      <c r="Z58" s="54">
        <f t="shared" si="89"/>
        <v>9</v>
      </c>
      <c r="AA58" s="54">
        <f t="shared" si="90"/>
        <v>10</v>
      </c>
      <c r="AB58" s="54">
        <f t="shared" si="91"/>
        <v>11</v>
      </c>
      <c r="AC58" s="54">
        <f t="shared" si="92"/>
        <v>12</v>
      </c>
      <c r="AD58" s="54">
        <f t="shared" si="93"/>
        <v>13</v>
      </c>
      <c r="AE58" s="54">
        <f t="shared" si="94"/>
        <v>14</v>
      </c>
      <c r="AF58" s="54">
        <f t="shared" si="94"/>
        <v>15</v>
      </c>
      <c r="AG58" s="444"/>
      <c r="AH58" s="48">
        <f t="shared" si="95"/>
        <v>50</v>
      </c>
      <c r="AI58" s="48">
        <f t="shared" si="96"/>
        <v>50</v>
      </c>
      <c r="AJ58" s="48">
        <f t="shared" si="97"/>
        <v>50</v>
      </c>
      <c r="AK58" s="48">
        <f t="shared" si="98"/>
        <v>50</v>
      </c>
      <c r="AL58" s="48">
        <f t="shared" si="99"/>
        <v>50</v>
      </c>
      <c r="AM58" s="48">
        <f t="shared" si="46"/>
        <v>50</v>
      </c>
      <c r="AN58" s="48">
        <f t="shared" si="47"/>
        <v>50</v>
      </c>
      <c r="AP58" s="61">
        <v>0.25</v>
      </c>
      <c r="AQ58" s="61">
        <v>0.25</v>
      </c>
      <c r="AR58" s="61">
        <v>0.25</v>
      </c>
      <c r="AS58" s="61">
        <v>0.25</v>
      </c>
      <c r="AT58" s="61">
        <v>0.25</v>
      </c>
      <c r="AU58" s="61">
        <v>0.25</v>
      </c>
      <c r="AV58" s="61">
        <v>0.25</v>
      </c>
      <c r="AX58" s="52">
        <f t="shared" si="100"/>
        <v>109.575</v>
      </c>
      <c r="AY58" s="52">
        <f t="shared" si="101"/>
        <v>109.575</v>
      </c>
      <c r="AZ58" s="52">
        <f t="shared" si="102"/>
        <v>109.575</v>
      </c>
      <c r="BA58" s="52">
        <f t="shared" si="103"/>
        <v>109.575</v>
      </c>
      <c r="BB58" s="52">
        <f t="shared" si="104"/>
        <v>109.575</v>
      </c>
      <c r="BC58" s="52">
        <f t="shared" si="53"/>
        <v>109.575</v>
      </c>
      <c r="BD58" s="52">
        <f t="shared" si="54"/>
        <v>109.575</v>
      </c>
      <c r="BE58" s="57">
        <v>0.2</v>
      </c>
      <c r="BF58" s="52">
        <f t="shared" si="105"/>
        <v>112</v>
      </c>
      <c r="BG58" s="52">
        <f t="shared" si="106"/>
        <v>112</v>
      </c>
      <c r="BH58" s="52">
        <f t="shared" si="107"/>
        <v>112</v>
      </c>
      <c r="BI58" s="52">
        <f t="shared" si="108"/>
        <v>112</v>
      </c>
      <c r="BJ58" s="52">
        <f t="shared" si="109"/>
        <v>112</v>
      </c>
      <c r="BK58" s="52">
        <f t="shared" si="60"/>
        <v>112</v>
      </c>
      <c r="BL58" s="52">
        <f t="shared" si="61"/>
        <v>112</v>
      </c>
      <c r="BM58" s="297">
        <v>0.04</v>
      </c>
      <c r="BN58" s="69">
        <f t="shared" si="110"/>
        <v>140</v>
      </c>
      <c r="BO58" s="69">
        <f t="shared" si="111"/>
        <v>140</v>
      </c>
      <c r="BP58" s="69">
        <f t="shared" si="112"/>
        <v>140</v>
      </c>
      <c r="BQ58" s="69">
        <f t="shared" si="113"/>
        <v>140</v>
      </c>
      <c r="BR58" s="69">
        <f t="shared" si="114"/>
        <v>140</v>
      </c>
      <c r="BS58" s="69">
        <f t="shared" si="115"/>
        <v>140</v>
      </c>
      <c r="BT58" s="69">
        <f t="shared" si="116"/>
        <v>140</v>
      </c>
      <c r="BV58" s="69"/>
      <c r="BW58" s="69"/>
      <c r="BX58" s="69"/>
      <c r="BY58" s="69"/>
      <c r="BZ58" s="69"/>
      <c r="CA58" s="69"/>
      <c r="CB58" s="69"/>
      <c r="CC58" s="107">
        <v>0</v>
      </c>
      <c r="CD58" s="69">
        <v>0</v>
      </c>
      <c r="CE58" s="69">
        <f t="shared" si="32"/>
        <v>0</v>
      </c>
      <c r="CF58" s="69">
        <f t="shared" si="62"/>
        <v>0</v>
      </c>
      <c r="CG58" s="69">
        <f t="shared" si="34"/>
        <v>0</v>
      </c>
      <c r="CH58" s="69">
        <f t="shared" si="63"/>
        <v>0</v>
      </c>
      <c r="CI58" s="69">
        <f t="shared" si="64"/>
        <v>0</v>
      </c>
      <c r="CJ58" s="69">
        <f t="shared" si="65"/>
        <v>0</v>
      </c>
      <c r="CL58" s="54">
        <f t="shared" si="66"/>
        <v>0</v>
      </c>
      <c r="CM58" s="54">
        <f t="shared" si="67"/>
        <v>0</v>
      </c>
      <c r="CN58" s="54">
        <f t="shared" si="68"/>
        <v>0</v>
      </c>
      <c r="CO58" s="54">
        <f t="shared" si="69"/>
        <v>0</v>
      </c>
      <c r="CP58" s="54">
        <f t="shared" si="70"/>
        <v>0</v>
      </c>
      <c r="CQ58" s="54">
        <f t="shared" si="71"/>
        <v>0</v>
      </c>
      <c r="CR58" s="54">
        <f t="shared" si="72"/>
        <v>0</v>
      </c>
      <c r="CT58" s="54">
        <f t="shared" si="117"/>
        <v>0</v>
      </c>
      <c r="CU58" s="54">
        <f t="shared" si="118"/>
        <v>0</v>
      </c>
      <c r="CV58" s="54">
        <f t="shared" si="119"/>
        <v>0</v>
      </c>
      <c r="CW58" s="54">
        <f t="shared" si="120"/>
        <v>0</v>
      </c>
      <c r="CX58" s="54">
        <f t="shared" si="121"/>
        <v>0</v>
      </c>
      <c r="CY58" s="54">
        <f t="shared" si="122"/>
        <v>0</v>
      </c>
      <c r="CZ58" s="54">
        <f t="shared" si="74"/>
        <v>0</v>
      </c>
      <c r="DB58" s="54">
        <f t="shared" si="123"/>
        <v>0</v>
      </c>
      <c r="DC58" s="54">
        <f t="shared" si="124"/>
        <v>0</v>
      </c>
      <c r="DD58" s="54">
        <f t="shared" si="125"/>
        <v>0</v>
      </c>
      <c r="DE58" s="54">
        <f t="shared" si="126"/>
        <v>0</v>
      </c>
      <c r="DF58" s="54">
        <f t="shared" si="127"/>
        <v>0</v>
      </c>
      <c r="DG58" s="54">
        <f t="shared" si="128"/>
        <v>0</v>
      </c>
      <c r="DH58" s="54">
        <f t="shared" si="76"/>
        <v>0</v>
      </c>
      <c r="DJ58" s="54">
        <f t="shared" si="129"/>
        <v>112</v>
      </c>
      <c r="DK58" s="54">
        <f t="shared" si="130"/>
        <v>112</v>
      </c>
      <c r="DL58" s="54">
        <f t="shared" si="131"/>
        <v>112</v>
      </c>
      <c r="DM58" s="54">
        <f t="shared" si="132"/>
        <v>112</v>
      </c>
      <c r="DN58" s="54">
        <f t="shared" si="133"/>
        <v>112</v>
      </c>
      <c r="DO58" s="54">
        <f t="shared" si="134"/>
        <v>112</v>
      </c>
      <c r="DP58" s="54">
        <f t="shared" si="135"/>
        <v>112</v>
      </c>
      <c r="DR58" s="54">
        <f>+IF(Z58&gt;0,$K58*(1-$BE58)-SUM($DJ58:DJ58),DB58)</f>
        <v>2688</v>
      </c>
      <c r="DS58" s="54">
        <f>+IF(AA58&gt;0,$K58*(1-$BE58)-SUM($DJ58:DK58),DC58)</f>
        <v>2576</v>
      </c>
      <c r="DT58" s="54">
        <f>+IF(AB58&gt;0,$K58*(1-$BE58)-SUM($DJ58:DL58),DD58)</f>
        <v>2464</v>
      </c>
      <c r="DU58" s="54">
        <f>+IF(AC58&gt;0,$K58*(1-$BE58)-SUM($DJ58:DM58),DE58)</f>
        <v>2352</v>
      </c>
      <c r="DV58" s="54">
        <f>+IF(AD58&gt;0,$K58*(1-$BE58)-SUM($DJ58:DN58),DF58)</f>
        <v>2240</v>
      </c>
      <c r="DW58" s="54">
        <f>+IF(AE58&gt;0,$K58*(1-$BE58)-SUM($DJ58:DO58),DG58)</f>
        <v>2128</v>
      </c>
      <c r="DX58" s="54">
        <f>+IF(AF58&gt;0,$K58*(1-$BE58)-SUM($DJ58:DP58),DH58)</f>
        <v>2016</v>
      </c>
      <c r="DZ58" s="54">
        <f t="shared" si="136"/>
        <v>268.8</v>
      </c>
      <c r="EA58" s="54">
        <f t="shared" si="137"/>
        <v>257.60000000000002</v>
      </c>
      <c r="EB58" s="54">
        <f t="shared" si="138"/>
        <v>246.4</v>
      </c>
      <c r="EC58" s="54">
        <f t="shared" si="139"/>
        <v>235.20000000000002</v>
      </c>
      <c r="ED58" s="54">
        <f t="shared" si="140"/>
        <v>224</v>
      </c>
      <c r="EE58" s="54">
        <f t="shared" si="141"/>
        <v>212.8</v>
      </c>
      <c r="EF58" s="54">
        <f t="shared" si="79"/>
        <v>0</v>
      </c>
      <c r="EH58" s="48"/>
      <c r="EI58" s="48"/>
      <c r="EJ58" s="48"/>
      <c r="EK58" s="48"/>
      <c r="EL58" s="48"/>
      <c r="EM58" s="48"/>
      <c r="EN58" s="48"/>
      <c r="EP58" s="48"/>
      <c r="EQ58" s="48"/>
      <c r="ER58" s="48"/>
      <c r="ES58" s="48"/>
      <c r="ET58" s="48"/>
      <c r="EU58" s="48"/>
      <c r="EV58" s="48"/>
      <c r="EX58" s="48"/>
      <c r="EY58" s="48"/>
      <c r="EZ58" s="48"/>
      <c r="FA58" s="48"/>
      <c r="FB58" s="48"/>
      <c r="FC58" s="48"/>
      <c r="FD58" s="48"/>
      <c r="FF58" s="48"/>
      <c r="FG58" s="48"/>
      <c r="FH58" s="48"/>
      <c r="FI58" s="48"/>
      <c r="FJ58" s="48"/>
      <c r="FK58" s="48"/>
      <c r="FL58" s="48"/>
      <c r="FM58" s="51">
        <v>0</v>
      </c>
      <c r="FN58" s="48">
        <v>0</v>
      </c>
      <c r="FO58" s="48">
        <f t="shared" si="80"/>
        <v>0</v>
      </c>
      <c r="FP58" s="48"/>
      <c r="FQ58" s="48"/>
      <c r="FR58" s="48"/>
      <c r="FS58" s="48"/>
      <c r="FT58" s="48"/>
      <c r="FV58" s="48">
        <f t="shared" si="81"/>
        <v>7.35</v>
      </c>
      <c r="FW58" s="48">
        <f t="shared" si="82"/>
        <v>7.35</v>
      </c>
      <c r="FX58" s="48">
        <f t="shared" si="83"/>
        <v>7.35</v>
      </c>
      <c r="FY58" s="48">
        <f t="shared" si="84"/>
        <v>7.35</v>
      </c>
      <c r="FZ58" s="48">
        <f t="shared" si="85"/>
        <v>7.35</v>
      </c>
      <c r="GA58" s="48">
        <f t="shared" si="86"/>
        <v>7.35</v>
      </c>
      <c r="GB58" s="48">
        <f t="shared" si="87"/>
        <v>7.35</v>
      </c>
    </row>
    <row r="59" spans="2:184" x14ac:dyDescent="0.2">
      <c r="B59" s="393" t="str">
        <f>Key_New!D9</f>
        <v>Andhra Pradesh</v>
      </c>
      <c r="C59" s="394" t="str">
        <f>Key_New!B9</f>
        <v>ACME Jaisalmer Solar Power Pvt Ltd</v>
      </c>
      <c r="D59" s="395" t="str">
        <f>Key_New!E9</f>
        <v>Solar</v>
      </c>
      <c r="E59" s="396" t="str">
        <f>Key_New!C9</f>
        <v>Operational</v>
      </c>
      <c r="F59" s="397">
        <f>Key_New!F9</f>
        <v>20</v>
      </c>
      <c r="G59" s="398">
        <f t="shared" si="31"/>
        <v>42521</v>
      </c>
      <c r="H59" s="399">
        <f>Key_New!O9</f>
        <v>42521</v>
      </c>
      <c r="I59" s="369">
        <f t="shared" si="35"/>
        <v>2017</v>
      </c>
      <c r="J59" s="367">
        <v>70</v>
      </c>
      <c r="K59" s="370">
        <f t="shared" si="36"/>
        <v>1400</v>
      </c>
      <c r="L59" s="368">
        <v>0.12</v>
      </c>
      <c r="M59" s="368">
        <v>0.25</v>
      </c>
      <c r="N59" s="403">
        <f>Key_New!J9</f>
        <v>7.35</v>
      </c>
      <c r="O59" s="462">
        <f t="shared" si="37"/>
        <v>0</v>
      </c>
      <c r="P59" s="54">
        <f t="shared" si="88"/>
        <v>365</v>
      </c>
      <c r="Q59" s="54">
        <f t="shared" si="88"/>
        <v>365</v>
      </c>
      <c r="R59" s="54">
        <f t="shared" si="38"/>
        <v>365</v>
      </c>
      <c r="S59" s="54">
        <f t="shared" si="38"/>
        <v>365</v>
      </c>
      <c r="T59" s="54">
        <f t="shared" si="38"/>
        <v>365</v>
      </c>
      <c r="U59" s="54">
        <f t="shared" si="39"/>
        <v>365</v>
      </c>
      <c r="V59" s="54">
        <f t="shared" si="39"/>
        <v>365</v>
      </c>
      <c r="W59" s="54">
        <f t="shared" si="38"/>
        <v>365</v>
      </c>
      <c r="Y59" s="60">
        <v>7</v>
      </c>
      <c r="Z59" s="54">
        <f t="shared" si="89"/>
        <v>8</v>
      </c>
      <c r="AA59" s="54">
        <f t="shared" si="90"/>
        <v>9</v>
      </c>
      <c r="AB59" s="54">
        <f t="shared" si="91"/>
        <v>10</v>
      </c>
      <c r="AC59" s="54">
        <f t="shared" si="92"/>
        <v>11</v>
      </c>
      <c r="AD59" s="54">
        <f t="shared" si="93"/>
        <v>12</v>
      </c>
      <c r="AE59" s="54">
        <f t="shared" si="94"/>
        <v>13</v>
      </c>
      <c r="AF59" s="54">
        <f t="shared" si="94"/>
        <v>14</v>
      </c>
      <c r="AG59" s="444"/>
      <c r="AH59" s="48">
        <f t="shared" si="95"/>
        <v>20</v>
      </c>
      <c r="AI59" s="48">
        <f t="shared" si="96"/>
        <v>20</v>
      </c>
      <c r="AJ59" s="48">
        <f t="shared" si="97"/>
        <v>20</v>
      </c>
      <c r="AK59" s="48">
        <f t="shared" si="98"/>
        <v>20</v>
      </c>
      <c r="AL59" s="48">
        <f t="shared" si="99"/>
        <v>20</v>
      </c>
      <c r="AM59" s="48">
        <f t="shared" si="46"/>
        <v>20</v>
      </c>
      <c r="AN59" s="48">
        <f t="shared" si="47"/>
        <v>20</v>
      </c>
      <c r="AP59" s="61">
        <v>0.25</v>
      </c>
      <c r="AQ59" s="61">
        <v>0.25</v>
      </c>
      <c r="AR59" s="61">
        <v>0.25</v>
      </c>
      <c r="AS59" s="61">
        <v>0.25</v>
      </c>
      <c r="AT59" s="61">
        <v>0.25</v>
      </c>
      <c r="AU59" s="61">
        <v>0.25</v>
      </c>
      <c r="AV59" s="61">
        <v>0.25</v>
      </c>
      <c r="AX59" s="52">
        <f t="shared" si="100"/>
        <v>43.83</v>
      </c>
      <c r="AY59" s="52">
        <f t="shared" si="101"/>
        <v>43.83</v>
      </c>
      <c r="AZ59" s="52">
        <f t="shared" si="102"/>
        <v>43.83</v>
      </c>
      <c r="BA59" s="52">
        <f t="shared" si="103"/>
        <v>43.83</v>
      </c>
      <c r="BB59" s="52">
        <f t="shared" si="104"/>
        <v>43.83</v>
      </c>
      <c r="BC59" s="52">
        <f t="shared" si="53"/>
        <v>43.83</v>
      </c>
      <c r="BD59" s="52">
        <f t="shared" si="54"/>
        <v>43.83</v>
      </c>
      <c r="BE59" s="57">
        <v>0.2</v>
      </c>
      <c r="BF59" s="52">
        <f t="shared" si="105"/>
        <v>44.800000000000004</v>
      </c>
      <c r="BG59" s="52">
        <f t="shared" si="106"/>
        <v>44.800000000000004</v>
      </c>
      <c r="BH59" s="52">
        <f t="shared" si="107"/>
        <v>44.800000000000004</v>
      </c>
      <c r="BI59" s="52">
        <f t="shared" si="108"/>
        <v>44.800000000000004</v>
      </c>
      <c r="BJ59" s="52">
        <f t="shared" si="109"/>
        <v>44.800000000000004</v>
      </c>
      <c r="BK59" s="52">
        <f t="shared" si="60"/>
        <v>44.800000000000004</v>
      </c>
      <c r="BL59" s="52">
        <f t="shared" si="61"/>
        <v>44.800000000000004</v>
      </c>
      <c r="BM59" s="297">
        <v>0.04</v>
      </c>
      <c r="BN59" s="69">
        <f t="shared" si="110"/>
        <v>56</v>
      </c>
      <c r="BO59" s="69">
        <f t="shared" si="111"/>
        <v>56</v>
      </c>
      <c r="BP59" s="69">
        <f t="shared" si="112"/>
        <v>56</v>
      </c>
      <c r="BQ59" s="69">
        <f t="shared" si="113"/>
        <v>56</v>
      </c>
      <c r="BR59" s="69">
        <f t="shared" si="114"/>
        <v>56</v>
      </c>
      <c r="BS59" s="69">
        <f t="shared" si="115"/>
        <v>56</v>
      </c>
      <c r="BT59" s="69">
        <f t="shared" si="116"/>
        <v>56</v>
      </c>
      <c r="BV59" s="69"/>
      <c r="BW59" s="69"/>
      <c r="BX59" s="69"/>
      <c r="BY59" s="69"/>
      <c r="BZ59" s="69"/>
      <c r="CA59" s="69"/>
      <c r="CB59" s="69"/>
      <c r="CC59" s="107">
        <v>0</v>
      </c>
      <c r="CD59" s="69">
        <v>0</v>
      </c>
      <c r="CE59" s="69">
        <f t="shared" si="32"/>
        <v>0</v>
      </c>
      <c r="CF59" s="69">
        <f t="shared" si="62"/>
        <v>0</v>
      </c>
      <c r="CG59" s="69">
        <f t="shared" si="34"/>
        <v>0</v>
      </c>
      <c r="CH59" s="69">
        <f t="shared" si="63"/>
        <v>0</v>
      </c>
      <c r="CI59" s="69">
        <f t="shared" si="64"/>
        <v>0</v>
      </c>
      <c r="CJ59" s="69">
        <f t="shared" si="65"/>
        <v>0</v>
      </c>
      <c r="CL59" s="54">
        <f t="shared" si="66"/>
        <v>0</v>
      </c>
      <c r="CM59" s="54">
        <f t="shared" si="67"/>
        <v>0</v>
      </c>
      <c r="CN59" s="54">
        <f t="shared" si="68"/>
        <v>0</v>
      </c>
      <c r="CO59" s="54">
        <f t="shared" si="69"/>
        <v>0</v>
      </c>
      <c r="CP59" s="54">
        <f t="shared" si="70"/>
        <v>0</v>
      </c>
      <c r="CQ59" s="54">
        <f t="shared" si="71"/>
        <v>0</v>
      </c>
      <c r="CR59" s="54">
        <f t="shared" si="72"/>
        <v>0</v>
      </c>
      <c r="CT59" s="54">
        <f t="shared" si="117"/>
        <v>0</v>
      </c>
      <c r="CU59" s="54">
        <f t="shared" si="118"/>
        <v>0</v>
      </c>
      <c r="CV59" s="54">
        <f t="shared" si="119"/>
        <v>0</v>
      </c>
      <c r="CW59" s="54">
        <f t="shared" si="120"/>
        <v>0</v>
      </c>
      <c r="CX59" s="54">
        <f t="shared" si="121"/>
        <v>0</v>
      </c>
      <c r="CY59" s="54">
        <f t="shared" si="122"/>
        <v>0</v>
      </c>
      <c r="CZ59" s="54">
        <f t="shared" si="74"/>
        <v>0</v>
      </c>
      <c r="DB59" s="54">
        <f t="shared" si="123"/>
        <v>0</v>
      </c>
      <c r="DC59" s="54">
        <f t="shared" si="124"/>
        <v>0</v>
      </c>
      <c r="DD59" s="54">
        <f t="shared" si="125"/>
        <v>0</v>
      </c>
      <c r="DE59" s="54">
        <f t="shared" si="126"/>
        <v>0</v>
      </c>
      <c r="DF59" s="54">
        <f t="shared" si="127"/>
        <v>0</v>
      </c>
      <c r="DG59" s="54">
        <f t="shared" si="128"/>
        <v>0</v>
      </c>
      <c r="DH59" s="54">
        <f t="shared" si="76"/>
        <v>0</v>
      </c>
      <c r="DJ59" s="54">
        <f t="shared" si="129"/>
        <v>44.8</v>
      </c>
      <c r="DK59" s="54">
        <f t="shared" si="130"/>
        <v>44.8</v>
      </c>
      <c r="DL59" s="54">
        <f t="shared" si="131"/>
        <v>44.8</v>
      </c>
      <c r="DM59" s="54">
        <f t="shared" si="132"/>
        <v>44.8</v>
      </c>
      <c r="DN59" s="54">
        <f t="shared" si="133"/>
        <v>44.8</v>
      </c>
      <c r="DO59" s="54">
        <f t="shared" si="134"/>
        <v>44.8</v>
      </c>
      <c r="DP59" s="54">
        <f t="shared" si="135"/>
        <v>44.8</v>
      </c>
      <c r="DR59" s="54">
        <f>+IF(Z59&gt;0,$K59*(1-$BE59)-SUM($DJ59:DJ59),DB59)</f>
        <v>1075.2</v>
      </c>
      <c r="DS59" s="54">
        <f>+IF(AA59&gt;0,$K59*(1-$BE59)-SUM($DJ59:DK59),DC59)</f>
        <v>1030.4000000000001</v>
      </c>
      <c r="DT59" s="54">
        <f>+IF(AB59&gt;0,$K59*(1-$BE59)-SUM($DJ59:DL59),DD59)</f>
        <v>985.6</v>
      </c>
      <c r="DU59" s="54">
        <f>+IF(AC59&gt;0,$K59*(1-$BE59)-SUM($DJ59:DM59),DE59)</f>
        <v>940.8</v>
      </c>
      <c r="DV59" s="54">
        <f>+IF(AD59&gt;0,$K59*(1-$BE59)-SUM($DJ59:DN59),DF59)</f>
        <v>896</v>
      </c>
      <c r="DW59" s="54">
        <f>+IF(AE59&gt;0,$K59*(1-$BE59)-SUM($DJ59:DO59),DG59)</f>
        <v>851.2</v>
      </c>
      <c r="DX59" s="54">
        <f>+IF(AF59&gt;0,$K59*(1-$BE59)-SUM($DJ59:DP59),DH59)</f>
        <v>806.4</v>
      </c>
      <c r="DZ59" s="54">
        <f t="shared" si="136"/>
        <v>107.52000000000001</v>
      </c>
      <c r="EA59" s="54">
        <f t="shared" si="137"/>
        <v>103.04000000000002</v>
      </c>
      <c r="EB59" s="54">
        <f t="shared" si="138"/>
        <v>98.56</v>
      </c>
      <c r="EC59" s="54">
        <f t="shared" si="139"/>
        <v>94.08</v>
      </c>
      <c r="ED59" s="54">
        <f t="shared" si="140"/>
        <v>89.600000000000009</v>
      </c>
      <c r="EE59" s="54">
        <f t="shared" si="141"/>
        <v>85.12</v>
      </c>
      <c r="EF59" s="54">
        <f t="shared" si="79"/>
        <v>0</v>
      </c>
      <c r="EH59" s="48"/>
      <c r="EI59" s="48"/>
      <c r="EJ59" s="48"/>
      <c r="EK59" s="48"/>
      <c r="EL59" s="48"/>
      <c r="EM59" s="48"/>
      <c r="EN59" s="48"/>
      <c r="EP59" s="48"/>
      <c r="EQ59" s="48"/>
      <c r="ER59" s="48"/>
      <c r="ES59" s="48"/>
      <c r="ET59" s="48"/>
      <c r="EU59" s="48"/>
      <c r="EV59" s="48"/>
      <c r="EX59" s="48"/>
      <c r="EY59" s="48"/>
      <c r="EZ59" s="48"/>
      <c r="FA59" s="48"/>
      <c r="FB59" s="48"/>
      <c r="FC59" s="48"/>
      <c r="FD59" s="48"/>
      <c r="FF59" s="48"/>
      <c r="FG59" s="48"/>
      <c r="FH59" s="48"/>
      <c r="FI59" s="48"/>
      <c r="FJ59" s="48"/>
      <c r="FK59" s="48"/>
      <c r="FL59" s="48"/>
      <c r="FM59" s="51">
        <v>0</v>
      </c>
      <c r="FN59" s="48">
        <v>0</v>
      </c>
      <c r="FO59" s="48">
        <f t="shared" si="80"/>
        <v>0</v>
      </c>
      <c r="FP59" s="48"/>
      <c r="FQ59" s="48"/>
      <c r="FR59" s="48"/>
      <c r="FS59" s="48"/>
      <c r="FT59" s="48"/>
      <c r="FV59" s="48">
        <f t="shared" si="81"/>
        <v>7.35</v>
      </c>
      <c r="FW59" s="48">
        <f t="shared" si="82"/>
        <v>7.35</v>
      </c>
      <c r="FX59" s="48">
        <f t="shared" si="83"/>
        <v>7.35</v>
      </c>
      <c r="FY59" s="48">
        <f t="shared" si="84"/>
        <v>7.35</v>
      </c>
      <c r="FZ59" s="48">
        <f t="shared" si="85"/>
        <v>7.35</v>
      </c>
      <c r="GA59" s="48">
        <f t="shared" si="86"/>
        <v>7.35</v>
      </c>
      <c r="GB59" s="48">
        <f t="shared" si="87"/>
        <v>7.35</v>
      </c>
    </row>
    <row r="60" spans="2:184" x14ac:dyDescent="0.2">
      <c r="B60" s="393" t="str">
        <f>Key_New!D10</f>
        <v>Andhra Pradesh</v>
      </c>
      <c r="C60" s="394" t="str">
        <f>Key_New!B10</f>
        <v>Dayanidhi Solar Power Pvt Ltd</v>
      </c>
      <c r="D60" s="395" t="str">
        <f>Key_New!E10</f>
        <v>Solar</v>
      </c>
      <c r="E60" s="396" t="str">
        <f>Key_New!C10</f>
        <v>Operational</v>
      </c>
      <c r="F60" s="397">
        <f>Key_New!F10</f>
        <v>40</v>
      </c>
      <c r="G60" s="398">
        <f t="shared" si="31"/>
        <v>42490</v>
      </c>
      <c r="H60" s="399">
        <f>Key_New!O10</f>
        <v>42490</v>
      </c>
      <c r="I60" s="369">
        <f t="shared" si="35"/>
        <v>2017</v>
      </c>
      <c r="J60" s="367">
        <v>70</v>
      </c>
      <c r="K60" s="370">
        <f t="shared" si="36"/>
        <v>2800</v>
      </c>
      <c r="L60" s="368">
        <v>0.12</v>
      </c>
      <c r="M60" s="368">
        <v>0.25</v>
      </c>
      <c r="N60" s="403">
        <f>Key_New!J10</f>
        <v>7.79</v>
      </c>
      <c r="O60" s="462">
        <f t="shared" si="37"/>
        <v>0</v>
      </c>
      <c r="P60" s="54">
        <f t="shared" si="88"/>
        <v>365</v>
      </c>
      <c r="Q60" s="54">
        <f t="shared" si="88"/>
        <v>365</v>
      </c>
      <c r="R60" s="54">
        <f t="shared" si="38"/>
        <v>365</v>
      </c>
      <c r="S60" s="54">
        <f t="shared" si="38"/>
        <v>365</v>
      </c>
      <c r="T60" s="54">
        <f t="shared" si="38"/>
        <v>365</v>
      </c>
      <c r="U60" s="54">
        <f t="shared" si="39"/>
        <v>365</v>
      </c>
      <c r="V60" s="54">
        <f t="shared" si="39"/>
        <v>365</v>
      </c>
      <c r="W60" s="54">
        <f t="shared" si="38"/>
        <v>365</v>
      </c>
      <c r="Y60" s="60">
        <v>7</v>
      </c>
      <c r="Z60" s="54">
        <f t="shared" si="89"/>
        <v>8</v>
      </c>
      <c r="AA60" s="54">
        <f t="shared" si="90"/>
        <v>9</v>
      </c>
      <c r="AB60" s="54">
        <f t="shared" si="91"/>
        <v>10</v>
      </c>
      <c r="AC60" s="54">
        <f t="shared" si="92"/>
        <v>11</v>
      </c>
      <c r="AD60" s="54">
        <f t="shared" si="93"/>
        <v>12</v>
      </c>
      <c r="AE60" s="54">
        <f t="shared" si="94"/>
        <v>13</v>
      </c>
      <c r="AF60" s="54">
        <f t="shared" si="94"/>
        <v>14</v>
      </c>
      <c r="AG60" s="444"/>
      <c r="AH60" s="48">
        <f t="shared" si="95"/>
        <v>40</v>
      </c>
      <c r="AI60" s="48">
        <f t="shared" si="96"/>
        <v>40</v>
      </c>
      <c r="AJ60" s="48">
        <f t="shared" si="97"/>
        <v>40</v>
      </c>
      <c r="AK60" s="48">
        <f t="shared" si="98"/>
        <v>40</v>
      </c>
      <c r="AL60" s="48">
        <f t="shared" si="99"/>
        <v>40</v>
      </c>
      <c r="AM60" s="48">
        <f t="shared" si="46"/>
        <v>40</v>
      </c>
      <c r="AN60" s="48">
        <f t="shared" si="47"/>
        <v>40</v>
      </c>
      <c r="AP60" s="61">
        <v>0.25</v>
      </c>
      <c r="AQ60" s="61">
        <v>0.25</v>
      </c>
      <c r="AR60" s="61">
        <v>0.25</v>
      </c>
      <c r="AS60" s="61">
        <v>0.25</v>
      </c>
      <c r="AT60" s="61">
        <v>0.25</v>
      </c>
      <c r="AU60" s="61">
        <v>0.25</v>
      </c>
      <c r="AV60" s="61">
        <v>0.25</v>
      </c>
      <c r="AX60" s="52">
        <f t="shared" si="100"/>
        <v>87.66</v>
      </c>
      <c r="AY60" s="52">
        <f t="shared" si="101"/>
        <v>87.66</v>
      </c>
      <c r="AZ60" s="52">
        <f t="shared" si="102"/>
        <v>87.66</v>
      </c>
      <c r="BA60" s="52">
        <f t="shared" si="103"/>
        <v>87.66</v>
      </c>
      <c r="BB60" s="52">
        <f t="shared" si="104"/>
        <v>87.66</v>
      </c>
      <c r="BC60" s="52">
        <f t="shared" si="53"/>
        <v>87.66</v>
      </c>
      <c r="BD60" s="52">
        <f t="shared" si="54"/>
        <v>87.66</v>
      </c>
      <c r="BE60" s="57">
        <v>0.2</v>
      </c>
      <c r="BF60" s="52">
        <f t="shared" si="105"/>
        <v>89.600000000000009</v>
      </c>
      <c r="BG60" s="52">
        <f t="shared" si="106"/>
        <v>89.600000000000009</v>
      </c>
      <c r="BH60" s="52">
        <f t="shared" si="107"/>
        <v>89.600000000000009</v>
      </c>
      <c r="BI60" s="52">
        <f t="shared" si="108"/>
        <v>89.600000000000009</v>
      </c>
      <c r="BJ60" s="52">
        <f t="shared" si="109"/>
        <v>89.600000000000009</v>
      </c>
      <c r="BK60" s="52">
        <f t="shared" si="60"/>
        <v>89.600000000000009</v>
      </c>
      <c r="BL60" s="52">
        <f t="shared" si="61"/>
        <v>89.600000000000009</v>
      </c>
      <c r="BM60" s="297">
        <v>0.04</v>
      </c>
      <c r="BN60" s="69">
        <f t="shared" si="110"/>
        <v>112</v>
      </c>
      <c r="BO60" s="69">
        <f t="shared" si="111"/>
        <v>112</v>
      </c>
      <c r="BP60" s="69">
        <f t="shared" si="112"/>
        <v>112</v>
      </c>
      <c r="BQ60" s="69">
        <f t="shared" si="113"/>
        <v>112</v>
      </c>
      <c r="BR60" s="69">
        <f t="shared" si="114"/>
        <v>112</v>
      </c>
      <c r="BS60" s="69">
        <f t="shared" si="115"/>
        <v>112</v>
      </c>
      <c r="BT60" s="69">
        <f t="shared" si="116"/>
        <v>112</v>
      </c>
      <c r="BV60" s="69"/>
      <c r="BW60" s="69"/>
      <c r="BX60" s="69"/>
      <c r="BY60" s="69"/>
      <c r="BZ60" s="69"/>
      <c r="CA60" s="69"/>
      <c r="CB60" s="69"/>
      <c r="CC60" s="107">
        <v>0</v>
      </c>
      <c r="CD60" s="69">
        <v>0</v>
      </c>
      <c r="CE60" s="69">
        <f t="shared" si="32"/>
        <v>0</v>
      </c>
      <c r="CF60" s="69">
        <f t="shared" si="62"/>
        <v>0</v>
      </c>
      <c r="CG60" s="69">
        <f t="shared" si="34"/>
        <v>0</v>
      </c>
      <c r="CH60" s="69">
        <f t="shared" si="63"/>
        <v>0</v>
      </c>
      <c r="CI60" s="69">
        <f t="shared" si="64"/>
        <v>0</v>
      </c>
      <c r="CJ60" s="69">
        <f t="shared" si="65"/>
        <v>0</v>
      </c>
      <c r="CL60" s="54">
        <f t="shared" si="66"/>
        <v>0</v>
      </c>
      <c r="CM60" s="54">
        <f t="shared" si="67"/>
        <v>0</v>
      </c>
      <c r="CN60" s="54">
        <f t="shared" si="68"/>
        <v>0</v>
      </c>
      <c r="CO60" s="54">
        <f t="shared" si="69"/>
        <v>0</v>
      </c>
      <c r="CP60" s="54">
        <f t="shared" si="70"/>
        <v>0</v>
      </c>
      <c r="CQ60" s="54">
        <f t="shared" si="71"/>
        <v>0</v>
      </c>
      <c r="CR60" s="54">
        <f t="shared" si="72"/>
        <v>0</v>
      </c>
      <c r="CT60" s="54">
        <f t="shared" si="117"/>
        <v>0</v>
      </c>
      <c r="CU60" s="54">
        <f t="shared" si="118"/>
        <v>0</v>
      </c>
      <c r="CV60" s="54">
        <f t="shared" si="119"/>
        <v>0</v>
      </c>
      <c r="CW60" s="54">
        <f t="shared" si="120"/>
        <v>0</v>
      </c>
      <c r="CX60" s="54">
        <f t="shared" si="121"/>
        <v>0</v>
      </c>
      <c r="CY60" s="54">
        <f t="shared" si="122"/>
        <v>0</v>
      </c>
      <c r="CZ60" s="54">
        <f t="shared" si="74"/>
        <v>0</v>
      </c>
      <c r="DB60" s="54">
        <f t="shared" si="123"/>
        <v>0</v>
      </c>
      <c r="DC60" s="54">
        <f t="shared" si="124"/>
        <v>0</v>
      </c>
      <c r="DD60" s="54">
        <f t="shared" si="125"/>
        <v>0</v>
      </c>
      <c r="DE60" s="54">
        <f t="shared" si="126"/>
        <v>0</v>
      </c>
      <c r="DF60" s="54">
        <f t="shared" si="127"/>
        <v>0</v>
      </c>
      <c r="DG60" s="54">
        <f t="shared" si="128"/>
        <v>0</v>
      </c>
      <c r="DH60" s="54">
        <f t="shared" si="76"/>
        <v>0</v>
      </c>
      <c r="DJ60" s="54">
        <f t="shared" si="129"/>
        <v>89.6</v>
      </c>
      <c r="DK60" s="54">
        <f t="shared" si="130"/>
        <v>89.6</v>
      </c>
      <c r="DL60" s="54">
        <f t="shared" si="131"/>
        <v>89.6</v>
      </c>
      <c r="DM60" s="54">
        <f t="shared" si="132"/>
        <v>89.6</v>
      </c>
      <c r="DN60" s="54">
        <f t="shared" si="133"/>
        <v>89.6</v>
      </c>
      <c r="DO60" s="54">
        <f t="shared" si="134"/>
        <v>89.6</v>
      </c>
      <c r="DP60" s="54">
        <f t="shared" si="135"/>
        <v>89.6</v>
      </c>
      <c r="DR60" s="54">
        <f>+IF(Z60&gt;0,$K60*(1-$BE60)-SUM($DJ60:DJ60),DB60)</f>
        <v>2150.4</v>
      </c>
      <c r="DS60" s="54">
        <f>+IF(AA60&gt;0,$K60*(1-$BE60)-SUM($DJ60:DK60),DC60)</f>
        <v>2060.8000000000002</v>
      </c>
      <c r="DT60" s="54">
        <f>+IF(AB60&gt;0,$K60*(1-$BE60)-SUM($DJ60:DL60),DD60)</f>
        <v>1971.2</v>
      </c>
      <c r="DU60" s="54">
        <f>+IF(AC60&gt;0,$K60*(1-$BE60)-SUM($DJ60:DM60),DE60)</f>
        <v>1881.6</v>
      </c>
      <c r="DV60" s="54">
        <f>+IF(AD60&gt;0,$K60*(1-$BE60)-SUM($DJ60:DN60),DF60)</f>
        <v>1792</v>
      </c>
      <c r="DW60" s="54">
        <f>+IF(AE60&gt;0,$K60*(1-$BE60)-SUM($DJ60:DO60),DG60)</f>
        <v>1702.4</v>
      </c>
      <c r="DX60" s="54">
        <f>+IF(AF60&gt;0,$K60*(1-$BE60)-SUM($DJ60:DP60),DH60)</f>
        <v>1612.8</v>
      </c>
      <c r="DZ60" s="54">
        <f t="shared" si="136"/>
        <v>215.04000000000002</v>
      </c>
      <c r="EA60" s="54">
        <f t="shared" si="137"/>
        <v>206.08000000000004</v>
      </c>
      <c r="EB60" s="54">
        <f t="shared" si="138"/>
        <v>197.12</v>
      </c>
      <c r="EC60" s="54">
        <f t="shared" si="139"/>
        <v>188.16</v>
      </c>
      <c r="ED60" s="54">
        <f t="shared" si="140"/>
        <v>179.20000000000002</v>
      </c>
      <c r="EE60" s="54">
        <f t="shared" si="141"/>
        <v>170.24</v>
      </c>
      <c r="EF60" s="54">
        <f t="shared" si="79"/>
        <v>0</v>
      </c>
      <c r="EH60" s="48"/>
      <c r="EI60" s="48"/>
      <c r="EJ60" s="48"/>
      <c r="EK60" s="48"/>
      <c r="EL60" s="48"/>
      <c r="EM60" s="48"/>
      <c r="EN60" s="48"/>
      <c r="EP60" s="48"/>
      <c r="EQ60" s="48"/>
      <c r="ER60" s="48"/>
      <c r="ES60" s="48"/>
      <c r="ET60" s="48"/>
      <c r="EU60" s="48"/>
      <c r="EV60" s="48"/>
      <c r="EX60" s="48"/>
      <c r="EY60" s="48"/>
      <c r="EZ60" s="48"/>
      <c r="FA60" s="48"/>
      <c r="FB60" s="48"/>
      <c r="FC60" s="48"/>
      <c r="FD60" s="48"/>
      <c r="FF60" s="48"/>
      <c r="FG60" s="48"/>
      <c r="FH60" s="48"/>
      <c r="FI60" s="48"/>
      <c r="FJ60" s="48"/>
      <c r="FK60" s="48"/>
      <c r="FL60" s="48"/>
      <c r="FM60" s="51">
        <v>0</v>
      </c>
      <c r="FN60" s="48">
        <v>0</v>
      </c>
      <c r="FO60" s="48">
        <f t="shared" si="80"/>
        <v>0</v>
      </c>
      <c r="FP60" s="48"/>
      <c r="FQ60" s="48"/>
      <c r="FR60" s="48"/>
      <c r="FS60" s="48"/>
      <c r="FT60" s="48"/>
      <c r="FV60" s="48">
        <f t="shared" si="81"/>
        <v>7.79</v>
      </c>
      <c r="FW60" s="48">
        <f t="shared" si="82"/>
        <v>7.79</v>
      </c>
      <c r="FX60" s="48">
        <f t="shared" si="83"/>
        <v>7.79</v>
      </c>
      <c r="FY60" s="48">
        <f t="shared" si="84"/>
        <v>7.79</v>
      </c>
      <c r="FZ60" s="48">
        <f t="shared" si="85"/>
        <v>7.79</v>
      </c>
      <c r="GA60" s="48">
        <f t="shared" si="86"/>
        <v>7.79</v>
      </c>
      <c r="GB60" s="48">
        <f t="shared" si="87"/>
        <v>7.79</v>
      </c>
    </row>
    <row r="61" spans="2:184" x14ac:dyDescent="0.2">
      <c r="B61" s="393" t="str">
        <f>Key_New!D11</f>
        <v>Andhra Pradesh</v>
      </c>
      <c r="C61" s="394" t="str">
        <f>Key_New!B11</f>
        <v>Niranjana Solar Power Pvt Ltd</v>
      </c>
      <c r="D61" s="395" t="str">
        <f>Key_New!E11</f>
        <v>Solar</v>
      </c>
      <c r="E61" s="396" t="str">
        <f>Key_New!C11</f>
        <v>Operational</v>
      </c>
      <c r="F61" s="397">
        <f>Key_New!F11</f>
        <v>20</v>
      </c>
      <c r="G61" s="398">
        <f t="shared" si="31"/>
        <v>42460</v>
      </c>
      <c r="H61" s="399">
        <f>Key_New!O11</f>
        <v>42460</v>
      </c>
      <c r="I61" s="369">
        <f t="shared" si="35"/>
        <v>2016</v>
      </c>
      <c r="J61" s="367">
        <v>70</v>
      </c>
      <c r="K61" s="370">
        <f t="shared" si="36"/>
        <v>1400</v>
      </c>
      <c r="L61" s="368">
        <v>0.12</v>
      </c>
      <c r="M61" s="368">
        <v>0.25</v>
      </c>
      <c r="N61" s="403">
        <f>Key_New!J11</f>
        <v>7.45</v>
      </c>
      <c r="O61" s="462">
        <f t="shared" si="37"/>
        <v>0</v>
      </c>
      <c r="P61" s="54">
        <f t="shared" si="88"/>
        <v>365</v>
      </c>
      <c r="Q61" s="54">
        <f t="shared" si="88"/>
        <v>365</v>
      </c>
      <c r="R61" s="54">
        <f t="shared" si="38"/>
        <v>365</v>
      </c>
      <c r="S61" s="54">
        <f t="shared" si="38"/>
        <v>365</v>
      </c>
      <c r="T61" s="54">
        <f t="shared" si="38"/>
        <v>365</v>
      </c>
      <c r="U61" s="54">
        <f t="shared" si="39"/>
        <v>365</v>
      </c>
      <c r="V61" s="54">
        <f t="shared" si="39"/>
        <v>365</v>
      </c>
      <c r="W61" s="54">
        <f t="shared" si="38"/>
        <v>365</v>
      </c>
      <c r="Y61" s="60">
        <v>8</v>
      </c>
      <c r="Z61" s="54">
        <f t="shared" si="89"/>
        <v>9</v>
      </c>
      <c r="AA61" s="54">
        <f t="shared" si="90"/>
        <v>10</v>
      </c>
      <c r="AB61" s="54">
        <f t="shared" si="91"/>
        <v>11</v>
      </c>
      <c r="AC61" s="54">
        <f t="shared" si="92"/>
        <v>12</v>
      </c>
      <c r="AD61" s="54">
        <f t="shared" si="93"/>
        <v>13</v>
      </c>
      <c r="AE61" s="54">
        <f t="shared" si="94"/>
        <v>14</v>
      </c>
      <c r="AF61" s="54">
        <f t="shared" si="94"/>
        <v>15</v>
      </c>
      <c r="AG61" s="444"/>
      <c r="AH61" s="48">
        <f t="shared" si="95"/>
        <v>20</v>
      </c>
      <c r="AI61" s="48">
        <f t="shared" si="96"/>
        <v>20</v>
      </c>
      <c r="AJ61" s="48">
        <f t="shared" si="97"/>
        <v>20</v>
      </c>
      <c r="AK61" s="48">
        <f t="shared" si="98"/>
        <v>20</v>
      </c>
      <c r="AL61" s="48">
        <f t="shared" si="99"/>
        <v>20</v>
      </c>
      <c r="AM61" s="48">
        <f t="shared" si="46"/>
        <v>20</v>
      </c>
      <c r="AN61" s="48">
        <f t="shared" si="47"/>
        <v>20</v>
      </c>
      <c r="AP61" s="61">
        <v>0.25</v>
      </c>
      <c r="AQ61" s="61">
        <v>0.25</v>
      </c>
      <c r="AR61" s="61">
        <v>0.25</v>
      </c>
      <c r="AS61" s="61">
        <v>0.25</v>
      </c>
      <c r="AT61" s="61">
        <v>0.25</v>
      </c>
      <c r="AU61" s="61">
        <v>0.25</v>
      </c>
      <c r="AV61" s="61">
        <v>0.25</v>
      </c>
      <c r="AX61" s="52">
        <f t="shared" si="100"/>
        <v>43.83</v>
      </c>
      <c r="AY61" s="52">
        <f t="shared" si="101"/>
        <v>43.83</v>
      </c>
      <c r="AZ61" s="52">
        <f t="shared" si="102"/>
        <v>43.83</v>
      </c>
      <c r="BA61" s="52">
        <f t="shared" si="103"/>
        <v>43.83</v>
      </c>
      <c r="BB61" s="52">
        <f t="shared" si="104"/>
        <v>43.83</v>
      </c>
      <c r="BC61" s="52">
        <f t="shared" si="53"/>
        <v>43.83</v>
      </c>
      <c r="BD61" s="52">
        <f t="shared" si="54"/>
        <v>43.83</v>
      </c>
      <c r="BE61" s="57">
        <v>0.2</v>
      </c>
      <c r="BF61" s="52">
        <f t="shared" si="105"/>
        <v>44.800000000000004</v>
      </c>
      <c r="BG61" s="52">
        <f t="shared" si="106"/>
        <v>44.800000000000004</v>
      </c>
      <c r="BH61" s="52">
        <f t="shared" si="107"/>
        <v>44.800000000000004</v>
      </c>
      <c r="BI61" s="52">
        <f t="shared" si="108"/>
        <v>44.800000000000004</v>
      </c>
      <c r="BJ61" s="52">
        <f t="shared" si="109"/>
        <v>44.800000000000004</v>
      </c>
      <c r="BK61" s="52">
        <f t="shared" si="60"/>
        <v>44.800000000000004</v>
      </c>
      <c r="BL61" s="52">
        <f t="shared" si="61"/>
        <v>44.800000000000004</v>
      </c>
      <c r="BM61" s="297">
        <v>0.04</v>
      </c>
      <c r="BN61" s="69">
        <f t="shared" si="110"/>
        <v>56</v>
      </c>
      <c r="BO61" s="69">
        <f t="shared" si="111"/>
        <v>56</v>
      </c>
      <c r="BP61" s="69">
        <f t="shared" si="112"/>
        <v>56</v>
      </c>
      <c r="BQ61" s="69">
        <f t="shared" si="113"/>
        <v>56</v>
      </c>
      <c r="BR61" s="69">
        <f t="shared" si="114"/>
        <v>56</v>
      </c>
      <c r="BS61" s="69">
        <f t="shared" si="115"/>
        <v>56</v>
      </c>
      <c r="BT61" s="69">
        <f t="shared" si="116"/>
        <v>56</v>
      </c>
      <c r="BV61" s="69"/>
      <c r="BW61" s="69"/>
      <c r="BX61" s="69"/>
      <c r="BY61" s="69"/>
      <c r="BZ61" s="69"/>
      <c r="CA61" s="69"/>
      <c r="CB61" s="69"/>
      <c r="CC61" s="107">
        <v>0</v>
      </c>
      <c r="CD61" s="69">
        <v>0</v>
      </c>
      <c r="CE61" s="69">
        <f t="shared" si="32"/>
        <v>0</v>
      </c>
      <c r="CF61" s="69">
        <f t="shared" si="62"/>
        <v>0</v>
      </c>
      <c r="CG61" s="69">
        <f t="shared" si="34"/>
        <v>0</v>
      </c>
      <c r="CH61" s="69">
        <f t="shared" si="63"/>
        <v>0</v>
      </c>
      <c r="CI61" s="69">
        <f t="shared" si="64"/>
        <v>0</v>
      </c>
      <c r="CJ61" s="69">
        <f t="shared" si="65"/>
        <v>0</v>
      </c>
      <c r="CL61" s="54">
        <f t="shared" si="66"/>
        <v>0</v>
      </c>
      <c r="CM61" s="54">
        <f t="shared" si="67"/>
        <v>0</v>
      </c>
      <c r="CN61" s="54">
        <f t="shared" si="68"/>
        <v>0</v>
      </c>
      <c r="CO61" s="54">
        <f t="shared" si="69"/>
        <v>0</v>
      </c>
      <c r="CP61" s="54">
        <f t="shared" si="70"/>
        <v>0</v>
      </c>
      <c r="CQ61" s="54">
        <f t="shared" si="71"/>
        <v>0</v>
      </c>
      <c r="CR61" s="54">
        <f t="shared" si="72"/>
        <v>0</v>
      </c>
      <c r="CT61" s="54">
        <f t="shared" si="117"/>
        <v>0</v>
      </c>
      <c r="CU61" s="54">
        <f t="shared" si="118"/>
        <v>0</v>
      </c>
      <c r="CV61" s="54">
        <f t="shared" si="119"/>
        <v>0</v>
      </c>
      <c r="CW61" s="54">
        <f t="shared" si="120"/>
        <v>0</v>
      </c>
      <c r="CX61" s="54">
        <f t="shared" si="121"/>
        <v>0</v>
      </c>
      <c r="CY61" s="54">
        <f t="shared" si="122"/>
        <v>0</v>
      </c>
      <c r="CZ61" s="54">
        <f t="shared" si="74"/>
        <v>0</v>
      </c>
      <c r="DB61" s="54">
        <f t="shared" si="123"/>
        <v>0</v>
      </c>
      <c r="DC61" s="54">
        <f t="shared" si="124"/>
        <v>0</v>
      </c>
      <c r="DD61" s="54">
        <f t="shared" si="125"/>
        <v>0</v>
      </c>
      <c r="DE61" s="54">
        <f t="shared" si="126"/>
        <v>0</v>
      </c>
      <c r="DF61" s="54">
        <f t="shared" si="127"/>
        <v>0</v>
      </c>
      <c r="DG61" s="54">
        <f t="shared" si="128"/>
        <v>0</v>
      </c>
      <c r="DH61" s="54">
        <f t="shared" si="76"/>
        <v>0</v>
      </c>
      <c r="DJ61" s="54">
        <f t="shared" si="129"/>
        <v>44.8</v>
      </c>
      <c r="DK61" s="54">
        <f t="shared" si="130"/>
        <v>44.8</v>
      </c>
      <c r="DL61" s="54">
        <f t="shared" si="131"/>
        <v>44.8</v>
      </c>
      <c r="DM61" s="54">
        <f t="shared" si="132"/>
        <v>44.8</v>
      </c>
      <c r="DN61" s="54">
        <f t="shared" si="133"/>
        <v>44.8</v>
      </c>
      <c r="DO61" s="54">
        <f t="shared" si="134"/>
        <v>44.8</v>
      </c>
      <c r="DP61" s="54">
        <f t="shared" si="135"/>
        <v>44.8</v>
      </c>
      <c r="DR61" s="54">
        <f>+IF(Z61&gt;0,$K61*(1-$BE61)-SUM($DJ61:DJ61),DB61)</f>
        <v>1075.2</v>
      </c>
      <c r="DS61" s="54">
        <f>+IF(AA61&gt;0,$K61*(1-$BE61)-SUM($DJ61:DK61),DC61)</f>
        <v>1030.4000000000001</v>
      </c>
      <c r="DT61" s="54">
        <f>+IF(AB61&gt;0,$K61*(1-$BE61)-SUM($DJ61:DL61),DD61)</f>
        <v>985.6</v>
      </c>
      <c r="DU61" s="54">
        <f>+IF(AC61&gt;0,$K61*(1-$BE61)-SUM($DJ61:DM61),DE61)</f>
        <v>940.8</v>
      </c>
      <c r="DV61" s="54">
        <f>+IF(AD61&gt;0,$K61*(1-$BE61)-SUM($DJ61:DN61),DF61)</f>
        <v>896</v>
      </c>
      <c r="DW61" s="54">
        <f>+IF(AE61&gt;0,$K61*(1-$BE61)-SUM($DJ61:DO61),DG61)</f>
        <v>851.2</v>
      </c>
      <c r="DX61" s="54">
        <f>+IF(AF61&gt;0,$K61*(1-$BE61)-SUM($DJ61:DP61),DH61)</f>
        <v>806.4</v>
      </c>
      <c r="DZ61" s="54">
        <f t="shared" si="136"/>
        <v>107.52000000000001</v>
      </c>
      <c r="EA61" s="54">
        <f t="shared" si="137"/>
        <v>103.04000000000002</v>
      </c>
      <c r="EB61" s="54">
        <f t="shared" si="138"/>
        <v>98.56</v>
      </c>
      <c r="EC61" s="54">
        <f t="shared" si="139"/>
        <v>94.08</v>
      </c>
      <c r="ED61" s="54">
        <f t="shared" si="140"/>
        <v>89.600000000000009</v>
      </c>
      <c r="EE61" s="54">
        <f t="shared" si="141"/>
        <v>85.12</v>
      </c>
      <c r="EF61" s="54">
        <f t="shared" si="79"/>
        <v>0</v>
      </c>
      <c r="EH61" s="48"/>
      <c r="EI61" s="48"/>
      <c r="EJ61" s="48"/>
      <c r="EK61" s="48"/>
      <c r="EL61" s="48"/>
      <c r="EM61" s="48"/>
      <c r="EN61" s="48"/>
      <c r="EP61" s="48"/>
      <c r="EQ61" s="48"/>
      <c r="ER61" s="48"/>
      <c r="ES61" s="48"/>
      <c r="ET61" s="48"/>
      <c r="EU61" s="48"/>
      <c r="EV61" s="48"/>
      <c r="EX61" s="48"/>
      <c r="EY61" s="48"/>
      <c r="EZ61" s="48"/>
      <c r="FA61" s="48"/>
      <c r="FB61" s="48"/>
      <c r="FC61" s="48"/>
      <c r="FD61" s="48"/>
      <c r="FF61" s="48"/>
      <c r="FG61" s="48"/>
      <c r="FH61" s="48"/>
      <c r="FI61" s="48"/>
      <c r="FJ61" s="48"/>
      <c r="FK61" s="48"/>
      <c r="FL61" s="48"/>
      <c r="FM61" s="51">
        <v>0</v>
      </c>
      <c r="FN61" s="48">
        <v>0</v>
      </c>
      <c r="FO61" s="48">
        <f t="shared" si="80"/>
        <v>0</v>
      </c>
      <c r="FP61" s="48"/>
      <c r="FQ61" s="48"/>
      <c r="FR61" s="48"/>
      <c r="FS61" s="48"/>
      <c r="FT61" s="48"/>
      <c r="FV61" s="48">
        <f t="shared" si="81"/>
        <v>7.45</v>
      </c>
      <c r="FW61" s="48">
        <f t="shared" si="82"/>
        <v>7.45</v>
      </c>
      <c r="FX61" s="48">
        <f t="shared" si="83"/>
        <v>7.45</v>
      </c>
      <c r="FY61" s="48">
        <f t="shared" si="84"/>
        <v>7.45</v>
      </c>
      <c r="FZ61" s="48">
        <f t="shared" si="85"/>
        <v>7.45</v>
      </c>
      <c r="GA61" s="48">
        <f t="shared" si="86"/>
        <v>7.45</v>
      </c>
      <c r="GB61" s="48">
        <f t="shared" si="87"/>
        <v>7.45</v>
      </c>
    </row>
    <row r="62" spans="2:184" x14ac:dyDescent="0.2">
      <c r="B62" s="393" t="str">
        <f>Key_New!D12</f>
        <v>Andhra Pradesh</v>
      </c>
      <c r="C62" s="394" t="str">
        <f>Key_New!B12</f>
        <v>Viswatma Solar Energy Pvt Ltd</v>
      </c>
      <c r="D62" s="395" t="str">
        <f>Key_New!E12</f>
        <v>Solar</v>
      </c>
      <c r="E62" s="396" t="str">
        <f>Key_New!C12</f>
        <v>Operational</v>
      </c>
      <c r="F62" s="397">
        <f>Key_New!F12</f>
        <v>30</v>
      </c>
      <c r="G62" s="398">
        <f t="shared" si="31"/>
        <v>42490</v>
      </c>
      <c r="H62" s="399">
        <f>Key_New!O12</f>
        <v>42490</v>
      </c>
      <c r="I62" s="369">
        <f t="shared" si="35"/>
        <v>2017</v>
      </c>
      <c r="J62" s="367">
        <v>70</v>
      </c>
      <c r="K62" s="370">
        <f t="shared" si="36"/>
        <v>2100</v>
      </c>
      <c r="L62" s="368">
        <v>0.12</v>
      </c>
      <c r="M62" s="368">
        <v>0.25</v>
      </c>
      <c r="N62" s="403">
        <f>Key_New!J12</f>
        <v>7.45</v>
      </c>
      <c r="O62" s="462">
        <f t="shared" si="37"/>
        <v>0</v>
      </c>
      <c r="P62" s="54">
        <f t="shared" si="88"/>
        <v>365</v>
      </c>
      <c r="Q62" s="54">
        <f t="shared" si="88"/>
        <v>365</v>
      </c>
      <c r="R62" s="54">
        <f t="shared" si="38"/>
        <v>365</v>
      </c>
      <c r="S62" s="54">
        <f t="shared" si="38"/>
        <v>365</v>
      </c>
      <c r="T62" s="54">
        <f t="shared" si="38"/>
        <v>365</v>
      </c>
      <c r="U62" s="54">
        <f t="shared" si="39"/>
        <v>365</v>
      </c>
      <c r="V62" s="54">
        <f t="shared" si="39"/>
        <v>365</v>
      </c>
      <c r="W62" s="54">
        <f t="shared" si="38"/>
        <v>365</v>
      </c>
      <c r="Y62" s="60">
        <v>7</v>
      </c>
      <c r="Z62" s="54">
        <f t="shared" si="89"/>
        <v>8</v>
      </c>
      <c r="AA62" s="54">
        <f t="shared" si="90"/>
        <v>9</v>
      </c>
      <c r="AB62" s="54">
        <f t="shared" si="91"/>
        <v>10</v>
      </c>
      <c r="AC62" s="54">
        <f t="shared" si="92"/>
        <v>11</v>
      </c>
      <c r="AD62" s="54">
        <f t="shared" si="93"/>
        <v>12</v>
      </c>
      <c r="AE62" s="54">
        <f t="shared" si="94"/>
        <v>13</v>
      </c>
      <c r="AF62" s="54">
        <f t="shared" si="94"/>
        <v>14</v>
      </c>
      <c r="AG62" s="444"/>
      <c r="AH62" s="48">
        <f t="shared" si="95"/>
        <v>30</v>
      </c>
      <c r="AI62" s="48">
        <f t="shared" si="96"/>
        <v>30</v>
      </c>
      <c r="AJ62" s="48">
        <f t="shared" si="97"/>
        <v>30</v>
      </c>
      <c r="AK62" s="48">
        <f t="shared" si="98"/>
        <v>30</v>
      </c>
      <c r="AL62" s="48">
        <f t="shared" si="99"/>
        <v>30</v>
      </c>
      <c r="AM62" s="48">
        <f t="shared" si="46"/>
        <v>30</v>
      </c>
      <c r="AN62" s="48">
        <f t="shared" si="47"/>
        <v>30</v>
      </c>
      <c r="AP62" s="61">
        <v>0.25</v>
      </c>
      <c r="AQ62" s="61">
        <v>0.25</v>
      </c>
      <c r="AR62" s="61">
        <v>0.25</v>
      </c>
      <c r="AS62" s="61">
        <v>0.25</v>
      </c>
      <c r="AT62" s="61">
        <v>0.25</v>
      </c>
      <c r="AU62" s="61">
        <v>0.25</v>
      </c>
      <c r="AV62" s="61">
        <v>0.25</v>
      </c>
      <c r="AX62" s="52">
        <f t="shared" si="100"/>
        <v>65.745000000000005</v>
      </c>
      <c r="AY62" s="52">
        <f t="shared" si="101"/>
        <v>65.745000000000005</v>
      </c>
      <c r="AZ62" s="52">
        <f t="shared" si="102"/>
        <v>65.745000000000005</v>
      </c>
      <c r="BA62" s="52">
        <f t="shared" si="103"/>
        <v>65.745000000000005</v>
      </c>
      <c r="BB62" s="52">
        <f t="shared" si="104"/>
        <v>65.745000000000005</v>
      </c>
      <c r="BC62" s="52">
        <f t="shared" si="53"/>
        <v>65.745000000000005</v>
      </c>
      <c r="BD62" s="52">
        <f t="shared" si="54"/>
        <v>65.745000000000005</v>
      </c>
      <c r="BE62" s="57">
        <v>0.2</v>
      </c>
      <c r="BF62" s="52">
        <f t="shared" si="105"/>
        <v>67.2</v>
      </c>
      <c r="BG62" s="52">
        <f t="shared" si="106"/>
        <v>67.2</v>
      </c>
      <c r="BH62" s="52">
        <f t="shared" si="107"/>
        <v>67.2</v>
      </c>
      <c r="BI62" s="52">
        <f t="shared" si="108"/>
        <v>67.2</v>
      </c>
      <c r="BJ62" s="52">
        <f t="shared" si="109"/>
        <v>67.2</v>
      </c>
      <c r="BK62" s="52">
        <f t="shared" si="60"/>
        <v>67.2</v>
      </c>
      <c r="BL62" s="52">
        <f t="shared" si="61"/>
        <v>67.2</v>
      </c>
      <c r="BM62" s="297">
        <v>0.04</v>
      </c>
      <c r="BN62" s="69">
        <f t="shared" si="110"/>
        <v>84</v>
      </c>
      <c r="BO62" s="69">
        <f t="shared" si="111"/>
        <v>84</v>
      </c>
      <c r="BP62" s="69">
        <f t="shared" si="112"/>
        <v>84</v>
      </c>
      <c r="BQ62" s="69">
        <f t="shared" si="113"/>
        <v>84</v>
      </c>
      <c r="BR62" s="69">
        <f t="shared" si="114"/>
        <v>84</v>
      </c>
      <c r="BS62" s="69">
        <f t="shared" si="115"/>
        <v>84</v>
      </c>
      <c r="BT62" s="69">
        <f t="shared" si="116"/>
        <v>84</v>
      </c>
      <c r="BV62" s="69"/>
      <c r="BW62" s="69"/>
      <c r="BX62" s="69"/>
      <c r="BY62" s="69"/>
      <c r="BZ62" s="69"/>
      <c r="CA62" s="69"/>
      <c r="CB62" s="69"/>
      <c r="CC62" s="107">
        <v>0</v>
      </c>
      <c r="CD62" s="69">
        <v>0</v>
      </c>
      <c r="CE62" s="69">
        <f t="shared" si="32"/>
        <v>0</v>
      </c>
      <c r="CF62" s="69">
        <f t="shared" si="62"/>
        <v>0</v>
      </c>
      <c r="CG62" s="69">
        <f t="shared" si="34"/>
        <v>0</v>
      </c>
      <c r="CH62" s="69">
        <f t="shared" si="63"/>
        <v>0</v>
      </c>
      <c r="CI62" s="69">
        <f t="shared" si="64"/>
        <v>0</v>
      </c>
      <c r="CJ62" s="69">
        <f t="shared" si="65"/>
        <v>0</v>
      </c>
      <c r="CL62" s="54">
        <f t="shared" si="66"/>
        <v>0</v>
      </c>
      <c r="CM62" s="54">
        <f t="shared" si="67"/>
        <v>0</v>
      </c>
      <c r="CN62" s="54">
        <f t="shared" si="68"/>
        <v>0</v>
      </c>
      <c r="CO62" s="54">
        <f t="shared" si="69"/>
        <v>0</v>
      </c>
      <c r="CP62" s="54">
        <f t="shared" si="70"/>
        <v>0</v>
      </c>
      <c r="CQ62" s="54">
        <f t="shared" si="71"/>
        <v>0</v>
      </c>
      <c r="CR62" s="54">
        <f t="shared" si="72"/>
        <v>0</v>
      </c>
      <c r="CT62" s="54">
        <f t="shared" si="117"/>
        <v>0</v>
      </c>
      <c r="CU62" s="54">
        <f t="shared" si="118"/>
        <v>0</v>
      </c>
      <c r="CV62" s="54">
        <f t="shared" si="119"/>
        <v>0</v>
      </c>
      <c r="CW62" s="54">
        <f t="shared" si="120"/>
        <v>0</v>
      </c>
      <c r="CX62" s="54">
        <f t="shared" si="121"/>
        <v>0</v>
      </c>
      <c r="CY62" s="54">
        <f t="shared" si="122"/>
        <v>0</v>
      </c>
      <c r="CZ62" s="54">
        <f t="shared" si="74"/>
        <v>0</v>
      </c>
      <c r="DB62" s="54">
        <f t="shared" si="123"/>
        <v>0</v>
      </c>
      <c r="DC62" s="54">
        <f t="shared" si="124"/>
        <v>0</v>
      </c>
      <c r="DD62" s="54">
        <f t="shared" si="125"/>
        <v>0</v>
      </c>
      <c r="DE62" s="54">
        <f t="shared" si="126"/>
        <v>0</v>
      </c>
      <c r="DF62" s="54">
        <f t="shared" si="127"/>
        <v>0</v>
      </c>
      <c r="DG62" s="54">
        <f t="shared" si="128"/>
        <v>0</v>
      </c>
      <c r="DH62" s="54">
        <f t="shared" si="76"/>
        <v>0</v>
      </c>
      <c r="DJ62" s="54">
        <f t="shared" si="129"/>
        <v>67.2</v>
      </c>
      <c r="DK62" s="54">
        <f t="shared" si="130"/>
        <v>67.2</v>
      </c>
      <c r="DL62" s="54">
        <f t="shared" si="131"/>
        <v>67.2</v>
      </c>
      <c r="DM62" s="54">
        <f t="shared" si="132"/>
        <v>67.2</v>
      </c>
      <c r="DN62" s="54">
        <f t="shared" si="133"/>
        <v>67.2</v>
      </c>
      <c r="DO62" s="54">
        <f t="shared" si="134"/>
        <v>67.2</v>
      </c>
      <c r="DP62" s="54">
        <f t="shared" si="135"/>
        <v>67.2</v>
      </c>
      <c r="DR62" s="54">
        <f>+IF(Z62&gt;0,$K62*(1-$BE62)-SUM($DJ62:DJ62),DB62)</f>
        <v>1612.8</v>
      </c>
      <c r="DS62" s="54">
        <f>+IF(AA62&gt;0,$K62*(1-$BE62)-SUM($DJ62:DK62),DC62)</f>
        <v>1545.6</v>
      </c>
      <c r="DT62" s="54">
        <f>+IF(AB62&gt;0,$K62*(1-$BE62)-SUM($DJ62:DL62),DD62)</f>
        <v>1478.4</v>
      </c>
      <c r="DU62" s="54">
        <f>+IF(AC62&gt;0,$K62*(1-$BE62)-SUM($DJ62:DM62),DE62)</f>
        <v>1411.2</v>
      </c>
      <c r="DV62" s="54">
        <f>+IF(AD62&gt;0,$K62*(1-$BE62)-SUM($DJ62:DN62),DF62)</f>
        <v>1344</v>
      </c>
      <c r="DW62" s="54">
        <f>+IF(AE62&gt;0,$K62*(1-$BE62)-SUM($DJ62:DO62),DG62)</f>
        <v>1276.8</v>
      </c>
      <c r="DX62" s="54">
        <f>+IF(AF62&gt;0,$K62*(1-$BE62)-SUM($DJ62:DP62),DH62)</f>
        <v>1209.5999999999999</v>
      </c>
      <c r="DZ62" s="54">
        <f t="shared" si="136"/>
        <v>161.28</v>
      </c>
      <c r="EA62" s="54">
        <f t="shared" si="137"/>
        <v>154.56</v>
      </c>
      <c r="EB62" s="54">
        <f t="shared" si="138"/>
        <v>147.84</v>
      </c>
      <c r="EC62" s="54">
        <f t="shared" si="139"/>
        <v>141.12</v>
      </c>
      <c r="ED62" s="54">
        <f t="shared" si="140"/>
        <v>134.4</v>
      </c>
      <c r="EE62" s="54">
        <f t="shared" si="141"/>
        <v>127.68</v>
      </c>
      <c r="EF62" s="54">
        <f t="shared" si="79"/>
        <v>0</v>
      </c>
      <c r="EH62" s="48"/>
      <c r="EI62" s="48"/>
      <c r="EJ62" s="48"/>
      <c r="EK62" s="48"/>
      <c r="EL62" s="48"/>
      <c r="EM62" s="48"/>
      <c r="EN62" s="48"/>
      <c r="EP62" s="48"/>
      <c r="EQ62" s="48"/>
      <c r="ER62" s="48"/>
      <c r="ES62" s="48"/>
      <c r="ET62" s="48"/>
      <c r="EU62" s="48"/>
      <c r="EV62" s="48"/>
      <c r="EX62" s="48"/>
      <c r="EY62" s="48"/>
      <c r="EZ62" s="48"/>
      <c r="FA62" s="48"/>
      <c r="FB62" s="48"/>
      <c r="FC62" s="48"/>
      <c r="FD62" s="48"/>
      <c r="FF62" s="48"/>
      <c r="FG62" s="48"/>
      <c r="FH62" s="48"/>
      <c r="FI62" s="48"/>
      <c r="FJ62" s="48"/>
      <c r="FK62" s="48"/>
      <c r="FL62" s="48"/>
      <c r="FM62" s="51">
        <v>0</v>
      </c>
      <c r="FN62" s="48">
        <v>0</v>
      </c>
      <c r="FO62" s="48">
        <f t="shared" si="80"/>
        <v>0</v>
      </c>
      <c r="FP62" s="48"/>
      <c r="FQ62" s="48"/>
      <c r="FR62" s="48"/>
      <c r="FS62" s="48"/>
      <c r="FT62" s="48"/>
      <c r="FV62" s="48">
        <f t="shared" si="81"/>
        <v>7.45</v>
      </c>
      <c r="FW62" s="48">
        <f t="shared" si="82"/>
        <v>7.45</v>
      </c>
      <c r="FX62" s="48">
        <f t="shared" si="83"/>
        <v>7.45</v>
      </c>
      <c r="FY62" s="48">
        <f t="shared" si="84"/>
        <v>7.45</v>
      </c>
      <c r="FZ62" s="48">
        <f t="shared" si="85"/>
        <v>7.45</v>
      </c>
      <c r="GA62" s="48">
        <f t="shared" si="86"/>
        <v>7.45</v>
      </c>
      <c r="GB62" s="48">
        <f t="shared" si="87"/>
        <v>7.45</v>
      </c>
    </row>
    <row r="63" spans="2:184" x14ac:dyDescent="0.2">
      <c r="B63" s="393" t="str">
        <f>Key_New!D13</f>
        <v>Bihar</v>
      </c>
      <c r="C63" s="394" t="str">
        <f>Key_New!B13</f>
        <v>ACME Magadh Solar Power Pvt Ltd</v>
      </c>
      <c r="D63" s="395" t="str">
        <f>Key_New!E13</f>
        <v>Solar</v>
      </c>
      <c r="E63" s="396" t="str">
        <f>Key_New!C13</f>
        <v>Operational</v>
      </c>
      <c r="F63" s="397">
        <f>Key_New!F13</f>
        <v>10</v>
      </c>
      <c r="G63" s="398">
        <f t="shared" si="31"/>
        <v>42551</v>
      </c>
      <c r="H63" s="399">
        <f>Key_New!O13</f>
        <v>42551</v>
      </c>
      <c r="I63" s="369">
        <f t="shared" si="35"/>
        <v>2017</v>
      </c>
      <c r="J63" s="367">
        <v>70</v>
      </c>
      <c r="K63" s="370">
        <f t="shared" si="36"/>
        <v>700</v>
      </c>
      <c r="L63" s="368">
        <v>0.12</v>
      </c>
      <c r="M63" s="368">
        <v>0.25</v>
      </c>
      <c r="N63" s="403">
        <f>Key_New!J13</f>
        <v>8.73</v>
      </c>
      <c r="O63" s="462">
        <f t="shared" si="37"/>
        <v>0</v>
      </c>
      <c r="P63" s="54">
        <f t="shared" si="88"/>
        <v>365</v>
      </c>
      <c r="Q63" s="54">
        <f t="shared" si="88"/>
        <v>365</v>
      </c>
      <c r="R63" s="54">
        <f t="shared" si="38"/>
        <v>365</v>
      </c>
      <c r="S63" s="54">
        <f t="shared" si="38"/>
        <v>365</v>
      </c>
      <c r="T63" s="54">
        <f t="shared" si="38"/>
        <v>365</v>
      </c>
      <c r="U63" s="54">
        <f t="shared" si="39"/>
        <v>365</v>
      </c>
      <c r="V63" s="54">
        <f t="shared" si="39"/>
        <v>365</v>
      </c>
      <c r="W63" s="54">
        <f t="shared" si="38"/>
        <v>365</v>
      </c>
      <c r="Y63" s="60">
        <v>7</v>
      </c>
      <c r="Z63" s="54">
        <f t="shared" si="89"/>
        <v>8</v>
      </c>
      <c r="AA63" s="54">
        <f t="shared" si="90"/>
        <v>9</v>
      </c>
      <c r="AB63" s="54">
        <f t="shared" si="91"/>
        <v>10</v>
      </c>
      <c r="AC63" s="54">
        <f t="shared" si="92"/>
        <v>11</v>
      </c>
      <c r="AD63" s="54">
        <f t="shared" si="93"/>
        <v>12</v>
      </c>
      <c r="AE63" s="54">
        <f t="shared" si="94"/>
        <v>13</v>
      </c>
      <c r="AF63" s="54">
        <f t="shared" si="94"/>
        <v>14</v>
      </c>
      <c r="AG63" s="444"/>
      <c r="AH63" s="48">
        <f t="shared" si="95"/>
        <v>10</v>
      </c>
      <c r="AI63" s="48">
        <f t="shared" si="96"/>
        <v>10</v>
      </c>
      <c r="AJ63" s="48">
        <f t="shared" si="97"/>
        <v>10</v>
      </c>
      <c r="AK63" s="48">
        <f t="shared" si="98"/>
        <v>10</v>
      </c>
      <c r="AL63" s="48">
        <f t="shared" si="99"/>
        <v>10</v>
      </c>
      <c r="AM63" s="48">
        <f t="shared" si="46"/>
        <v>10</v>
      </c>
      <c r="AN63" s="48">
        <f t="shared" si="47"/>
        <v>10</v>
      </c>
      <c r="AP63" s="61">
        <v>0.25</v>
      </c>
      <c r="AQ63" s="61">
        <v>0.25</v>
      </c>
      <c r="AR63" s="61">
        <v>0.25</v>
      </c>
      <c r="AS63" s="61">
        <v>0.25</v>
      </c>
      <c r="AT63" s="61">
        <v>0.25</v>
      </c>
      <c r="AU63" s="61">
        <v>0.25</v>
      </c>
      <c r="AV63" s="61">
        <v>0.25</v>
      </c>
      <c r="AX63" s="52">
        <f t="shared" si="100"/>
        <v>21.914999999999999</v>
      </c>
      <c r="AY63" s="52">
        <f t="shared" si="101"/>
        <v>21.914999999999999</v>
      </c>
      <c r="AZ63" s="52">
        <f t="shared" si="102"/>
        <v>21.914999999999999</v>
      </c>
      <c r="BA63" s="52">
        <f t="shared" si="103"/>
        <v>21.914999999999999</v>
      </c>
      <c r="BB63" s="52">
        <f t="shared" si="104"/>
        <v>21.914999999999999</v>
      </c>
      <c r="BC63" s="52">
        <f t="shared" si="53"/>
        <v>21.914999999999999</v>
      </c>
      <c r="BD63" s="52">
        <f t="shared" si="54"/>
        <v>21.914999999999999</v>
      </c>
      <c r="BE63" s="57">
        <v>0.2</v>
      </c>
      <c r="BF63" s="52">
        <f t="shared" si="105"/>
        <v>22.400000000000002</v>
      </c>
      <c r="BG63" s="52">
        <f t="shared" si="106"/>
        <v>22.400000000000002</v>
      </c>
      <c r="BH63" s="52">
        <f t="shared" si="107"/>
        <v>22.400000000000002</v>
      </c>
      <c r="BI63" s="52">
        <f t="shared" si="108"/>
        <v>22.400000000000002</v>
      </c>
      <c r="BJ63" s="52">
        <f t="shared" si="109"/>
        <v>22.400000000000002</v>
      </c>
      <c r="BK63" s="52">
        <f t="shared" si="60"/>
        <v>22.400000000000002</v>
      </c>
      <c r="BL63" s="52">
        <f t="shared" si="61"/>
        <v>22.400000000000002</v>
      </c>
      <c r="BM63" s="297">
        <v>0.04</v>
      </c>
      <c r="BN63" s="69">
        <f t="shared" si="110"/>
        <v>28</v>
      </c>
      <c r="BO63" s="69">
        <f t="shared" si="111"/>
        <v>28</v>
      </c>
      <c r="BP63" s="69">
        <f t="shared" si="112"/>
        <v>28</v>
      </c>
      <c r="BQ63" s="69">
        <f t="shared" si="113"/>
        <v>28</v>
      </c>
      <c r="BR63" s="69">
        <f t="shared" si="114"/>
        <v>28</v>
      </c>
      <c r="BS63" s="69">
        <f t="shared" si="115"/>
        <v>28</v>
      </c>
      <c r="BT63" s="69">
        <f t="shared" si="116"/>
        <v>28</v>
      </c>
      <c r="BV63" s="69"/>
      <c r="BW63" s="69"/>
      <c r="BX63" s="69"/>
      <c r="BY63" s="69"/>
      <c r="BZ63" s="69"/>
      <c r="CA63" s="69"/>
      <c r="CB63" s="69"/>
      <c r="CC63" s="107">
        <v>0</v>
      </c>
      <c r="CD63" s="69">
        <v>0</v>
      </c>
      <c r="CE63" s="69">
        <f t="shared" si="32"/>
        <v>0</v>
      </c>
      <c r="CF63" s="69">
        <f t="shared" si="62"/>
        <v>0</v>
      </c>
      <c r="CG63" s="69">
        <f t="shared" si="34"/>
        <v>0</v>
      </c>
      <c r="CH63" s="69">
        <f t="shared" si="63"/>
        <v>0</v>
      </c>
      <c r="CI63" s="69">
        <f t="shared" si="64"/>
        <v>0</v>
      </c>
      <c r="CJ63" s="69">
        <f t="shared" si="65"/>
        <v>0</v>
      </c>
      <c r="CL63" s="54">
        <f t="shared" si="66"/>
        <v>0</v>
      </c>
      <c r="CM63" s="54">
        <f t="shared" si="67"/>
        <v>0</v>
      </c>
      <c r="CN63" s="54">
        <f t="shared" si="68"/>
        <v>0</v>
      </c>
      <c r="CO63" s="54">
        <f t="shared" si="69"/>
        <v>0</v>
      </c>
      <c r="CP63" s="54">
        <f t="shared" si="70"/>
        <v>0</v>
      </c>
      <c r="CQ63" s="54">
        <f t="shared" si="71"/>
        <v>0</v>
      </c>
      <c r="CR63" s="54">
        <f t="shared" si="72"/>
        <v>0</v>
      </c>
      <c r="CT63" s="54">
        <f t="shared" si="117"/>
        <v>0</v>
      </c>
      <c r="CU63" s="54">
        <f t="shared" si="118"/>
        <v>0</v>
      </c>
      <c r="CV63" s="54">
        <f t="shared" si="119"/>
        <v>0</v>
      </c>
      <c r="CW63" s="54">
        <f t="shared" si="120"/>
        <v>0</v>
      </c>
      <c r="CX63" s="54">
        <f t="shared" si="121"/>
        <v>0</v>
      </c>
      <c r="CY63" s="54">
        <f t="shared" si="122"/>
        <v>0</v>
      </c>
      <c r="CZ63" s="54">
        <f t="shared" si="74"/>
        <v>0</v>
      </c>
      <c r="DB63" s="54">
        <f t="shared" si="123"/>
        <v>0</v>
      </c>
      <c r="DC63" s="54">
        <f t="shared" si="124"/>
        <v>0</v>
      </c>
      <c r="DD63" s="54">
        <f t="shared" si="125"/>
        <v>0</v>
      </c>
      <c r="DE63" s="54">
        <f t="shared" si="126"/>
        <v>0</v>
      </c>
      <c r="DF63" s="54">
        <f t="shared" si="127"/>
        <v>0</v>
      </c>
      <c r="DG63" s="54">
        <f t="shared" si="128"/>
        <v>0</v>
      </c>
      <c r="DH63" s="54">
        <f t="shared" si="76"/>
        <v>0</v>
      </c>
      <c r="DJ63" s="54">
        <f t="shared" si="129"/>
        <v>22.4</v>
      </c>
      <c r="DK63" s="54">
        <f t="shared" si="130"/>
        <v>22.4</v>
      </c>
      <c r="DL63" s="54">
        <f t="shared" si="131"/>
        <v>22.4</v>
      </c>
      <c r="DM63" s="54">
        <f t="shared" si="132"/>
        <v>22.4</v>
      </c>
      <c r="DN63" s="54">
        <f t="shared" si="133"/>
        <v>22.4</v>
      </c>
      <c r="DO63" s="54">
        <f t="shared" si="134"/>
        <v>22.4</v>
      </c>
      <c r="DP63" s="54">
        <f t="shared" si="135"/>
        <v>22.4</v>
      </c>
      <c r="DR63" s="54">
        <f>+IF(Z63&gt;0,$K63*(1-$BE63)-SUM($DJ63:DJ63),DB63)</f>
        <v>537.6</v>
      </c>
      <c r="DS63" s="54">
        <f>+IF(AA63&gt;0,$K63*(1-$BE63)-SUM($DJ63:DK63),DC63)</f>
        <v>515.20000000000005</v>
      </c>
      <c r="DT63" s="54">
        <f>+IF(AB63&gt;0,$K63*(1-$BE63)-SUM($DJ63:DL63),DD63)</f>
        <v>492.8</v>
      </c>
      <c r="DU63" s="54">
        <f>+IF(AC63&gt;0,$K63*(1-$BE63)-SUM($DJ63:DM63),DE63)</f>
        <v>470.4</v>
      </c>
      <c r="DV63" s="54">
        <f>+IF(AD63&gt;0,$K63*(1-$BE63)-SUM($DJ63:DN63),DF63)</f>
        <v>448</v>
      </c>
      <c r="DW63" s="54">
        <f>+IF(AE63&gt;0,$K63*(1-$BE63)-SUM($DJ63:DO63),DG63)</f>
        <v>425.6</v>
      </c>
      <c r="DX63" s="54">
        <f>+IF(AF63&gt;0,$K63*(1-$BE63)-SUM($DJ63:DP63),DH63)</f>
        <v>403.2</v>
      </c>
      <c r="DZ63" s="54">
        <f t="shared" si="136"/>
        <v>53.760000000000005</v>
      </c>
      <c r="EA63" s="54">
        <f t="shared" si="137"/>
        <v>51.52000000000001</v>
      </c>
      <c r="EB63" s="54">
        <f t="shared" si="138"/>
        <v>49.28</v>
      </c>
      <c r="EC63" s="54">
        <f t="shared" si="139"/>
        <v>47.04</v>
      </c>
      <c r="ED63" s="54">
        <f t="shared" si="140"/>
        <v>44.800000000000004</v>
      </c>
      <c r="EE63" s="54">
        <f t="shared" si="141"/>
        <v>42.56</v>
      </c>
      <c r="EF63" s="54">
        <f t="shared" si="79"/>
        <v>0</v>
      </c>
      <c r="EH63" s="48"/>
      <c r="EI63" s="48"/>
      <c r="EJ63" s="48"/>
      <c r="EK63" s="48"/>
      <c r="EL63" s="48"/>
      <c r="EM63" s="48"/>
      <c r="EN63" s="48"/>
      <c r="EP63" s="48"/>
      <c r="EQ63" s="48"/>
      <c r="ER63" s="48"/>
      <c r="ES63" s="48"/>
      <c r="ET63" s="48"/>
      <c r="EU63" s="48"/>
      <c r="EV63" s="48"/>
      <c r="EX63" s="48"/>
      <c r="EY63" s="48"/>
      <c r="EZ63" s="48"/>
      <c r="FA63" s="48"/>
      <c r="FB63" s="48"/>
      <c r="FC63" s="48"/>
      <c r="FD63" s="48"/>
      <c r="FF63" s="48"/>
      <c r="FG63" s="48"/>
      <c r="FH63" s="48"/>
      <c r="FI63" s="48"/>
      <c r="FJ63" s="48"/>
      <c r="FK63" s="48"/>
      <c r="FL63" s="48"/>
      <c r="FM63" s="51">
        <v>0</v>
      </c>
      <c r="FN63" s="48">
        <v>0</v>
      </c>
      <c r="FO63" s="48">
        <f t="shared" si="80"/>
        <v>0</v>
      </c>
      <c r="FP63" s="48"/>
      <c r="FQ63" s="48"/>
      <c r="FR63" s="48"/>
      <c r="FS63" s="48"/>
      <c r="FT63" s="48"/>
      <c r="FV63" s="48">
        <f t="shared" si="81"/>
        <v>8.73</v>
      </c>
      <c r="FW63" s="48">
        <f t="shared" si="82"/>
        <v>8.73</v>
      </c>
      <c r="FX63" s="48">
        <f t="shared" si="83"/>
        <v>8.73</v>
      </c>
      <c r="FY63" s="48">
        <f t="shared" si="84"/>
        <v>8.73</v>
      </c>
      <c r="FZ63" s="48">
        <f t="shared" si="85"/>
        <v>8.73</v>
      </c>
      <c r="GA63" s="48">
        <f t="shared" si="86"/>
        <v>8.73</v>
      </c>
      <c r="GB63" s="48">
        <f t="shared" si="87"/>
        <v>8.73</v>
      </c>
    </row>
    <row r="64" spans="2:184" x14ac:dyDescent="0.2">
      <c r="B64" s="393" t="str">
        <f>Key_New!D14</f>
        <v>Bihar</v>
      </c>
      <c r="C64" s="394" t="str">
        <f>Key_New!B14</f>
        <v>ACME Nalanda Solar Power Pvt Ltd</v>
      </c>
      <c r="D64" s="395" t="str">
        <f>Key_New!E14</f>
        <v>Solar</v>
      </c>
      <c r="E64" s="396" t="str">
        <f>Key_New!C14</f>
        <v>Operational</v>
      </c>
      <c r="F64" s="397">
        <f>Key_New!F14</f>
        <v>15</v>
      </c>
      <c r="G64" s="398">
        <f t="shared" si="31"/>
        <v>42551</v>
      </c>
      <c r="H64" s="399">
        <f>Key_New!O14</f>
        <v>42551</v>
      </c>
      <c r="I64" s="369">
        <f t="shared" si="35"/>
        <v>2017</v>
      </c>
      <c r="J64" s="367">
        <v>70</v>
      </c>
      <c r="K64" s="370">
        <f t="shared" si="36"/>
        <v>1050</v>
      </c>
      <c r="L64" s="368">
        <v>0.12</v>
      </c>
      <c r="M64" s="368">
        <v>0.25</v>
      </c>
      <c r="N64" s="403">
        <f>Key_New!J14</f>
        <v>8.73</v>
      </c>
      <c r="O64" s="462">
        <f t="shared" si="37"/>
        <v>0</v>
      </c>
      <c r="P64" s="54">
        <f t="shared" si="88"/>
        <v>365</v>
      </c>
      <c r="Q64" s="54">
        <f t="shared" si="88"/>
        <v>365</v>
      </c>
      <c r="R64" s="54">
        <f t="shared" si="38"/>
        <v>365</v>
      </c>
      <c r="S64" s="54">
        <f t="shared" si="38"/>
        <v>365</v>
      </c>
      <c r="T64" s="54">
        <f t="shared" si="38"/>
        <v>365</v>
      </c>
      <c r="U64" s="54">
        <f t="shared" si="39"/>
        <v>365</v>
      </c>
      <c r="V64" s="54">
        <f t="shared" si="39"/>
        <v>365</v>
      </c>
      <c r="W64" s="54">
        <f t="shared" si="38"/>
        <v>365</v>
      </c>
      <c r="Y64" s="60">
        <v>7</v>
      </c>
      <c r="Z64" s="54">
        <f t="shared" si="89"/>
        <v>8</v>
      </c>
      <c r="AA64" s="54">
        <f t="shared" si="90"/>
        <v>9</v>
      </c>
      <c r="AB64" s="54">
        <f t="shared" si="91"/>
        <v>10</v>
      </c>
      <c r="AC64" s="54">
        <f t="shared" si="92"/>
        <v>11</v>
      </c>
      <c r="AD64" s="54">
        <f t="shared" si="93"/>
        <v>12</v>
      </c>
      <c r="AE64" s="54">
        <f t="shared" si="94"/>
        <v>13</v>
      </c>
      <c r="AF64" s="54">
        <f t="shared" si="94"/>
        <v>14</v>
      </c>
      <c r="AG64" s="444"/>
      <c r="AH64" s="48">
        <f t="shared" si="95"/>
        <v>15</v>
      </c>
      <c r="AI64" s="48">
        <f t="shared" si="96"/>
        <v>15</v>
      </c>
      <c r="AJ64" s="48">
        <f t="shared" si="97"/>
        <v>15</v>
      </c>
      <c r="AK64" s="48">
        <f t="shared" si="98"/>
        <v>15</v>
      </c>
      <c r="AL64" s="48">
        <f t="shared" si="99"/>
        <v>15</v>
      </c>
      <c r="AM64" s="48">
        <f t="shared" si="46"/>
        <v>15</v>
      </c>
      <c r="AN64" s="48">
        <f t="shared" si="47"/>
        <v>15</v>
      </c>
      <c r="AP64" s="61">
        <v>0.25</v>
      </c>
      <c r="AQ64" s="61">
        <v>0.25</v>
      </c>
      <c r="AR64" s="61">
        <v>0.25</v>
      </c>
      <c r="AS64" s="61">
        <v>0.25</v>
      </c>
      <c r="AT64" s="61">
        <v>0.25</v>
      </c>
      <c r="AU64" s="61">
        <v>0.25</v>
      </c>
      <c r="AV64" s="61">
        <v>0.25</v>
      </c>
      <c r="AX64" s="52">
        <f t="shared" si="100"/>
        <v>32.872500000000002</v>
      </c>
      <c r="AY64" s="52">
        <f t="shared" si="101"/>
        <v>32.872500000000002</v>
      </c>
      <c r="AZ64" s="52">
        <f t="shared" si="102"/>
        <v>32.872500000000002</v>
      </c>
      <c r="BA64" s="52">
        <f t="shared" si="103"/>
        <v>32.872500000000002</v>
      </c>
      <c r="BB64" s="52">
        <f t="shared" si="104"/>
        <v>32.872500000000002</v>
      </c>
      <c r="BC64" s="52">
        <f t="shared" si="53"/>
        <v>32.872500000000002</v>
      </c>
      <c r="BD64" s="52">
        <f t="shared" si="54"/>
        <v>32.872500000000002</v>
      </c>
      <c r="BE64" s="57">
        <v>0.2</v>
      </c>
      <c r="BF64" s="52">
        <f t="shared" si="105"/>
        <v>33.6</v>
      </c>
      <c r="BG64" s="52">
        <f t="shared" si="106"/>
        <v>33.6</v>
      </c>
      <c r="BH64" s="52">
        <f t="shared" si="107"/>
        <v>33.6</v>
      </c>
      <c r="BI64" s="52">
        <f t="shared" si="108"/>
        <v>33.6</v>
      </c>
      <c r="BJ64" s="52">
        <f t="shared" si="109"/>
        <v>33.6</v>
      </c>
      <c r="BK64" s="52">
        <f t="shared" si="60"/>
        <v>33.6</v>
      </c>
      <c r="BL64" s="52">
        <f t="shared" si="61"/>
        <v>33.6</v>
      </c>
      <c r="BM64" s="297">
        <v>0.04</v>
      </c>
      <c r="BN64" s="69">
        <f t="shared" si="110"/>
        <v>42</v>
      </c>
      <c r="BO64" s="69">
        <f t="shared" si="111"/>
        <v>42</v>
      </c>
      <c r="BP64" s="69">
        <f t="shared" si="112"/>
        <v>42</v>
      </c>
      <c r="BQ64" s="69">
        <f t="shared" si="113"/>
        <v>42</v>
      </c>
      <c r="BR64" s="69">
        <f t="shared" si="114"/>
        <v>42</v>
      </c>
      <c r="BS64" s="69">
        <f t="shared" si="115"/>
        <v>42</v>
      </c>
      <c r="BT64" s="69">
        <f t="shared" si="116"/>
        <v>42</v>
      </c>
      <c r="BV64" s="69"/>
      <c r="BW64" s="69"/>
      <c r="BX64" s="69"/>
      <c r="BY64" s="69"/>
      <c r="BZ64" s="69"/>
      <c r="CA64" s="69"/>
      <c r="CB64" s="69"/>
      <c r="CC64" s="107">
        <v>0</v>
      </c>
      <c r="CD64" s="69">
        <v>0</v>
      </c>
      <c r="CE64" s="69">
        <f t="shared" si="32"/>
        <v>0</v>
      </c>
      <c r="CF64" s="69">
        <f t="shared" si="62"/>
        <v>0</v>
      </c>
      <c r="CG64" s="69">
        <f t="shared" si="34"/>
        <v>0</v>
      </c>
      <c r="CH64" s="69">
        <f t="shared" si="63"/>
        <v>0</v>
      </c>
      <c r="CI64" s="69">
        <f t="shared" si="64"/>
        <v>0</v>
      </c>
      <c r="CJ64" s="69">
        <f t="shared" si="65"/>
        <v>0</v>
      </c>
      <c r="CL64" s="54">
        <f t="shared" si="66"/>
        <v>0</v>
      </c>
      <c r="CM64" s="54">
        <f t="shared" si="67"/>
        <v>0</v>
      </c>
      <c r="CN64" s="54">
        <f t="shared" si="68"/>
        <v>0</v>
      </c>
      <c r="CO64" s="54">
        <f t="shared" si="69"/>
        <v>0</v>
      </c>
      <c r="CP64" s="54">
        <f t="shared" si="70"/>
        <v>0</v>
      </c>
      <c r="CQ64" s="54">
        <f t="shared" si="71"/>
        <v>0</v>
      </c>
      <c r="CR64" s="54">
        <f t="shared" si="72"/>
        <v>0</v>
      </c>
      <c r="CT64" s="54">
        <f t="shared" si="117"/>
        <v>0</v>
      </c>
      <c r="CU64" s="54">
        <f t="shared" si="118"/>
        <v>0</v>
      </c>
      <c r="CV64" s="54">
        <f t="shared" si="119"/>
        <v>0</v>
      </c>
      <c r="CW64" s="54">
        <f t="shared" si="120"/>
        <v>0</v>
      </c>
      <c r="CX64" s="54">
        <f t="shared" si="121"/>
        <v>0</v>
      </c>
      <c r="CY64" s="54">
        <f t="shared" si="122"/>
        <v>0</v>
      </c>
      <c r="CZ64" s="54">
        <f t="shared" si="74"/>
        <v>0</v>
      </c>
      <c r="DB64" s="54">
        <f t="shared" si="123"/>
        <v>0</v>
      </c>
      <c r="DC64" s="54">
        <f t="shared" si="124"/>
        <v>0</v>
      </c>
      <c r="DD64" s="54">
        <f t="shared" si="125"/>
        <v>0</v>
      </c>
      <c r="DE64" s="54">
        <f t="shared" si="126"/>
        <v>0</v>
      </c>
      <c r="DF64" s="54">
        <f t="shared" si="127"/>
        <v>0</v>
      </c>
      <c r="DG64" s="54">
        <f t="shared" si="128"/>
        <v>0</v>
      </c>
      <c r="DH64" s="54">
        <f t="shared" si="76"/>
        <v>0</v>
      </c>
      <c r="DJ64" s="54">
        <f t="shared" si="129"/>
        <v>33.6</v>
      </c>
      <c r="DK64" s="54">
        <f t="shared" si="130"/>
        <v>33.6</v>
      </c>
      <c r="DL64" s="54">
        <f t="shared" si="131"/>
        <v>33.6</v>
      </c>
      <c r="DM64" s="54">
        <f t="shared" si="132"/>
        <v>33.6</v>
      </c>
      <c r="DN64" s="54">
        <f t="shared" si="133"/>
        <v>33.6</v>
      </c>
      <c r="DO64" s="54">
        <f t="shared" si="134"/>
        <v>33.6</v>
      </c>
      <c r="DP64" s="54">
        <f t="shared" si="135"/>
        <v>33.6</v>
      </c>
      <c r="DR64" s="54">
        <f>+IF(Z64&gt;0,$K64*(1-$BE64)-SUM($DJ64:DJ64),DB64)</f>
        <v>806.4</v>
      </c>
      <c r="DS64" s="54">
        <f>+IF(AA64&gt;0,$K64*(1-$BE64)-SUM($DJ64:DK64),DC64)</f>
        <v>772.8</v>
      </c>
      <c r="DT64" s="54">
        <f>+IF(AB64&gt;0,$K64*(1-$BE64)-SUM($DJ64:DL64),DD64)</f>
        <v>739.2</v>
      </c>
      <c r="DU64" s="54">
        <f>+IF(AC64&gt;0,$K64*(1-$BE64)-SUM($DJ64:DM64),DE64)</f>
        <v>705.6</v>
      </c>
      <c r="DV64" s="54">
        <f>+IF(AD64&gt;0,$K64*(1-$BE64)-SUM($DJ64:DN64),DF64)</f>
        <v>672</v>
      </c>
      <c r="DW64" s="54">
        <f>+IF(AE64&gt;0,$K64*(1-$BE64)-SUM($DJ64:DO64),DG64)</f>
        <v>638.4</v>
      </c>
      <c r="DX64" s="54">
        <f>+IF(AF64&gt;0,$K64*(1-$BE64)-SUM($DJ64:DP64),DH64)</f>
        <v>604.79999999999995</v>
      </c>
      <c r="DZ64" s="54">
        <f t="shared" si="136"/>
        <v>80.64</v>
      </c>
      <c r="EA64" s="54">
        <f t="shared" si="137"/>
        <v>77.28</v>
      </c>
      <c r="EB64" s="54">
        <f t="shared" si="138"/>
        <v>73.92</v>
      </c>
      <c r="EC64" s="54">
        <f t="shared" si="139"/>
        <v>70.56</v>
      </c>
      <c r="ED64" s="54">
        <f t="shared" si="140"/>
        <v>67.2</v>
      </c>
      <c r="EE64" s="54">
        <f t="shared" si="141"/>
        <v>63.84</v>
      </c>
      <c r="EF64" s="54">
        <f t="shared" si="79"/>
        <v>0</v>
      </c>
      <c r="EH64" s="48"/>
      <c r="EI64" s="48"/>
      <c r="EJ64" s="48"/>
      <c r="EK64" s="48"/>
      <c r="EL64" s="48"/>
      <c r="EM64" s="48"/>
      <c r="EN64" s="48"/>
      <c r="EP64" s="48"/>
      <c r="EQ64" s="48"/>
      <c r="ER64" s="48"/>
      <c r="ES64" s="48"/>
      <c r="ET64" s="48"/>
      <c r="EU64" s="48"/>
      <c r="EV64" s="48"/>
      <c r="EX64" s="48"/>
      <c r="EY64" s="48"/>
      <c r="EZ64" s="48"/>
      <c r="FA64" s="48"/>
      <c r="FB64" s="48"/>
      <c r="FC64" s="48"/>
      <c r="FD64" s="48"/>
      <c r="FF64" s="48"/>
      <c r="FG64" s="48"/>
      <c r="FH64" s="48"/>
      <c r="FI64" s="48"/>
      <c r="FJ64" s="48"/>
      <c r="FK64" s="48"/>
      <c r="FL64" s="48"/>
      <c r="FM64" s="51">
        <v>0</v>
      </c>
      <c r="FN64" s="48">
        <v>0</v>
      </c>
      <c r="FO64" s="48">
        <f t="shared" si="80"/>
        <v>0</v>
      </c>
      <c r="FP64" s="48"/>
      <c r="FQ64" s="48"/>
      <c r="FR64" s="48"/>
      <c r="FS64" s="48"/>
      <c r="FT64" s="48"/>
      <c r="FV64" s="48">
        <f t="shared" si="81"/>
        <v>8.73</v>
      </c>
      <c r="FW64" s="48">
        <f t="shared" si="82"/>
        <v>8.73</v>
      </c>
      <c r="FX64" s="48">
        <f t="shared" si="83"/>
        <v>8.73</v>
      </c>
      <c r="FY64" s="48">
        <f t="shared" si="84"/>
        <v>8.73</v>
      </c>
      <c r="FZ64" s="48">
        <f t="shared" si="85"/>
        <v>8.73</v>
      </c>
      <c r="GA64" s="48">
        <f t="shared" si="86"/>
        <v>8.73</v>
      </c>
      <c r="GB64" s="48">
        <f t="shared" si="87"/>
        <v>8.73</v>
      </c>
    </row>
    <row r="65" spans="2:184" x14ac:dyDescent="0.2">
      <c r="B65" s="393" t="str">
        <f>Key_New!D15</f>
        <v>Telangana</v>
      </c>
      <c r="C65" s="394" t="str">
        <f>Key_New!B15</f>
        <v>Dayakara Solar Power Pvt Ltd</v>
      </c>
      <c r="D65" s="395" t="str">
        <f>Key_New!E15</f>
        <v>Solar</v>
      </c>
      <c r="E65" s="396" t="str">
        <f>Key_New!C15</f>
        <v>Operational</v>
      </c>
      <c r="F65" s="397">
        <f>Key_New!F15</f>
        <v>30</v>
      </c>
      <c r="G65" s="398">
        <f t="shared" si="31"/>
        <v>42582</v>
      </c>
      <c r="H65" s="399">
        <f>Key_New!O15</f>
        <v>42582</v>
      </c>
      <c r="I65" s="369">
        <f t="shared" si="35"/>
        <v>2017</v>
      </c>
      <c r="J65" s="367">
        <v>70</v>
      </c>
      <c r="K65" s="370">
        <f t="shared" si="36"/>
        <v>2100</v>
      </c>
      <c r="L65" s="368">
        <v>0.12</v>
      </c>
      <c r="M65" s="368">
        <v>0.25</v>
      </c>
      <c r="N65" s="403">
        <f>Key_New!J15</f>
        <v>6.8479999999999999</v>
      </c>
      <c r="O65" s="462">
        <f t="shared" si="37"/>
        <v>0</v>
      </c>
      <c r="P65" s="54">
        <f t="shared" si="88"/>
        <v>365</v>
      </c>
      <c r="Q65" s="54">
        <f t="shared" si="88"/>
        <v>365</v>
      </c>
      <c r="R65" s="54">
        <f t="shared" si="38"/>
        <v>365</v>
      </c>
      <c r="S65" s="54">
        <f t="shared" si="38"/>
        <v>365</v>
      </c>
      <c r="T65" s="54">
        <f t="shared" si="38"/>
        <v>365</v>
      </c>
      <c r="U65" s="54">
        <f t="shared" si="39"/>
        <v>365</v>
      </c>
      <c r="V65" s="54">
        <f t="shared" si="39"/>
        <v>365</v>
      </c>
      <c r="W65" s="54">
        <f t="shared" si="38"/>
        <v>365</v>
      </c>
      <c r="Y65" s="60">
        <v>7</v>
      </c>
      <c r="Z65" s="54">
        <f t="shared" si="89"/>
        <v>8</v>
      </c>
      <c r="AA65" s="54">
        <f t="shared" si="90"/>
        <v>9</v>
      </c>
      <c r="AB65" s="54">
        <f t="shared" si="91"/>
        <v>10</v>
      </c>
      <c r="AC65" s="54">
        <f t="shared" si="92"/>
        <v>11</v>
      </c>
      <c r="AD65" s="54">
        <f t="shared" si="93"/>
        <v>12</v>
      </c>
      <c r="AE65" s="54">
        <f t="shared" si="94"/>
        <v>13</v>
      </c>
      <c r="AF65" s="54">
        <f t="shared" si="94"/>
        <v>14</v>
      </c>
      <c r="AG65" s="444"/>
      <c r="AH65" s="48">
        <f t="shared" si="95"/>
        <v>30</v>
      </c>
      <c r="AI65" s="48">
        <f t="shared" si="96"/>
        <v>30</v>
      </c>
      <c r="AJ65" s="48">
        <f t="shared" si="97"/>
        <v>30</v>
      </c>
      <c r="AK65" s="48">
        <f t="shared" si="98"/>
        <v>30</v>
      </c>
      <c r="AL65" s="48">
        <f t="shared" si="99"/>
        <v>30</v>
      </c>
      <c r="AM65" s="48">
        <f t="shared" si="46"/>
        <v>30</v>
      </c>
      <c r="AN65" s="48">
        <f t="shared" si="47"/>
        <v>30</v>
      </c>
      <c r="AP65" s="61">
        <v>0.25</v>
      </c>
      <c r="AQ65" s="61">
        <v>0.25</v>
      </c>
      <c r="AR65" s="61">
        <v>0.25</v>
      </c>
      <c r="AS65" s="61">
        <v>0.25</v>
      </c>
      <c r="AT65" s="61">
        <v>0.25</v>
      </c>
      <c r="AU65" s="61">
        <v>0.25</v>
      </c>
      <c r="AV65" s="61">
        <v>0.25</v>
      </c>
      <c r="AX65" s="52">
        <f t="shared" si="100"/>
        <v>65.745000000000005</v>
      </c>
      <c r="AY65" s="52">
        <f t="shared" si="101"/>
        <v>65.745000000000005</v>
      </c>
      <c r="AZ65" s="52">
        <f t="shared" si="102"/>
        <v>65.745000000000005</v>
      </c>
      <c r="BA65" s="52">
        <f t="shared" si="103"/>
        <v>65.745000000000005</v>
      </c>
      <c r="BB65" s="52">
        <f t="shared" si="104"/>
        <v>65.745000000000005</v>
      </c>
      <c r="BC65" s="52">
        <f t="shared" si="53"/>
        <v>65.745000000000005</v>
      </c>
      <c r="BD65" s="52">
        <f t="shared" si="54"/>
        <v>65.745000000000005</v>
      </c>
      <c r="BE65" s="57">
        <v>0.2</v>
      </c>
      <c r="BF65" s="52">
        <f t="shared" si="105"/>
        <v>67.2</v>
      </c>
      <c r="BG65" s="52">
        <f t="shared" si="106"/>
        <v>67.2</v>
      </c>
      <c r="BH65" s="52">
        <f t="shared" si="107"/>
        <v>67.2</v>
      </c>
      <c r="BI65" s="52">
        <f t="shared" si="108"/>
        <v>67.2</v>
      </c>
      <c r="BJ65" s="52">
        <f t="shared" si="109"/>
        <v>67.2</v>
      </c>
      <c r="BK65" s="52">
        <f t="shared" si="60"/>
        <v>67.2</v>
      </c>
      <c r="BL65" s="52">
        <f t="shared" si="61"/>
        <v>67.2</v>
      </c>
      <c r="BM65" s="297">
        <v>0.04</v>
      </c>
      <c r="BN65" s="69">
        <f t="shared" si="110"/>
        <v>84</v>
      </c>
      <c r="BO65" s="69">
        <f t="shared" si="111"/>
        <v>84</v>
      </c>
      <c r="BP65" s="69">
        <f t="shared" si="112"/>
        <v>84</v>
      </c>
      <c r="BQ65" s="69">
        <f t="shared" si="113"/>
        <v>84</v>
      </c>
      <c r="BR65" s="69">
        <f t="shared" si="114"/>
        <v>84</v>
      </c>
      <c r="BS65" s="69">
        <f t="shared" si="115"/>
        <v>84</v>
      </c>
      <c r="BT65" s="69">
        <f t="shared" si="116"/>
        <v>84</v>
      </c>
      <c r="BV65" s="69"/>
      <c r="BW65" s="69"/>
      <c r="BX65" s="69"/>
      <c r="BY65" s="69"/>
      <c r="BZ65" s="69"/>
      <c r="CA65" s="69"/>
      <c r="CB65" s="69"/>
      <c r="CC65" s="107">
        <v>0</v>
      </c>
      <c r="CD65" s="69">
        <v>0</v>
      </c>
      <c r="CE65" s="69">
        <f t="shared" si="32"/>
        <v>0</v>
      </c>
      <c r="CF65" s="69">
        <f t="shared" si="62"/>
        <v>0</v>
      </c>
      <c r="CG65" s="69">
        <f t="shared" si="34"/>
        <v>0</v>
      </c>
      <c r="CH65" s="69">
        <f t="shared" si="63"/>
        <v>0</v>
      </c>
      <c r="CI65" s="69">
        <f t="shared" si="64"/>
        <v>0</v>
      </c>
      <c r="CJ65" s="69">
        <f t="shared" si="65"/>
        <v>0</v>
      </c>
      <c r="CL65" s="54">
        <f t="shared" si="66"/>
        <v>0</v>
      </c>
      <c r="CM65" s="54">
        <f t="shared" si="67"/>
        <v>0</v>
      </c>
      <c r="CN65" s="54">
        <f t="shared" si="68"/>
        <v>0</v>
      </c>
      <c r="CO65" s="54">
        <f t="shared" si="69"/>
        <v>0</v>
      </c>
      <c r="CP65" s="54">
        <f t="shared" si="70"/>
        <v>0</v>
      </c>
      <c r="CQ65" s="54">
        <f t="shared" si="71"/>
        <v>0</v>
      </c>
      <c r="CR65" s="54">
        <f t="shared" si="72"/>
        <v>0</v>
      </c>
      <c r="CT65" s="54">
        <f t="shared" si="117"/>
        <v>0</v>
      </c>
      <c r="CU65" s="54">
        <f t="shared" si="118"/>
        <v>0</v>
      </c>
      <c r="CV65" s="54">
        <f t="shared" si="119"/>
        <v>0</v>
      </c>
      <c r="CW65" s="54">
        <f t="shared" si="120"/>
        <v>0</v>
      </c>
      <c r="CX65" s="54">
        <f t="shared" si="121"/>
        <v>0</v>
      </c>
      <c r="CY65" s="54">
        <f t="shared" si="122"/>
        <v>0</v>
      </c>
      <c r="CZ65" s="54">
        <f t="shared" si="74"/>
        <v>0</v>
      </c>
      <c r="DB65" s="54">
        <f t="shared" si="123"/>
        <v>0</v>
      </c>
      <c r="DC65" s="54">
        <f t="shared" si="124"/>
        <v>0</v>
      </c>
      <c r="DD65" s="54">
        <f t="shared" si="125"/>
        <v>0</v>
      </c>
      <c r="DE65" s="54">
        <f t="shared" si="126"/>
        <v>0</v>
      </c>
      <c r="DF65" s="54">
        <f t="shared" si="127"/>
        <v>0</v>
      </c>
      <c r="DG65" s="54">
        <f t="shared" si="128"/>
        <v>0</v>
      </c>
      <c r="DH65" s="54">
        <f t="shared" si="76"/>
        <v>0</v>
      </c>
      <c r="DJ65" s="54">
        <f t="shared" si="129"/>
        <v>67.2</v>
      </c>
      <c r="DK65" s="54">
        <f t="shared" si="130"/>
        <v>67.2</v>
      </c>
      <c r="DL65" s="54">
        <f t="shared" si="131"/>
        <v>67.2</v>
      </c>
      <c r="DM65" s="54">
        <f t="shared" si="132"/>
        <v>67.2</v>
      </c>
      <c r="DN65" s="54">
        <f t="shared" si="133"/>
        <v>67.2</v>
      </c>
      <c r="DO65" s="54">
        <f t="shared" si="134"/>
        <v>67.2</v>
      </c>
      <c r="DP65" s="54">
        <f t="shared" si="135"/>
        <v>67.2</v>
      </c>
      <c r="DR65" s="54">
        <f>+IF(Z65&gt;0,$K65*(1-$BE65)-SUM($DJ65:DJ65),DB65)</f>
        <v>1612.8</v>
      </c>
      <c r="DS65" s="54">
        <f>+IF(AA65&gt;0,$K65*(1-$BE65)-SUM($DJ65:DK65),DC65)</f>
        <v>1545.6</v>
      </c>
      <c r="DT65" s="54">
        <f>+IF(AB65&gt;0,$K65*(1-$BE65)-SUM($DJ65:DL65),DD65)</f>
        <v>1478.4</v>
      </c>
      <c r="DU65" s="54">
        <f>+IF(AC65&gt;0,$K65*(1-$BE65)-SUM($DJ65:DM65),DE65)</f>
        <v>1411.2</v>
      </c>
      <c r="DV65" s="54">
        <f>+IF(AD65&gt;0,$K65*(1-$BE65)-SUM($DJ65:DN65),DF65)</f>
        <v>1344</v>
      </c>
      <c r="DW65" s="54">
        <f>+IF(AE65&gt;0,$K65*(1-$BE65)-SUM($DJ65:DO65),DG65)</f>
        <v>1276.8</v>
      </c>
      <c r="DX65" s="54">
        <f>+IF(AF65&gt;0,$K65*(1-$BE65)-SUM($DJ65:DP65),DH65)</f>
        <v>1209.5999999999999</v>
      </c>
      <c r="DZ65" s="54">
        <f t="shared" si="136"/>
        <v>161.28</v>
      </c>
      <c r="EA65" s="54">
        <f t="shared" si="137"/>
        <v>154.56</v>
      </c>
      <c r="EB65" s="54">
        <f t="shared" si="138"/>
        <v>147.84</v>
      </c>
      <c r="EC65" s="54">
        <f t="shared" si="139"/>
        <v>141.12</v>
      </c>
      <c r="ED65" s="54">
        <f t="shared" si="140"/>
        <v>134.4</v>
      </c>
      <c r="EE65" s="54">
        <f t="shared" si="141"/>
        <v>127.68</v>
      </c>
      <c r="EF65" s="54">
        <f t="shared" si="79"/>
        <v>0</v>
      </c>
      <c r="EH65" s="48"/>
      <c r="EI65" s="48"/>
      <c r="EJ65" s="48"/>
      <c r="EK65" s="48"/>
      <c r="EL65" s="48"/>
      <c r="EM65" s="48"/>
      <c r="EN65" s="48"/>
      <c r="EP65" s="48"/>
      <c r="EQ65" s="48"/>
      <c r="ER65" s="48"/>
      <c r="ES65" s="48"/>
      <c r="ET65" s="48"/>
      <c r="EU65" s="48"/>
      <c r="EV65" s="48"/>
      <c r="EX65" s="48"/>
      <c r="EY65" s="48"/>
      <c r="EZ65" s="48"/>
      <c r="FA65" s="48"/>
      <c r="FB65" s="48"/>
      <c r="FC65" s="48"/>
      <c r="FD65" s="48"/>
      <c r="FF65" s="48"/>
      <c r="FG65" s="48"/>
      <c r="FH65" s="48"/>
      <c r="FI65" s="48"/>
      <c r="FJ65" s="48"/>
      <c r="FK65" s="48"/>
      <c r="FL65" s="48"/>
      <c r="FM65" s="51">
        <v>0</v>
      </c>
      <c r="FN65" s="48">
        <v>0</v>
      </c>
      <c r="FO65" s="48">
        <f t="shared" si="80"/>
        <v>0</v>
      </c>
      <c r="FP65" s="48"/>
      <c r="FQ65" s="48"/>
      <c r="FR65" s="48"/>
      <c r="FS65" s="48"/>
      <c r="FT65" s="48"/>
      <c r="FV65" s="48">
        <f t="shared" si="81"/>
        <v>6.8479999999999999</v>
      </c>
      <c r="FW65" s="48">
        <f t="shared" si="82"/>
        <v>6.8479999999999999</v>
      </c>
      <c r="FX65" s="48">
        <f t="shared" si="83"/>
        <v>6.8479999999999999</v>
      </c>
      <c r="FY65" s="48">
        <f t="shared" si="84"/>
        <v>6.8479999999999999</v>
      </c>
      <c r="FZ65" s="48">
        <f t="shared" si="85"/>
        <v>6.8479999999999999</v>
      </c>
      <c r="GA65" s="48">
        <f t="shared" si="86"/>
        <v>6.8479999999999999</v>
      </c>
      <c r="GB65" s="48">
        <f t="shared" si="87"/>
        <v>6.8479999999999999</v>
      </c>
    </row>
    <row r="66" spans="2:184" x14ac:dyDescent="0.2">
      <c r="B66" s="393" t="str">
        <f>Key_New!D16</f>
        <v>Telangana</v>
      </c>
      <c r="C66" s="394" t="str">
        <f>Key_New!B16</f>
        <v>Grahati Solar Power Pvt Ltd</v>
      </c>
      <c r="D66" s="395" t="str">
        <f>Key_New!E16</f>
        <v>Solar</v>
      </c>
      <c r="E66" s="396" t="str">
        <f>Key_New!C16</f>
        <v>Operational</v>
      </c>
      <c r="F66" s="397">
        <f>Key_New!F16</f>
        <v>50</v>
      </c>
      <c r="G66" s="398">
        <f t="shared" si="31"/>
        <v>42613</v>
      </c>
      <c r="H66" s="399">
        <f>Key_New!O16</f>
        <v>42613</v>
      </c>
      <c r="I66" s="369">
        <f t="shared" si="35"/>
        <v>2017</v>
      </c>
      <c r="J66" s="367">
        <v>70</v>
      </c>
      <c r="K66" s="370">
        <f t="shared" si="36"/>
        <v>3500</v>
      </c>
      <c r="L66" s="368">
        <v>0.12</v>
      </c>
      <c r="M66" s="368">
        <v>0.25</v>
      </c>
      <c r="N66" s="403">
        <f>Key_New!J16</f>
        <v>6.7370000000000001</v>
      </c>
      <c r="O66" s="462">
        <f t="shared" si="37"/>
        <v>0</v>
      </c>
      <c r="P66" s="54">
        <f t="shared" si="88"/>
        <v>365</v>
      </c>
      <c r="Q66" s="54">
        <f t="shared" si="88"/>
        <v>365</v>
      </c>
      <c r="R66" s="54">
        <f t="shared" si="38"/>
        <v>365</v>
      </c>
      <c r="S66" s="54">
        <f t="shared" si="38"/>
        <v>365</v>
      </c>
      <c r="T66" s="54">
        <f t="shared" si="38"/>
        <v>365</v>
      </c>
      <c r="U66" s="54">
        <f t="shared" si="39"/>
        <v>365</v>
      </c>
      <c r="V66" s="54">
        <f t="shared" si="39"/>
        <v>365</v>
      </c>
      <c r="W66" s="54">
        <f t="shared" si="38"/>
        <v>365</v>
      </c>
      <c r="Y66" s="60">
        <v>7</v>
      </c>
      <c r="Z66" s="54">
        <f t="shared" si="89"/>
        <v>8</v>
      </c>
      <c r="AA66" s="54">
        <f t="shared" si="90"/>
        <v>9</v>
      </c>
      <c r="AB66" s="54">
        <f t="shared" si="91"/>
        <v>10</v>
      </c>
      <c r="AC66" s="54">
        <f t="shared" si="92"/>
        <v>11</v>
      </c>
      <c r="AD66" s="54">
        <f t="shared" si="93"/>
        <v>12</v>
      </c>
      <c r="AE66" s="54">
        <f t="shared" si="94"/>
        <v>13</v>
      </c>
      <c r="AF66" s="54">
        <f t="shared" si="94"/>
        <v>14</v>
      </c>
      <c r="AG66" s="444"/>
      <c r="AH66" s="48">
        <f t="shared" si="95"/>
        <v>50</v>
      </c>
      <c r="AI66" s="48">
        <f t="shared" si="96"/>
        <v>50</v>
      </c>
      <c r="AJ66" s="48">
        <f t="shared" si="97"/>
        <v>50</v>
      </c>
      <c r="AK66" s="48">
        <f t="shared" si="98"/>
        <v>50</v>
      </c>
      <c r="AL66" s="48">
        <f t="shared" si="99"/>
        <v>50</v>
      </c>
      <c r="AM66" s="48">
        <f t="shared" si="46"/>
        <v>50</v>
      </c>
      <c r="AN66" s="48">
        <f t="shared" si="47"/>
        <v>50</v>
      </c>
      <c r="AP66" s="61">
        <v>0.25</v>
      </c>
      <c r="AQ66" s="61">
        <v>0.25</v>
      </c>
      <c r="AR66" s="61">
        <v>0.25</v>
      </c>
      <c r="AS66" s="61">
        <v>0.25</v>
      </c>
      <c r="AT66" s="61">
        <v>0.25</v>
      </c>
      <c r="AU66" s="61">
        <v>0.25</v>
      </c>
      <c r="AV66" s="61">
        <v>0.25</v>
      </c>
      <c r="AX66" s="52">
        <f t="shared" si="100"/>
        <v>109.575</v>
      </c>
      <c r="AY66" s="52">
        <f t="shared" si="101"/>
        <v>109.575</v>
      </c>
      <c r="AZ66" s="52">
        <f t="shared" si="102"/>
        <v>109.575</v>
      </c>
      <c r="BA66" s="52">
        <f t="shared" si="103"/>
        <v>109.575</v>
      </c>
      <c r="BB66" s="52">
        <f t="shared" si="104"/>
        <v>109.575</v>
      </c>
      <c r="BC66" s="52">
        <f t="shared" si="53"/>
        <v>109.575</v>
      </c>
      <c r="BD66" s="52">
        <f t="shared" si="54"/>
        <v>109.575</v>
      </c>
      <c r="BE66" s="57">
        <v>0.2</v>
      </c>
      <c r="BF66" s="52">
        <f t="shared" si="105"/>
        <v>112</v>
      </c>
      <c r="BG66" s="52">
        <f t="shared" si="106"/>
        <v>112</v>
      </c>
      <c r="BH66" s="52">
        <f t="shared" si="107"/>
        <v>112</v>
      </c>
      <c r="BI66" s="52">
        <f t="shared" si="108"/>
        <v>112</v>
      </c>
      <c r="BJ66" s="52">
        <f t="shared" si="109"/>
        <v>112</v>
      </c>
      <c r="BK66" s="52">
        <f t="shared" si="60"/>
        <v>112</v>
      </c>
      <c r="BL66" s="52">
        <f t="shared" si="61"/>
        <v>112</v>
      </c>
      <c r="BM66" s="297">
        <v>0.04</v>
      </c>
      <c r="BN66" s="69">
        <f t="shared" si="110"/>
        <v>140</v>
      </c>
      <c r="BO66" s="69">
        <f t="shared" si="111"/>
        <v>140</v>
      </c>
      <c r="BP66" s="69">
        <f t="shared" si="112"/>
        <v>140</v>
      </c>
      <c r="BQ66" s="69">
        <f t="shared" si="113"/>
        <v>140</v>
      </c>
      <c r="BR66" s="69">
        <f t="shared" si="114"/>
        <v>140</v>
      </c>
      <c r="BS66" s="69">
        <f t="shared" si="115"/>
        <v>140</v>
      </c>
      <c r="BT66" s="69">
        <f t="shared" si="116"/>
        <v>140</v>
      </c>
      <c r="BV66" s="69"/>
      <c r="BW66" s="69"/>
      <c r="BX66" s="69"/>
      <c r="BY66" s="69"/>
      <c r="BZ66" s="69"/>
      <c r="CA66" s="69"/>
      <c r="CB66" s="69"/>
      <c r="CC66" s="107">
        <v>0</v>
      </c>
      <c r="CD66" s="69">
        <v>0</v>
      </c>
      <c r="CE66" s="69">
        <f t="shared" si="32"/>
        <v>0</v>
      </c>
      <c r="CF66" s="69">
        <f t="shared" si="62"/>
        <v>0</v>
      </c>
      <c r="CG66" s="69">
        <f t="shared" si="34"/>
        <v>0</v>
      </c>
      <c r="CH66" s="69">
        <f t="shared" si="63"/>
        <v>0</v>
      </c>
      <c r="CI66" s="69">
        <f t="shared" si="64"/>
        <v>0</v>
      </c>
      <c r="CJ66" s="69">
        <f t="shared" si="65"/>
        <v>0</v>
      </c>
      <c r="CL66" s="54">
        <f t="shared" si="66"/>
        <v>0</v>
      </c>
      <c r="CM66" s="54">
        <f t="shared" si="67"/>
        <v>0</v>
      </c>
      <c r="CN66" s="54">
        <f t="shared" si="68"/>
        <v>0</v>
      </c>
      <c r="CO66" s="54">
        <f t="shared" si="69"/>
        <v>0</v>
      </c>
      <c r="CP66" s="54">
        <f t="shared" si="70"/>
        <v>0</v>
      </c>
      <c r="CQ66" s="54">
        <f t="shared" si="71"/>
        <v>0</v>
      </c>
      <c r="CR66" s="54">
        <f t="shared" si="72"/>
        <v>0</v>
      </c>
      <c r="CT66" s="54">
        <f t="shared" si="117"/>
        <v>0</v>
      </c>
      <c r="CU66" s="54">
        <f t="shared" si="118"/>
        <v>0</v>
      </c>
      <c r="CV66" s="54">
        <f t="shared" si="119"/>
        <v>0</v>
      </c>
      <c r="CW66" s="54">
        <f t="shared" si="120"/>
        <v>0</v>
      </c>
      <c r="CX66" s="54">
        <f t="shared" si="121"/>
        <v>0</v>
      </c>
      <c r="CY66" s="54">
        <f t="shared" si="122"/>
        <v>0</v>
      </c>
      <c r="CZ66" s="54">
        <f t="shared" si="74"/>
        <v>0</v>
      </c>
      <c r="DB66" s="54">
        <f t="shared" si="123"/>
        <v>0</v>
      </c>
      <c r="DC66" s="54">
        <f t="shared" si="124"/>
        <v>0</v>
      </c>
      <c r="DD66" s="54">
        <f t="shared" si="125"/>
        <v>0</v>
      </c>
      <c r="DE66" s="54">
        <f t="shared" si="126"/>
        <v>0</v>
      </c>
      <c r="DF66" s="54">
        <f t="shared" si="127"/>
        <v>0</v>
      </c>
      <c r="DG66" s="54">
        <f t="shared" si="128"/>
        <v>0</v>
      </c>
      <c r="DH66" s="54">
        <f t="shared" si="76"/>
        <v>0</v>
      </c>
      <c r="DJ66" s="54">
        <f t="shared" si="129"/>
        <v>112</v>
      </c>
      <c r="DK66" s="54">
        <f t="shared" si="130"/>
        <v>112</v>
      </c>
      <c r="DL66" s="54">
        <f t="shared" si="131"/>
        <v>112</v>
      </c>
      <c r="DM66" s="54">
        <f t="shared" si="132"/>
        <v>112</v>
      </c>
      <c r="DN66" s="54">
        <f t="shared" si="133"/>
        <v>112</v>
      </c>
      <c r="DO66" s="54">
        <f t="shared" si="134"/>
        <v>112</v>
      </c>
      <c r="DP66" s="54">
        <f t="shared" si="135"/>
        <v>112</v>
      </c>
      <c r="DR66" s="54">
        <f>+IF(Z66&gt;0,$K66*(1-$BE66)-SUM($DJ66:DJ66),DB66)</f>
        <v>2688</v>
      </c>
      <c r="DS66" s="54">
        <f>+IF(AA66&gt;0,$K66*(1-$BE66)-SUM($DJ66:DK66),DC66)</f>
        <v>2576</v>
      </c>
      <c r="DT66" s="54">
        <f>+IF(AB66&gt;0,$K66*(1-$BE66)-SUM($DJ66:DL66),DD66)</f>
        <v>2464</v>
      </c>
      <c r="DU66" s="54">
        <f>+IF(AC66&gt;0,$K66*(1-$BE66)-SUM($DJ66:DM66),DE66)</f>
        <v>2352</v>
      </c>
      <c r="DV66" s="54">
        <f>+IF(AD66&gt;0,$K66*(1-$BE66)-SUM($DJ66:DN66),DF66)</f>
        <v>2240</v>
      </c>
      <c r="DW66" s="54">
        <f>+IF(AE66&gt;0,$K66*(1-$BE66)-SUM($DJ66:DO66),DG66)</f>
        <v>2128</v>
      </c>
      <c r="DX66" s="54">
        <f>+IF(AF66&gt;0,$K66*(1-$BE66)-SUM($DJ66:DP66),DH66)</f>
        <v>2016</v>
      </c>
      <c r="DZ66" s="54">
        <f t="shared" si="136"/>
        <v>268.8</v>
      </c>
      <c r="EA66" s="54">
        <f t="shared" si="137"/>
        <v>257.60000000000002</v>
      </c>
      <c r="EB66" s="54">
        <f t="shared" si="138"/>
        <v>246.4</v>
      </c>
      <c r="EC66" s="54">
        <f t="shared" si="139"/>
        <v>235.20000000000002</v>
      </c>
      <c r="ED66" s="54">
        <f t="shared" si="140"/>
        <v>224</v>
      </c>
      <c r="EE66" s="54">
        <f t="shared" si="141"/>
        <v>212.8</v>
      </c>
      <c r="EF66" s="54">
        <f t="shared" si="79"/>
        <v>0</v>
      </c>
      <c r="EH66" s="48"/>
      <c r="EI66" s="48"/>
      <c r="EJ66" s="48"/>
      <c r="EK66" s="48"/>
      <c r="EL66" s="48"/>
      <c r="EM66" s="48"/>
      <c r="EN66" s="48"/>
      <c r="EP66" s="48"/>
      <c r="EQ66" s="48"/>
      <c r="ER66" s="48"/>
      <c r="ES66" s="48"/>
      <c r="ET66" s="48"/>
      <c r="EU66" s="48"/>
      <c r="EV66" s="48"/>
      <c r="EX66" s="48"/>
      <c r="EY66" s="48"/>
      <c r="EZ66" s="48"/>
      <c r="FA66" s="48"/>
      <c r="FB66" s="48"/>
      <c r="FC66" s="48"/>
      <c r="FD66" s="48"/>
      <c r="FF66" s="48"/>
      <c r="FG66" s="48"/>
      <c r="FH66" s="48"/>
      <c r="FI66" s="48"/>
      <c r="FJ66" s="48"/>
      <c r="FK66" s="48"/>
      <c r="FL66" s="48"/>
      <c r="FM66" s="51">
        <v>0</v>
      </c>
      <c r="FN66" s="48">
        <v>0</v>
      </c>
      <c r="FO66" s="48">
        <f t="shared" si="80"/>
        <v>0</v>
      </c>
      <c r="FP66" s="48"/>
      <c r="FQ66" s="48"/>
      <c r="FR66" s="48"/>
      <c r="FS66" s="48"/>
      <c r="FT66" s="48"/>
      <c r="FV66" s="48">
        <f t="shared" si="81"/>
        <v>6.7370000000000001</v>
      </c>
      <c r="FW66" s="48">
        <f t="shared" si="82"/>
        <v>6.7370000000000001</v>
      </c>
      <c r="FX66" s="48">
        <f t="shared" si="83"/>
        <v>6.7370000000000001</v>
      </c>
      <c r="FY66" s="48">
        <f t="shared" si="84"/>
        <v>6.7370000000000001</v>
      </c>
      <c r="FZ66" s="48">
        <f t="shared" si="85"/>
        <v>6.7370000000000001</v>
      </c>
      <c r="GA66" s="48">
        <f t="shared" si="86"/>
        <v>6.7370000000000001</v>
      </c>
      <c r="GB66" s="48">
        <f t="shared" si="87"/>
        <v>6.7370000000000001</v>
      </c>
    </row>
    <row r="67" spans="2:184" x14ac:dyDescent="0.2">
      <c r="B67" s="393" t="str">
        <f>Key_New!D17</f>
        <v>Telangana</v>
      </c>
      <c r="C67" s="394" t="str">
        <f>Key_New!B17</f>
        <v>ACME PV Powertech Pvt Ltd</v>
      </c>
      <c r="D67" s="395" t="str">
        <f>Key_New!E17</f>
        <v>Solar</v>
      </c>
      <c r="E67" s="396" t="str">
        <f>Key_New!C17</f>
        <v>Operational</v>
      </c>
      <c r="F67" s="397">
        <f>Key_New!F17</f>
        <v>50</v>
      </c>
      <c r="G67" s="398">
        <f t="shared" si="31"/>
        <v>42978</v>
      </c>
      <c r="H67" s="399">
        <f>Key_New!O17</f>
        <v>42978</v>
      </c>
      <c r="I67" s="369">
        <f t="shared" si="35"/>
        <v>2018</v>
      </c>
      <c r="J67" s="367">
        <v>70</v>
      </c>
      <c r="K67" s="370">
        <f t="shared" si="36"/>
        <v>3500</v>
      </c>
      <c r="L67" s="368">
        <v>0.12</v>
      </c>
      <c r="M67" s="368">
        <v>0.25</v>
      </c>
      <c r="N67" s="403">
        <f>Key_New!J17</f>
        <v>5.5949999999999998</v>
      </c>
      <c r="O67" s="462">
        <f t="shared" si="37"/>
        <v>0</v>
      </c>
      <c r="P67" s="54">
        <f t="shared" si="88"/>
        <v>365</v>
      </c>
      <c r="Q67" s="54">
        <f t="shared" si="88"/>
        <v>365</v>
      </c>
      <c r="R67" s="54">
        <f t="shared" si="38"/>
        <v>365</v>
      </c>
      <c r="S67" s="54">
        <f t="shared" si="38"/>
        <v>365</v>
      </c>
      <c r="T67" s="54">
        <f t="shared" si="38"/>
        <v>365</v>
      </c>
      <c r="U67" s="54">
        <f t="shared" si="39"/>
        <v>365</v>
      </c>
      <c r="V67" s="54">
        <f t="shared" si="39"/>
        <v>365</v>
      </c>
      <c r="W67" s="54">
        <f t="shared" si="38"/>
        <v>365</v>
      </c>
      <c r="Y67" s="60">
        <v>6</v>
      </c>
      <c r="Z67" s="54">
        <f t="shared" si="89"/>
        <v>7</v>
      </c>
      <c r="AA67" s="54">
        <f t="shared" si="90"/>
        <v>8</v>
      </c>
      <c r="AB67" s="54">
        <f t="shared" si="91"/>
        <v>9</v>
      </c>
      <c r="AC67" s="54">
        <f t="shared" si="92"/>
        <v>10</v>
      </c>
      <c r="AD67" s="54">
        <f t="shared" si="93"/>
        <v>11</v>
      </c>
      <c r="AE67" s="54">
        <f t="shared" si="94"/>
        <v>12</v>
      </c>
      <c r="AF67" s="54">
        <f t="shared" si="94"/>
        <v>13</v>
      </c>
      <c r="AG67" s="444"/>
      <c r="AH67" s="48">
        <f t="shared" si="95"/>
        <v>50</v>
      </c>
      <c r="AI67" s="48">
        <f t="shared" si="96"/>
        <v>50</v>
      </c>
      <c r="AJ67" s="48">
        <f t="shared" si="97"/>
        <v>50</v>
      </c>
      <c r="AK67" s="48">
        <f t="shared" si="98"/>
        <v>50</v>
      </c>
      <c r="AL67" s="48">
        <f t="shared" si="99"/>
        <v>50</v>
      </c>
      <c r="AM67" s="48">
        <f t="shared" si="46"/>
        <v>50</v>
      </c>
      <c r="AN67" s="48">
        <f t="shared" si="47"/>
        <v>50</v>
      </c>
      <c r="AP67" s="61">
        <v>0.25</v>
      </c>
      <c r="AQ67" s="61">
        <v>0.25</v>
      </c>
      <c r="AR67" s="61">
        <v>0.25</v>
      </c>
      <c r="AS67" s="61">
        <v>0.25</v>
      </c>
      <c r="AT67" s="61">
        <v>0.25</v>
      </c>
      <c r="AU67" s="61">
        <v>0.25</v>
      </c>
      <c r="AV67" s="61">
        <v>0.25</v>
      </c>
      <c r="AX67" s="52">
        <f t="shared" si="100"/>
        <v>109.575</v>
      </c>
      <c r="AY67" s="52">
        <f t="shared" si="101"/>
        <v>109.575</v>
      </c>
      <c r="AZ67" s="52">
        <f t="shared" si="102"/>
        <v>109.575</v>
      </c>
      <c r="BA67" s="52">
        <f t="shared" si="103"/>
        <v>109.575</v>
      </c>
      <c r="BB67" s="52">
        <f t="shared" si="104"/>
        <v>109.575</v>
      </c>
      <c r="BC67" s="52">
        <f t="shared" si="53"/>
        <v>109.575</v>
      </c>
      <c r="BD67" s="52">
        <f t="shared" si="54"/>
        <v>109.575</v>
      </c>
      <c r="BE67" s="57">
        <v>0.2</v>
      </c>
      <c r="BF67" s="52">
        <f t="shared" si="105"/>
        <v>112</v>
      </c>
      <c r="BG67" s="52">
        <f t="shared" si="106"/>
        <v>112</v>
      </c>
      <c r="BH67" s="52">
        <f t="shared" si="107"/>
        <v>112</v>
      </c>
      <c r="BI67" s="52">
        <f t="shared" si="108"/>
        <v>112</v>
      </c>
      <c r="BJ67" s="52">
        <f t="shared" si="109"/>
        <v>112</v>
      </c>
      <c r="BK67" s="52">
        <f t="shared" si="60"/>
        <v>112</v>
      </c>
      <c r="BL67" s="52">
        <f t="shared" si="61"/>
        <v>112</v>
      </c>
      <c r="BM67" s="297">
        <v>0.04</v>
      </c>
      <c r="BN67" s="69">
        <f t="shared" si="110"/>
        <v>140</v>
      </c>
      <c r="BO67" s="69">
        <f t="shared" si="111"/>
        <v>140</v>
      </c>
      <c r="BP67" s="69">
        <f t="shared" si="112"/>
        <v>140</v>
      </c>
      <c r="BQ67" s="69">
        <f t="shared" si="113"/>
        <v>140</v>
      </c>
      <c r="BR67" s="69">
        <f t="shared" si="114"/>
        <v>140</v>
      </c>
      <c r="BS67" s="69">
        <f t="shared" si="115"/>
        <v>140</v>
      </c>
      <c r="BT67" s="69">
        <f t="shared" si="116"/>
        <v>140</v>
      </c>
      <c r="BV67" s="69"/>
      <c r="BW67" s="69"/>
      <c r="BX67" s="69"/>
      <c r="BY67" s="69"/>
      <c r="BZ67" s="69"/>
      <c r="CA67" s="69"/>
      <c r="CB67" s="69"/>
      <c r="CC67" s="107">
        <v>0</v>
      </c>
      <c r="CD67" s="69">
        <v>0</v>
      </c>
      <c r="CE67" s="69">
        <f t="shared" si="32"/>
        <v>0</v>
      </c>
      <c r="CF67" s="69">
        <f t="shared" si="62"/>
        <v>0</v>
      </c>
      <c r="CG67" s="69">
        <f t="shared" si="34"/>
        <v>0</v>
      </c>
      <c r="CH67" s="69">
        <f t="shared" si="63"/>
        <v>0</v>
      </c>
      <c r="CI67" s="69">
        <f t="shared" si="64"/>
        <v>0</v>
      </c>
      <c r="CJ67" s="69">
        <f t="shared" si="65"/>
        <v>0</v>
      </c>
      <c r="CL67" s="54">
        <f t="shared" si="66"/>
        <v>0</v>
      </c>
      <c r="CM67" s="54">
        <f t="shared" si="67"/>
        <v>0</v>
      </c>
      <c r="CN67" s="54">
        <f t="shared" si="68"/>
        <v>0</v>
      </c>
      <c r="CO67" s="54">
        <f t="shared" si="69"/>
        <v>0</v>
      </c>
      <c r="CP67" s="54">
        <f t="shared" si="70"/>
        <v>0</v>
      </c>
      <c r="CQ67" s="54">
        <f t="shared" si="71"/>
        <v>0</v>
      </c>
      <c r="CR67" s="54">
        <f t="shared" si="72"/>
        <v>0</v>
      </c>
      <c r="CT67" s="54">
        <f t="shared" si="117"/>
        <v>0</v>
      </c>
      <c r="CU67" s="54">
        <f t="shared" si="118"/>
        <v>0</v>
      </c>
      <c r="CV67" s="54">
        <f t="shared" si="119"/>
        <v>0</v>
      </c>
      <c r="CW67" s="54">
        <f t="shared" si="120"/>
        <v>0</v>
      </c>
      <c r="CX67" s="54">
        <f t="shared" si="121"/>
        <v>0</v>
      </c>
      <c r="CY67" s="54">
        <f t="shared" si="122"/>
        <v>0</v>
      </c>
      <c r="CZ67" s="54">
        <f t="shared" si="74"/>
        <v>0</v>
      </c>
      <c r="DB67" s="54">
        <f t="shared" si="123"/>
        <v>0</v>
      </c>
      <c r="DC67" s="54">
        <f t="shared" si="124"/>
        <v>0</v>
      </c>
      <c r="DD67" s="54">
        <f t="shared" si="125"/>
        <v>0</v>
      </c>
      <c r="DE67" s="54">
        <f t="shared" si="126"/>
        <v>0</v>
      </c>
      <c r="DF67" s="54">
        <f t="shared" si="127"/>
        <v>0</v>
      </c>
      <c r="DG67" s="54">
        <f t="shared" si="128"/>
        <v>0</v>
      </c>
      <c r="DH67" s="54">
        <f t="shared" si="76"/>
        <v>0</v>
      </c>
      <c r="DJ67" s="54">
        <f t="shared" si="129"/>
        <v>112</v>
      </c>
      <c r="DK67" s="54">
        <f t="shared" si="130"/>
        <v>112</v>
      </c>
      <c r="DL67" s="54">
        <f t="shared" si="131"/>
        <v>112</v>
      </c>
      <c r="DM67" s="54">
        <f t="shared" si="132"/>
        <v>112</v>
      </c>
      <c r="DN67" s="54">
        <f t="shared" si="133"/>
        <v>112</v>
      </c>
      <c r="DO67" s="54">
        <f t="shared" si="134"/>
        <v>112</v>
      </c>
      <c r="DP67" s="54">
        <f t="shared" si="135"/>
        <v>112</v>
      </c>
      <c r="DR67" s="54">
        <f>+IF(Z67&gt;0,$K67*(1-$BE67)-SUM($DJ67:DJ67),DB67)</f>
        <v>2688</v>
      </c>
      <c r="DS67" s="54">
        <f>+IF(AA67&gt;0,$K67*(1-$BE67)-SUM($DJ67:DK67),DC67)</f>
        <v>2576</v>
      </c>
      <c r="DT67" s="54">
        <f>+IF(AB67&gt;0,$K67*(1-$BE67)-SUM($DJ67:DL67),DD67)</f>
        <v>2464</v>
      </c>
      <c r="DU67" s="54">
        <f>+IF(AC67&gt;0,$K67*(1-$BE67)-SUM($DJ67:DM67),DE67)</f>
        <v>2352</v>
      </c>
      <c r="DV67" s="54">
        <f>+IF(AD67&gt;0,$K67*(1-$BE67)-SUM($DJ67:DN67),DF67)</f>
        <v>2240</v>
      </c>
      <c r="DW67" s="54">
        <f>+IF(AE67&gt;0,$K67*(1-$BE67)-SUM($DJ67:DO67),DG67)</f>
        <v>2128</v>
      </c>
      <c r="DX67" s="54">
        <f>+IF(AF67&gt;0,$K67*(1-$BE67)-SUM($DJ67:DP67),DH67)</f>
        <v>2016</v>
      </c>
      <c r="DZ67" s="54">
        <f t="shared" si="136"/>
        <v>268.8</v>
      </c>
      <c r="EA67" s="54">
        <f t="shared" si="137"/>
        <v>257.60000000000002</v>
      </c>
      <c r="EB67" s="54">
        <f t="shared" si="138"/>
        <v>246.4</v>
      </c>
      <c r="EC67" s="54">
        <f t="shared" si="139"/>
        <v>235.20000000000002</v>
      </c>
      <c r="ED67" s="54">
        <f t="shared" si="140"/>
        <v>224</v>
      </c>
      <c r="EE67" s="54">
        <f t="shared" si="141"/>
        <v>212.8</v>
      </c>
      <c r="EF67" s="54">
        <f t="shared" si="79"/>
        <v>0</v>
      </c>
      <c r="EH67" s="48"/>
      <c r="EI67" s="48"/>
      <c r="EJ67" s="48"/>
      <c r="EK67" s="48"/>
      <c r="EL67" s="48"/>
      <c r="EM67" s="48"/>
      <c r="EN67" s="48"/>
      <c r="EP67" s="48"/>
      <c r="EQ67" s="48"/>
      <c r="ER67" s="48"/>
      <c r="ES67" s="48"/>
      <c r="ET67" s="48"/>
      <c r="EU67" s="48"/>
      <c r="EV67" s="48"/>
      <c r="EX67" s="48"/>
      <c r="EY67" s="48"/>
      <c r="EZ67" s="48"/>
      <c r="FA67" s="48"/>
      <c r="FB67" s="48"/>
      <c r="FC67" s="48"/>
      <c r="FD67" s="48"/>
      <c r="FF67" s="48"/>
      <c r="FG67" s="48"/>
      <c r="FH67" s="48"/>
      <c r="FI67" s="48"/>
      <c r="FJ67" s="48"/>
      <c r="FK67" s="48"/>
      <c r="FL67" s="48"/>
      <c r="FM67" s="51">
        <v>0</v>
      </c>
      <c r="FN67" s="48">
        <v>0</v>
      </c>
      <c r="FO67" s="48">
        <f t="shared" si="80"/>
        <v>0</v>
      </c>
      <c r="FP67" s="48"/>
      <c r="FQ67" s="48"/>
      <c r="FR67" s="48"/>
      <c r="FS67" s="48"/>
      <c r="FT67" s="48"/>
      <c r="FV67" s="48">
        <f t="shared" si="81"/>
        <v>5.5949999999999998</v>
      </c>
      <c r="FW67" s="48">
        <f t="shared" si="82"/>
        <v>5.5949999999999998</v>
      </c>
      <c r="FX67" s="48">
        <f t="shared" si="83"/>
        <v>5.5949999999999998</v>
      </c>
      <c r="FY67" s="48">
        <f t="shared" si="84"/>
        <v>5.5949999999999998</v>
      </c>
      <c r="FZ67" s="48">
        <f t="shared" si="85"/>
        <v>5.5949999999999998</v>
      </c>
      <c r="GA67" s="48">
        <f t="shared" si="86"/>
        <v>5.5949999999999998</v>
      </c>
      <c r="GB67" s="48">
        <f t="shared" si="87"/>
        <v>5.5949999999999998</v>
      </c>
    </row>
    <row r="68" spans="2:184" x14ac:dyDescent="0.2">
      <c r="B68" s="393" t="str">
        <f>Key_New!D18</f>
        <v>Telangana</v>
      </c>
      <c r="C68" s="394" t="str">
        <f>Key_New!B18</f>
        <v>ACME Solar Power Technology Pvt Ltd</v>
      </c>
      <c r="D68" s="395" t="str">
        <f>Key_New!E18</f>
        <v>Solar</v>
      </c>
      <c r="E68" s="396" t="str">
        <f>Key_New!C18</f>
        <v>Operational</v>
      </c>
      <c r="F68" s="397">
        <f>Key_New!F18</f>
        <v>50</v>
      </c>
      <c r="G68" s="398">
        <f t="shared" si="31"/>
        <v>43159</v>
      </c>
      <c r="H68" s="399">
        <f>Key_New!O18</f>
        <v>43159</v>
      </c>
      <c r="I68" s="369">
        <f t="shared" si="35"/>
        <v>2018</v>
      </c>
      <c r="J68" s="367">
        <v>70</v>
      </c>
      <c r="K68" s="370">
        <f t="shared" si="36"/>
        <v>3500</v>
      </c>
      <c r="L68" s="368">
        <v>0.12</v>
      </c>
      <c r="M68" s="368">
        <v>0.25</v>
      </c>
      <c r="N68" s="403">
        <f>Key_New!J18</f>
        <v>5.59</v>
      </c>
      <c r="O68" s="462">
        <f t="shared" si="37"/>
        <v>0</v>
      </c>
      <c r="P68" s="54">
        <f t="shared" si="88"/>
        <v>365</v>
      </c>
      <c r="Q68" s="54">
        <f t="shared" si="88"/>
        <v>365</v>
      </c>
      <c r="R68" s="54">
        <f t="shared" si="38"/>
        <v>365</v>
      </c>
      <c r="S68" s="54">
        <f t="shared" si="38"/>
        <v>365</v>
      </c>
      <c r="T68" s="54">
        <f t="shared" si="38"/>
        <v>365</v>
      </c>
      <c r="U68" s="54">
        <f t="shared" si="39"/>
        <v>365</v>
      </c>
      <c r="V68" s="54">
        <f t="shared" si="39"/>
        <v>365</v>
      </c>
      <c r="W68" s="54">
        <f t="shared" si="38"/>
        <v>365</v>
      </c>
      <c r="Y68" s="60">
        <v>6</v>
      </c>
      <c r="Z68" s="54">
        <f t="shared" si="89"/>
        <v>7</v>
      </c>
      <c r="AA68" s="54">
        <f t="shared" si="90"/>
        <v>8</v>
      </c>
      <c r="AB68" s="54">
        <f t="shared" si="91"/>
        <v>9</v>
      </c>
      <c r="AC68" s="54">
        <f t="shared" si="92"/>
        <v>10</v>
      </c>
      <c r="AD68" s="54">
        <f t="shared" si="93"/>
        <v>11</v>
      </c>
      <c r="AE68" s="54">
        <f t="shared" si="94"/>
        <v>12</v>
      </c>
      <c r="AF68" s="54">
        <f t="shared" si="94"/>
        <v>13</v>
      </c>
      <c r="AG68" s="444"/>
      <c r="AH68" s="48">
        <f t="shared" si="95"/>
        <v>50</v>
      </c>
      <c r="AI68" s="48">
        <f t="shared" si="96"/>
        <v>50</v>
      </c>
      <c r="AJ68" s="48">
        <f t="shared" si="97"/>
        <v>50</v>
      </c>
      <c r="AK68" s="48">
        <f t="shared" si="98"/>
        <v>50</v>
      </c>
      <c r="AL68" s="48">
        <f t="shared" si="99"/>
        <v>50</v>
      </c>
      <c r="AM68" s="48">
        <f t="shared" si="46"/>
        <v>50</v>
      </c>
      <c r="AN68" s="48">
        <f t="shared" si="47"/>
        <v>50</v>
      </c>
      <c r="AP68" s="61">
        <v>0.25</v>
      </c>
      <c r="AQ68" s="61">
        <v>0.25</v>
      </c>
      <c r="AR68" s="61">
        <v>0.25</v>
      </c>
      <c r="AS68" s="61">
        <v>0.25</v>
      </c>
      <c r="AT68" s="61">
        <v>0.25</v>
      </c>
      <c r="AU68" s="61">
        <v>0.25</v>
      </c>
      <c r="AV68" s="61">
        <v>0.25</v>
      </c>
      <c r="AX68" s="52">
        <f t="shared" si="100"/>
        <v>109.575</v>
      </c>
      <c r="AY68" s="52">
        <f t="shared" si="101"/>
        <v>109.575</v>
      </c>
      <c r="AZ68" s="52">
        <f t="shared" si="102"/>
        <v>109.575</v>
      </c>
      <c r="BA68" s="52">
        <f t="shared" si="103"/>
        <v>109.575</v>
      </c>
      <c r="BB68" s="52">
        <f t="shared" si="104"/>
        <v>109.575</v>
      </c>
      <c r="BC68" s="52">
        <f t="shared" si="53"/>
        <v>109.575</v>
      </c>
      <c r="BD68" s="52">
        <f t="shared" si="54"/>
        <v>109.575</v>
      </c>
      <c r="BE68" s="57">
        <v>0.2</v>
      </c>
      <c r="BF68" s="52">
        <f t="shared" si="105"/>
        <v>112</v>
      </c>
      <c r="BG68" s="52">
        <f t="shared" si="106"/>
        <v>112</v>
      </c>
      <c r="BH68" s="52">
        <f t="shared" si="107"/>
        <v>112</v>
      </c>
      <c r="BI68" s="52">
        <f t="shared" si="108"/>
        <v>112</v>
      </c>
      <c r="BJ68" s="52">
        <f t="shared" si="109"/>
        <v>112</v>
      </c>
      <c r="BK68" s="52">
        <f t="shared" si="60"/>
        <v>112</v>
      </c>
      <c r="BL68" s="52">
        <f t="shared" si="61"/>
        <v>112</v>
      </c>
      <c r="BM68" s="297">
        <v>0.04</v>
      </c>
      <c r="BN68" s="69">
        <f t="shared" si="110"/>
        <v>140</v>
      </c>
      <c r="BO68" s="69">
        <f t="shared" si="111"/>
        <v>140</v>
      </c>
      <c r="BP68" s="69">
        <f t="shared" si="112"/>
        <v>140</v>
      </c>
      <c r="BQ68" s="69">
        <f t="shared" si="113"/>
        <v>140</v>
      </c>
      <c r="BR68" s="69">
        <f t="shared" si="114"/>
        <v>140</v>
      </c>
      <c r="BS68" s="69">
        <f t="shared" si="115"/>
        <v>140</v>
      </c>
      <c r="BT68" s="69">
        <f t="shared" si="116"/>
        <v>140</v>
      </c>
      <c r="BV68" s="69"/>
      <c r="BW68" s="69"/>
      <c r="BX68" s="69"/>
      <c r="BY68" s="69"/>
      <c r="BZ68" s="69"/>
      <c r="CA68" s="69"/>
      <c r="CB68" s="69"/>
      <c r="CC68" s="107">
        <v>0</v>
      </c>
      <c r="CD68" s="69">
        <v>0</v>
      </c>
      <c r="CE68" s="69">
        <f t="shared" si="32"/>
        <v>0</v>
      </c>
      <c r="CF68" s="69">
        <f t="shared" si="62"/>
        <v>0</v>
      </c>
      <c r="CG68" s="69">
        <f t="shared" si="34"/>
        <v>0</v>
      </c>
      <c r="CH68" s="69">
        <f t="shared" si="63"/>
        <v>0</v>
      </c>
      <c r="CI68" s="69">
        <f t="shared" si="64"/>
        <v>0</v>
      </c>
      <c r="CJ68" s="69">
        <f t="shared" si="65"/>
        <v>0</v>
      </c>
      <c r="CL68" s="54">
        <f t="shared" si="66"/>
        <v>0</v>
      </c>
      <c r="CM68" s="54">
        <f t="shared" si="67"/>
        <v>0</v>
      </c>
      <c r="CN68" s="54">
        <f t="shared" si="68"/>
        <v>0</v>
      </c>
      <c r="CO68" s="54">
        <f t="shared" si="69"/>
        <v>0</v>
      </c>
      <c r="CP68" s="54">
        <f t="shared" si="70"/>
        <v>0</v>
      </c>
      <c r="CQ68" s="54">
        <f t="shared" si="71"/>
        <v>0</v>
      </c>
      <c r="CR68" s="54">
        <f t="shared" si="72"/>
        <v>0</v>
      </c>
      <c r="CT68" s="54">
        <f t="shared" si="117"/>
        <v>0</v>
      </c>
      <c r="CU68" s="54">
        <f t="shared" si="118"/>
        <v>0</v>
      </c>
      <c r="CV68" s="54">
        <f t="shared" si="119"/>
        <v>0</v>
      </c>
      <c r="CW68" s="54">
        <f t="shared" si="120"/>
        <v>0</v>
      </c>
      <c r="CX68" s="54">
        <f t="shared" si="121"/>
        <v>0</v>
      </c>
      <c r="CY68" s="54">
        <f t="shared" si="122"/>
        <v>0</v>
      </c>
      <c r="CZ68" s="54">
        <f t="shared" si="74"/>
        <v>0</v>
      </c>
      <c r="DB68" s="54">
        <f t="shared" si="123"/>
        <v>0</v>
      </c>
      <c r="DC68" s="54">
        <f t="shared" si="124"/>
        <v>0</v>
      </c>
      <c r="DD68" s="54">
        <f t="shared" si="125"/>
        <v>0</v>
      </c>
      <c r="DE68" s="54">
        <f t="shared" si="126"/>
        <v>0</v>
      </c>
      <c r="DF68" s="54">
        <f t="shared" si="127"/>
        <v>0</v>
      </c>
      <c r="DG68" s="54">
        <f t="shared" si="128"/>
        <v>0</v>
      </c>
      <c r="DH68" s="54">
        <f t="shared" si="76"/>
        <v>0</v>
      </c>
      <c r="DJ68" s="54">
        <f t="shared" si="129"/>
        <v>112</v>
      </c>
      <c r="DK68" s="54">
        <f t="shared" si="130"/>
        <v>112</v>
      </c>
      <c r="DL68" s="54">
        <f t="shared" si="131"/>
        <v>112</v>
      </c>
      <c r="DM68" s="54">
        <f t="shared" si="132"/>
        <v>112</v>
      </c>
      <c r="DN68" s="54">
        <f t="shared" si="133"/>
        <v>112</v>
      </c>
      <c r="DO68" s="54">
        <f t="shared" si="134"/>
        <v>112</v>
      </c>
      <c r="DP68" s="54">
        <f t="shared" si="135"/>
        <v>112</v>
      </c>
      <c r="DR68" s="54">
        <f>+IF(Z68&gt;0,$K68*(1-$BE68)-SUM($DJ68:DJ68),DB68)</f>
        <v>2688</v>
      </c>
      <c r="DS68" s="54">
        <f>+IF(AA68&gt;0,$K68*(1-$BE68)-SUM($DJ68:DK68),DC68)</f>
        <v>2576</v>
      </c>
      <c r="DT68" s="54">
        <f>+IF(AB68&gt;0,$K68*(1-$BE68)-SUM($DJ68:DL68),DD68)</f>
        <v>2464</v>
      </c>
      <c r="DU68" s="54">
        <f>+IF(AC68&gt;0,$K68*(1-$BE68)-SUM($DJ68:DM68),DE68)</f>
        <v>2352</v>
      </c>
      <c r="DV68" s="54">
        <f>+IF(AD68&gt;0,$K68*(1-$BE68)-SUM($DJ68:DN68),DF68)</f>
        <v>2240</v>
      </c>
      <c r="DW68" s="54">
        <f>+IF(AE68&gt;0,$K68*(1-$BE68)-SUM($DJ68:DO68),DG68)</f>
        <v>2128</v>
      </c>
      <c r="DX68" s="54">
        <f>+IF(AF68&gt;0,$K68*(1-$BE68)-SUM($DJ68:DP68),DH68)</f>
        <v>2016</v>
      </c>
      <c r="DZ68" s="54">
        <f t="shared" si="136"/>
        <v>268.8</v>
      </c>
      <c r="EA68" s="54">
        <f t="shared" si="137"/>
        <v>257.60000000000002</v>
      </c>
      <c r="EB68" s="54">
        <f t="shared" si="138"/>
        <v>246.4</v>
      </c>
      <c r="EC68" s="54">
        <f t="shared" si="139"/>
        <v>235.20000000000002</v>
      </c>
      <c r="ED68" s="54">
        <f t="shared" si="140"/>
        <v>224</v>
      </c>
      <c r="EE68" s="54">
        <f t="shared" si="141"/>
        <v>212.8</v>
      </c>
      <c r="EF68" s="54">
        <f t="shared" si="79"/>
        <v>0</v>
      </c>
      <c r="EH68" s="48"/>
      <c r="EI68" s="48"/>
      <c r="EJ68" s="48"/>
      <c r="EK68" s="48"/>
      <c r="EL68" s="48"/>
      <c r="EM68" s="48"/>
      <c r="EN68" s="48"/>
      <c r="EP68" s="48"/>
      <c r="EQ68" s="48"/>
      <c r="ER68" s="48"/>
      <c r="ES68" s="48"/>
      <c r="ET68" s="48"/>
      <c r="EU68" s="48"/>
      <c r="EV68" s="48"/>
      <c r="EX68" s="48"/>
      <c r="EY68" s="48"/>
      <c r="EZ68" s="48"/>
      <c r="FA68" s="48"/>
      <c r="FB68" s="48"/>
      <c r="FC68" s="48"/>
      <c r="FD68" s="48"/>
      <c r="FF68" s="48"/>
      <c r="FG68" s="48"/>
      <c r="FH68" s="48"/>
      <c r="FI68" s="48"/>
      <c r="FJ68" s="48"/>
      <c r="FK68" s="48"/>
      <c r="FL68" s="48"/>
      <c r="FM68" s="51">
        <v>0</v>
      </c>
      <c r="FN68" s="48">
        <v>0</v>
      </c>
      <c r="FO68" s="48">
        <f t="shared" si="80"/>
        <v>0</v>
      </c>
      <c r="FP68" s="48"/>
      <c r="FQ68" s="48"/>
      <c r="FR68" s="48"/>
      <c r="FS68" s="48"/>
      <c r="FT68" s="48"/>
      <c r="FV68" s="48">
        <f t="shared" si="81"/>
        <v>5.59</v>
      </c>
      <c r="FW68" s="48">
        <f t="shared" si="82"/>
        <v>5.59</v>
      </c>
      <c r="FX68" s="48">
        <f t="shared" si="83"/>
        <v>5.59</v>
      </c>
      <c r="FY68" s="48">
        <f t="shared" si="84"/>
        <v>5.59</v>
      </c>
      <c r="FZ68" s="48">
        <f t="shared" si="85"/>
        <v>5.59</v>
      </c>
      <c r="GA68" s="48">
        <f t="shared" si="86"/>
        <v>5.59</v>
      </c>
      <c r="GB68" s="48">
        <f t="shared" si="87"/>
        <v>5.59</v>
      </c>
    </row>
    <row r="69" spans="2:184" x14ac:dyDescent="0.2">
      <c r="B69" s="393" t="str">
        <f>Key_New!D19</f>
        <v>Telangana</v>
      </c>
      <c r="C69" s="394" t="str">
        <f>Key_New!B19</f>
        <v>ACME Yamunanagar Solar Power Pvt Ltd</v>
      </c>
      <c r="D69" s="395" t="str">
        <f>Key_New!E19</f>
        <v>Solar</v>
      </c>
      <c r="E69" s="396" t="str">
        <f>Key_New!C19</f>
        <v>Operational</v>
      </c>
      <c r="F69" s="397">
        <f>Key_New!F19</f>
        <v>20</v>
      </c>
      <c r="G69" s="398">
        <f t="shared" si="31"/>
        <v>43008</v>
      </c>
      <c r="H69" s="399">
        <f>Key_New!O19</f>
        <v>43008</v>
      </c>
      <c r="I69" s="369">
        <f t="shared" si="35"/>
        <v>2018</v>
      </c>
      <c r="J69" s="367">
        <v>70</v>
      </c>
      <c r="K69" s="370">
        <f t="shared" si="36"/>
        <v>1400</v>
      </c>
      <c r="L69" s="368">
        <v>0.12</v>
      </c>
      <c r="M69" s="368">
        <v>0.25</v>
      </c>
      <c r="N69" s="403">
        <f>Key_New!J19</f>
        <v>4.67</v>
      </c>
      <c r="O69" s="462">
        <f t="shared" si="37"/>
        <v>0</v>
      </c>
      <c r="P69" s="54">
        <f t="shared" si="88"/>
        <v>365</v>
      </c>
      <c r="Q69" s="54">
        <f t="shared" si="88"/>
        <v>365</v>
      </c>
      <c r="R69" s="54">
        <f t="shared" si="88"/>
        <v>365</v>
      </c>
      <c r="S69" s="54">
        <f t="shared" si="88"/>
        <v>365</v>
      </c>
      <c r="T69" s="54">
        <f t="shared" si="88"/>
        <v>365</v>
      </c>
      <c r="U69" s="54">
        <f t="shared" si="39"/>
        <v>365</v>
      </c>
      <c r="V69" s="54">
        <f t="shared" si="39"/>
        <v>365</v>
      </c>
      <c r="W69" s="54">
        <f t="shared" si="88"/>
        <v>365</v>
      </c>
      <c r="Y69" s="60">
        <v>6</v>
      </c>
      <c r="Z69" s="54">
        <f t="shared" si="89"/>
        <v>7</v>
      </c>
      <c r="AA69" s="54">
        <f t="shared" si="90"/>
        <v>8</v>
      </c>
      <c r="AB69" s="54">
        <f t="shared" si="91"/>
        <v>9</v>
      </c>
      <c r="AC69" s="54">
        <f t="shared" si="92"/>
        <v>10</v>
      </c>
      <c r="AD69" s="54">
        <f t="shared" si="93"/>
        <v>11</v>
      </c>
      <c r="AE69" s="54">
        <f t="shared" si="94"/>
        <v>12</v>
      </c>
      <c r="AF69" s="54">
        <f t="shared" si="94"/>
        <v>13</v>
      </c>
      <c r="AG69" s="444"/>
      <c r="AH69" s="48">
        <f t="shared" si="95"/>
        <v>20</v>
      </c>
      <c r="AI69" s="48">
        <f t="shared" si="96"/>
        <v>20</v>
      </c>
      <c r="AJ69" s="48">
        <f t="shared" si="97"/>
        <v>20</v>
      </c>
      <c r="AK69" s="48">
        <f t="shared" si="98"/>
        <v>20</v>
      </c>
      <c r="AL69" s="48">
        <f t="shared" si="99"/>
        <v>20</v>
      </c>
      <c r="AM69" s="48">
        <f t="shared" si="46"/>
        <v>20</v>
      </c>
      <c r="AN69" s="48">
        <f t="shared" si="47"/>
        <v>20</v>
      </c>
      <c r="AP69" s="61">
        <v>0.25</v>
      </c>
      <c r="AQ69" s="61">
        <v>0.25</v>
      </c>
      <c r="AR69" s="61">
        <v>0.25</v>
      </c>
      <c r="AS69" s="61">
        <v>0.25</v>
      </c>
      <c r="AT69" s="61">
        <v>0.25</v>
      </c>
      <c r="AU69" s="61">
        <v>0.25</v>
      </c>
      <c r="AV69" s="61">
        <v>0.25</v>
      </c>
      <c r="AX69" s="52">
        <f t="shared" si="100"/>
        <v>43.83</v>
      </c>
      <c r="AY69" s="52">
        <f t="shared" si="101"/>
        <v>43.83</v>
      </c>
      <c r="AZ69" s="52">
        <f t="shared" si="102"/>
        <v>43.83</v>
      </c>
      <c r="BA69" s="52">
        <f t="shared" si="103"/>
        <v>43.83</v>
      </c>
      <c r="BB69" s="52">
        <f t="shared" si="104"/>
        <v>43.83</v>
      </c>
      <c r="BC69" s="52">
        <f t="shared" si="53"/>
        <v>43.83</v>
      </c>
      <c r="BD69" s="52">
        <f t="shared" si="54"/>
        <v>43.83</v>
      </c>
      <c r="BE69" s="57">
        <v>0.2</v>
      </c>
      <c r="BF69" s="52">
        <f t="shared" si="105"/>
        <v>44.800000000000004</v>
      </c>
      <c r="BG69" s="52">
        <f t="shared" si="106"/>
        <v>44.800000000000004</v>
      </c>
      <c r="BH69" s="52">
        <f t="shared" si="107"/>
        <v>44.800000000000004</v>
      </c>
      <c r="BI69" s="52">
        <f t="shared" si="108"/>
        <v>44.800000000000004</v>
      </c>
      <c r="BJ69" s="52">
        <f t="shared" si="109"/>
        <v>44.800000000000004</v>
      </c>
      <c r="BK69" s="52">
        <f t="shared" si="60"/>
        <v>44.800000000000004</v>
      </c>
      <c r="BL69" s="52">
        <f t="shared" si="61"/>
        <v>44.800000000000004</v>
      </c>
      <c r="BM69" s="297">
        <v>0.04</v>
      </c>
      <c r="BN69" s="69">
        <f t="shared" si="110"/>
        <v>56</v>
      </c>
      <c r="BO69" s="69">
        <f t="shared" si="111"/>
        <v>56</v>
      </c>
      <c r="BP69" s="69">
        <f t="shared" si="112"/>
        <v>56</v>
      </c>
      <c r="BQ69" s="69">
        <f t="shared" si="113"/>
        <v>56</v>
      </c>
      <c r="BR69" s="69">
        <f t="shared" si="114"/>
        <v>56</v>
      </c>
      <c r="BS69" s="69">
        <f t="shared" si="115"/>
        <v>56</v>
      </c>
      <c r="BT69" s="69">
        <f t="shared" si="116"/>
        <v>56</v>
      </c>
      <c r="BV69" s="69"/>
      <c r="BW69" s="69"/>
      <c r="BX69" s="69"/>
      <c r="BY69" s="69"/>
      <c r="BZ69" s="69"/>
      <c r="CA69" s="69"/>
      <c r="CB69" s="69"/>
      <c r="CC69" s="107">
        <v>0</v>
      </c>
      <c r="CD69" s="69">
        <v>0</v>
      </c>
      <c r="CE69" s="69">
        <f t="shared" si="32"/>
        <v>0</v>
      </c>
      <c r="CF69" s="69">
        <f t="shared" si="62"/>
        <v>0</v>
      </c>
      <c r="CG69" s="69">
        <f t="shared" si="34"/>
        <v>0</v>
      </c>
      <c r="CH69" s="69">
        <f t="shared" si="63"/>
        <v>0</v>
      </c>
      <c r="CI69" s="69">
        <f t="shared" si="64"/>
        <v>0</v>
      </c>
      <c r="CJ69" s="69">
        <f t="shared" si="65"/>
        <v>0</v>
      </c>
      <c r="CL69" s="54">
        <f t="shared" si="66"/>
        <v>0</v>
      </c>
      <c r="CM69" s="54">
        <f t="shared" si="67"/>
        <v>0</v>
      </c>
      <c r="CN69" s="54">
        <f t="shared" si="68"/>
        <v>0</v>
      </c>
      <c r="CO69" s="54">
        <f t="shared" si="69"/>
        <v>0</v>
      </c>
      <c r="CP69" s="54">
        <f t="shared" si="70"/>
        <v>0</v>
      </c>
      <c r="CQ69" s="54">
        <f t="shared" si="71"/>
        <v>0</v>
      </c>
      <c r="CR69" s="54">
        <f t="shared" si="72"/>
        <v>0</v>
      </c>
      <c r="CT69" s="54">
        <f t="shared" si="117"/>
        <v>0</v>
      </c>
      <c r="CU69" s="54">
        <f t="shared" si="118"/>
        <v>0</v>
      </c>
      <c r="CV69" s="54">
        <f t="shared" si="119"/>
        <v>0</v>
      </c>
      <c r="CW69" s="54">
        <f t="shared" si="120"/>
        <v>0</v>
      </c>
      <c r="CX69" s="54">
        <f t="shared" si="121"/>
        <v>0</v>
      </c>
      <c r="CY69" s="54">
        <f t="shared" si="122"/>
        <v>0</v>
      </c>
      <c r="CZ69" s="54">
        <f t="shared" si="74"/>
        <v>0</v>
      </c>
      <c r="DB69" s="54">
        <f t="shared" si="123"/>
        <v>0</v>
      </c>
      <c r="DC69" s="54">
        <f t="shared" si="124"/>
        <v>0</v>
      </c>
      <c r="DD69" s="54">
        <f t="shared" si="125"/>
        <v>0</v>
      </c>
      <c r="DE69" s="54">
        <f t="shared" si="126"/>
        <v>0</v>
      </c>
      <c r="DF69" s="54">
        <f t="shared" si="127"/>
        <v>0</v>
      </c>
      <c r="DG69" s="54">
        <f t="shared" si="128"/>
        <v>0</v>
      </c>
      <c r="DH69" s="54">
        <f t="shared" si="76"/>
        <v>0</v>
      </c>
      <c r="DJ69" s="54">
        <f t="shared" si="129"/>
        <v>44.8</v>
      </c>
      <c r="DK69" s="54">
        <f t="shared" si="130"/>
        <v>44.8</v>
      </c>
      <c r="DL69" s="54">
        <f t="shared" si="131"/>
        <v>44.8</v>
      </c>
      <c r="DM69" s="54">
        <f t="shared" si="132"/>
        <v>44.8</v>
      </c>
      <c r="DN69" s="54">
        <f t="shared" si="133"/>
        <v>44.8</v>
      </c>
      <c r="DO69" s="54">
        <f t="shared" si="134"/>
        <v>44.8</v>
      </c>
      <c r="DP69" s="54">
        <f t="shared" si="135"/>
        <v>44.8</v>
      </c>
      <c r="DR69" s="54">
        <f>+IF(Z69&gt;0,$K69*(1-$BE69)-SUM($DJ69:DJ69),DB69)</f>
        <v>1075.2</v>
      </c>
      <c r="DS69" s="54">
        <f>+IF(AA69&gt;0,$K69*(1-$BE69)-SUM($DJ69:DK69),DC69)</f>
        <v>1030.4000000000001</v>
      </c>
      <c r="DT69" s="54">
        <f>+IF(AB69&gt;0,$K69*(1-$BE69)-SUM($DJ69:DL69),DD69)</f>
        <v>985.6</v>
      </c>
      <c r="DU69" s="54">
        <f>+IF(AC69&gt;0,$K69*(1-$BE69)-SUM($DJ69:DM69),DE69)</f>
        <v>940.8</v>
      </c>
      <c r="DV69" s="54">
        <f>+IF(AD69&gt;0,$K69*(1-$BE69)-SUM($DJ69:DN69),DF69)</f>
        <v>896</v>
      </c>
      <c r="DW69" s="54">
        <f>+IF(AE69&gt;0,$K69*(1-$BE69)-SUM($DJ69:DO69),DG69)</f>
        <v>851.2</v>
      </c>
      <c r="DX69" s="54">
        <f>+IF(AF69&gt;0,$K69*(1-$BE69)-SUM($DJ69:DP69),DH69)</f>
        <v>806.4</v>
      </c>
      <c r="DZ69" s="54">
        <f t="shared" si="136"/>
        <v>107.52000000000001</v>
      </c>
      <c r="EA69" s="54">
        <f t="shared" si="137"/>
        <v>103.04000000000002</v>
      </c>
      <c r="EB69" s="54">
        <f t="shared" si="138"/>
        <v>98.56</v>
      </c>
      <c r="EC69" s="54">
        <f t="shared" si="139"/>
        <v>94.08</v>
      </c>
      <c r="ED69" s="54">
        <f t="shared" si="140"/>
        <v>89.600000000000009</v>
      </c>
      <c r="EE69" s="54">
        <f t="shared" si="141"/>
        <v>85.12</v>
      </c>
      <c r="EF69" s="54">
        <f t="shared" si="79"/>
        <v>0</v>
      </c>
      <c r="EH69" s="48"/>
      <c r="EI69" s="48"/>
      <c r="EJ69" s="48"/>
      <c r="EK69" s="48"/>
      <c r="EL69" s="48"/>
      <c r="EM69" s="48"/>
      <c r="EN69" s="48"/>
      <c r="EP69" s="48"/>
      <c r="EQ69" s="48"/>
      <c r="ER69" s="48"/>
      <c r="ES69" s="48"/>
      <c r="ET69" s="48"/>
      <c r="EU69" s="48"/>
      <c r="EV69" s="48"/>
      <c r="EX69" s="48"/>
      <c r="EY69" s="48"/>
      <c r="EZ69" s="48"/>
      <c r="FA69" s="48"/>
      <c r="FB69" s="48"/>
      <c r="FC69" s="48"/>
      <c r="FD69" s="48"/>
      <c r="FF69" s="48"/>
      <c r="FG69" s="48"/>
      <c r="FH69" s="48"/>
      <c r="FI69" s="48"/>
      <c r="FJ69" s="48"/>
      <c r="FK69" s="48"/>
      <c r="FL69" s="48"/>
      <c r="FM69" s="51">
        <v>0</v>
      </c>
      <c r="FN69" s="48">
        <v>0</v>
      </c>
      <c r="FO69" s="48">
        <f t="shared" si="80"/>
        <v>0</v>
      </c>
      <c r="FP69" s="48"/>
      <c r="FQ69" s="48"/>
      <c r="FR69" s="48"/>
      <c r="FS69" s="48"/>
      <c r="FT69" s="48"/>
      <c r="FV69" s="48">
        <f t="shared" si="81"/>
        <v>4.67</v>
      </c>
      <c r="FW69" s="48">
        <f t="shared" si="82"/>
        <v>4.67</v>
      </c>
      <c r="FX69" s="48">
        <f t="shared" si="83"/>
        <v>4.67</v>
      </c>
      <c r="FY69" s="48">
        <f t="shared" si="84"/>
        <v>4.67</v>
      </c>
      <c r="FZ69" s="48">
        <f t="shared" si="85"/>
        <v>4.67</v>
      </c>
      <c r="GA69" s="48">
        <f t="shared" si="86"/>
        <v>4.67</v>
      </c>
      <c r="GB69" s="48">
        <f t="shared" si="87"/>
        <v>4.67</v>
      </c>
    </row>
    <row r="70" spans="2:184" x14ac:dyDescent="0.2">
      <c r="B70" s="393" t="str">
        <f>Key_New!D20</f>
        <v>Telangana</v>
      </c>
      <c r="C70" s="394" t="str">
        <f>Key_New!B20</f>
        <v>ACME Mahbubnagar Solar Energy Pvt Ltd</v>
      </c>
      <c r="D70" s="395" t="str">
        <f>Key_New!E20</f>
        <v>Solar</v>
      </c>
      <c r="E70" s="396" t="str">
        <f>Key_New!C20</f>
        <v>Operational</v>
      </c>
      <c r="F70" s="397">
        <f>Key_New!F20</f>
        <v>30</v>
      </c>
      <c r="G70" s="398">
        <f t="shared" si="31"/>
        <v>43008</v>
      </c>
      <c r="H70" s="399">
        <f>Key_New!O20</f>
        <v>43008</v>
      </c>
      <c r="I70" s="369">
        <f t="shared" si="35"/>
        <v>2018</v>
      </c>
      <c r="J70" s="367">
        <v>70</v>
      </c>
      <c r="K70" s="370">
        <f t="shared" si="36"/>
        <v>2100</v>
      </c>
      <c r="L70" s="368">
        <v>0.12</v>
      </c>
      <c r="M70" s="368">
        <v>0.25</v>
      </c>
      <c r="N70" s="403">
        <f>Key_New!J20</f>
        <v>4.67</v>
      </c>
      <c r="O70" s="462">
        <f t="shared" si="37"/>
        <v>0</v>
      </c>
      <c r="P70" s="54">
        <f t="shared" si="88"/>
        <v>365</v>
      </c>
      <c r="Q70" s="54">
        <f t="shared" si="88"/>
        <v>365</v>
      </c>
      <c r="R70" s="54">
        <f t="shared" si="88"/>
        <v>365</v>
      </c>
      <c r="S70" s="54">
        <f t="shared" si="88"/>
        <v>365</v>
      </c>
      <c r="T70" s="54">
        <f t="shared" si="88"/>
        <v>365</v>
      </c>
      <c r="U70" s="54">
        <f t="shared" si="39"/>
        <v>365</v>
      </c>
      <c r="V70" s="54">
        <f t="shared" si="39"/>
        <v>365</v>
      </c>
      <c r="W70" s="54">
        <f t="shared" si="88"/>
        <v>365</v>
      </c>
      <c r="Y70" s="60">
        <v>6</v>
      </c>
      <c r="Z70" s="54">
        <f t="shared" si="89"/>
        <v>7</v>
      </c>
      <c r="AA70" s="54">
        <f t="shared" si="90"/>
        <v>8</v>
      </c>
      <c r="AB70" s="54">
        <f t="shared" si="91"/>
        <v>9</v>
      </c>
      <c r="AC70" s="54">
        <f t="shared" si="92"/>
        <v>10</v>
      </c>
      <c r="AD70" s="54">
        <f t="shared" si="93"/>
        <v>11</v>
      </c>
      <c r="AE70" s="54">
        <f t="shared" si="94"/>
        <v>12</v>
      </c>
      <c r="AF70" s="54">
        <f t="shared" si="94"/>
        <v>13</v>
      </c>
      <c r="AG70" s="444"/>
      <c r="AH70" s="48">
        <f t="shared" si="95"/>
        <v>30</v>
      </c>
      <c r="AI70" s="48">
        <f t="shared" si="96"/>
        <v>30</v>
      </c>
      <c r="AJ70" s="48">
        <f t="shared" si="97"/>
        <v>30</v>
      </c>
      <c r="AK70" s="48">
        <f t="shared" si="98"/>
        <v>30</v>
      </c>
      <c r="AL70" s="48">
        <f t="shared" si="99"/>
        <v>30</v>
      </c>
      <c r="AM70" s="48">
        <f t="shared" si="46"/>
        <v>30</v>
      </c>
      <c r="AN70" s="48">
        <f t="shared" si="47"/>
        <v>30</v>
      </c>
      <c r="AP70" s="61">
        <v>0.25</v>
      </c>
      <c r="AQ70" s="61">
        <v>0.25</v>
      </c>
      <c r="AR70" s="61">
        <v>0.25</v>
      </c>
      <c r="AS70" s="61">
        <v>0.25</v>
      </c>
      <c r="AT70" s="61">
        <v>0.25</v>
      </c>
      <c r="AU70" s="61">
        <v>0.25</v>
      </c>
      <c r="AV70" s="61">
        <v>0.25</v>
      </c>
      <c r="AX70" s="52">
        <f t="shared" si="100"/>
        <v>65.745000000000005</v>
      </c>
      <c r="AY70" s="52">
        <f t="shared" si="101"/>
        <v>65.745000000000005</v>
      </c>
      <c r="AZ70" s="52">
        <f t="shared" si="102"/>
        <v>65.745000000000005</v>
      </c>
      <c r="BA70" s="52">
        <f t="shared" si="103"/>
        <v>65.745000000000005</v>
      </c>
      <c r="BB70" s="52">
        <f t="shared" si="104"/>
        <v>65.745000000000005</v>
      </c>
      <c r="BC70" s="52">
        <f t="shared" si="53"/>
        <v>65.745000000000005</v>
      </c>
      <c r="BD70" s="52">
        <f t="shared" si="54"/>
        <v>65.745000000000005</v>
      </c>
      <c r="BE70" s="57">
        <v>0.2</v>
      </c>
      <c r="BF70" s="52">
        <f t="shared" si="105"/>
        <v>67.2</v>
      </c>
      <c r="BG70" s="52">
        <f t="shared" si="106"/>
        <v>67.2</v>
      </c>
      <c r="BH70" s="52">
        <f t="shared" si="107"/>
        <v>67.2</v>
      </c>
      <c r="BI70" s="52">
        <f t="shared" si="108"/>
        <v>67.2</v>
      </c>
      <c r="BJ70" s="52">
        <f t="shared" si="109"/>
        <v>67.2</v>
      </c>
      <c r="BK70" s="52">
        <f t="shared" si="60"/>
        <v>67.2</v>
      </c>
      <c r="BL70" s="52">
        <f t="shared" si="61"/>
        <v>67.2</v>
      </c>
      <c r="BM70" s="297">
        <v>0.04</v>
      </c>
      <c r="BN70" s="69">
        <f t="shared" si="110"/>
        <v>84</v>
      </c>
      <c r="BO70" s="69">
        <f t="shared" si="111"/>
        <v>84</v>
      </c>
      <c r="BP70" s="69">
        <f t="shared" si="112"/>
        <v>84</v>
      </c>
      <c r="BQ70" s="69">
        <f t="shared" si="113"/>
        <v>84</v>
      </c>
      <c r="BR70" s="69">
        <f t="shared" si="114"/>
        <v>84</v>
      </c>
      <c r="BS70" s="69">
        <f t="shared" si="115"/>
        <v>84</v>
      </c>
      <c r="BT70" s="69">
        <f t="shared" si="116"/>
        <v>84</v>
      </c>
      <c r="BV70" s="69"/>
      <c r="BW70" s="69"/>
      <c r="BX70" s="69"/>
      <c r="BY70" s="69"/>
      <c r="BZ70" s="69"/>
      <c r="CA70" s="69"/>
      <c r="CB70" s="69"/>
      <c r="CC70" s="107">
        <v>0</v>
      </c>
      <c r="CD70" s="69">
        <v>0</v>
      </c>
      <c r="CE70" s="69">
        <f t="shared" si="32"/>
        <v>0</v>
      </c>
      <c r="CF70" s="69">
        <f t="shared" si="62"/>
        <v>0</v>
      </c>
      <c r="CG70" s="69">
        <f t="shared" si="34"/>
        <v>0</v>
      </c>
      <c r="CH70" s="69">
        <f t="shared" si="63"/>
        <v>0</v>
      </c>
      <c r="CI70" s="69">
        <f t="shared" si="64"/>
        <v>0</v>
      </c>
      <c r="CJ70" s="69">
        <f t="shared" si="65"/>
        <v>0</v>
      </c>
      <c r="CL70" s="54">
        <f t="shared" si="66"/>
        <v>0</v>
      </c>
      <c r="CM70" s="54">
        <f t="shared" si="67"/>
        <v>0</v>
      </c>
      <c r="CN70" s="54">
        <f t="shared" si="68"/>
        <v>0</v>
      </c>
      <c r="CO70" s="54">
        <f t="shared" si="69"/>
        <v>0</v>
      </c>
      <c r="CP70" s="54">
        <f t="shared" si="70"/>
        <v>0</v>
      </c>
      <c r="CQ70" s="54">
        <f t="shared" si="71"/>
        <v>0</v>
      </c>
      <c r="CR70" s="54">
        <f t="shared" si="72"/>
        <v>0</v>
      </c>
      <c r="CT70" s="54">
        <f t="shared" si="117"/>
        <v>0</v>
      </c>
      <c r="CU70" s="54">
        <f t="shared" si="118"/>
        <v>0</v>
      </c>
      <c r="CV70" s="54">
        <f t="shared" si="119"/>
        <v>0</v>
      </c>
      <c r="CW70" s="54">
        <f t="shared" si="120"/>
        <v>0</v>
      </c>
      <c r="CX70" s="54">
        <f t="shared" si="121"/>
        <v>0</v>
      </c>
      <c r="CY70" s="54">
        <f t="shared" si="122"/>
        <v>0</v>
      </c>
      <c r="CZ70" s="54">
        <f t="shared" si="74"/>
        <v>0</v>
      </c>
      <c r="DB70" s="54">
        <f t="shared" si="123"/>
        <v>0</v>
      </c>
      <c r="DC70" s="54">
        <f t="shared" si="124"/>
        <v>0</v>
      </c>
      <c r="DD70" s="54">
        <f t="shared" si="125"/>
        <v>0</v>
      </c>
      <c r="DE70" s="54">
        <f t="shared" si="126"/>
        <v>0</v>
      </c>
      <c r="DF70" s="54">
        <f t="shared" si="127"/>
        <v>0</v>
      </c>
      <c r="DG70" s="54">
        <f t="shared" si="128"/>
        <v>0</v>
      </c>
      <c r="DH70" s="54">
        <f t="shared" si="76"/>
        <v>0</v>
      </c>
      <c r="DJ70" s="54">
        <f t="shared" si="129"/>
        <v>67.2</v>
      </c>
      <c r="DK70" s="54">
        <f t="shared" si="130"/>
        <v>67.2</v>
      </c>
      <c r="DL70" s="54">
        <f t="shared" si="131"/>
        <v>67.2</v>
      </c>
      <c r="DM70" s="54">
        <f t="shared" si="132"/>
        <v>67.2</v>
      </c>
      <c r="DN70" s="54">
        <f t="shared" si="133"/>
        <v>67.2</v>
      </c>
      <c r="DO70" s="54">
        <f t="shared" si="134"/>
        <v>67.2</v>
      </c>
      <c r="DP70" s="54">
        <f t="shared" si="135"/>
        <v>67.2</v>
      </c>
      <c r="DR70" s="54">
        <f>+IF(Z70&gt;0,$K70*(1-$BE70)-SUM($DJ70:DJ70),DB70)</f>
        <v>1612.8</v>
      </c>
      <c r="DS70" s="54">
        <f>+IF(AA70&gt;0,$K70*(1-$BE70)-SUM($DJ70:DK70),DC70)</f>
        <v>1545.6</v>
      </c>
      <c r="DT70" s="54">
        <f>+IF(AB70&gt;0,$K70*(1-$BE70)-SUM($DJ70:DL70),DD70)</f>
        <v>1478.4</v>
      </c>
      <c r="DU70" s="54">
        <f>+IF(AC70&gt;0,$K70*(1-$BE70)-SUM($DJ70:DM70),DE70)</f>
        <v>1411.2</v>
      </c>
      <c r="DV70" s="54">
        <f>+IF(AD70&gt;0,$K70*(1-$BE70)-SUM($DJ70:DN70),DF70)</f>
        <v>1344</v>
      </c>
      <c r="DW70" s="54">
        <f>+IF(AE70&gt;0,$K70*(1-$BE70)-SUM($DJ70:DO70),DG70)</f>
        <v>1276.8</v>
      </c>
      <c r="DX70" s="54">
        <f>+IF(AF70&gt;0,$K70*(1-$BE70)-SUM($DJ70:DP70),DH70)</f>
        <v>1209.5999999999999</v>
      </c>
      <c r="DZ70" s="54">
        <f t="shared" si="136"/>
        <v>161.28</v>
      </c>
      <c r="EA70" s="54">
        <f t="shared" si="137"/>
        <v>154.56</v>
      </c>
      <c r="EB70" s="54">
        <f t="shared" si="138"/>
        <v>147.84</v>
      </c>
      <c r="EC70" s="54">
        <f t="shared" si="139"/>
        <v>141.12</v>
      </c>
      <c r="ED70" s="54">
        <f t="shared" si="140"/>
        <v>134.4</v>
      </c>
      <c r="EE70" s="54">
        <f t="shared" si="141"/>
        <v>127.68</v>
      </c>
      <c r="EF70" s="54">
        <f t="shared" si="79"/>
        <v>0</v>
      </c>
      <c r="EH70" s="48"/>
      <c r="EI70" s="48"/>
      <c r="EJ70" s="48"/>
      <c r="EK70" s="48"/>
      <c r="EL70" s="48"/>
      <c r="EM70" s="48"/>
      <c r="EN70" s="48"/>
      <c r="EP70" s="48"/>
      <c r="EQ70" s="48"/>
      <c r="ER70" s="48"/>
      <c r="ES70" s="48"/>
      <c r="ET70" s="48"/>
      <c r="EU70" s="48"/>
      <c r="EV70" s="48"/>
      <c r="EX70" s="48"/>
      <c r="EY70" s="48"/>
      <c r="EZ70" s="48"/>
      <c r="FA70" s="48"/>
      <c r="FB70" s="48"/>
      <c r="FC70" s="48"/>
      <c r="FD70" s="48"/>
      <c r="FF70" s="48"/>
      <c r="FG70" s="48"/>
      <c r="FH70" s="48"/>
      <c r="FI70" s="48"/>
      <c r="FJ70" s="48"/>
      <c r="FK70" s="48"/>
      <c r="FL70" s="48"/>
      <c r="FM70" s="51">
        <v>0</v>
      </c>
      <c r="FN70" s="48">
        <v>0</v>
      </c>
      <c r="FO70" s="48">
        <f t="shared" si="80"/>
        <v>0</v>
      </c>
      <c r="FP70" s="48"/>
      <c r="FQ70" s="48"/>
      <c r="FR70" s="48"/>
      <c r="FS70" s="48"/>
      <c r="FT70" s="48"/>
      <c r="FV70" s="48">
        <f t="shared" si="81"/>
        <v>4.67</v>
      </c>
      <c r="FW70" s="48">
        <f t="shared" si="82"/>
        <v>4.67</v>
      </c>
      <c r="FX70" s="48">
        <f t="shared" si="83"/>
        <v>4.67</v>
      </c>
      <c r="FY70" s="48">
        <f t="shared" si="84"/>
        <v>4.67</v>
      </c>
      <c r="FZ70" s="48">
        <f t="shared" si="85"/>
        <v>4.67</v>
      </c>
      <c r="GA70" s="48">
        <f t="shared" si="86"/>
        <v>4.67</v>
      </c>
      <c r="GB70" s="48">
        <f t="shared" si="87"/>
        <v>4.67</v>
      </c>
    </row>
    <row r="71" spans="2:184" x14ac:dyDescent="0.2">
      <c r="B71" s="393" t="str">
        <f>Key_New!D21</f>
        <v>Uttar Pradesh</v>
      </c>
      <c r="C71" s="394" t="str">
        <f>Key_New!B21</f>
        <v>Nirosha Power Pvt Ltd</v>
      </c>
      <c r="D71" s="395" t="str">
        <f>Key_New!E21</f>
        <v>Solar</v>
      </c>
      <c r="E71" s="396" t="str">
        <f>Key_New!C21</f>
        <v>Operational</v>
      </c>
      <c r="F71" s="397">
        <f>Key_New!F21</f>
        <v>30</v>
      </c>
      <c r="G71" s="398">
        <f t="shared" si="31"/>
        <v>42643</v>
      </c>
      <c r="H71" s="399">
        <f>Key_New!O21</f>
        <v>42643</v>
      </c>
      <c r="I71" s="369">
        <f t="shared" si="35"/>
        <v>2017</v>
      </c>
      <c r="J71" s="367">
        <v>70</v>
      </c>
      <c r="K71" s="370">
        <f t="shared" si="36"/>
        <v>2100</v>
      </c>
      <c r="L71" s="368">
        <v>0.12</v>
      </c>
      <c r="M71" s="368">
        <v>0.25</v>
      </c>
      <c r="N71" s="403">
        <f>Key_New!J21</f>
        <v>8.93</v>
      </c>
      <c r="O71" s="462">
        <f t="shared" si="37"/>
        <v>0</v>
      </c>
      <c r="P71" s="54">
        <f t="shared" si="88"/>
        <v>365</v>
      </c>
      <c r="Q71" s="54">
        <f t="shared" si="88"/>
        <v>365</v>
      </c>
      <c r="R71" s="54">
        <f t="shared" si="88"/>
        <v>365</v>
      </c>
      <c r="S71" s="54">
        <f t="shared" si="88"/>
        <v>365</v>
      </c>
      <c r="T71" s="54">
        <f t="shared" si="88"/>
        <v>365</v>
      </c>
      <c r="U71" s="54">
        <f t="shared" si="39"/>
        <v>365</v>
      </c>
      <c r="V71" s="54">
        <f t="shared" si="39"/>
        <v>365</v>
      </c>
      <c r="W71" s="54">
        <f t="shared" si="88"/>
        <v>365</v>
      </c>
      <c r="Y71" s="60">
        <v>7</v>
      </c>
      <c r="Z71" s="54">
        <f t="shared" si="89"/>
        <v>8</v>
      </c>
      <c r="AA71" s="54">
        <f t="shared" si="90"/>
        <v>9</v>
      </c>
      <c r="AB71" s="54">
        <f t="shared" si="91"/>
        <v>10</v>
      </c>
      <c r="AC71" s="54">
        <f t="shared" si="92"/>
        <v>11</v>
      </c>
      <c r="AD71" s="54">
        <f t="shared" si="93"/>
        <v>12</v>
      </c>
      <c r="AE71" s="54">
        <f t="shared" si="94"/>
        <v>13</v>
      </c>
      <c r="AF71" s="54">
        <f t="shared" si="94"/>
        <v>14</v>
      </c>
      <c r="AG71" s="444"/>
      <c r="AH71" s="48">
        <f t="shared" si="95"/>
        <v>30</v>
      </c>
      <c r="AI71" s="48">
        <f t="shared" si="96"/>
        <v>30</v>
      </c>
      <c r="AJ71" s="48">
        <f t="shared" si="97"/>
        <v>30</v>
      </c>
      <c r="AK71" s="48">
        <f t="shared" si="98"/>
        <v>30</v>
      </c>
      <c r="AL71" s="48">
        <f t="shared" si="99"/>
        <v>30</v>
      </c>
      <c r="AM71" s="48">
        <f t="shared" si="46"/>
        <v>30</v>
      </c>
      <c r="AN71" s="48">
        <f t="shared" si="47"/>
        <v>30</v>
      </c>
      <c r="AP71" s="61">
        <v>0.25</v>
      </c>
      <c r="AQ71" s="61">
        <v>0.25</v>
      </c>
      <c r="AR71" s="61">
        <v>0.25</v>
      </c>
      <c r="AS71" s="61">
        <v>0.25</v>
      </c>
      <c r="AT71" s="61">
        <v>0.25</v>
      </c>
      <c r="AU71" s="61">
        <v>0.25</v>
      </c>
      <c r="AV71" s="61">
        <v>0.25</v>
      </c>
      <c r="AX71" s="52">
        <f t="shared" si="100"/>
        <v>65.745000000000005</v>
      </c>
      <c r="AY71" s="52">
        <f t="shared" si="101"/>
        <v>65.745000000000005</v>
      </c>
      <c r="AZ71" s="52">
        <f t="shared" si="102"/>
        <v>65.745000000000005</v>
      </c>
      <c r="BA71" s="52">
        <f t="shared" si="103"/>
        <v>65.745000000000005</v>
      </c>
      <c r="BB71" s="52">
        <f t="shared" si="104"/>
        <v>65.745000000000005</v>
      </c>
      <c r="BC71" s="52">
        <f t="shared" si="53"/>
        <v>65.745000000000005</v>
      </c>
      <c r="BD71" s="52">
        <f t="shared" si="54"/>
        <v>65.745000000000005</v>
      </c>
      <c r="BE71" s="57">
        <v>0.2</v>
      </c>
      <c r="BF71" s="52">
        <f t="shared" si="105"/>
        <v>67.2</v>
      </c>
      <c r="BG71" s="52">
        <f t="shared" si="106"/>
        <v>67.2</v>
      </c>
      <c r="BH71" s="52">
        <f t="shared" si="107"/>
        <v>67.2</v>
      </c>
      <c r="BI71" s="52">
        <f t="shared" si="108"/>
        <v>67.2</v>
      </c>
      <c r="BJ71" s="52">
        <f t="shared" si="109"/>
        <v>67.2</v>
      </c>
      <c r="BK71" s="52">
        <f t="shared" si="60"/>
        <v>67.2</v>
      </c>
      <c r="BL71" s="52">
        <f t="shared" si="61"/>
        <v>67.2</v>
      </c>
      <c r="BM71" s="297">
        <v>0.04</v>
      </c>
      <c r="BN71" s="69">
        <f t="shared" si="110"/>
        <v>84</v>
      </c>
      <c r="BO71" s="69">
        <f t="shared" si="111"/>
        <v>84</v>
      </c>
      <c r="BP71" s="69">
        <f t="shared" si="112"/>
        <v>84</v>
      </c>
      <c r="BQ71" s="69">
        <f t="shared" si="113"/>
        <v>84</v>
      </c>
      <c r="BR71" s="69">
        <f t="shared" si="114"/>
        <v>84</v>
      </c>
      <c r="BS71" s="69">
        <f t="shared" si="115"/>
        <v>84</v>
      </c>
      <c r="BT71" s="69">
        <f t="shared" si="116"/>
        <v>84</v>
      </c>
      <c r="BV71" s="69"/>
      <c r="BW71" s="69"/>
      <c r="BX71" s="69"/>
      <c r="BY71" s="69"/>
      <c r="BZ71" s="69"/>
      <c r="CA71" s="69"/>
      <c r="CB71" s="69"/>
      <c r="CC71" s="107">
        <v>0</v>
      </c>
      <c r="CD71" s="69">
        <v>0</v>
      </c>
      <c r="CE71" s="69">
        <f t="shared" si="32"/>
        <v>0</v>
      </c>
      <c r="CF71" s="69">
        <f t="shared" si="62"/>
        <v>0</v>
      </c>
      <c r="CG71" s="69">
        <f t="shared" si="34"/>
        <v>0</v>
      </c>
      <c r="CH71" s="69">
        <f t="shared" si="63"/>
        <v>0</v>
      </c>
      <c r="CI71" s="69">
        <f t="shared" si="64"/>
        <v>0</v>
      </c>
      <c r="CJ71" s="69">
        <f t="shared" si="65"/>
        <v>0</v>
      </c>
      <c r="CL71" s="54">
        <f t="shared" si="66"/>
        <v>0</v>
      </c>
      <c r="CM71" s="54">
        <f t="shared" si="67"/>
        <v>0</v>
      </c>
      <c r="CN71" s="54">
        <f t="shared" si="68"/>
        <v>0</v>
      </c>
      <c r="CO71" s="54">
        <f t="shared" si="69"/>
        <v>0</v>
      </c>
      <c r="CP71" s="54">
        <f t="shared" si="70"/>
        <v>0</v>
      </c>
      <c r="CQ71" s="54">
        <f t="shared" si="71"/>
        <v>0</v>
      </c>
      <c r="CR71" s="54">
        <f t="shared" si="72"/>
        <v>0</v>
      </c>
      <c r="CT71" s="54">
        <f t="shared" si="117"/>
        <v>0</v>
      </c>
      <c r="CU71" s="54">
        <f t="shared" si="118"/>
        <v>0</v>
      </c>
      <c r="CV71" s="54">
        <f t="shared" si="119"/>
        <v>0</v>
      </c>
      <c r="CW71" s="54">
        <f t="shared" si="120"/>
        <v>0</v>
      </c>
      <c r="CX71" s="54">
        <f t="shared" si="121"/>
        <v>0</v>
      </c>
      <c r="CY71" s="54">
        <f t="shared" si="122"/>
        <v>0</v>
      </c>
      <c r="CZ71" s="54">
        <f t="shared" si="74"/>
        <v>0</v>
      </c>
      <c r="DB71" s="54">
        <f t="shared" si="123"/>
        <v>0</v>
      </c>
      <c r="DC71" s="54">
        <f t="shared" si="124"/>
        <v>0</v>
      </c>
      <c r="DD71" s="54">
        <f t="shared" si="125"/>
        <v>0</v>
      </c>
      <c r="DE71" s="54">
        <f t="shared" si="126"/>
        <v>0</v>
      </c>
      <c r="DF71" s="54">
        <f t="shared" si="127"/>
        <v>0</v>
      </c>
      <c r="DG71" s="54">
        <f t="shared" si="128"/>
        <v>0</v>
      </c>
      <c r="DH71" s="54">
        <f t="shared" si="76"/>
        <v>0</v>
      </c>
      <c r="DJ71" s="54">
        <f t="shared" si="129"/>
        <v>67.2</v>
      </c>
      <c r="DK71" s="54">
        <f t="shared" si="130"/>
        <v>67.2</v>
      </c>
      <c r="DL71" s="54">
        <f t="shared" si="131"/>
        <v>67.2</v>
      </c>
      <c r="DM71" s="54">
        <f t="shared" si="132"/>
        <v>67.2</v>
      </c>
      <c r="DN71" s="54">
        <f t="shared" si="133"/>
        <v>67.2</v>
      </c>
      <c r="DO71" s="54">
        <f t="shared" si="134"/>
        <v>67.2</v>
      </c>
      <c r="DP71" s="54">
        <f t="shared" si="135"/>
        <v>67.2</v>
      </c>
      <c r="DR71" s="54">
        <f>+IF(Z71&gt;0,$K71*(1-$BE71)-SUM($DJ71:DJ71),DB71)</f>
        <v>1612.8</v>
      </c>
      <c r="DS71" s="54">
        <f>+IF(AA71&gt;0,$K71*(1-$BE71)-SUM($DJ71:DK71),DC71)</f>
        <v>1545.6</v>
      </c>
      <c r="DT71" s="54">
        <f>+IF(AB71&gt;0,$K71*(1-$BE71)-SUM($DJ71:DL71),DD71)</f>
        <v>1478.4</v>
      </c>
      <c r="DU71" s="54">
        <f>+IF(AC71&gt;0,$K71*(1-$BE71)-SUM($DJ71:DM71),DE71)</f>
        <v>1411.2</v>
      </c>
      <c r="DV71" s="54">
        <f>+IF(AD71&gt;0,$K71*(1-$BE71)-SUM($DJ71:DN71),DF71)</f>
        <v>1344</v>
      </c>
      <c r="DW71" s="54">
        <f>+IF(AE71&gt;0,$K71*(1-$BE71)-SUM($DJ71:DO71),DG71)</f>
        <v>1276.8</v>
      </c>
      <c r="DX71" s="54">
        <f>+IF(AF71&gt;0,$K71*(1-$BE71)-SUM($DJ71:DP71),DH71)</f>
        <v>1209.5999999999999</v>
      </c>
      <c r="DZ71" s="54">
        <f t="shared" si="136"/>
        <v>161.28</v>
      </c>
      <c r="EA71" s="54">
        <f t="shared" si="137"/>
        <v>154.56</v>
      </c>
      <c r="EB71" s="54">
        <f t="shared" si="138"/>
        <v>147.84</v>
      </c>
      <c r="EC71" s="54">
        <f t="shared" si="139"/>
        <v>141.12</v>
      </c>
      <c r="ED71" s="54">
        <f t="shared" si="140"/>
        <v>134.4</v>
      </c>
      <c r="EE71" s="54">
        <f t="shared" si="141"/>
        <v>127.68</v>
      </c>
      <c r="EF71" s="54">
        <f t="shared" si="79"/>
        <v>0</v>
      </c>
      <c r="EH71" s="48"/>
      <c r="EI71" s="48"/>
      <c r="EJ71" s="48"/>
      <c r="EK71" s="48"/>
      <c r="EL71" s="48"/>
      <c r="EM71" s="48"/>
      <c r="EN71" s="48"/>
      <c r="EP71" s="48"/>
      <c r="EQ71" s="48"/>
      <c r="ER71" s="48"/>
      <c r="ES71" s="48"/>
      <c r="ET71" s="48"/>
      <c r="EU71" s="48"/>
      <c r="EV71" s="48"/>
      <c r="EX71" s="48"/>
      <c r="EY71" s="48"/>
      <c r="EZ71" s="48"/>
      <c r="FA71" s="48"/>
      <c r="FB71" s="48"/>
      <c r="FC71" s="48"/>
      <c r="FD71" s="48"/>
      <c r="FF71" s="48"/>
      <c r="FG71" s="48"/>
      <c r="FH71" s="48"/>
      <c r="FI71" s="48"/>
      <c r="FJ71" s="48"/>
      <c r="FK71" s="48"/>
      <c r="FL71" s="48"/>
      <c r="FM71" s="51">
        <v>0</v>
      </c>
      <c r="FN71" s="48">
        <v>0</v>
      </c>
      <c r="FO71" s="48">
        <f t="shared" si="80"/>
        <v>0</v>
      </c>
      <c r="FP71" s="48"/>
      <c r="FQ71" s="48"/>
      <c r="FR71" s="48"/>
      <c r="FS71" s="48"/>
      <c r="FT71" s="48"/>
      <c r="FV71" s="48">
        <f t="shared" si="81"/>
        <v>8.93</v>
      </c>
      <c r="FW71" s="48">
        <f t="shared" si="82"/>
        <v>8.93</v>
      </c>
      <c r="FX71" s="48">
        <f t="shared" si="83"/>
        <v>8.93</v>
      </c>
      <c r="FY71" s="48">
        <f t="shared" si="84"/>
        <v>8.93</v>
      </c>
      <c r="FZ71" s="48">
        <f t="shared" si="85"/>
        <v>8.93</v>
      </c>
      <c r="GA71" s="48">
        <f t="shared" si="86"/>
        <v>8.93</v>
      </c>
      <c r="GB71" s="48">
        <f t="shared" si="87"/>
        <v>8.93</v>
      </c>
    </row>
    <row r="72" spans="2:184" x14ac:dyDescent="0.2">
      <c r="B72" s="393" t="str">
        <f>Key_New!D22</f>
        <v>Karnataka</v>
      </c>
      <c r="C72" s="394" t="str">
        <f>Key_New!B22</f>
        <v>ACME Sidlaghatta Solar Energy Pvt Ltd</v>
      </c>
      <c r="D72" s="395" t="str">
        <f>Key_New!E22</f>
        <v>Solar</v>
      </c>
      <c r="E72" s="396" t="str">
        <f>Key_New!C22</f>
        <v>Operational</v>
      </c>
      <c r="F72" s="397">
        <f>Key_New!F22</f>
        <v>20</v>
      </c>
      <c r="G72" s="398">
        <f t="shared" si="31"/>
        <v>43769</v>
      </c>
      <c r="H72" s="399">
        <f>Key_New!O22</f>
        <v>43769</v>
      </c>
      <c r="I72" s="369">
        <f t="shared" si="35"/>
        <v>2020</v>
      </c>
      <c r="J72" s="367">
        <v>70</v>
      </c>
      <c r="K72" s="370">
        <f t="shared" si="36"/>
        <v>1400</v>
      </c>
      <c r="L72" s="368">
        <v>0.12</v>
      </c>
      <c r="M72" s="368">
        <v>0.25</v>
      </c>
      <c r="N72" s="403">
        <f>Key_New!J22</f>
        <v>2.97</v>
      </c>
      <c r="O72" s="462">
        <f t="shared" si="37"/>
        <v>0</v>
      </c>
      <c r="P72" s="54">
        <f t="shared" si="88"/>
        <v>365</v>
      </c>
      <c r="Q72" s="54">
        <f t="shared" si="88"/>
        <v>365</v>
      </c>
      <c r="R72" s="54">
        <f t="shared" si="88"/>
        <v>365</v>
      </c>
      <c r="S72" s="54">
        <f t="shared" si="88"/>
        <v>365</v>
      </c>
      <c r="T72" s="54">
        <f t="shared" si="88"/>
        <v>365</v>
      </c>
      <c r="U72" s="54">
        <f t="shared" si="39"/>
        <v>365</v>
      </c>
      <c r="V72" s="54">
        <f t="shared" si="39"/>
        <v>365</v>
      </c>
      <c r="W72" s="54">
        <f t="shared" si="88"/>
        <v>365</v>
      </c>
      <c r="Y72" s="60">
        <v>4</v>
      </c>
      <c r="Z72" s="54">
        <f t="shared" si="89"/>
        <v>5</v>
      </c>
      <c r="AA72" s="54">
        <f t="shared" si="90"/>
        <v>6</v>
      </c>
      <c r="AB72" s="54">
        <f t="shared" si="91"/>
        <v>7</v>
      </c>
      <c r="AC72" s="54">
        <f t="shared" si="92"/>
        <v>8</v>
      </c>
      <c r="AD72" s="54">
        <f t="shared" si="93"/>
        <v>9</v>
      </c>
      <c r="AE72" s="54">
        <f t="shared" si="94"/>
        <v>10</v>
      </c>
      <c r="AF72" s="54">
        <f t="shared" si="94"/>
        <v>11</v>
      </c>
      <c r="AG72" s="444"/>
      <c r="AH72" s="48">
        <f t="shared" si="95"/>
        <v>20</v>
      </c>
      <c r="AI72" s="48">
        <f t="shared" si="96"/>
        <v>20</v>
      </c>
      <c r="AJ72" s="48">
        <f t="shared" si="97"/>
        <v>20</v>
      </c>
      <c r="AK72" s="48">
        <f t="shared" si="98"/>
        <v>20</v>
      </c>
      <c r="AL72" s="48">
        <f t="shared" si="99"/>
        <v>20</v>
      </c>
      <c r="AM72" s="48">
        <f t="shared" si="46"/>
        <v>20</v>
      </c>
      <c r="AN72" s="48">
        <f t="shared" si="47"/>
        <v>20</v>
      </c>
      <c r="AP72" s="61">
        <v>0.25</v>
      </c>
      <c r="AQ72" s="61">
        <v>0.25</v>
      </c>
      <c r="AR72" s="61">
        <v>0.25</v>
      </c>
      <c r="AS72" s="61">
        <v>0.25</v>
      </c>
      <c r="AT72" s="61">
        <v>0.25</v>
      </c>
      <c r="AU72" s="61">
        <v>0.25</v>
      </c>
      <c r="AV72" s="61">
        <v>0.25</v>
      </c>
      <c r="AX72" s="52">
        <f t="shared" si="100"/>
        <v>43.83</v>
      </c>
      <c r="AY72" s="52">
        <f t="shared" si="101"/>
        <v>43.83</v>
      </c>
      <c r="AZ72" s="52">
        <f t="shared" si="102"/>
        <v>43.83</v>
      </c>
      <c r="BA72" s="52">
        <f t="shared" si="103"/>
        <v>43.83</v>
      </c>
      <c r="BB72" s="52">
        <f t="shared" si="104"/>
        <v>43.83</v>
      </c>
      <c r="BC72" s="52">
        <f t="shared" si="53"/>
        <v>43.83</v>
      </c>
      <c r="BD72" s="52">
        <f t="shared" si="54"/>
        <v>43.83</v>
      </c>
      <c r="BE72" s="57">
        <v>0.2</v>
      </c>
      <c r="BF72" s="52">
        <f t="shared" si="105"/>
        <v>44.800000000000004</v>
      </c>
      <c r="BG72" s="52">
        <f t="shared" si="106"/>
        <v>44.800000000000004</v>
      </c>
      <c r="BH72" s="52">
        <f t="shared" si="107"/>
        <v>44.800000000000004</v>
      </c>
      <c r="BI72" s="52">
        <f t="shared" si="108"/>
        <v>44.800000000000004</v>
      </c>
      <c r="BJ72" s="52">
        <f t="shared" si="109"/>
        <v>44.800000000000004</v>
      </c>
      <c r="BK72" s="52">
        <f t="shared" si="60"/>
        <v>44.800000000000004</v>
      </c>
      <c r="BL72" s="52">
        <f t="shared" si="61"/>
        <v>44.800000000000004</v>
      </c>
      <c r="BM72" s="297">
        <v>0.04</v>
      </c>
      <c r="BN72" s="69">
        <f t="shared" si="110"/>
        <v>56</v>
      </c>
      <c r="BO72" s="69">
        <f t="shared" si="111"/>
        <v>56</v>
      </c>
      <c r="BP72" s="69">
        <f t="shared" si="112"/>
        <v>56</v>
      </c>
      <c r="BQ72" s="69">
        <f t="shared" si="113"/>
        <v>56</v>
      </c>
      <c r="BR72" s="69">
        <f t="shared" si="114"/>
        <v>56</v>
      </c>
      <c r="BS72" s="69">
        <f t="shared" si="115"/>
        <v>56</v>
      </c>
      <c r="BT72" s="69">
        <f t="shared" si="116"/>
        <v>56</v>
      </c>
      <c r="BV72" s="69"/>
      <c r="BW72" s="69"/>
      <c r="BX72" s="69"/>
      <c r="BY72" s="69"/>
      <c r="BZ72" s="69"/>
      <c r="CA72" s="69"/>
      <c r="CB72" s="69"/>
      <c r="CC72" s="107">
        <v>0</v>
      </c>
      <c r="CD72" s="69">
        <v>0</v>
      </c>
      <c r="CE72" s="69">
        <f t="shared" si="32"/>
        <v>0</v>
      </c>
      <c r="CF72" s="69">
        <f t="shared" si="62"/>
        <v>0</v>
      </c>
      <c r="CG72" s="69">
        <f t="shared" si="34"/>
        <v>0</v>
      </c>
      <c r="CH72" s="69">
        <f t="shared" si="63"/>
        <v>0</v>
      </c>
      <c r="CI72" s="69">
        <f t="shared" si="64"/>
        <v>0</v>
      </c>
      <c r="CJ72" s="69">
        <f t="shared" si="65"/>
        <v>0</v>
      </c>
      <c r="CL72" s="54">
        <f t="shared" si="66"/>
        <v>0</v>
      </c>
      <c r="CM72" s="54">
        <f t="shared" si="67"/>
        <v>0</v>
      </c>
      <c r="CN72" s="54">
        <f t="shared" si="68"/>
        <v>0</v>
      </c>
      <c r="CO72" s="54">
        <f t="shared" si="69"/>
        <v>0</v>
      </c>
      <c r="CP72" s="54">
        <f t="shared" si="70"/>
        <v>0</v>
      </c>
      <c r="CQ72" s="54">
        <f t="shared" si="71"/>
        <v>0</v>
      </c>
      <c r="CR72" s="54">
        <f t="shared" si="72"/>
        <v>0</v>
      </c>
      <c r="CT72" s="54">
        <f t="shared" si="117"/>
        <v>0</v>
      </c>
      <c r="CU72" s="54">
        <f t="shared" si="118"/>
        <v>0</v>
      </c>
      <c r="CV72" s="54">
        <f t="shared" si="119"/>
        <v>0</v>
      </c>
      <c r="CW72" s="54">
        <f t="shared" si="120"/>
        <v>0</v>
      </c>
      <c r="CX72" s="54">
        <f t="shared" si="121"/>
        <v>0</v>
      </c>
      <c r="CY72" s="54">
        <f t="shared" si="122"/>
        <v>0</v>
      </c>
      <c r="CZ72" s="54">
        <f t="shared" si="74"/>
        <v>0</v>
      </c>
      <c r="DB72" s="54">
        <f t="shared" si="123"/>
        <v>0</v>
      </c>
      <c r="DC72" s="54">
        <f t="shared" si="124"/>
        <v>0</v>
      </c>
      <c r="DD72" s="54">
        <f t="shared" si="125"/>
        <v>0</v>
      </c>
      <c r="DE72" s="54">
        <f t="shared" si="126"/>
        <v>0</v>
      </c>
      <c r="DF72" s="54">
        <f t="shared" si="127"/>
        <v>0</v>
      </c>
      <c r="DG72" s="54">
        <f t="shared" si="128"/>
        <v>0</v>
      </c>
      <c r="DH72" s="54">
        <f t="shared" si="76"/>
        <v>0</v>
      </c>
      <c r="DJ72" s="54">
        <f t="shared" si="129"/>
        <v>44.8</v>
      </c>
      <c r="DK72" s="54">
        <f t="shared" si="130"/>
        <v>44.8</v>
      </c>
      <c r="DL72" s="54">
        <f t="shared" si="131"/>
        <v>44.8</v>
      </c>
      <c r="DM72" s="54">
        <f t="shared" si="132"/>
        <v>44.8</v>
      </c>
      <c r="DN72" s="54">
        <f t="shared" si="133"/>
        <v>44.8</v>
      </c>
      <c r="DO72" s="54">
        <f t="shared" si="134"/>
        <v>44.8</v>
      </c>
      <c r="DP72" s="54">
        <f t="shared" si="135"/>
        <v>44.8</v>
      </c>
      <c r="DR72" s="54">
        <f>+IF(Z72&gt;0,$K72*(1-$BE72)-SUM($DJ72:DJ72),DB72)</f>
        <v>1075.2</v>
      </c>
      <c r="DS72" s="54">
        <f>+IF(AA72&gt;0,$K72*(1-$BE72)-SUM($DJ72:DK72),DC72)</f>
        <v>1030.4000000000001</v>
      </c>
      <c r="DT72" s="54">
        <f>+IF(AB72&gt;0,$K72*(1-$BE72)-SUM($DJ72:DL72),DD72)</f>
        <v>985.6</v>
      </c>
      <c r="DU72" s="54">
        <f>+IF(AC72&gt;0,$K72*(1-$BE72)-SUM($DJ72:DM72),DE72)</f>
        <v>940.8</v>
      </c>
      <c r="DV72" s="54">
        <f>+IF(AD72&gt;0,$K72*(1-$BE72)-SUM($DJ72:DN72),DF72)</f>
        <v>896</v>
      </c>
      <c r="DW72" s="54">
        <f>+IF(AE72&gt;0,$K72*(1-$BE72)-SUM($DJ72:DO72),DG72)</f>
        <v>851.2</v>
      </c>
      <c r="DX72" s="54">
        <f>+IF(AF72&gt;0,$K72*(1-$BE72)-SUM($DJ72:DP72),DH72)</f>
        <v>806.4</v>
      </c>
      <c r="DZ72" s="54">
        <f t="shared" si="136"/>
        <v>107.52000000000001</v>
      </c>
      <c r="EA72" s="54">
        <f t="shared" si="137"/>
        <v>103.04000000000002</v>
      </c>
      <c r="EB72" s="54">
        <f t="shared" si="138"/>
        <v>98.56</v>
      </c>
      <c r="EC72" s="54">
        <f t="shared" si="139"/>
        <v>94.08</v>
      </c>
      <c r="ED72" s="54">
        <f t="shared" si="140"/>
        <v>89.600000000000009</v>
      </c>
      <c r="EE72" s="54">
        <f t="shared" si="141"/>
        <v>85.12</v>
      </c>
      <c r="EF72" s="54">
        <f t="shared" si="79"/>
        <v>0</v>
      </c>
      <c r="EH72" s="48"/>
      <c r="EI72" s="48"/>
      <c r="EJ72" s="48"/>
      <c r="EK72" s="48"/>
      <c r="EL72" s="48"/>
      <c r="EM72" s="48"/>
      <c r="EN72" s="48"/>
      <c r="EP72" s="48"/>
      <c r="EQ72" s="48"/>
      <c r="ER72" s="48"/>
      <c r="ES72" s="48"/>
      <c r="ET72" s="48"/>
      <c r="EU72" s="48"/>
      <c r="EV72" s="48"/>
      <c r="EX72" s="48"/>
      <c r="EY72" s="48"/>
      <c r="EZ72" s="48"/>
      <c r="FA72" s="48"/>
      <c r="FB72" s="48"/>
      <c r="FC72" s="48"/>
      <c r="FD72" s="48"/>
      <c r="FF72" s="48"/>
      <c r="FG72" s="48"/>
      <c r="FH72" s="48"/>
      <c r="FI72" s="48"/>
      <c r="FJ72" s="48"/>
      <c r="FK72" s="48"/>
      <c r="FL72" s="48"/>
      <c r="FM72" s="51">
        <v>0</v>
      </c>
      <c r="FN72" s="48">
        <v>0</v>
      </c>
      <c r="FO72" s="48">
        <f t="shared" si="80"/>
        <v>0</v>
      </c>
      <c r="FP72" s="48"/>
      <c r="FQ72" s="48"/>
      <c r="FR72" s="48"/>
      <c r="FS72" s="48"/>
      <c r="FT72" s="48"/>
      <c r="FV72" s="48">
        <f t="shared" si="81"/>
        <v>2.97</v>
      </c>
      <c r="FW72" s="48">
        <f t="shared" si="82"/>
        <v>2.97</v>
      </c>
      <c r="FX72" s="48">
        <f t="shared" si="83"/>
        <v>2.97</v>
      </c>
      <c r="FY72" s="48">
        <f t="shared" si="84"/>
        <v>2.97</v>
      </c>
      <c r="FZ72" s="48">
        <f t="shared" si="85"/>
        <v>2.97</v>
      </c>
      <c r="GA72" s="48">
        <f t="shared" si="86"/>
        <v>2.97</v>
      </c>
      <c r="GB72" s="48">
        <f t="shared" si="87"/>
        <v>2.97</v>
      </c>
    </row>
    <row r="73" spans="2:184" x14ac:dyDescent="0.2">
      <c r="B73" s="393" t="str">
        <f>Key_New!D23</f>
        <v>Rajasthan</v>
      </c>
      <c r="C73" s="394" t="str">
        <f>Key_New!B23</f>
        <v>ACME Jodhpur Solar Power Pvt Ltd</v>
      </c>
      <c r="D73" s="395" t="str">
        <f>Key_New!E23</f>
        <v>Solar</v>
      </c>
      <c r="E73" s="396" t="str">
        <f>Key_New!C23</f>
        <v>Operational</v>
      </c>
      <c r="F73" s="397">
        <f>Key_New!F23</f>
        <v>100</v>
      </c>
      <c r="G73" s="398">
        <f t="shared" si="31"/>
        <v>43373</v>
      </c>
      <c r="H73" s="399">
        <f>Key_New!O23</f>
        <v>43373</v>
      </c>
      <c r="I73" s="369">
        <f t="shared" si="35"/>
        <v>2019</v>
      </c>
      <c r="J73" s="367">
        <v>50</v>
      </c>
      <c r="K73" s="370">
        <f t="shared" si="36"/>
        <v>5000</v>
      </c>
      <c r="L73" s="368">
        <v>0.12</v>
      </c>
      <c r="M73" s="368">
        <v>0.25</v>
      </c>
      <c r="N73" s="403">
        <f>Key_New!J23</f>
        <v>2.44</v>
      </c>
      <c r="O73" s="462">
        <f t="shared" si="37"/>
        <v>0</v>
      </c>
      <c r="P73" s="54">
        <f t="shared" si="88"/>
        <v>365</v>
      </c>
      <c r="Q73" s="54">
        <f t="shared" si="88"/>
        <v>365</v>
      </c>
      <c r="R73" s="54">
        <f t="shared" si="88"/>
        <v>365</v>
      </c>
      <c r="S73" s="54">
        <f t="shared" si="88"/>
        <v>365</v>
      </c>
      <c r="T73" s="54">
        <f t="shared" si="88"/>
        <v>365</v>
      </c>
      <c r="U73" s="54">
        <f t="shared" si="88"/>
        <v>365</v>
      </c>
      <c r="V73" s="54">
        <f t="shared" si="88"/>
        <v>365</v>
      </c>
      <c r="W73" s="54">
        <f t="shared" si="88"/>
        <v>365</v>
      </c>
      <c r="Y73" s="60">
        <v>5</v>
      </c>
      <c r="Z73" s="54">
        <f t="shared" si="89"/>
        <v>6</v>
      </c>
      <c r="AA73" s="54">
        <f t="shared" si="90"/>
        <v>7</v>
      </c>
      <c r="AB73" s="54">
        <f t="shared" si="91"/>
        <v>8</v>
      </c>
      <c r="AC73" s="54">
        <f t="shared" si="92"/>
        <v>9</v>
      </c>
      <c r="AD73" s="54">
        <f t="shared" si="93"/>
        <v>10</v>
      </c>
      <c r="AE73" s="54">
        <f t="shared" si="94"/>
        <v>11</v>
      </c>
      <c r="AF73" s="54">
        <f t="shared" si="94"/>
        <v>12</v>
      </c>
      <c r="AG73" s="444"/>
      <c r="AH73" s="48">
        <f t="shared" si="95"/>
        <v>100</v>
      </c>
      <c r="AI73" s="48">
        <f t="shared" si="96"/>
        <v>100</v>
      </c>
      <c r="AJ73" s="48">
        <f t="shared" si="97"/>
        <v>100</v>
      </c>
      <c r="AK73" s="48">
        <f t="shared" si="98"/>
        <v>100</v>
      </c>
      <c r="AL73" s="48">
        <f t="shared" si="99"/>
        <v>100</v>
      </c>
      <c r="AM73" s="48">
        <f t="shared" si="46"/>
        <v>100</v>
      </c>
      <c r="AN73" s="48">
        <f t="shared" si="47"/>
        <v>100</v>
      </c>
      <c r="AP73" s="61">
        <v>0.25</v>
      </c>
      <c r="AQ73" s="61">
        <v>0.25</v>
      </c>
      <c r="AR73" s="61">
        <v>0.25</v>
      </c>
      <c r="AS73" s="61">
        <v>0.25</v>
      </c>
      <c r="AT73" s="61">
        <v>0.25</v>
      </c>
      <c r="AU73" s="61">
        <v>0.25</v>
      </c>
      <c r="AV73" s="61">
        <v>0.25</v>
      </c>
      <c r="AX73" s="52">
        <f t="shared" si="100"/>
        <v>219.15</v>
      </c>
      <c r="AY73" s="52">
        <f t="shared" si="101"/>
        <v>219.15</v>
      </c>
      <c r="AZ73" s="52">
        <f t="shared" si="102"/>
        <v>219.15</v>
      </c>
      <c r="BA73" s="52">
        <f t="shared" si="103"/>
        <v>219.15</v>
      </c>
      <c r="BB73" s="52">
        <f t="shared" si="104"/>
        <v>219.15</v>
      </c>
      <c r="BC73" s="52">
        <f t="shared" si="53"/>
        <v>219.15</v>
      </c>
      <c r="BD73" s="52">
        <f t="shared" si="54"/>
        <v>219.15</v>
      </c>
      <c r="BE73" s="57">
        <v>0.2</v>
      </c>
      <c r="BF73" s="52">
        <f t="shared" si="105"/>
        <v>160</v>
      </c>
      <c r="BG73" s="52">
        <f t="shared" si="106"/>
        <v>160</v>
      </c>
      <c r="BH73" s="52">
        <f t="shared" si="107"/>
        <v>160</v>
      </c>
      <c r="BI73" s="52">
        <f t="shared" si="108"/>
        <v>160</v>
      </c>
      <c r="BJ73" s="52">
        <f t="shared" si="109"/>
        <v>160</v>
      </c>
      <c r="BK73" s="52">
        <f t="shared" si="60"/>
        <v>160</v>
      </c>
      <c r="BL73" s="52">
        <f t="shared" si="61"/>
        <v>160</v>
      </c>
      <c r="BM73" s="297">
        <v>0.04</v>
      </c>
      <c r="BN73" s="69">
        <f t="shared" si="110"/>
        <v>200</v>
      </c>
      <c r="BO73" s="69">
        <f t="shared" si="111"/>
        <v>200</v>
      </c>
      <c r="BP73" s="69">
        <f t="shared" si="112"/>
        <v>200</v>
      </c>
      <c r="BQ73" s="69">
        <f t="shared" si="113"/>
        <v>200</v>
      </c>
      <c r="BR73" s="69">
        <f t="shared" si="114"/>
        <v>200</v>
      </c>
      <c r="BS73" s="69">
        <f t="shared" si="115"/>
        <v>200</v>
      </c>
      <c r="BT73" s="69">
        <f t="shared" si="116"/>
        <v>200</v>
      </c>
      <c r="BV73" s="69"/>
      <c r="BW73" s="69"/>
      <c r="BX73" s="69"/>
      <c r="BY73" s="69"/>
      <c r="BZ73" s="69"/>
      <c r="CA73" s="69"/>
      <c r="CB73" s="69"/>
      <c r="CC73" s="107">
        <v>0</v>
      </c>
      <c r="CD73" s="69">
        <v>0</v>
      </c>
      <c r="CE73" s="69">
        <f t="shared" si="32"/>
        <v>0</v>
      </c>
      <c r="CF73" s="69">
        <f t="shared" si="62"/>
        <v>0</v>
      </c>
      <c r="CG73" s="69">
        <f t="shared" si="34"/>
        <v>0</v>
      </c>
      <c r="CH73" s="69">
        <f t="shared" si="63"/>
        <v>0</v>
      </c>
      <c r="CI73" s="69">
        <f t="shared" si="64"/>
        <v>0</v>
      </c>
      <c r="CJ73" s="69">
        <f t="shared" si="65"/>
        <v>0</v>
      </c>
      <c r="CL73" s="54">
        <f t="shared" si="66"/>
        <v>0</v>
      </c>
      <c r="CM73" s="54">
        <f t="shared" si="67"/>
        <v>0</v>
      </c>
      <c r="CN73" s="54">
        <f t="shared" si="68"/>
        <v>0</v>
      </c>
      <c r="CO73" s="54">
        <f t="shared" si="69"/>
        <v>0</v>
      </c>
      <c r="CP73" s="54">
        <f t="shared" si="70"/>
        <v>0</v>
      </c>
      <c r="CQ73" s="54">
        <f t="shared" si="71"/>
        <v>0</v>
      </c>
      <c r="CR73" s="54">
        <f t="shared" si="72"/>
        <v>0</v>
      </c>
      <c r="CT73" s="54">
        <f t="shared" si="117"/>
        <v>0</v>
      </c>
      <c r="CU73" s="54">
        <f t="shared" si="118"/>
        <v>0</v>
      </c>
      <c r="CV73" s="54">
        <f t="shared" si="119"/>
        <v>0</v>
      </c>
      <c r="CW73" s="54">
        <f t="shared" si="120"/>
        <v>0</v>
      </c>
      <c r="CX73" s="54">
        <f t="shared" si="121"/>
        <v>0</v>
      </c>
      <c r="CY73" s="54">
        <f t="shared" si="122"/>
        <v>0</v>
      </c>
      <c r="CZ73" s="54">
        <f t="shared" si="74"/>
        <v>0</v>
      </c>
      <c r="DB73" s="54">
        <f t="shared" si="123"/>
        <v>0</v>
      </c>
      <c r="DC73" s="54">
        <f t="shared" si="124"/>
        <v>0</v>
      </c>
      <c r="DD73" s="54">
        <f t="shared" si="125"/>
        <v>0</v>
      </c>
      <c r="DE73" s="54">
        <f t="shared" si="126"/>
        <v>0</v>
      </c>
      <c r="DF73" s="54">
        <f t="shared" si="127"/>
        <v>0</v>
      </c>
      <c r="DG73" s="54">
        <f t="shared" si="128"/>
        <v>0</v>
      </c>
      <c r="DH73" s="54">
        <f t="shared" si="76"/>
        <v>0</v>
      </c>
      <c r="DJ73" s="54">
        <f t="shared" si="129"/>
        <v>160</v>
      </c>
      <c r="DK73" s="54">
        <f t="shared" si="130"/>
        <v>160</v>
      </c>
      <c r="DL73" s="54">
        <f t="shared" si="131"/>
        <v>160</v>
      </c>
      <c r="DM73" s="54">
        <f t="shared" si="132"/>
        <v>160</v>
      </c>
      <c r="DN73" s="54">
        <f t="shared" si="133"/>
        <v>160</v>
      </c>
      <c r="DO73" s="54">
        <f t="shared" si="134"/>
        <v>160</v>
      </c>
      <c r="DP73" s="54">
        <f t="shared" si="135"/>
        <v>160</v>
      </c>
      <c r="DR73" s="54">
        <f>+IF(Z73&gt;0,$K73*(1-$BE73)-SUM($DJ73:DJ73),DB73)</f>
        <v>3840</v>
      </c>
      <c r="DS73" s="54">
        <f>+IF(AA73&gt;0,$K73*(1-$BE73)-SUM($DJ73:DK73),DC73)</f>
        <v>3680</v>
      </c>
      <c r="DT73" s="54">
        <f>+IF(AB73&gt;0,$K73*(1-$BE73)-SUM($DJ73:DL73),DD73)</f>
        <v>3520</v>
      </c>
      <c r="DU73" s="54">
        <f>+IF(AC73&gt;0,$K73*(1-$BE73)-SUM($DJ73:DM73),DE73)</f>
        <v>3360</v>
      </c>
      <c r="DV73" s="54">
        <f>+IF(AD73&gt;0,$K73*(1-$BE73)-SUM($DJ73:DN73),DF73)</f>
        <v>3200</v>
      </c>
      <c r="DW73" s="54">
        <f>+IF(AE73&gt;0,$K73*(1-$BE73)-SUM($DJ73:DO73),DG73)</f>
        <v>3040</v>
      </c>
      <c r="DX73" s="54">
        <f>+IF(AF73&gt;0,$K73*(1-$BE73)-SUM($DJ73:DP73),DH73)</f>
        <v>2880</v>
      </c>
      <c r="DZ73" s="54">
        <f t="shared" si="136"/>
        <v>384</v>
      </c>
      <c r="EA73" s="54">
        <f t="shared" si="137"/>
        <v>368</v>
      </c>
      <c r="EB73" s="54">
        <f t="shared" si="138"/>
        <v>352</v>
      </c>
      <c r="EC73" s="54">
        <f t="shared" si="139"/>
        <v>336</v>
      </c>
      <c r="ED73" s="54">
        <f t="shared" si="140"/>
        <v>320</v>
      </c>
      <c r="EE73" s="54">
        <f t="shared" si="141"/>
        <v>304</v>
      </c>
      <c r="EF73" s="54">
        <f t="shared" si="79"/>
        <v>0</v>
      </c>
      <c r="EH73" s="48"/>
      <c r="EI73" s="48"/>
      <c r="EJ73" s="48"/>
      <c r="EK73" s="48"/>
      <c r="EL73" s="48"/>
      <c r="EM73" s="48"/>
      <c r="EN73" s="48"/>
      <c r="EP73" s="48"/>
      <c r="EQ73" s="48"/>
      <c r="ER73" s="48"/>
      <c r="ES73" s="48"/>
      <c r="ET73" s="48"/>
      <c r="EU73" s="48"/>
      <c r="EV73" s="48"/>
      <c r="EX73" s="48"/>
      <c r="EY73" s="48"/>
      <c r="EZ73" s="48"/>
      <c r="FA73" s="48"/>
      <c r="FB73" s="48"/>
      <c r="FC73" s="48"/>
      <c r="FD73" s="48"/>
      <c r="FF73" s="48"/>
      <c r="FG73" s="48"/>
      <c r="FH73" s="48"/>
      <c r="FI73" s="48"/>
      <c r="FJ73" s="48"/>
      <c r="FK73" s="48"/>
      <c r="FL73" s="48"/>
      <c r="FM73" s="51">
        <v>0</v>
      </c>
      <c r="FN73" s="48">
        <v>0</v>
      </c>
      <c r="FO73" s="48">
        <f t="shared" si="80"/>
        <v>0</v>
      </c>
      <c r="FP73" s="48"/>
      <c r="FQ73" s="48"/>
      <c r="FR73" s="48"/>
      <c r="FS73" s="48"/>
      <c r="FT73" s="48"/>
      <c r="FV73" s="48">
        <f t="shared" si="81"/>
        <v>2.44</v>
      </c>
      <c r="FW73" s="48">
        <f t="shared" si="82"/>
        <v>2.44</v>
      </c>
      <c r="FX73" s="48">
        <f t="shared" si="83"/>
        <v>2.44</v>
      </c>
      <c r="FY73" s="48">
        <f t="shared" si="84"/>
        <v>2.44</v>
      </c>
      <c r="FZ73" s="48">
        <f t="shared" si="85"/>
        <v>2.44</v>
      </c>
      <c r="GA73" s="48">
        <f t="shared" si="86"/>
        <v>2.44</v>
      </c>
      <c r="GB73" s="48">
        <f t="shared" si="87"/>
        <v>2.44</v>
      </c>
    </row>
    <row r="74" spans="2:184" x14ac:dyDescent="0.2">
      <c r="B74" s="393" t="str">
        <f>Key_New!D24</f>
        <v>Rajasthan</v>
      </c>
      <c r="C74" s="394" t="str">
        <f>Key_New!B24</f>
        <v>ACME Rewa Solar Power Pvt Ltd</v>
      </c>
      <c r="D74" s="395" t="str">
        <f>Key_New!E24</f>
        <v>Solar</v>
      </c>
      <c r="E74" s="396" t="str">
        <f>Key_New!C24</f>
        <v>Operational</v>
      </c>
      <c r="F74" s="397">
        <f>Key_New!F24</f>
        <v>100</v>
      </c>
      <c r="G74" s="398">
        <f t="shared" si="31"/>
        <v>43404</v>
      </c>
      <c r="H74" s="399">
        <f>Key_New!O24</f>
        <v>43404</v>
      </c>
      <c r="I74" s="369">
        <f t="shared" si="35"/>
        <v>2019</v>
      </c>
      <c r="J74" s="367">
        <v>50</v>
      </c>
      <c r="K74" s="370">
        <f t="shared" si="36"/>
        <v>5000</v>
      </c>
      <c r="L74" s="368">
        <v>0.12</v>
      </c>
      <c r="M74" s="368">
        <v>0.25</v>
      </c>
      <c r="N74" s="403">
        <f>Key_New!J24</f>
        <v>2.44</v>
      </c>
      <c r="O74" s="462">
        <f t="shared" si="37"/>
        <v>0</v>
      </c>
      <c r="P74" s="54">
        <f t="shared" si="88"/>
        <v>365</v>
      </c>
      <c r="Q74" s="54">
        <f t="shared" si="88"/>
        <v>365</v>
      </c>
      <c r="R74" s="54">
        <f t="shared" si="88"/>
        <v>365</v>
      </c>
      <c r="S74" s="54">
        <f t="shared" si="88"/>
        <v>365</v>
      </c>
      <c r="T74" s="54">
        <f t="shared" si="88"/>
        <v>365</v>
      </c>
      <c r="U74" s="54">
        <f t="shared" si="88"/>
        <v>365</v>
      </c>
      <c r="V74" s="54">
        <f t="shared" si="88"/>
        <v>365</v>
      </c>
      <c r="W74" s="54">
        <f t="shared" si="88"/>
        <v>365</v>
      </c>
      <c r="Y74" s="60">
        <v>5</v>
      </c>
      <c r="Z74" s="54">
        <f t="shared" si="89"/>
        <v>6</v>
      </c>
      <c r="AA74" s="54">
        <f t="shared" si="90"/>
        <v>7</v>
      </c>
      <c r="AB74" s="54">
        <f t="shared" si="91"/>
        <v>8</v>
      </c>
      <c r="AC74" s="54">
        <f t="shared" si="92"/>
        <v>9</v>
      </c>
      <c r="AD74" s="54">
        <f t="shared" si="93"/>
        <v>10</v>
      </c>
      <c r="AE74" s="54">
        <f t="shared" si="94"/>
        <v>11</v>
      </c>
      <c r="AF74" s="54">
        <f t="shared" si="94"/>
        <v>12</v>
      </c>
      <c r="AG74" s="444"/>
      <c r="AH74" s="48">
        <f t="shared" si="95"/>
        <v>100</v>
      </c>
      <c r="AI74" s="48">
        <f t="shared" si="96"/>
        <v>100</v>
      </c>
      <c r="AJ74" s="48">
        <f t="shared" si="97"/>
        <v>100</v>
      </c>
      <c r="AK74" s="48">
        <f t="shared" si="98"/>
        <v>100</v>
      </c>
      <c r="AL74" s="48">
        <f t="shared" si="99"/>
        <v>100</v>
      </c>
      <c r="AM74" s="48">
        <f t="shared" si="46"/>
        <v>100</v>
      </c>
      <c r="AN74" s="48">
        <f t="shared" si="47"/>
        <v>100</v>
      </c>
      <c r="AP74" s="61">
        <v>0.25</v>
      </c>
      <c r="AQ74" s="61">
        <v>0.25</v>
      </c>
      <c r="AR74" s="61">
        <v>0.25</v>
      </c>
      <c r="AS74" s="61">
        <v>0.25</v>
      </c>
      <c r="AT74" s="61">
        <v>0.25</v>
      </c>
      <c r="AU74" s="61">
        <v>0.25</v>
      </c>
      <c r="AV74" s="61">
        <v>0.25</v>
      </c>
      <c r="AX74" s="52">
        <f t="shared" si="100"/>
        <v>219.15</v>
      </c>
      <c r="AY74" s="52">
        <f t="shared" si="101"/>
        <v>219.15</v>
      </c>
      <c r="AZ74" s="52">
        <f t="shared" si="102"/>
        <v>219.15</v>
      </c>
      <c r="BA74" s="52">
        <f t="shared" si="103"/>
        <v>219.15</v>
      </c>
      <c r="BB74" s="52">
        <f t="shared" si="104"/>
        <v>219.15</v>
      </c>
      <c r="BC74" s="52">
        <f t="shared" si="53"/>
        <v>219.15</v>
      </c>
      <c r="BD74" s="52">
        <f t="shared" si="54"/>
        <v>219.15</v>
      </c>
      <c r="BE74" s="57">
        <v>0.2</v>
      </c>
      <c r="BF74" s="52">
        <f t="shared" si="105"/>
        <v>160</v>
      </c>
      <c r="BG74" s="52">
        <f t="shared" si="106"/>
        <v>160</v>
      </c>
      <c r="BH74" s="52">
        <f t="shared" si="107"/>
        <v>160</v>
      </c>
      <c r="BI74" s="52">
        <f t="shared" si="108"/>
        <v>160</v>
      </c>
      <c r="BJ74" s="52">
        <f t="shared" si="109"/>
        <v>160</v>
      </c>
      <c r="BK74" s="52">
        <f t="shared" si="60"/>
        <v>160</v>
      </c>
      <c r="BL74" s="52">
        <f t="shared" si="61"/>
        <v>160</v>
      </c>
      <c r="BM74" s="297">
        <v>0.04</v>
      </c>
      <c r="BN74" s="69">
        <f t="shared" si="110"/>
        <v>200</v>
      </c>
      <c r="BO74" s="69">
        <f t="shared" si="111"/>
        <v>200</v>
      </c>
      <c r="BP74" s="69">
        <f t="shared" si="112"/>
        <v>200</v>
      </c>
      <c r="BQ74" s="69">
        <f t="shared" si="113"/>
        <v>200</v>
      </c>
      <c r="BR74" s="69">
        <f t="shared" si="114"/>
        <v>200</v>
      </c>
      <c r="BS74" s="69">
        <f t="shared" si="115"/>
        <v>200</v>
      </c>
      <c r="BT74" s="69">
        <f t="shared" si="116"/>
        <v>200</v>
      </c>
      <c r="BV74" s="69"/>
      <c r="BW74" s="69"/>
      <c r="BX74" s="69"/>
      <c r="BY74" s="69"/>
      <c r="BZ74" s="69"/>
      <c r="CA74" s="69"/>
      <c r="CB74" s="69"/>
      <c r="CC74" s="107">
        <v>0</v>
      </c>
      <c r="CD74" s="69">
        <v>0</v>
      </c>
      <c r="CE74" s="69">
        <f t="shared" si="32"/>
        <v>0</v>
      </c>
      <c r="CF74" s="69">
        <f t="shared" si="62"/>
        <v>0</v>
      </c>
      <c r="CG74" s="69">
        <f t="shared" si="34"/>
        <v>0</v>
      </c>
      <c r="CH74" s="69">
        <f t="shared" si="63"/>
        <v>0</v>
      </c>
      <c r="CI74" s="69">
        <f t="shared" si="64"/>
        <v>0</v>
      </c>
      <c r="CJ74" s="69">
        <f t="shared" si="65"/>
        <v>0</v>
      </c>
      <c r="CL74" s="54">
        <f t="shared" si="66"/>
        <v>0</v>
      </c>
      <c r="CM74" s="54">
        <f t="shared" si="67"/>
        <v>0</v>
      </c>
      <c r="CN74" s="54">
        <f t="shared" si="68"/>
        <v>0</v>
      </c>
      <c r="CO74" s="54">
        <f t="shared" si="69"/>
        <v>0</v>
      </c>
      <c r="CP74" s="54">
        <f t="shared" si="70"/>
        <v>0</v>
      </c>
      <c r="CQ74" s="54">
        <f t="shared" si="71"/>
        <v>0</v>
      </c>
      <c r="CR74" s="54">
        <f t="shared" si="72"/>
        <v>0</v>
      </c>
      <c r="CT74" s="54">
        <f t="shared" si="117"/>
        <v>0</v>
      </c>
      <c r="CU74" s="54">
        <f t="shared" si="118"/>
        <v>0</v>
      </c>
      <c r="CV74" s="54">
        <f t="shared" si="119"/>
        <v>0</v>
      </c>
      <c r="CW74" s="54">
        <f t="shared" si="120"/>
        <v>0</v>
      </c>
      <c r="CX74" s="54">
        <f t="shared" si="121"/>
        <v>0</v>
      </c>
      <c r="CY74" s="54">
        <f t="shared" si="122"/>
        <v>0</v>
      </c>
      <c r="CZ74" s="54">
        <f t="shared" si="74"/>
        <v>0</v>
      </c>
      <c r="DB74" s="54">
        <f t="shared" si="123"/>
        <v>0</v>
      </c>
      <c r="DC74" s="54">
        <f t="shared" si="124"/>
        <v>0</v>
      </c>
      <c r="DD74" s="54">
        <f t="shared" si="125"/>
        <v>0</v>
      </c>
      <c r="DE74" s="54">
        <f t="shared" si="126"/>
        <v>0</v>
      </c>
      <c r="DF74" s="54">
        <f t="shared" si="127"/>
        <v>0</v>
      </c>
      <c r="DG74" s="54">
        <f t="shared" si="128"/>
        <v>0</v>
      </c>
      <c r="DH74" s="54">
        <f t="shared" si="76"/>
        <v>0</v>
      </c>
      <c r="DJ74" s="54">
        <f t="shared" si="129"/>
        <v>160</v>
      </c>
      <c r="DK74" s="54">
        <f t="shared" si="130"/>
        <v>160</v>
      </c>
      <c r="DL74" s="54">
        <f t="shared" si="131"/>
        <v>160</v>
      </c>
      <c r="DM74" s="54">
        <f t="shared" si="132"/>
        <v>160</v>
      </c>
      <c r="DN74" s="54">
        <f t="shared" si="133"/>
        <v>160</v>
      </c>
      <c r="DO74" s="54">
        <f t="shared" si="134"/>
        <v>160</v>
      </c>
      <c r="DP74" s="54">
        <f t="shared" si="135"/>
        <v>160</v>
      </c>
      <c r="DR74" s="54">
        <f>+IF(Z74&gt;0,$K74*(1-$BE74)-SUM($DJ74:DJ74),DB74)</f>
        <v>3840</v>
      </c>
      <c r="DS74" s="54">
        <f>+IF(AA74&gt;0,$K74*(1-$BE74)-SUM($DJ74:DK74),DC74)</f>
        <v>3680</v>
      </c>
      <c r="DT74" s="54">
        <f>+IF(AB74&gt;0,$K74*(1-$BE74)-SUM($DJ74:DL74),DD74)</f>
        <v>3520</v>
      </c>
      <c r="DU74" s="54">
        <f>+IF(AC74&gt;0,$K74*(1-$BE74)-SUM($DJ74:DM74),DE74)</f>
        <v>3360</v>
      </c>
      <c r="DV74" s="54">
        <f>+IF(AD74&gt;0,$K74*(1-$BE74)-SUM($DJ74:DN74),DF74)</f>
        <v>3200</v>
      </c>
      <c r="DW74" s="54">
        <f>+IF(AE74&gt;0,$K74*(1-$BE74)-SUM($DJ74:DO74),DG74)</f>
        <v>3040</v>
      </c>
      <c r="DX74" s="54">
        <f>+IF(AF74&gt;0,$K74*(1-$BE74)-SUM($DJ74:DP74),DH74)</f>
        <v>2880</v>
      </c>
      <c r="DZ74" s="54">
        <f t="shared" si="136"/>
        <v>384</v>
      </c>
      <c r="EA74" s="54">
        <f t="shared" si="137"/>
        <v>368</v>
      </c>
      <c r="EB74" s="54">
        <f t="shared" si="138"/>
        <v>352</v>
      </c>
      <c r="EC74" s="54">
        <f t="shared" si="139"/>
        <v>336</v>
      </c>
      <c r="ED74" s="54">
        <f t="shared" si="140"/>
        <v>320</v>
      </c>
      <c r="EE74" s="54">
        <f t="shared" si="141"/>
        <v>304</v>
      </c>
      <c r="EF74" s="54">
        <f t="shared" si="79"/>
        <v>0</v>
      </c>
      <c r="EH74" s="48"/>
      <c r="EI74" s="48"/>
      <c r="EJ74" s="48"/>
      <c r="EK74" s="48"/>
      <c r="EL74" s="48"/>
      <c r="EM74" s="48"/>
      <c r="EN74" s="48"/>
      <c r="EP74" s="48"/>
      <c r="EQ74" s="48"/>
      <c r="ER74" s="48"/>
      <c r="ES74" s="48"/>
      <c r="ET74" s="48"/>
      <c r="EU74" s="48"/>
      <c r="EV74" s="48"/>
      <c r="EX74" s="48"/>
      <c r="EY74" s="48"/>
      <c r="EZ74" s="48"/>
      <c r="FA74" s="48"/>
      <c r="FB74" s="48"/>
      <c r="FC74" s="48"/>
      <c r="FD74" s="48"/>
      <c r="FF74" s="48"/>
      <c r="FG74" s="48"/>
      <c r="FH74" s="48"/>
      <c r="FI74" s="48"/>
      <c r="FJ74" s="48"/>
      <c r="FK74" s="48"/>
      <c r="FL74" s="48"/>
      <c r="FM74" s="51">
        <v>0</v>
      </c>
      <c r="FN74" s="48">
        <v>0</v>
      </c>
      <c r="FO74" s="48">
        <f t="shared" si="80"/>
        <v>0</v>
      </c>
      <c r="FP74" s="48"/>
      <c r="FQ74" s="48"/>
      <c r="FR74" s="48"/>
      <c r="FS74" s="48"/>
      <c r="FT74" s="48"/>
      <c r="FV74" s="48">
        <f t="shared" si="81"/>
        <v>2.44</v>
      </c>
      <c r="FW74" s="48">
        <f t="shared" si="82"/>
        <v>2.44</v>
      </c>
      <c r="FX74" s="48">
        <f t="shared" si="83"/>
        <v>2.44</v>
      </c>
      <c r="FY74" s="48">
        <f t="shared" si="84"/>
        <v>2.44</v>
      </c>
      <c r="FZ74" s="48">
        <f t="shared" si="85"/>
        <v>2.44</v>
      </c>
      <c r="GA74" s="48">
        <f t="shared" si="86"/>
        <v>2.44</v>
      </c>
      <c r="GB74" s="48">
        <f t="shared" si="87"/>
        <v>2.44</v>
      </c>
    </row>
    <row r="75" spans="2:184" x14ac:dyDescent="0.2">
      <c r="B75" s="393" t="str">
        <f>Key_New!D25</f>
        <v>Rajasthan</v>
      </c>
      <c r="C75" s="394" t="str">
        <f>Key_New!B25</f>
        <v>ACME Heergarh Powertech Pvt Ltd</v>
      </c>
      <c r="D75" s="395" t="str">
        <f>Key_New!E25</f>
        <v>Solar</v>
      </c>
      <c r="E75" s="396" t="str">
        <f>Key_New!C25</f>
        <v>Operational</v>
      </c>
      <c r="F75" s="397">
        <f>Key_New!F25</f>
        <v>300</v>
      </c>
      <c r="G75" s="398">
        <f t="shared" si="31"/>
        <v>44712</v>
      </c>
      <c r="H75" s="399">
        <f>Key_New!O25</f>
        <v>44712</v>
      </c>
      <c r="I75" s="369">
        <f t="shared" si="35"/>
        <v>2023</v>
      </c>
      <c r="J75" s="367">
        <v>50</v>
      </c>
      <c r="K75" s="370">
        <f t="shared" si="36"/>
        <v>15000</v>
      </c>
      <c r="L75" s="368">
        <v>0.12</v>
      </c>
      <c r="M75" s="368">
        <v>0.25</v>
      </c>
      <c r="N75" s="403">
        <f>Key_New!J25</f>
        <v>2.74</v>
      </c>
      <c r="O75" s="462">
        <f t="shared" si="37"/>
        <v>0</v>
      </c>
      <c r="P75" s="54">
        <f t="shared" si="88"/>
        <v>365</v>
      </c>
      <c r="Q75" s="54">
        <f t="shared" si="88"/>
        <v>365</v>
      </c>
      <c r="R75" s="54">
        <f t="shared" si="88"/>
        <v>365</v>
      </c>
      <c r="S75" s="54">
        <f t="shared" si="88"/>
        <v>365</v>
      </c>
      <c r="T75" s="54">
        <f t="shared" si="88"/>
        <v>365</v>
      </c>
      <c r="U75" s="54">
        <f t="shared" si="88"/>
        <v>365</v>
      </c>
      <c r="V75" s="54">
        <f t="shared" si="88"/>
        <v>365</v>
      </c>
      <c r="W75" s="54">
        <f t="shared" si="88"/>
        <v>365</v>
      </c>
      <c r="Y75" s="60">
        <v>1</v>
      </c>
      <c r="Z75" s="54">
        <f t="shared" si="89"/>
        <v>2</v>
      </c>
      <c r="AA75" s="54">
        <f t="shared" si="90"/>
        <v>3</v>
      </c>
      <c r="AB75" s="54">
        <f t="shared" si="91"/>
        <v>4</v>
      </c>
      <c r="AC75" s="54">
        <f t="shared" si="92"/>
        <v>5</v>
      </c>
      <c r="AD75" s="54">
        <f t="shared" si="93"/>
        <v>6</v>
      </c>
      <c r="AE75" s="54">
        <f t="shared" si="94"/>
        <v>7</v>
      </c>
      <c r="AF75" s="54">
        <f t="shared" si="94"/>
        <v>8</v>
      </c>
      <c r="AG75" s="444"/>
      <c r="AH75" s="48">
        <f t="shared" si="95"/>
        <v>300</v>
      </c>
      <c r="AI75" s="48">
        <f t="shared" si="96"/>
        <v>300</v>
      </c>
      <c r="AJ75" s="48">
        <f t="shared" si="97"/>
        <v>300</v>
      </c>
      <c r="AK75" s="48">
        <f t="shared" si="98"/>
        <v>300</v>
      </c>
      <c r="AL75" s="48">
        <f t="shared" si="99"/>
        <v>300</v>
      </c>
      <c r="AM75" s="48">
        <f t="shared" si="46"/>
        <v>300</v>
      </c>
      <c r="AN75" s="48">
        <f t="shared" si="47"/>
        <v>300</v>
      </c>
      <c r="AP75" s="61">
        <v>0.25</v>
      </c>
      <c r="AQ75" s="61">
        <v>0.25</v>
      </c>
      <c r="AR75" s="61">
        <v>0.25</v>
      </c>
      <c r="AS75" s="61">
        <v>0.25</v>
      </c>
      <c r="AT75" s="61">
        <v>0.25</v>
      </c>
      <c r="AU75" s="61">
        <v>0.25</v>
      </c>
      <c r="AV75" s="61">
        <v>0.25</v>
      </c>
      <c r="AX75" s="52">
        <f t="shared" si="100"/>
        <v>657.45</v>
      </c>
      <c r="AY75" s="52">
        <f t="shared" si="101"/>
        <v>657.45</v>
      </c>
      <c r="AZ75" s="52">
        <f t="shared" si="102"/>
        <v>657.45</v>
      </c>
      <c r="BA75" s="52">
        <f t="shared" si="103"/>
        <v>657.45</v>
      </c>
      <c r="BB75" s="52">
        <f t="shared" si="104"/>
        <v>657.45</v>
      </c>
      <c r="BC75" s="52">
        <f t="shared" si="53"/>
        <v>657.45</v>
      </c>
      <c r="BD75" s="52">
        <f t="shared" si="54"/>
        <v>657.45</v>
      </c>
      <c r="BE75" s="57">
        <v>0.2</v>
      </c>
      <c r="BF75" s="52">
        <f t="shared" si="105"/>
        <v>480</v>
      </c>
      <c r="BG75" s="52">
        <f t="shared" si="106"/>
        <v>480</v>
      </c>
      <c r="BH75" s="52">
        <f t="shared" si="107"/>
        <v>480</v>
      </c>
      <c r="BI75" s="52">
        <f t="shared" si="108"/>
        <v>480</v>
      </c>
      <c r="BJ75" s="52">
        <f t="shared" si="109"/>
        <v>480</v>
      </c>
      <c r="BK75" s="52">
        <f t="shared" si="60"/>
        <v>480</v>
      </c>
      <c r="BL75" s="52">
        <f t="shared" si="61"/>
        <v>480</v>
      </c>
      <c r="BM75" s="297">
        <v>0.04</v>
      </c>
      <c r="BN75" s="69">
        <f t="shared" si="110"/>
        <v>600</v>
      </c>
      <c r="BO75" s="69">
        <f t="shared" si="111"/>
        <v>600</v>
      </c>
      <c r="BP75" s="69">
        <f t="shared" si="112"/>
        <v>600</v>
      </c>
      <c r="BQ75" s="69">
        <f t="shared" si="113"/>
        <v>600</v>
      </c>
      <c r="BR75" s="69">
        <f t="shared" si="114"/>
        <v>600</v>
      </c>
      <c r="BS75" s="69">
        <f t="shared" si="115"/>
        <v>600</v>
      </c>
      <c r="BT75" s="69">
        <f t="shared" si="116"/>
        <v>600</v>
      </c>
      <c r="BV75" s="69"/>
      <c r="BW75" s="69"/>
      <c r="BX75" s="69"/>
      <c r="BY75" s="69"/>
      <c r="BZ75" s="69"/>
      <c r="CA75" s="69"/>
      <c r="CB75" s="69"/>
      <c r="CC75" s="107">
        <v>0</v>
      </c>
      <c r="CD75" s="69">
        <v>0</v>
      </c>
      <c r="CE75" s="69">
        <f t="shared" si="32"/>
        <v>0</v>
      </c>
      <c r="CF75" s="69">
        <f t="shared" si="62"/>
        <v>0</v>
      </c>
      <c r="CG75" s="69">
        <f t="shared" si="34"/>
        <v>0</v>
      </c>
      <c r="CH75" s="69">
        <f t="shared" si="63"/>
        <v>0</v>
      </c>
      <c r="CI75" s="69">
        <f t="shared" si="64"/>
        <v>0</v>
      </c>
      <c r="CJ75" s="69">
        <f t="shared" si="65"/>
        <v>0</v>
      </c>
      <c r="CL75" s="54">
        <f t="shared" si="66"/>
        <v>0</v>
      </c>
      <c r="CM75" s="54">
        <f t="shared" si="67"/>
        <v>0</v>
      </c>
      <c r="CN75" s="54">
        <f t="shared" si="68"/>
        <v>0</v>
      </c>
      <c r="CO75" s="54">
        <f t="shared" si="69"/>
        <v>0</v>
      </c>
      <c r="CP75" s="54">
        <f t="shared" si="70"/>
        <v>0</v>
      </c>
      <c r="CQ75" s="54">
        <f t="shared" si="71"/>
        <v>0</v>
      </c>
      <c r="CR75" s="54">
        <f t="shared" si="72"/>
        <v>0</v>
      </c>
      <c r="CT75" s="54">
        <f t="shared" si="117"/>
        <v>0</v>
      </c>
      <c r="CU75" s="54">
        <f t="shared" si="118"/>
        <v>0</v>
      </c>
      <c r="CV75" s="54">
        <f t="shared" si="119"/>
        <v>0</v>
      </c>
      <c r="CW75" s="54">
        <f t="shared" si="120"/>
        <v>0</v>
      </c>
      <c r="CX75" s="54">
        <f t="shared" si="121"/>
        <v>0</v>
      </c>
      <c r="CY75" s="54">
        <f t="shared" si="122"/>
        <v>0</v>
      </c>
      <c r="CZ75" s="54">
        <f t="shared" si="74"/>
        <v>0</v>
      </c>
      <c r="DB75" s="54">
        <f t="shared" si="123"/>
        <v>0</v>
      </c>
      <c r="DC75" s="54">
        <f t="shared" si="124"/>
        <v>0</v>
      </c>
      <c r="DD75" s="54">
        <f t="shared" si="125"/>
        <v>0</v>
      </c>
      <c r="DE75" s="54">
        <f t="shared" si="126"/>
        <v>0</v>
      </c>
      <c r="DF75" s="54">
        <f t="shared" si="127"/>
        <v>0</v>
      </c>
      <c r="DG75" s="54">
        <f t="shared" si="128"/>
        <v>0</v>
      </c>
      <c r="DH75" s="54">
        <f t="shared" si="76"/>
        <v>0</v>
      </c>
      <c r="DJ75" s="54">
        <f t="shared" si="129"/>
        <v>480</v>
      </c>
      <c r="DK75" s="54">
        <f t="shared" si="130"/>
        <v>480</v>
      </c>
      <c r="DL75" s="54">
        <f t="shared" si="131"/>
        <v>480</v>
      </c>
      <c r="DM75" s="54">
        <f t="shared" si="132"/>
        <v>480</v>
      </c>
      <c r="DN75" s="54">
        <f t="shared" si="133"/>
        <v>480</v>
      </c>
      <c r="DO75" s="54">
        <f t="shared" si="134"/>
        <v>480</v>
      </c>
      <c r="DP75" s="54">
        <f t="shared" si="135"/>
        <v>480</v>
      </c>
      <c r="DR75" s="54">
        <f>+IF(Z75&gt;0,$K75*(1-$BE75)-SUM($DJ75:DJ75),DB75)</f>
        <v>11520</v>
      </c>
      <c r="DS75" s="54">
        <f>+IF(AA75&gt;0,$K75*(1-$BE75)-SUM($DJ75:DK75),DC75)</f>
        <v>11040</v>
      </c>
      <c r="DT75" s="54">
        <f>+IF(AB75&gt;0,$K75*(1-$BE75)-SUM($DJ75:DL75),DD75)</f>
        <v>10560</v>
      </c>
      <c r="DU75" s="54">
        <f>+IF(AC75&gt;0,$K75*(1-$BE75)-SUM($DJ75:DM75),DE75)</f>
        <v>10080</v>
      </c>
      <c r="DV75" s="54">
        <f>+IF(AD75&gt;0,$K75*(1-$BE75)-SUM($DJ75:DN75),DF75)</f>
        <v>9600</v>
      </c>
      <c r="DW75" s="54">
        <f>+IF(AE75&gt;0,$K75*(1-$BE75)-SUM($DJ75:DO75),DG75)</f>
        <v>9120</v>
      </c>
      <c r="DX75" s="54">
        <f>+IF(AF75&gt;0,$K75*(1-$BE75)-SUM($DJ75:DP75),DH75)</f>
        <v>8640</v>
      </c>
      <c r="DZ75" s="54">
        <f t="shared" si="136"/>
        <v>1152</v>
      </c>
      <c r="EA75" s="54">
        <f t="shared" si="137"/>
        <v>1104</v>
      </c>
      <c r="EB75" s="54">
        <f t="shared" si="138"/>
        <v>1056</v>
      </c>
      <c r="EC75" s="54">
        <f t="shared" si="139"/>
        <v>1008</v>
      </c>
      <c r="ED75" s="54">
        <f t="shared" si="140"/>
        <v>960</v>
      </c>
      <c r="EE75" s="54">
        <f t="shared" si="141"/>
        <v>912</v>
      </c>
      <c r="EF75" s="54">
        <f t="shared" si="79"/>
        <v>0</v>
      </c>
      <c r="EH75" s="48"/>
      <c r="EI75" s="48"/>
      <c r="EJ75" s="48"/>
      <c r="EK75" s="48"/>
      <c r="EL75" s="48"/>
      <c r="EM75" s="48"/>
      <c r="EN75" s="48"/>
      <c r="EP75" s="48"/>
      <c r="EQ75" s="48"/>
      <c r="ER75" s="48"/>
      <c r="ES75" s="48"/>
      <c r="ET75" s="48"/>
      <c r="EU75" s="48"/>
      <c r="EV75" s="48"/>
      <c r="EX75" s="48"/>
      <c r="EY75" s="48"/>
      <c r="EZ75" s="48"/>
      <c r="FA75" s="48"/>
      <c r="FB75" s="48"/>
      <c r="FC75" s="48"/>
      <c r="FD75" s="48"/>
      <c r="FF75" s="48"/>
      <c r="FG75" s="48"/>
      <c r="FH75" s="48"/>
      <c r="FI75" s="48"/>
      <c r="FJ75" s="48"/>
      <c r="FK75" s="48"/>
      <c r="FL75" s="48"/>
      <c r="FM75" s="51">
        <v>0</v>
      </c>
      <c r="FN75" s="48">
        <v>0</v>
      </c>
      <c r="FO75" s="48">
        <f t="shared" si="80"/>
        <v>0</v>
      </c>
      <c r="FP75" s="48"/>
      <c r="FQ75" s="48"/>
      <c r="FR75" s="48"/>
      <c r="FS75" s="48"/>
      <c r="FT75" s="48"/>
      <c r="FV75" s="48">
        <f t="shared" si="81"/>
        <v>2.74</v>
      </c>
      <c r="FW75" s="48">
        <f t="shared" si="82"/>
        <v>2.74</v>
      </c>
      <c r="FX75" s="48">
        <f t="shared" si="83"/>
        <v>2.74</v>
      </c>
      <c r="FY75" s="48">
        <f t="shared" si="84"/>
        <v>2.74</v>
      </c>
      <c r="FZ75" s="48">
        <f t="shared" si="85"/>
        <v>2.74</v>
      </c>
      <c r="GA75" s="48">
        <f t="shared" si="86"/>
        <v>2.74</v>
      </c>
      <c r="GB75" s="48">
        <f t="shared" si="87"/>
        <v>2.74</v>
      </c>
    </row>
    <row r="76" spans="2:184" x14ac:dyDescent="0.2">
      <c r="B76" s="393" t="str">
        <f>Key_New!D26</f>
        <v>Rajasthan</v>
      </c>
      <c r="C76" s="394" t="str">
        <f>Key_New!B26</f>
        <v>ACME Aklera Power Technology Pvt Ltd</v>
      </c>
      <c r="D76" s="395" t="str">
        <f>Key_New!E26</f>
        <v>Solar</v>
      </c>
      <c r="E76" s="396" t="str">
        <f>Key_New!C26</f>
        <v>Operational</v>
      </c>
      <c r="F76" s="397">
        <f>Key_New!F26</f>
        <v>250</v>
      </c>
      <c r="G76" s="398">
        <f t="shared" si="31"/>
        <v>45322</v>
      </c>
      <c r="H76" s="399">
        <f>Key_New!O26</f>
        <v>45322</v>
      </c>
      <c r="I76" s="369">
        <f t="shared" si="35"/>
        <v>2024</v>
      </c>
      <c r="J76" s="367">
        <v>50</v>
      </c>
      <c r="K76" s="370">
        <f t="shared" si="36"/>
        <v>12500</v>
      </c>
      <c r="L76" s="368">
        <v>0.12</v>
      </c>
      <c r="M76" s="368">
        <v>0.25</v>
      </c>
      <c r="N76" s="403">
        <f>Key_New!J26</f>
        <v>2.48</v>
      </c>
      <c r="O76" s="462">
        <f t="shared" si="37"/>
        <v>0</v>
      </c>
      <c r="P76" s="54">
        <f t="shared" si="88"/>
        <v>60</v>
      </c>
      <c r="Q76" s="54">
        <f t="shared" si="88"/>
        <v>365</v>
      </c>
      <c r="R76" s="54">
        <f t="shared" si="88"/>
        <v>365</v>
      </c>
      <c r="S76" s="54">
        <f t="shared" si="88"/>
        <v>365</v>
      </c>
      <c r="T76" s="54">
        <f t="shared" si="88"/>
        <v>365</v>
      </c>
      <c r="U76" s="54">
        <f t="shared" si="88"/>
        <v>365</v>
      </c>
      <c r="V76" s="54">
        <f t="shared" si="88"/>
        <v>365</v>
      </c>
      <c r="W76" s="54">
        <f t="shared" si="88"/>
        <v>365</v>
      </c>
      <c r="Y76" s="60">
        <v>0</v>
      </c>
      <c r="Z76" s="54">
        <f t="shared" si="89"/>
        <v>0</v>
      </c>
      <c r="AA76" s="54">
        <f t="shared" si="90"/>
        <v>0</v>
      </c>
      <c r="AB76" s="54">
        <f t="shared" si="91"/>
        <v>0</v>
      </c>
      <c r="AC76" s="54">
        <f t="shared" si="92"/>
        <v>0</v>
      </c>
      <c r="AD76" s="54">
        <f t="shared" si="93"/>
        <v>0</v>
      </c>
      <c r="AE76" s="54">
        <f t="shared" si="94"/>
        <v>0</v>
      </c>
      <c r="AF76" s="54">
        <f t="shared" si="94"/>
        <v>0</v>
      </c>
      <c r="AG76" s="444"/>
      <c r="AH76" s="48">
        <f t="shared" si="95"/>
        <v>250</v>
      </c>
      <c r="AI76" s="48">
        <f t="shared" si="96"/>
        <v>250</v>
      </c>
      <c r="AJ76" s="48">
        <f t="shared" si="97"/>
        <v>250</v>
      </c>
      <c r="AK76" s="48">
        <f t="shared" si="98"/>
        <v>250</v>
      </c>
      <c r="AL76" s="48">
        <f t="shared" si="99"/>
        <v>250</v>
      </c>
      <c r="AM76" s="48">
        <f t="shared" si="46"/>
        <v>250</v>
      </c>
      <c r="AN76" s="48">
        <f t="shared" si="47"/>
        <v>250</v>
      </c>
      <c r="AP76" s="61">
        <v>0.25</v>
      </c>
      <c r="AQ76" s="61">
        <v>0.25</v>
      </c>
      <c r="AR76" s="61">
        <v>0.25</v>
      </c>
      <c r="AS76" s="61">
        <v>0.25</v>
      </c>
      <c r="AT76" s="61">
        <v>0.25</v>
      </c>
      <c r="AU76" s="61">
        <v>0.25</v>
      </c>
      <c r="AV76" s="61">
        <v>0.25</v>
      </c>
      <c r="AX76" s="52">
        <f t="shared" si="100"/>
        <v>547.875</v>
      </c>
      <c r="AY76" s="52">
        <f t="shared" si="101"/>
        <v>547.875</v>
      </c>
      <c r="AZ76" s="52">
        <f t="shared" si="102"/>
        <v>547.875</v>
      </c>
      <c r="BA76" s="52">
        <f t="shared" si="103"/>
        <v>547.875</v>
      </c>
      <c r="BB76" s="52">
        <f t="shared" si="104"/>
        <v>547.875</v>
      </c>
      <c r="BC76" s="52">
        <f t="shared" si="53"/>
        <v>547.875</v>
      </c>
      <c r="BD76" s="52">
        <f t="shared" si="54"/>
        <v>547.875</v>
      </c>
      <c r="BE76" s="57">
        <v>0.2</v>
      </c>
      <c r="BF76" s="52">
        <f t="shared" si="105"/>
        <v>400</v>
      </c>
      <c r="BG76" s="52">
        <f t="shared" si="106"/>
        <v>400</v>
      </c>
      <c r="BH76" s="52">
        <f t="shared" si="107"/>
        <v>400</v>
      </c>
      <c r="BI76" s="52">
        <f t="shared" si="108"/>
        <v>400</v>
      </c>
      <c r="BJ76" s="52">
        <f t="shared" si="109"/>
        <v>400</v>
      </c>
      <c r="BK76" s="52">
        <f t="shared" si="60"/>
        <v>400</v>
      </c>
      <c r="BL76" s="52">
        <f t="shared" si="61"/>
        <v>400</v>
      </c>
      <c r="BM76" s="297">
        <v>0.04</v>
      </c>
      <c r="BN76" s="69">
        <f t="shared" si="110"/>
        <v>500</v>
      </c>
      <c r="BO76" s="69">
        <f t="shared" si="111"/>
        <v>500</v>
      </c>
      <c r="BP76" s="69">
        <f t="shared" si="112"/>
        <v>500</v>
      </c>
      <c r="BQ76" s="69">
        <f t="shared" si="113"/>
        <v>500</v>
      </c>
      <c r="BR76" s="69">
        <f t="shared" si="114"/>
        <v>500</v>
      </c>
      <c r="BS76" s="69">
        <f t="shared" si="115"/>
        <v>500</v>
      </c>
      <c r="BT76" s="69">
        <f t="shared" si="116"/>
        <v>500</v>
      </c>
      <c r="BV76" s="69"/>
      <c r="BW76" s="69"/>
      <c r="BX76" s="69"/>
      <c r="BY76" s="69"/>
      <c r="BZ76" s="69"/>
      <c r="CA76" s="69"/>
      <c r="CB76" s="69"/>
      <c r="CC76" s="107">
        <v>0</v>
      </c>
      <c r="CD76" s="69">
        <v>0</v>
      </c>
      <c r="CE76" s="69">
        <f t="shared" si="32"/>
        <v>0</v>
      </c>
      <c r="CF76" s="69">
        <f t="shared" si="62"/>
        <v>0</v>
      </c>
      <c r="CG76" s="69">
        <f t="shared" si="34"/>
        <v>0</v>
      </c>
      <c r="CH76" s="69">
        <f t="shared" si="63"/>
        <v>0</v>
      </c>
      <c r="CI76" s="69">
        <f t="shared" si="64"/>
        <v>0</v>
      </c>
      <c r="CJ76" s="69">
        <f t="shared" si="65"/>
        <v>0</v>
      </c>
      <c r="CL76" s="54">
        <f t="shared" si="66"/>
        <v>0</v>
      </c>
      <c r="CM76" s="54">
        <f t="shared" si="67"/>
        <v>0</v>
      </c>
      <c r="CN76" s="54">
        <f t="shared" si="68"/>
        <v>0</v>
      </c>
      <c r="CO76" s="54">
        <f t="shared" si="69"/>
        <v>0</v>
      </c>
      <c r="CP76" s="54">
        <f t="shared" si="70"/>
        <v>0</v>
      </c>
      <c r="CQ76" s="54">
        <f t="shared" si="71"/>
        <v>0</v>
      </c>
      <c r="CR76" s="54">
        <f t="shared" si="72"/>
        <v>0</v>
      </c>
      <c r="CT76" s="54">
        <f t="shared" si="117"/>
        <v>0</v>
      </c>
      <c r="CU76" s="54">
        <f t="shared" si="118"/>
        <v>0</v>
      </c>
      <c r="CV76" s="54">
        <f t="shared" si="119"/>
        <v>0</v>
      </c>
      <c r="CW76" s="54">
        <f t="shared" si="120"/>
        <v>0</v>
      </c>
      <c r="CX76" s="54">
        <f t="shared" si="121"/>
        <v>0</v>
      </c>
      <c r="CY76" s="54">
        <f t="shared" si="122"/>
        <v>0</v>
      </c>
      <c r="CZ76" s="54">
        <f t="shared" si="74"/>
        <v>0</v>
      </c>
      <c r="DB76" s="54">
        <f t="shared" si="123"/>
        <v>0</v>
      </c>
      <c r="DC76" s="54">
        <f t="shared" si="124"/>
        <v>0</v>
      </c>
      <c r="DD76" s="54">
        <f t="shared" si="125"/>
        <v>0</v>
      </c>
      <c r="DE76" s="54">
        <f t="shared" si="126"/>
        <v>0</v>
      </c>
      <c r="DF76" s="54">
        <f t="shared" si="127"/>
        <v>0</v>
      </c>
      <c r="DG76" s="54">
        <f t="shared" si="128"/>
        <v>0</v>
      </c>
      <c r="DH76" s="54">
        <f t="shared" si="76"/>
        <v>0</v>
      </c>
      <c r="DJ76" s="54">
        <f t="shared" si="129"/>
        <v>400</v>
      </c>
      <c r="DK76" s="54">
        <f t="shared" si="130"/>
        <v>400</v>
      </c>
      <c r="DL76" s="54">
        <f t="shared" si="131"/>
        <v>400</v>
      </c>
      <c r="DM76" s="54">
        <f t="shared" si="132"/>
        <v>400</v>
      </c>
      <c r="DN76" s="54">
        <f t="shared" si="133"/>
        <v>400</v>
      </c>
      <c r="DO76" s="54">
        <f t="shared" si="134"/>
        <v>400</v>
      </c>
      <c r="DP76" s="54">
        <f t="shared" si="135"/>
        <v>400</v>
      </c>
      <c r="DR76" s="54">
        <f>+IF(Z76&gt;0,$K76*(1-$BE76)-SUM($DJ76:DJ76),DB76)</f>
        <v>0</v>
      </c>
      <c r="DS76" s="54">
        <f>+IF(AA76&gt;0,$K76*(1-$BE76)-SUM($DJ76:DK76),DC76)</f>
        <v>0</v>
      </c>
      <c r="DT76" s="54">
        <f>+IF(AB76&gt;0,$K76*(1-$BE76)-SUM($DJ76:DL76),DD76)</f>
        <v>0</v>
      </c>
      <c r="DU76" s="54">
        <f>+IF(AC76&gt;0,$K76*(1-$BE76)-SUM($DJ76:DM76),DE76)</f>
        <v>0</v>
      </c>
      <c r="DV76" s="54">
        <f>+IF(AD76&gt;0,$K76*(1-$BE76)-SUM($DJ76:DN76),DF76)</f>
        <v>0</v>
      </c>
      <c r="DW76" s="54">
        <f>+IF(AE76&gt;0,$K76*(1-$BE76)-SUM($DJ76:DO76),DG76)</f>
        <v>0</v>
      </c>
      <c r="DX76" s="54">
        <f>+IF(AF76&gt;0,$K76*(1-$BE76)-SUM($DJ76:DP76),DH76)</f>
        <v>0</v>
      </c>
      <c r="DZ76" s="54">
        <f t="shared" si="136"/>
        <v>0</v>
      </c>
      <c r="EA76" s="54">
        <f t="shared" si="137"/>
        <v>0</v>
      </c>
      <c r="EB76" s="54">
        <f t="shared" si="138"/>
        <v>0</v>
      </c>
      <c r="EC76" s="54">
        <f t="shared" si="139"/>
        <v>0</v>
      </c>
      <c r="ED76" s="54">
        <f t="shared" si="140"/>
        <v>0</v>
      </c>
      <c r="EE76" s="54">
        <f t="shared" si="141"/>
        <v>0</v>
      </c>
      <c r="EF76" s="54">
        <f t="shared" si="79"/>
        <v>0</v>
      </c>
      <c r="EH76" s="48"/>
      <c r="EI76" s="48"/>
      <c r="EJ76" s="48"/>
      <c r="EK76" s="48"/>
      <c r="EL76" s="48"/>
      <c r="EM76" s="48"/>
      <c r="EN76" s="48"/>
      <c r="EP76" s="48"/>
      <c r="EQ76" s="48"/>
      <c r="ER76" s="48"/>
      <c r="ES76" s="48"/>
      <c r="ET76" s="48"/>
      <c r="EU76" s="48"/>
      <c r="EV76" s="48"/>
      <c r="EX76" s="48"/>
      <c r="EY76" s="48"/>
      <c r="EZ76" s="48"/>
      <c r="FA76" s="48"/>
      <c r="FB76" s="48"/>
      <c r="FC76" s="48"/>
      <c r="FD76" s="48"/>
      <c r="FF76" s="48"/>
      <c r="FG76" s="48"/>
      <c r="FH76" s="48"/>
      <c r="FI76" s="48"/>
      <c r="FJ76" s="48"/>
      <c r="FK76" s="48"/>
      <c r="FL76" s="48"/>
      <c r="FM76" s="51">
        <v>0</v>
      </c>
      <c r="FN76" s="48">
        <v>0</v>
      </c>
      <c r="FO76" s="48">
        <f t="shared" si="80"/>
        <v>0</v>
      </c>
      <c r="FP76" s="48"/>
      <c r="FQ76" s="48"/>
      <c r="FR76" s="48"/>
      <c r="FS76" s="48"/>
      <c r="FT76" s="48"/>
      <c r="FV76" s="48">
        <f t="shared" si="81"/>
        <v>2.48</v>
      </c>
      <c r="FW76" s="48">
        <f t="shared" si="82"/>
        <v>2.48</v>
      </c>
      <c r="FX76" s="48">
        <f t="shared" si="83"/>
        <v>2.48</v>
      </c>
      <c r="FY76" s="48">
        <f t="shared" si="84"/>
        <v>2.48</v>
      </c>
      <c r="FZ76" s="48">
        <f t="shared" si="85"/>
        <v>2.48</v>
      </c>
      <c r="GA76" s="48">
        <f t="shared" si="86"/>
        <v>2.48</v>
      </c>
      <c r="GB76" s="48">
        <f t="shared" si="87"/>
        <v>2.48</v>
      </c>
    </row>
    <row r="77" spans="2:184" x14ac:dyDescent="0.2">
      <c r="B77" s="393" t="str">
        <f>Key_New!D27</f>
        <v>Rajasthan</v>
      </c>
      <c r="C77" s="394" t="str">
        <f>Key_New!B27</f>
        <v>ACME Raisar Solar Energy Pvt Ltd</v>
      </c>
      <c r="D77" s="395" t="str">
        <f>Key_New!E27</f>
        <v>Solar</v>
      </c>
      <c r="E77" s="396" t="str">
        <f>Key_New!C27</f>
        <v>Operational</v>
      </c>
      <c r="F77" s="397">
        <f>Key_New!F27</f>
        <v>300</v>
      </c>
      <c r="G77" s="398">
        <f t="shared" si="31"/>
        <v>45688</v>
      </c>
      <c r="H77" s="399">
        <f>Key_New!O27</f>
        <v>45688</v>
      </c>
      <c r="I77" s="369">
        <f t="shared" si="35"/>
        <v>2025</v>
      </c>
      <c r="J77" s="367">
        <v>50</v>
      </c>
      <c r="K77" s="370">
        <f t="shared" si="36"/>
        <v>15000</v>
      </c>
      <c r="L77" s="368">
        <v>0.12</v>
      </c>
      <c r="M77" s="368">
        <v>0.25</v>
      </c>
      <c r="N77" s="403">
        <f>Key_New!J27</f>
        <v>2.44</v>
      </c>
      <c r="O77" s="462">
        <f t="shared" si="37"/>
        <v>0</v>
      </c>
      <c r="P77" s="54">
        <f t="shared" si="88"/>
        <v>0</v>
      </c>
      <c r="Q77" s="54">
        <f t="shared" si="88"/>
        <v>59</v>
      </c>
      <c r="R77" s="54">
        <f t="shared" si="88"/>
        <v>365</v>
      </c>
      <c r="S77" s="54">
        <f t="shared" si="88"/>
        <v>365</v>
      </c>
      <c r="T77" s="54">
        <f t="shared" si="88"/>
        <v>365</v>
      </c>
      <c r="U77" s="54">
        <f t="shared" si="88"/>
        <v>365</v>
      </c>
      <c r="V77" s="54">
        <f t="shared" si="88"/>
        <v>365</v>
      </c>
      <c r="W77" s="54">
        <f t="shared" si="88"/>
        <v>365</v>
      </c>
      <c r="Y77" s="60">
        <v>0</v>
      </c>
      <c r="Z77" s="54">
        <f t="shared" si="89"/>
        <v>1</v>
      </c>
      <c r="AA77" s="54">
        <f t="shared" si="90"/>
        <v>2</v>
      </c>
      <c r="AB77" s="54">
        <f t="shared" si="91"/>
        <v>3</v>
      </c>
      <c r="AC77" s="54">
        <f t="shared" si="92"/>
        <v>4</v>
      </c>
      <c r="AD77" s="54">
        <f t="shared" si="93"/>
        <v>5</v>
      </c>
      <c r="AE77" s="54">
        <f t="shared" si="94"/>
        <v>6</v>
      </c>
      <c r="AF77" s="54">
        <f t="shared" si="94"/>
        <v>7</v>
      </c>
      <c r="AG77" s="444"/>
      <c r="AH77" s="48">
        <f t="shared" si="95"/>
        <v>300</v>
      </c>
      <c r="AI77" s="48">
        <f t="shared" si="96"/>
        <v>300</v>
      </c>
      <c r="AJ77" s="48">
        <f t="shared" si="97"/>
        <v>300</v>
      </c>
      <c r="AK77" s="48">
        <f t="shared" si="98"/>
        <v>300</v>
      </c>
      <c r="AL77" s="48">
        <f t="shared" si="99"/>
        <v>300</v>
      </c>
      <c r="AM77" s="48">
        <f t="shared" si="46"/>
        <v>300</v>
      </c>
      <c r="AN77" s="48">
        <f t="shared" si="47"/>
        <v>300</v>
      </c>
      <c r="AP77" s="61">
        <v>0.25</v>
      </c>
      <c r="AQ77" s="61">
        <v>0.25</v>
      </c>
      <c r="AR77" s="61">
        <v>0.25</v>
      </c>
      <c r="AS77" s="61">
        <v>0.25</v>
      </c>
      <c r="AT77" s="61">
        <v>0.25</v>
      </c>
      <c r="AU77" s="61">
        <v>0.25</v>
      </c>
      <c r="AV77" s="61">
        <v>0.25</v>
      </c>
      <c r="AX77" s="52">
        <f t="shared" si="100"/>
        <v>106.27273972602741</v>
      </c>
      <c r="AY77" s="52">
        <f t="shared" si="101"/>
        <v>657.45</v>
      </c>
      <c r="AZ77" s="52">
        <f t="shared" si="102"/>
        <v>657.45</v>
      </c>
      <c r="BA77" s="52">
        <f t="shared" si="103"/>
        <v>657.45</v>
      </c>
      <c r="BB77" s="52">
        <f t="shared" si="104"/>
        <v>657.45</v>
      </c>
      <c r="BC77" s="52">
        <f t="shared" si="53"/>
        <v>657.45</v>
      </c>
      <c r="BD77" s="52">
        <f t="shared" si="54"/>
        <v>657.45</v>
      </c>
      <c r="BE77" s="57">
        <v>0.2</v>
      </c>
      <c r="BF77" s="52">
        <f t="shared" si="105"/>
        <v>77.589041095890423</v>
      </c>
      <c r="BG77" s="52">
        <f t="shared" si="106"/>
        <v>480</v>
      </c>
      <c r="BH77" s="52">
        <f t="shared" si="107"/>
        <v>480</v>
      </c>
      <c r="BI77" s="52">
        <f t="shared" si="108"/>
        <v>480</v>
      </c>
      <c r="BJ77" s="52">
        <f t="shared" si="109"/>
        <v>480</v>
      </c>
      <c r="BK77" s="52">
        <f t="shared" si="60"/>
        <v>480</v>
      </c>
      <c r="BL77" s="52">
        <f t="shared" si="61"/>
        <v>480</v>
      </c>
      <c r="BM77" s="297">
        <v>0.04</v>
      </c>
      <c r="BN77" s="69">
        <f t="shared" si="110"/>
        <v>96.986301369863014</v>
      </c>
      <c r="BO77" s="69">
        <f t="shared" si="111"/>
        <v>600</v>
      </c>
      <c r="BP77" s="69">
        <f t="shared" si="112"/>
        <v>600</v>
      </c>
      <c r="BQ77" s="69">
        <f t="shared" si="113"/>
        <v>600</v>
      </c>
      <c r="BR77" s="69">
        <f t="shared" si="114"/>
        <v>600</v>
      </c>
      <c r="BS77" s="69">
        <f t="shared" si="115"/>
        <v>600</v>
      </c>
      <c r="BT77" s="69">
        <f t="shared" si="116"/>
        <v>600</v>
      </c>
      <c r="BV77" s="69"/>
      <c r="BW77" s="69"/>
      <c r="BX77" s="69"/>
      <c r="BY77" s="69"/>
      <c r="BZ77" s="69"/>
      <c r="CA77" s="69"/>
      <c r="CB77" s="69"/>
      <c r="CC77" s="107">
        <v>0</v>
      </c>
      <c r="CD77" s="69">
        <v>0</v>
      </c>
      <c r="CE77" s="69">
        <f t="shared" si="32"/>
        <v>0</v>
      </c>
      <c r="CF77" s="69">
        <f t="shared" si="62"/>
        <v>0</v>
      </c>
      <c r="CG77" s="69">
        <f t="shared" si="34"/>
        <v>0</v>
      </c>
      <c r="CH77" s="69">
        <f t="shared" si="63"/>
        <v>0</v>
      </c>
      <c r="CI77" s="69">
        <f t="shared" si="64"/>
        <v>0</v>
      </c>
      <c r="CJ77" s="69">
        <f t="shared" si="65"/>
        <v>0</v>
      </c>
      <c r="CL77" s="54">
        <f t="shared" si="66"/>
        <v>0</v>
      </c>
      <c r="CM77" s="54">
        <f t="shared" si="67"/>
        <v>0</v>
      </c>
      <c r="CN77" s="54">
        <f t="shared" si="68"/>
        <v>0</v>
      </c>
      <c r="CO77" s="54">
        <f t="shared" si="69"/>
        <v>0</v>
      </c>
      <c r="CP77" s="54">
        <f t="shared" si="70"/>
        <v>0</v>
      </c>
      <c r="CQ77" s="54">
        <f t="shared" si="71"/>
        <v>0</v>
      </c>
      <c r="CR77" s="54">
        <f t="shared" si="72"/>
        <v>0</v>
      </c>
      <c r="CT77" s="54">
        <f t="shared" si="117"/>
        <v>0</v>
      </c>
      <c r="CU77" s="54">
        <f t="shared" si="118"/>
        <v>0</v>
      </c>
      <c r="CV77" s="54">
        <f t="shared" si="119"/>
        <v>0</v>
      </c>
      <c r="CW77" s="54">
        <f t="shared" si="120"/>
        <v>0</v>
      </c>
      <c r="CX77" s="54">
        <f t="shared" si="121"/>
        <v>0</v>
      </c>
      <c r="CY77" s="54">
        <f t="shared" si="122"/>
        <v>0</v>
      </c>
      <c r="CZ77" s="54">
        <f t="shared" si="74"/>
        <v>0</v>
      </c>
      <c r="DB77" s="54">
        <f t="shared" si="123"/>
        <v>0</v>
      </c>
      <c r="DC77" s="54">
        <f t="shared" si="124"/>
        <v>0</v>
      </c>
      <c r="DD77" s="54">
        <f t="shared" si="125"/>
        <v>0</v>
      </c>
      <c r="DE77" s="54">
        <f t="shared" si="126"/>
        <v>0</v>
      </c>
      <c r="DF77" s="54">
        <f t="shared" si="127"/>
        <v>0</v>
      </c>
      <c r="DG77" s="54">
        <f t="shared" si="128"/>
        <v>0</v>
      </c>
      <c r="DH77" s="54">
        <f t="shared" si="76"/>
        <v>0</v>
      </c>
      <c r="DJ77" s="54">
        <f t="shared" si="129"/>
        <v>0</v>
      </c>
      <c r="DK77" s="54">
        <f t="shared" si="130"/>
        <v>480</v>
      </c>
      <c r="DL77" s="54">
        <f t="shared" si="131"/>
        <v>480</v>
      </c>
      <c r="DM77" s="54">
        <f t="shared" si="132"/>
        <v>480</v>
      </c>
      <c r="DN77" s="54">
        <f t="shared" si="133"/>
        <v>480</v>
      </c>
      <c r="DO77" s="54">
        <f t="shared" si="134"/>
        <v>480</v>
      </c>
      <c r="DP77" s="54">
        <f t="shared" si="135"/>
        <v>480</v>
      </c>
      <c r="DR77" s="54">
        <f>+IF(Z77&gt;0,$K77*(1-$BE77)-SUM($DJ77:DJ77),DB77)</f>
        <v>12000</v>
      </c>
      <c r="DS77" s="54">
        <f>+IF(AA77&gt;0,$K77*(1-$BE77)-SUM($DJ77:DK77),DC77)</f>
        <v>11520</v>
      </c>
      <c r="DT77" s="54">
        <f>+IF(AB77&gt;0,$K77*(1-$BE77)-SUM($DJ77:DL77),DD77)</f>
        <v>11040</v>
      </c>
      <c r="DU77" s="54">
        <f>+IF(AC77&gt;0,$K77*(1-$BE77)-SUM($DJ77:DM77),DE77)</f>
        <v>10560</v>
      </c>
      <c r="DV77" s="54">
        <f>+IF(AD77&gt;0,$K77*(1-$BE77)-SUM($DJ77:DN77),DF77)</f>
        <v>10080</v>
      </c>
      <c r="DW77" s="54">
        <f>+IF(AE77&gt;0,$K77*(1-$BE77)-SUM($DJ77:DO77),DG77)</f>
        <v>9600</v>
      </c>
      <c r="DX77" s="54">
        <f>+IF(AF77&gt;0,$K77*(1-$BE77)-SUM($DJ77:DP77),DH77)</f>
        <v>9120</v>
      </c>
      <c r="DZ77" s="54">
        <f t="shared" si="136"/>
        <v>193.97260273972603</v>
      </c>
      <c r="EA77" s="54">
        <f t="shared" si="137"/>
        <v>1152</v>
      </c>
      <c r="EB77" s="54">
        <f t="shared" si="138"/>
        <v>1104</v>
      </c>
      <c r="EC77" s="54">
        <f t="shared" si="139"/>
        <v>1056</v>
      </c>
      <c r="ED77" s="54">
        <f t="shared" si="140"/>
        <v>1008</v>
      </c>
      <c r="EE77" s="54">
        <f t="shared" si="141"/>
        <v>960</v>
      </c>
      <c r="EF77" s="54">
        <f t="shared" si="79"/>
        <v>0</v>
      </c>
      <c r="EH77" s="48"/>
      <c r="EI77" s="48"/>
      <c r="EJ77" s="48"/>
      <c r="EK77" s="48"/>
      <c r="EL77" s="48"/>
      <c r="EM77" s="48"/>
      <c r="EN77" s="48"/>
      <c r="EP77" s="48"/>
      <c r="EQ77" s="48"/>
      <c r="ER77" s="48"/>
      <c r="ES77" s="48"/>
      <c r="ET77" s="48"/>
      <c r="EU77" s="48"/>
      <c r="EV77" s="48"/>
      <c r="EX77" s="48"/>
      <c r="EY77" s="48"/>
      <c r="EZ77" s="48"/>
      <c r="FA77" s="48"/>
      <c r="FB77" s="48"/>
      <c r="FC77" s="48"/>
      <c r="FD77" s="48"/>
      <c r="FF77" s="48"/>
      <c r="FG77" s="48"/>
      <c r="FH77" s="48"/>
      <c r="FI77" s="48"/>
      <c r="FJ77" s="48"/>
      <c r="FK77" s="48"/>
      <c r="FL77" s="48"/>
      <c r="FM77" s="51">
        <v>0</v>
      </c>
      <c r="FN77" s="48">
        <v>0</v>
      </c>
      <c r="FO77" s="48">
        <f t="shared" si="80"/>
        <v>0</v>
      </c>
      <c r="FP77" s="48"/>
      <c r="FQ77" s="48"/>
      <c r="FR77" s="48"/>
      <c r="FS77" s="48"/>
      <c r="FT77" s="48"/>
      <c r="FV77" s="48">
        <f t="shared" si="81"/>
        <v>2.44</v>
      </c>
      <c r="FW77" s="48">
        <f t="shared" si="82"/>
        <v>2.44</v>
      </c>
      <c r="FX77" s="48">
        <f t="shared" si="83"/>
        <v>2.44</v>
      </c>
      <c r="FY77" s="48">
        <f t="shared" si="84"/>
        <v>2.44</v>
      </c>
      <c r="FZ77" s="48">
        <f t="shared" si="85"/>
        <v>2.44</v>
      </c>
      <c r="GA77" s="48">
        <f t="shared" si="86"/>
        <v>2.44</v>
      </c>
      <c r="GB77" s="48">
        <f t="shared" si="87"/>
        <v>2.44</v>
      </c>
    </row>
    <row r="78" spans="2:184" x14ac:dyDescent="0.2">
      <c r="B78" s="393" t="str">
        <f>Key_New!D28</f>
        <v>Rajasthan</v>
      </c>
      <c r="C78" s="394" t="str">
        <f>Key_New!B28</f>
        <v>ACME Dhaulpur Powertech Pvt Ltd</v>
      </c>
      <c r="D78" s="395" t="str">
        <f>Key_New!E28</f>
        <v>Solar</v>
      </c>
      <c r="E78" s="396" t="str">
        <f>Key_New!C28</f>
        <v>Operational</v>
      </c>
      <c r="F78" s="397">
        <f>Key_New!F28</f>
        <v>300</v>
      </c>
      <c r="G78" s="398">
        <f t="shared" si="31"/>
        <v>45688</v>
      </c>
      <c r="H78" s="399">
        <f>Key_New!O28</f>
        <v>45688</v>
      </c>
      <c r="I78" s="369">
        <f t="shared" si="35"/>
        <v>2025</v>
      </c>
      <c r="J78" s="367">
        <v>50</v>
      </c>
      <c r="K78" s="370">
        <f t="shared" si="36"/>
        <v>15000</v>
      </c>
      <c r="L78" s="368">
        <v>0.12</v>
      </c>
      <c r="M78" s="368">
        <v>0.25</v>
      </c>
      <c r="N78" s="403">
        <f>Key_New!J28</f>
        <v>2.44</v>
      </c>
      <c r="O78" s="462">
        <f t="shared" si="37"/>
        <v>0</v>
      </c>
      <c r="P78" s="54">
        <f t="shared" si="88"/>
        <v>0</v>
      </c>
      <c r="Q78" s="54">
        <f t="shared" si="88"/>
        <v>59</v>
      </c>
      <c r="R78" s="54">
        <f t="shared" si="88"/>
        <v>365</v>
      </c>
      <c r="S78" s="54">
        <f t="shared" si="88"/>
        <v>365</v>
      </c>
      <c r="T78" s="54">
        <f t="shared" si="88"/>
        <v>365</v>
      </c>
      <c r="U78" s="54">
        <f t="shared" si="88"/>
        <v>365</v>
      </c>
      <c r="V78" s="54">
        <f t="shared" si="88"/>
        <v>365</v>
      </c>
      <c r="W78" s="54">
        <f t="shared" si="88"/>
        <v>365</v>
      </c>
      <c r="Y78" s="60">
        <v>0</v>
      </c>
      <c r="Z78" s="54">
        <f t="shared" si="89"/>
        <v>1</v>
      </c>
      <c r="AA78" s="54">
        <f t="shared" si="90"/>
        <v>2</v>
      </c>
      <c r="AB78" s="54">
        <f t="shared" si="91"/>
        <v>3</v>
      </c>
      <c r="AC78" s="54">
        <f t="shared" si="92"/>
        <v>4</v>
      </c>
      <c r="AD78" s="54">
        <f t="shared" si="93"/>
        <v>5</v>
      </c>
      <c r="AE78" s="54">
        <f t="shared" si="94"/>
        <v>6</v>
      </c>
      <c r="AF78" s="54">
        <f t="shared" si="94"/>
        <v>7</v>
      </c>
      <c r="AG78" s="444"/>
      <c r="AH78" s="48">
        <f t="shared" si="95"/>
        <v>300</v>
      </c>
      <c r="AI78" s="48">
        <f t="shared" si="96"/>
        <v>300</v>
      </c>
      <c r="AJ78" s="48">
        <f t="shared" si="97"/>
        <v>300</v>
      </c>
      <c r="AK78" s="48">
        <f t="shared" si="98"/>
        <v>300</v>
      </c>
      <c r="AL78" s="48">
        <f t="shared" si="99"/>
        <v>300</v>
      </c>
      <c r="AM78" s="48">
        <f t="shared" si="46"/>
        <v>300</v>
      </c>
      <c r="AN78" s="48">
        <f t="shared" si="47"/>
        <v>300</v>
      </c>
      <c r="AP78" s="61">
        <v>0.25</v>
      </c>
      <c r="AQ78" s="61">
        <v>0.25</v>
      </c>
      <c r="AR78" s="61">
        <v>0.25</v>
      </c>
      <c r="AS78" s="61">
        <v>0.25</v>
      </c>
      <c r="AT78" s="61">
        <v>0.25</v>
      </c>
      <c r="AU78" s="61">
        <v>0.25</v>
      </c>
      <c r="AV78" s="61">
        <v>0.25</v>
      </c>
      <c r="AX78" s="52">
        <f t="shared" si="100"/>
        <v>106.27273972602741</v>
      </c>
      <c r="AY78" s="52">
        <f t="shared" si="101"/>
        <v>657.45</v>
      </c>
      <c r="AZ78" s="52">
        <f t="shared" si="102"/>
        <v>657.45</v>
      </c>
      <c r="BA78" s="52">
        <f t="shared" si="103"/>
        <v>657.45</v>
      </c>
      <c r="BB78" s="52">
        <f t="shared" si="104"/>
        <v>657.45</v>
      </c>
      <c r="BC78" s="52">
        <f t="shared" si="53"/>
        <v>657.45</v>
      </c>
      <c r="BD78" s="52">
        <f t="shared" si="54"/>
        <v>657.45</v>
      </c>
      <c r="BE78" s="57">
        <v>0.2</v>
      </c>
      <c r="BF78" s="52">
        <f t="shared" si="105"/>
        <v>77.589041095890423</v>
      </c>
      <c r="BG78" s="52">
        <f t="shared" si="106"/>
        <v>480</v>
      </c>
      <c r="BH78" s="52">
        <f t="shared" si="107"/>
        <v>480</v>
      </c>
      <c r="BI78" s="52">
        <f t="shared" si="108"/>
        <v>480</v>
      </c>
      <c r="BJ78" s="52">
        <f t="shared" si="109"/>
        <v>480</v>
      </c>
      <c r="BK78" s="52">
        <f t="shared" si="60"/>
        <v>480</v>
      </c>
      <c r="BL78" s="52">
        <f t="shared" si="61"/>
        <v>480</v>
      </c>
      <c r="BM78" s="297">
        <v>0.04</v>
      </c>
      <c r="BN78" s="69">
        <f t="shared" si="110"/>
        <v>96.986301369863014</v>
      </c>
      <c r="BO78" s="69">
        <f t="shared" si="111"/>
        <v>600</v>
      </c>
      <c r="BP78" s="69">
        <f t="shared" si="112"/>
        <v>600</v>
      </c>
      <c r="BQ78" s="69">
        <f t="shared" si="113"/>
        <v>600</v>
      </c>
      <c r="BR78" s="69">
        <f t="shared" si="114"/>
        <v>600</v>
      </c>
      <c r="BS78" s="69">
        <f t="shared" si="115"/>
        <v>600</v>
      </c>
      <c r="BT78" s="69">
        <f t="shared" si="116"/>
        <v>600</v>
      </c>
      <c r="BV78" s="69"/>
      <c r="BW78" s="69"/>
      <c r="BX78" s="69"/>
      <c r="BY78" s="69"/>
      <c r="BZ78" s="69"/>
      <c r="CA78" s="69"/>
      <c r="CB78" s="69"/>
      <c r="CC78" s="107">
        <v>0</v>
      </c>
      <c r="CD78" s="69">
        <v>0</v>
      </c>
      <c r="CE78" s="69">
        <f t="shared" si="32"/>
        <v>0</v>
      </c>
      <c r="CF78" s="69">
        <f t="shared" si="62"/>
        <v>0</v>
      </c>
      <c r="CG78" s="69">
        <f t="shared" si="34"/>
        <v>0</v>
      </c>
      <c r="CH78" s="69">
        <f t="shared" si="63"/>
        <v>0</v>
      </c>
      <c r="CI78" s="69">
        <f t="shared" si="64"/>
        <v>0</v>
      </c>
      <c r="CJ78" s="69">
        <f t="shared" si="65"/>
        <v>0</v>
      </c>
      <c r="CL78" s="54">
        <f t="shared" si="66"/>
        <v>0</v>
      </c>
      <c r="CM78" s="54">
        <f t="shared" si="67"/>
        <v>0</v>
      </c>
      <c r="CN78" s="54">
        <f t="shared" si="68"/>
        <v>0</v>
      </c>
      <c r="CO78" s="54">
        <f t="shared" si="69"/>
        <v>0</v>
      </c>
      <c r="CP78" s="54">
        <f t="shared" si="70"/>
        <v>0</v>
      </c>
      <c r="CQ78" s="54">
        <f t="shared" si="71"/>
        <v>0</v>
      </c>
      <c r="CR78" s="54">
        <f t="shared" si="72"/>
        <v>0</v>
      </c>
      <c r="CT78" s="54">
        <f t="shared" si="117"/>
        <v>0</v>
      </c>
      <c r="CU78" s="54">
        <f t="shared" si="118"/>
        <v>0</v>
      </c>
      <c r="CV78" s="54">
        <f t="shared" si="119"/>
        <v>0</v>
      </c>
      <c r="CW78" s="54">
        <f t="shared" si="120"/>
        <v>0</v>
      </c>
      <c r="CX78" s="54">
        <f t="shared" si="121"/>
        <v>0</v>
      </c>
      <c r="CY78" s="54">
        <f t="shared" si="122"/>
        <v>0</v>
      </c>
      <c r="CZ78" s="54">
        <f t="shared" si="74"/>
        <v>0</v>
      </c>
      <c r="DB78" s="54">
        <f t="shared" si="123"/>
        <v>0</v>
      </c>
      <c r="DC78" s="54">
        <f t="shared" si="124"/>
        <v>0</v>
      </c>
      <c r="DD78" s="54">
        <f t="shared" si="125"/>
        <v>0</v>
      </c>
      <c r="DE78" s="54">
        <f t="shared" si="126"/>
        <v>0</v>
      </c>
      <c r="DF78" s="54">
        <f t="shared" si="127"/>
        <v>0</v>
      </c>
      <c r="DG78" s="54">
        <f t="shared" si="128"/>
        <v>0</v>
      </c>
      <c r="DH78" s="54">
        <f t="shared" si="76"/>
        <v>0</v>
      </c>
      <c r="DJ78" s="54">
        <f t="shared" si="129"/>
        <v>0</v>
      </c>
      <c r="DK78" s="54">
        <f t="shared" si="130"/>
        <v>480</v>
      </c>
      <c r="DL78" s="54">
        <f t="shared" si="131"/>
        <v>480</v>
      </c>
      <c r="DM78" s="54">
        <f t="shared" si="132"/>
        <v>480</v>
      </c>
      <c r="DN78" s="54">
        <f t="shared" si="133"/>
        <v>480</v>
      </c>
      <c r="DO78" s="54">
        <f t="shared" si="134"/>
        <v>480</v>
      </c>
      <c r="DP78" s="54">
        <f t="shared" si="135"/>
        <v>480</v>
      </c>
      <c r="DR78" s="54">
        <f>+IF(Z78&gt;0,$K78*(1-$BE78)-SUM($DJ78:DJ78),DB78)</f>
        <v>12000</v>
      </c>
      <c r="DS78" s="54">
        <f>+IF(AA78&gt;0,$K78*(1-$BE78)-SUM($DJ78:DK78),DC78)</f>
        <v>11520</v>
      </c>
      <c r="DT78" s="54">
        <f>+IF(AB78&gt;0,$K78*(1-$BE78)-SUM($DJ78:DL78),DD78)</f>
        <v>11040</v>
      </c>
      <c r="DU78" s="54">
        <f>+IF(AC78&gt;0,$K78*(1-$BE78)-SUM($DJ78:DM78),DE78)</f>
        <v>10560</v>
      </c>
      <c r="DV78" s="54">
        <f>+IF(AD78&gt;0,$K78*(1-$BE78)-SUM($DJ78:DN78),DF78)</f>
        <v>10080</v>
      </c>
      <c r="DW78" s="54">
        <f>+IF(AE78&gt;0,$K78*(1-$BE78)-SUM($DJ78:DO78),DG78)</f>
        <v>9600</v>
      </c>
      <c r="DX78" s="54">
        <f>+IF(AF78&gt;0,$K78*(1-$BE78)-SUM($DJ78:DP78),DH78)</f>
        <v>9120</v>
      </c>
      <c r="DZ78" s="54">
        <f t="shared" si="136"/>
        <v>193.97260273972603</v>
      </c>
      <c r="EA78" s="54">
        <f t="shared" si="137"/>
        <v>1152</v>
      </c>
      <c r="EB78" s="54">
        <f t="shared" si="138"/>
        <v>1104</v>
      </c>
      <c r="EC78" s="54">
        <f t="shared" si="139"/>
        <v>1056</v>
      </c>
      <c r="ED78" s="54">
        <f t="shared" si="140"/>
        <v>1008</v>
      </c>
      <c r="EE78" s="54">
        <f t="shared" si="141"/>
        <v>960</v>
      </c>
      <c r="EF78" s="54">
        <f t="shared" si="79"/>
        <v>0</v>
      </c>
      <c r="EH78" s="48"/>
      <c r="EI78" s="48"/>
      <c r="EJ78" s="48"/>
      <c r="EK78" s="48"/>
      <c r="EL78" s="48"/>
      <c r="EM78" s="48"/>
      <c r="EN78" s="48"/>
      <c r="EP78" s="48"/>
      <c r="EQ78" s="48"/>
      <c r="ER78" s="48"/>
      <c r="ES78" s="48"/>
      <c r="ET78" s="48"/>
      <c r="EU78" s="48"/>
      <c r="EV78" s="48"/>
      <c r="EX78" s="48"/>
      <c r="EY78" s="48"/>
      <c r="EZ78" s="48"/>
      <c r="FA78" s="48"/>
      <c r="FB78" s="48"/>
      <c r="FC78" s="48"/>
      <c r="FD78" s="48"/>
      <c r="FF78" s="48"/>
      <c r="FG78" s="48"/>
      <c r="FH78" s="48"/>
      <c r="FI78" s="48"/>
      <c r="FJ78" s="48"/>
      <c r="FK78" s="48"/>
      <c r="FL78" s="48"/>
      <c r="FM78" s="51">
        <v>0</v>
      </c>
      <c r="FN78" s="48">
        <v>0</v>
      </c>
      <c r="FO78" s="48">
        <f t="shared" si="80"/>
        <v>0</v>
      </c>
      <c r="FP78" s="48"/>
      <c r="FQ78" s="48"/>
      <c r="FR78" s="48"/>
      <c r="FS78" s="48"/>
      <c r="FT78" s="48"/>
      <c r="FV78" s="48">
        <f t="shared" si="81"/>
        <v>2.44</v>
      </c>
      <c r="FW78" s="48">
        <f t="shared" si="82"/>
        <v>2.44</v>
      </c>
      <c r="FX78" s="48">
        <f t="shared" si="83"/>
        <v>2.44</v>
      </c>
      <c r="FY78" s="48">
        <f t="shared" si="84"/>
        <v>2.44</v>
      </c>
      <c r="FZ78" s="48">
        <f t="shared" si="85"/>
        <v>2.44</v>
      </c>
      <c r="GA78" s="48">
        <f t="shared" si="86"/>
        <v>2.44</v>
      </c>
      <c r="GB78" s="48">
        <f t="shared" si="87"/>
        <v>2.44</v>
      </c>
    </row>
    <row r="79" spans="2:184" x14ac:dyDescent="0.2">
      <c r="B79" s="393" t="str">
        <f>Key_New!D29</f>
        <v>Rajasthan</v>
      </c>
      <c r="C79" s="394" t="str">
        <f>Key_New!B29</f>
        <v>ACME Deoghar Solar Power Pvt Ltd</v>
      </c>
      <c r="D79" s="395" t="str">
        <f>Key_New!E29</f>
        <v>Solar</v>
      </c>
      <c r="E79" s="396" t="str">
        <f>Key_New!C29</f>
        <v>Operational</v>
      </c>
      <c r="F79" s="397">
        <f>Key_New!F29</f>
        <v>300</v>
      </c>
      <c r="G79" s="398">
        <f t="shared" si="31"/>
        <v>45688</v>
      </c>
      <c r="H79" s="399">
        <f>Key_New!O29</f>
        <v>45688</v>
      </c>
      <c r="I79" s="369">
        <f t="shared" si="35"/>
        <v>2025</v>
      </c>
      <c r="J79" s="367">
        <v>50</v>
      </c>
      <c r="K79" s="370">
        <f t="shared" si="36"/>
        <v>15000</v>
      </c>
      <c r="L79" s="368">
        <v>0.12</v>
      </c>
      <c r="M79" s="368">
        <v>0.25</v>
      </c>
      <c r="N79" s="403">
        <f>Key_New!J29</f>
        <v>2.44</v>
      </c>
      <c r="O79" s="462">
        <f t="shared" si="37"/>
        <v>0</v>
      </c>
      <c r="P79" s="54">
        <f t="shared" si="88"/>
        <v>0</v>
      </c>
      <c r="Q79" s="54">
        <f t="shared" si="88"/>
        <v>59</v>
      </c>
      <c r="R79" s="54">
        <f t="shared" si="88"/>
        <v>365</v>
      </c>
      <c r="S79" s="54">
        <f t="shared" si="88"/>
        <v>365</v>
      </c>
      <c r="T79" s="54">
        <f t="shared" si="88"/>
        <v>365</v>
      </c>
      <c r="U79" s="54">
        <f t="shared" si="88"/>
        <v>365</v>
      </c>
      <c r="V79" s="54">
        <f t="shared" si="88"/>
        <v>365</v>
      </c>
      <c r="W79" s="54">
        <f t="shared" si="88"/>
        <v>365</v>
      </c>
      <c r="Y79" s="60">
        <v>0</v>
      </c>
      <c r="Z79" s="54">
        <f t="shared" si="89"/>
        <v>1</v>
      </c>
      <c r="AA79" s="54">
        <f t="shared" si="90"/>
        <v>2</v>
      </c>
      <c r="AB79" s="54">
        <f t="shared" si="91"/>
        <v>3</v>
      </c>
      <c r="AC79" s="54">
        <f t="shared" si="92"/>
        <v>4</v>
      </c>
      <c r="AD79" s="54">
        <f t="shared" si="93"/>
        <v>5</v>
      </c>
      <c r="AE79" s="54">
        <f t="shared" si="94"/>
        <v>6</v>
      </c>
      <c r="AF79" s="54">
        <f t="shared" si="94"/>
        <v>7</v>
      </c>
      <c r="AG79" s="444"/>
      <c r="AH79" s="48">
        <f t="shared" si="95"/>
        <v>300</v>
      </c>
      <c r="AI79" s="48">
        <f t="shared" si="96"/>
        <v>300</v>
      </c>
      <c r="AJ79" s="48">
        <f t="shared" si="97"/>
        <v>300</v>
      </c>
      <c r="AK79" s="48">
        <f t="shared" si="98"/>
        <v>300</v>
      </c>
      <c r="AL79" s="48">
        <f t="shared" si="99"/>
        <v>300</v>
      </c>
      <c r="AM79" s="48">
        <f t="shared" si="46"/>
        <v>300</v>
      </c>
      <c r="AN79" s="48">
        <f t="shared" si="47"/>
        <v>300</v>
      </c>
      <c r="AP79" s="61">
        <v>0.25</v>
      </c>
      <c r="AQ79" s="61">
        <v>0.25</v>
      </c>
      <c r="AR79" s="61">
        <v>0.25</v>
      </c>
      <c r="AS79" s="61">
        <v>0.25</v>
      </c>
      <c r="AT79" s="61">
        <v>0.25</v>
      </c>
      <c r="AU79" s="61">
        <v>0.25</v>
      </c>
      <c r="AV79" s="61">
        <v>0.25</v>
      </c>
      <c r="AX79" s="52">
        <f t="shared" si="100"/>
        <v>106.27273972602741</v>
      </c>
      <c r="AY79" s="52">
        <f t="shared" si="101"/>
        <v>657.45</v>
      </c>
      <c r="AZ79" s="52">
        <f t="shared" si="102"/>
        <v>657.45</v>
      </c>
      <c r="BA79" s="52">
        <f t="shared" si="103"/>
        <v>657.45</v>
      </c>
      <c r="BB79" s="52">
        <f t="shared" si="104"/>
        <v>657.45</v>
      </c>
      <c r="BC79" s="52">
        <f t="shared" si="53"/>
        <v>657.45</v>
      </c>
      <c r="BD79" s="52">
        <f t="shared" si="54"/>
        <v>657.45</v>
      </c>
      <c r="BE79" s="57">
        <v>0.2</v>
      </c>
      <c r="BF79" s="52">
        <f t="shared" si="105"/>
        <v>77.589041095890423</v>
      </c>
      <c r="BG79" s="52">
        <f t="shared" si="106"/>
        <v>480</v>
      </c>
      <c r="BH79" s="52">
        <f t="shared" si="107"/>
        <v>480</v>
      </c>
      <c r="BI79" s="52">
        <f t="shared" si="108"/>
        <v>480</v>
      </c>
      <c r="BJ79" s="52">
        <f t="shared" si="109"/>
        <v>480</v>
      </c>
      <c r="BK79" s="52">
        <f t="shared" si="60"/>
        <v>480</v>
      </c>
      <c r="BL79" s="52">
        <f t="shared" si="61"/>
        <v>480</v>
      </c>
      <c r="BM79" s="297">
        <v>0.04</v>
      </c>
      <c r="BN79" s="69">
        <f t="shared" si="110"/>
        <v>96.986301369863014</v>
      </c>
      <c r="BO79" s="69">
        <f t="shared" si="111"/>
        <v>600</v>
      </c>
      <c r="BP79" s="69">
        <f t="shared" si="112"/>
        <v>600</v>
      </c>
      <c r="BQ79" s="69">
        <f t="shared" si="113"/>
        <v>600</v>
      </c>
      <c r="BR79" s="69">
        <f t="shared" si="114"/>
        <v>600</v>
      </c>
      <c r="BS79" s="69">
        <f t="shared" si="115"/>
        <v>600</v>
      </c>
      <c r="BT79" s="69">
        <f t="shared" si="116"/>
        <v>600</v>
      </c>
      <c r="BV79" s="69"/>
      <c r="BW79" s="69"/>
      <c r="BX79" s="69"/>
      <c r="BY79" s="69"/>
      <c r="BZ79" s="69"/>
      <c r="CA79" s="69"/>
      <c r="CB79" s="69"/>
      <c r="CC79" s="107">
        <v>0</v>
      </c>
      <c r="CD79" s="69">
        <v>0</v>
      </c>
      <c r="CE79" s="69">
        <f t="shared" si="32"/>
        <v>0</v>
      </c>
      <c r="CF79" s="69">
        <f t="shared" si="62"/>
        <v>0</v>
      </c>
      <c r="CG79" s="69">
        <f t="shared" si="34"/>
        <v>0</v>
      </c>
      <c r="CH79" s="69">
        <f t="shared" si="63"/>
        <v>0</v>
      </c>
      <c r="CI79" s="69">
        <f t="shared" si="64"/>
        <v>0</v>
      </c>
      <c r="CJ79" s="69">
        <f t="shared" si="65"/>
        <v>0</v>
      </c>
      <c r="CL79" s="54">
        <f t="shared" si="66"/>
        <v>0</v>
      </c>
      <c r="CM79" s="54">
        <f t="shared" si="67"/>
        <v>0</v>
      </c>
      <c r="CN79" s="54">
        <f t="shared" si="68"/>
        <v>0</v>
      </c>
      <c r="CO79" s="54">
        <f t="shared" si="69"/>
        <v>0</v>
      </c>
      <c r="CP79" s="54">
        <f t="shared" si="70"/>
        <v>0</v>
      </c>
      <c r="CQ79" s="54">
        <f t="shared" si="71"/>
        <v>0</v>
      </c>
      <c r="CR79" s="54">
        <f t="shared" si="72"/>
        <v>0</v>
      </c>
      <c r="CT79" s="54">
        <f t="shared" si="117"/>
        <v>0</v>
      </c>
      <c r="CU79" s="54">
        <f t="shared" si="118"/>
        <v>0</v>
      </c>
      <c r="CV79" s="54">
        <f t="shared" si="119"/>
        <v>0</v>
      </c>
      <c r="CW79" s="54">
        <f t="shared" si="120"/>
        <v>0</v>
      </c>
      <c r="CX79" s="54">
        <f t="shared" si="121"/>
        <v>0</v>
      </c>
      <c r="CY79" s="54">
        <f t="shared" si="122"/>
        <v>0</v>
      </c>
      <c r="CZ79" s="54">
        <f t="shared" si="74"/>
        <v>0</v>
      </c>
      <c r="DB79" s="54">
        <f t="shared" si="123"/>
        <v>0</v>
      </c>
      <c r="DC79" s="54">
        <f t="shared" si="124"/>
        <v>0</v>
      </c>
      <c r="DD79" s="54">
        <f t="shared" si="125"/>
        <v>0</v>
      </c>
      <c r="DE79" s="54">
        <f t="shared" si="126"/>
        <v>0</v>
      </c>
      <c r="DF79" s="54">
        <f t="shared" si="127"/>
        <v>0</v>
      </c>
      <c r="DG79" s="54">
        <f t="shared" si="128"/>
        <v>0</v>
      </c>
      <c r="DH79" s="54">
        <f t="shared" si="76"/>
        <v>0</v>
      </c>
      <c r="DJ79" s="54">
        <f t="shared" si="129"/>
        <v>0</v>
      </c>
      <c r="DK79" s="54">
        <f t="shared" si="130"/>
        <v>480</v>
      </c>
      <c r="DL79" s="54">
        <f t="shared" si="131"/>
        <v>480</v>
      </c>
      <c r="DM79" s="54">
        <f t="shared" si="132"/>
        <v>480</v>
      </c>
      <c r="DN79" s="54">
        <f t="shared" si="133"/>
        <v>480</v>
      </c>
      <c r="DO79" s="54">
        <f t="shared" si="134"/>
        <v>480</v>
      </c>
      <c r="DP79" s="54">
        <f t="shared" si="135"/>
        <v>480</v>
      </c>
      <c r="DR79" s="54">
        <f>+IF(Z79&gt;0,$K79*(1-$BE79)-SUM($DJ79:DJ79),DB79)</f>
        <v>12000</v>
      </c>
      <c r="DS79" s="54">
        <f>+IF(AA79&gt;0,$K79*(1-$BE79)-SUM($DJ79:DK79),DC79)</f>
        <v>11520</v>
      </c>
      <c r="DT79" s="54">
        <f>+IF(AB79&gt;0,$K79*(1-$BE79)-SUM($DJ79:DL79),DD79)</f>
        <v>11040</v>
      </c>
      <c r="DU79" s="54">
        <f>+IF(AC79&gt;0,$K79*(1-$BE79)-SUM($DJ79:DM79),DE79)</f>
        <v>10560</v>
      </c>
      <c r="DV79" s="54">
        <f>+IF(AD79&gt;0,$K79*(1-$BE79)-SUM($DJ79:DN79),DF79)</f>
        <v>10080</v>
      </c>
      <c r="DW79" s="54">
        <f>+IF(AE79&gt;0,$K79*(1-$BE79)-SUM($DJ79:DO79),DG79)</f>
        <v>9600</v>
      </c>
      <c r="DX79" s="54">
        <f>+IF(AF79&gt;0,$K79*(1-$BE79)-SUM($DJ79:DP79),DH79)</f>
        <v>9120</v>
      </c>
      <c r="DZ79" s="54">
        <f t="shared" si="136"/>
        <v>193.97260273972603</v>
      </c>
      <c r="EA79" s="54">
        <f t="shared" si="137"/>
        <v>1152</v>
      </c>
      <c r="EB79" s="54">
        <f t="shared" si="138"/>
        <v>1104</v>
      </c>
      <c r="EC79" s="54">
        <f t="shared" si="139"/>
        <v>1056</v>
      </c>
      <c r="ED79" s="54">
        <f t="shared" si="140"/>
        <v>1008</v>
      </c>
      <c r="EE79" s="54">
        <f t="shared" si="141"/>
        <v>960</v>
      </c>
      <c r="EF79" s="54">
        <f t="shared" si="79"/>
        <v>0</v>
      </c>
      <c r="EH79" s="48"/>
      <c r="EI79" s="48"/>
      <c r="EJ79" s="48"/>
      <c r="EK79" s="48"/>
      <c r="EL79" s="48"/>
      <c r="EM79" s="48"/>
      <c r="EN79" s="48"/>
      <c r="EP79" s="48"/>
      <c r="EQ79" s="48"/>
      <c r="ER79" s="48"/>
      <c r="ES79" s="48"/>
      <c r="ET79" s="48"/>
      <c r="EU79" s="48"/>
      <c r="EV79" s="48"/>
      <c r="EX79" s="48"/>
      <c r="EY79" s="48"/>
      <c r="EZ79" s="48"/>
      <c r="FA79" s="48"/>
      <c r="FB79" s="48"/>
      <c r="FC79" s="48"/>
      <c r="FD79" s="48"/>
      <c r="FF79" s="48"/>
      <c r="FG79" s="48"/>
      <c r="FH79" s="48"/>
      <c r="FI79" s="48"/>
      <c r="FJ79" s="48"/>
      <c r="FK79" s="48"/>
      <c r="FL79" s="48"/>
      <c r="FM79" s="51">
        <v>0</v>
      </c>
      <c r="FN79" s="48">
        <v>0</v>
      </c>
      <c r="FO79" s="48">
        <f t="shared" si="80"/>
        <v>0</v>
      </c>
      <c r="FP79" s="48"/>
      <c r="FQ79" s="48"/>
      <c r="FR79" s="48"/>
      <c r="FS79" s="48"/>
      <c r="FT79" s="48"/>
      <c r="FV79" s="48">
        <f t="shared" si="81"/>
        <v>2.44</v>
      </c>
      <c r="FW79" s="48">
        <f t="shared" si="82"/>
        <v>2.44</v>
      </c>
      <c r="FX79" s="48">
        <f t="shared" si="83"/>
        <v>2.44</v>
      </c>
      <c r="FY79" s="48">
        <f t="shared" si="84"/>
        <v>2.44</v>
      </c>
      <c r="FZ79" s="48">
        <f t="shared" si="85"/>
        <v>2.44</v>
      </c>
      <c r="GA79" s="48">
        <f t="shared" si="86"/>
        <v>2.44</v>
      </c>
      <c r="GB79" s="48">
        <f t="shared" si="87"/>
        <v>2.44</v>
      </c>
    </row>
    <row r="80" spans="2:184" x14ac:dyDescent="0.2">
      <c r="B80" s="393" t="str">
        <f>Key_New!D30</f>
        <v>Rajasthan</v>
      </c>
      <c r="C80" s="394" t="str">
        <f>Key_New!B30</f>
        <v>ACME Phalodi Solar Energy Pvt Ltd</v>
      </c>
      <c r="D80" s="395" t="str">
        <f>Key_New!E30</f>
        <v>Solar</v>
      </c>
      <c r="E80" s="396" t="str">
        <f>Key_New!C30</f>
        <v>Operational</v>
      </c>
      <c r="F80" s="397">
        <f>Key_New!F30</f>
        <v>300</v>
      </c>
      <c r="G80" s="398">
        <f t="shared" si="31"/>
        <v>45688</v>
      </c>
      <c r="H80" s="399">
        <f>Key_New!O30</f>
        <v>45688</v>
      </c>
      <c r="I80" s="369">
        <f t="shared" si="35"/>
        <v>2025</v>
      </c>
      <c r="J80" s="367">
        <v>50</v>
      </c>
      <c r="K80" s="370">
        <f t="shared" si="36"/>
        <v>15000</v>
      </c>
      <c r="L80" s="368">
        <v>0.12</v>
      </c>
      <c r="M80" s="368">
        <v>0.25</v>
      </c>
      <c r="N80" s="403">
        <f>Key_New!J30</f>
        <v>2.44</v>
      </c>
      <c r="O80" s="462">
        <f t="shared" si="37"/>
        <v>0</v>
      </c>
      <c r="P80" s="54">
        <f t="shared" si="88"/>
        <v>0</v>
      </c>
      <c r="Q80" s="54">
        <f t="shared" si="88"/>
        <v>59</v>
      </c>
      <c r="R80" s="54">
        <f t="shared" si="88"/>
        <v>365</v>
      </c>
      <c r="S80" s="54">
        <f t="shared" si="88"/>
        <v>365</v>
      </c>
      <c r="T80" s="54">
        <f t="shared" si="88"/>
        <v>365</v>
      </c>
      <c r="U80" s="54">
        <f t="shared" si="88"/>
        <v>365</v>
      </c>
      <c r="V80" s="54">
        <f t="shared" si="88"/>
        <v>365</v>
      </c>
      <c r="W80" s="54">
        <f t="shared" si="88"/>
        <v>365</v>
      </c>
      <c r="Y80" s="60">
        <v>0</v>
      </c>
      <c r="Z80" s="54">
        <f t="shared" si="89"/>
        <v>1</v>
      </c>
      <c r="AA80" s="54">
        <f t="shared" si="90"/>
        <v>2</v>
      </c>
      <c r="AB80" s="54">
        <f t="shared" si="91"/>
        <v>3</v>
      </c>
      <c r="AC80" s="54">
        <f t="shared" si="92"/>
        <v>4</v>
      </c>
      <c r="AD80" s="54">
        <f t="shared" si="93"/>
        <v>5</v>
      </c>
      <c r="AE80" s="54">
        <f t="shared" si="94"/>
        <v>6</v>
      </c>
      <c r="AF80" s="54">
        <f t="shared" si="94"/>
        <v>7</v>
      </c>
      <c r="AG80" s="444"/>
      <c r="AH80" s="48">
        <f t="shared" si="95"/>
        <v>300</v>
      </c>
      <c r="AI80" s="48">
        <f t="shared" si="96"/>
        <v>300</v>
      </c>
      <c r="AJ80" s="48">
        <f t="shared" si="97"/>
        <v>300</v>
      </c>
      <c r="AK80" s="48">
        <f t="shared" si="98"/>
        <v>300</v>
      </c>
      <c r="AL80" s="48">
        <f t="shared" si="99"/>
        <v>300</v>
      </c>
      <c r="AM80" s="48">
        <f t="shared" si="46"/>
        <v>300</v>
      </c>
      <c r="AN80" s="48">
        <f t="shared" si="47"/>
        <v>300</v>
      </c>
      <c r="AP80" s="61">
        <v>0.25</v>
      </c>
      <c r="AQ80" s="61">
        <v>0.25</v>
      </c>
      <c r="AR80" s="61">
        <v>0.25</v>
      </c>
      <c r="AS80" s="61">
        <v>0.25</v>
      </c>
      <c r="AT80" s="61">
        <v>0.25</v>
      </c>
      <c r="AU80" s="61">
        <v>0.25</v>
      </c>
      <c r="AV80" s="61">
        <v>0.25</v>
      </c>
      <c r="AX80" s="52">
        <f t="shared" si="100"/>
        <v>106.27273972602741</v>
      </c>
      <c r="AY80" s="52">
        <f t="shared" si="101"/>
        <v>657.45</v>
      </c>
      <c r="AZ80" s="52">
        <f t="shared" si="102"/>
        <v>657.45</v>
      </c>
      <c r="BA80" s="52">
        <f t="shared" si="103"/>
        <v>657.45</v>
      </c>
      <c r="BB80" s="52">
        <f t="shared" si="104"/>
        <v>657.45</v>
      </c>
      <c r="BC80" s="52">
        <f t="shared" si="53"/>
        <v>657.45</v>
      </c>
      <c r="BD80" s="52">
        <f t="shared" si="54"/>
        <v>657.45</v>
      </c>
      <c r="BE80" s="57">
        <v>0.2</v>
      </c>
      <c r="BF80" s="52">
        <f t="shared" si="105"/>
        <v>77.589041095890423</v>
      </c>
      <c r="BG80" s="52">
        <f t="shared" si="106"/>
        <v>480</v>
      </c>
      <c r="BH80" s="52">
        <f t="shared" si="107"/>
        <v>480</v>
      </c>
      <c r="BI80" s="52">
        <f t="shared" si="108"/>
        <v>480</v>
      </c>
      <c r="BJ80" s="52">
        <f t="shared" si="109"/>
        <v>480</v>
      </c>
      <c r="BK80" s="52">
        <f t="shared" si="60"/>
        <v>480</v>
      </c>
      <c r="BL80" s="52">
        <f t="shared" si="61"/>
        <v>480</v>
      </c>
      <c r="BM80" s="297">
        <v>0.04</v>
      </c>
      <c r="BN80" s="69">
        <f t="shared" si="110"/>
        <v>96.986301369863014</v>
      </c>
      <c r="BO80" s="69">
        <f t="shared" si="111"/>
        <v>600</v>
      </c>
      <c r="BP80" s="69">
        <f t="shared" si="112"/>
        <v>600</v>
      </c>
      <c r="BQ80" s="69">
        <f t="shared" si="113"/>
        <v>600</v>
      </c>
      <c r="BR80" s="69">
        <f t="shared" si="114"/>
        <v>600</v>
      </c>
      <c r="BS80" s="69">
        <f t="shared" si="115"/>
        <v>600</v>
      </c>
      <c r="BT80" s="69">
        <f t="shared" si="116"/>
        <v>600</v>
      </c>
      <c r="BV80" s="69"/>
      <c r="BW80" s="69"/>
      <c r="BX80" s="69"/>
      <c r="BY80" s="69"/>
      <c r="BZ80" s="69"/>
      <c r="CA80" s="69"/>
      <c r="CB80" s="69"/>
      <c r="CC80" s="107">
        <v>0</v>
      </c>
      <c r="CD80" s="69">
        <v>0</v>
      </c>
      <c r="CE80" s="69">
        <f t="shared" si="32"/>
        <v>0</v>
      </c>
      <c r="CF80" s="69">
        <f t="shared" si="62"/>
        <v>0</v>
      </c>
      <c r="CG80" s="69">
        <f t="shared" si="34"/>
        <v>0</v>
      </c>
      <c r="CH80" s="69">
        <f t="shared" si="63"/>
        <v>0</v>
      </c>
      <c r="CI80" s="69">
        <f t="shared" si="64"/>
        <v>0</v>
      </c>
      <c r="CJ80" s="69">
        <f t="shared" si="65"/>
        <v>0</v>
      </c>
      <c r="CL80" s="54">
        <f t="shared" si="66"/>
        <v>0</v>
      </c>
      <c r="CM80" s="54">
        <f t="shared" si="67"/>
        <v>0</v>
      </c>
      <c r="CN80" s="54">
        <f t="shared" si="68"/>
        <v>0</v>
      </c>
      <c r="CO80" s="54">
        <f t="shared" si="69"/>
        <v>0</v>
      </c>
      <c r="CP80" s="54">
        <f t="shared" si="70"/>
        <v>0</v>
      </c>
      <c r="CQ80" s="54">
        <f t="shared" si="71"/>
        <v>0</v>
      </c>
      <c r="CR80" s="54">
        <f t="shared" si="72"/>
        <v>0</v>
      </c>
      <c r="CT80" s="54">
        <f t="shared" si="117"/>
        <v>0</v>
      </c>
      <c r="CU80" s="54">
        <f t="shared" si="118"/>
        <v>0</v>
      </c>
      <c r="CV80" s="54">
        <f t="shared" si="119"/>
        <v>0</v>
      </c>
      <c r="CW80" s="54">
        <f t="shared" si="120"/>
        <v>0</v>
      </c>
      <c r="CX80" s="54">
        <f t="shared" si="121"/>
        <v>0</v>
      </c>
      <c r="CY80" s="54">
        <f t="shared" si="122"/>
        <v>0</v>
      </c>
      <c r="CZ80" s="54">
        <f t="shared" si="74"/>
        <v>0</v>
      </c>
      <c r="DB80" s="54">
        <f t="shared" si="123"/>
        <v>0</v>
      </c>
      <c r="DC80" s="54">
        <f t="shared" si="124"/>
        <v>0</v>
      </c>
      <c r="DD80" s="54">
        <f t="shared" si="125"/>
        <v>0</v>
      </c>
      <c r="DE80" s="54">
        <f t="shared" si="126"/>
        <v>0</v>
      </c>
      <c r="DF80" s="54">
        <f t="shared" si="127"/>
        <v>0</v>
      </c>
      <c r="DG80" s="54">
        <f t="shared" si="128"/>
        <v>0</v>
      </c>
      <c r="DH80" s="54">
        <f t="shared" si="76"/>
        <v>0</v>
      </c>
      <c r="DJ80" s="54">
        <f t="shared" si="129"/>
        <v>0</v>
      </c>
      <c r="DK80" s="54">
        <f t="shared" si="130"/>
        <v>480</v>
      </c>
      <c r="DL80" s="54">
        <f t="shared" si="131"/>
        <v>480</v>
      </c>
      <c r="DM80" s="54">
        <f t="shared" si="132"/>
        <v>480</v>
      </c>
      <c r="DN80" s="54">
        <f t="shared" si="133"/>
        <v>480</v>
      </c>
      <c r="DO80" s="54">
        <f t="shared" si="134"/>
        <v>480</v>
      </c>
      <c r="DP80" s="54">
        <f t="shared" si="135"/>
        <v>480</v>
      </c>
      <c r="DR80" s="54">
        <f>+IF(Z80&gt;0,$K80*(1-$BE80)-SUM($DJ80:DJ80),DB80)</f>
        <v>12000</v>
      </c>
      <c r="DS80" s="54">
        <f>+IF(AA80&gt;0,$K80*(1-$BE80)-SUM($DJ80:DK80),DC80)</f>
        <v>11520</v>
      </c>
      <c r="DT80" s="54">
        <f>+IF(AB80&gt;0,$K80*(1-$BE80)-SUM($DJ80:DL80),DD80)</f>
        <v>11040</v>
      </c>
      <c r="DU80" s="54">
        <f>+IF(AC80&gt;0,$K80*(1-$BE80)-SUM($DJ80:DM80),DE80)</f>
        <v>10560</v>
      </c>
      <c r="DV80" s="54">
        <f>+IF(AD80&gt;0,$K80*(1-$BE80)-SUM($DJ80:DN80),DF80)</f>
        <v>10080</v>
      </c>
      <c r="DW80" s="54">
        <f>+IF(AE80&gt;0,$K80*(1-$BE80)-SUM($DJ80:DO80),DG80)</f>
        <v>9600</v>
      </c>
      <c r="DX80" s="54">
        <f>+IF(AF80&gt;0,$K80*(1-$BE80)-SUM($DJ80:DP80),DH80)</f>
        <v>9120</v>
      </c>
      <c r="DZ80" s="54">
        <f t="shared" si="136"/>
        <v>193.97260273972603</v>
      </c>
      <c r="EA80" s="54">
        <f t="shared" si="137"/>
        <v>1152</v>
      </c>
      <c r="EB80" s="54">
        <f t="shared" si="138"/>
        <v>1104</v>
      </c>
      <c r="EC80" s="54">
        <f t="shared" si="139"/>
        <v>1056</v>
      </c>
      <c r="ED80" s="54">
        <f t="shared" si="140"/>
        <v>1008</v>
      </c>
      <c r="EE80" s="54">
        <f t="shared" si="141"/>
        <v>960</v>
      </c>
      <c r="EF80" s="54">
        <f t="shared" si="79"/>
        <v>0</v>
      </c>
      <c r="EH80" s="48"/>
      <c r="EI80" s="48"/>
      <c r="EJ80" s="48"/>
      <c r="EK80" s="48"/>
      <c r="EL80" s="48"/>
      <c r="EM80" s="48"/>
      <c r="EN80" s="48"/>
      <c r="EP80" s="48"/>
      <c r="EQ80" s="48"/>
      <c r="ER80" s="48"/>
      <c r="ES80" s="48"/>
      <c r="ET80" s="48"/>
      <c r="EU80" s="48"/>
      <c r="EV80" s="48"/>
      <c r="EX80" s="48"/>
      <c r="EY80" s="48"/>
      <c r="EZ80" s="48"/>
      <c r="FA80" s="48"/>
      <c r="FB80" s="48"/>
      <c r="FC80" s="48"/>
      <c r="FD80" s="48"/>
      <c r="FF80" s="48"/>
      <c r="FG80" s="48"/>
      <c r="FH80" s="48"/>
      <c r="FI80" s="48"/>
      <c r="FJ80" s="48"/>
      <c r="FK80" s="48"/>
      <c r="FL80" s="48"/>
      <c r="FM80" s="51">
        <v>0</v>
      </c>
      <c r="FN80" s="48">
        <v>0</v>
      </c>
      <c r="FO80" s="48">
        <f t="shared" si="80"/>
        <v>0</v>
      </c>
      <c r="FP80" s="48"/>
      <c r="FQ80" s="48"/>
      <c r="FR80" s="48"/>
      <c r="FS80" s="48"/>
      <c r="FT80" s="48"/>
      <c r="FV80" s="48">
        <f t="shared" si="81"/>
        <v>2.44</v>
      </c>
      <c r="FW80" s="48">
        <f t="shared" si="82"/>
        <v>2.44</v>
      </c>
      <c r="FX80" s="48">
        <f t="shared" si="83"/>
        <v>2.44</v>
      </c>
      <c r="FY80" s="48">
        <f t="shared" si="84"/>
        <v>2.44</v>
      </c>
      <c r="FZ80" s="48">
        <f t="shared" si="85"/>
        <v>2.44</v>
      </c>
      <c r="GA80" s="48">
        <f t="shared" si="86"/>
        <v>2.44</v>
      </c>
      <c r="GB80" s="48">
        <f t="shared" si="87"/>
        <v>2.44</v>
      </c>
    </row>
    <row r="81" spans="2:184" x14ac:dyDescent="0.2">
      <c r="B81" s="393" t="str">
        <f>Key_New!D31</f>
        <v>Rajasthan</v>
      </c>
      <c r="C81" s="394" t="str">
        <f>Key_New!B31</f>
        <v>ACME Sikar Solar Pvt Ltd</v>
      </c>
      <c r="D81" s="395" t="str">
        <f>Key_New!E31</f>
        <v>Solar</v>
      </c>
      <c r="E81" s="396" t="str">
        <f>Key_New!C31</f>
        <v>Operational</v>
      </c>
      <c r="F81" s="397">
        <f>Key_New!F31</f>
        <v>300</v>
      </c>
      <c r="G81" s="398">
        <f t="shared" si="31"/>
        <v>45838</v>
      </c>
      <c r="H81" s="399">
        <f>Key_New!O31</f>
        <v>45838</v>
      </c>
      <c r="I81" s="369">
        <f t="shared" si="35"/>
        <v>2026</v>
      </c>
      <c r="J81" s="367">
        <v>45</v>
      </c>
      <c r="K81" s="370">
        <f t="shared" si="36"/>
        <v>13500</v>
      </c>
      <c r="L81" s="368">
        <v>0.12</v>
      </c>
      <c r="M81" s="368">
        <v>0.25</v>
      </c>
      <c r="N81" s="403">
        <f>Key_New!J31</f>
        <v>3.05</v>
      </c>
      <c r="O81" s="462">
        <f t="shared" si="37"/>
        <v>0</v>
      </c>
      <c r="P81" s="54">
        <f t="shared" si="88"/>
        <v>0</v>
      </c>
      <c r="Q81" s="54">
        <f t="shared" si="88"/>
        <v>0</v>
      </c>
      <c r="R81" s="54">
        <f t="shared" si="88"/>
        <v>274</v>
      </c>
      <c r="S81" s="54">
        <f t="shared" si="88"/>
        <v>365</v>
      </c>
      <c r="T81" s="54">
        <f t="shared" si="88"/>
        <v>365</v>
      </c>
      <c r="U81" s="54">
        <f t="shared" si="88"/>
        <v>365</v>
      </c>
      <c r="V81" s="54">
        <f t="shared" si="88"/>
        <v>365</v>
      </c>
      <c r="W81" s="54">
        <f t="shared" si="88"/>
        <v>365</v>
      </c>
      <c r="Y81" s="54">
        <f t="shared" ref="Y81" si="142">IF(AND(O81=0,P81&gt;0),1,IF(X81=0,0,X81+1))</f>
        <v>0</v>
      </c>
      <c r="Z81" s="54">
        <f t="shared" si="89"/>
        <v>0</v>
      </c>
      <c r="AA81" s="54">
        <f t="shared" si="90"/>
        <v>1</v>
      </c>
      <c r="AB81" s="54">
        <f t="shared" si="91"/>
        <v>2</v>
      </c>
      <c r="AC81" s="54">
        <f t="shared" si="92"/>
        <v>3</v>
      </c>
      <c r="AD81" s="54">
        <f t="shared" si="93"/>
        <v>4</v>
      </c>
      <c r="AE81" s="54">
        <f t="shared" si="94"/>
        <v>5</v>
      </c>
      <c r="AF81" s="54">
        <f t="shared" si="94"/>
        <v>6</v>
      </c>
      <c r="AG81" s="444"/>
      <c r="AH81" s="48">
        <f t="shared" si="95"/>
        <v>0</v>
      </c>
      <c r="AI81" s="48">
        <f t="shared" si="96"/>
        <v>300</v>
      </c>
      <c r="AJ81" s="48">
        <f t="shared" si="97"/>
        <v>300</v>
      </c>
      <c r="AK81" s="48">
        <f t="shared" si="98"/>
        <v>300</v>
      </c>
      <c r="AL81" s="48">
        <f t="shared" si="99"/>
        <v>300</v>
      </c>
      <c r="AM81" s="48">
        <f t="shared" si="46"/>
        <v>300</v>
      </c>
      <c r="AN81" s="48">
        <f t="shared" si="47"/>
        <v>300</v>
      </c>
      <c r="AP81" s="61">
        <v>0.25</v>
      </c>
      <c r="AQ81" s="61">
        <v>0.25</v>
      </c>
      <c r="AR81" s="61">
        <v>0.25</v>
      </c>
      <c r="AS81" s="61">
        <v>0.25</v>
      </c>
      <c r="AT81" s="61">
        <v>0.25</v>
      </c>
      <c r="AU81" s="61">
        <v>0.25</v>
      </c>
      <c r="AV81" s="61">
        <v>0.25</v>
      </c>
      <c r="AX81" s="52">
        <f t="shared" si="100"/>
        <v>0</v>
      </c>
      <c r="AY81" s="52">
        <f t="shared" si="101"/>
        <v>493.53780821917815</v>
      </c>
      <c r="AZ81" s="52">
        <f t="shared" si="102"/>
        <v>657.45</v>
      </c>
      <c r="BA81" s="52">
        <f t="shared" si="103"/>
        <v>657.45</v>
      </c>
      <c r="BB81" s="52">
        <f t="shared" si="104"/>
        <v>657.45</v>
      </c>
      <c r="BC81" s="52">
        <f t="shared" si="53"/>
        <v>657.45</v>
      </c>
      <c r="BD81" s="52">
        <f t="shared" si="54"/>
        <v>657.45</v>
      </c>
      <c r="BE81" s="57">
        <v>0.2</v>
      </c>
      <c r="BF81" s="52">
        <f t="shared" si="105"/>
        <v>0</v>
      </c>
      <c r="BG81" s="52">
        <f t="shared" si="106"/>
        <v>324.29589041095892</v>
      </c>
      <c r="BH81" s="52">
        <f t="shared" si="107"/>
        <v>432</v>
      </c>
      <c r="BI81" s="52">
        <f t="shared" si="108"/>
        <v>432</v>
      </c>
      <c r="BJ81" s="52">
        <f t="shared" si="109"/>
        <v>432</v>
      </c>
      <c r="BK81" s="52">
        <f t="shared" si="60"/>
        <v>432</v>
      </c>
      <c r="BL81" s="52">
        <f t="shared" si="61"/>
        <v>432</v>
      </c>
      <c r="BM81" s="297">
        <v>0.04</v>
      </c>
      <c r="BN81" s="69">
        <f t="shared" si="110"/>
        <v>0</v>
      </c>
      <c r="BO81" s="69">
        <f t="shared" si="111"/>
        <v>405.36986301369865</v>
      </c>
      <c r="BP81" s="69">
        <f t="shared" si="112"/>
        <v>540</v>
      </c>
      <c r="BQ81" s="69">
        <f t="shared" si="113"/>
        <v>540</v>
      </c>
      <c r="BR81" s="69">
        <f t="shared" si="114"/>
        <v>540</v>
      </c>
      <c r="BS81" s="69">
        <f t="shared" si="115"/>
        <v>540</v>
      </c>
      <c r="BT81" s="69">
        <f t="shared" si="116"/>
        <v>540</v>
      </c>
      <c r="BV81" s="69"/>
      <c r="BW81" s="69"/>
      <c r="BX81" s="69"/>
      <c r="BY81" s="69"/>
      <c r="BZ81" s="69"/>
      <c r="CA81" s="69"/>
      <c r="CB81" s="69"/>
      <c r="CC81" s="107">
        <v>0</v>
      </c>
      <c r="CD81" s="69">
        <v>0</v>
      </c>
      <c r="CE81" s="69">
        <f t="shared" si="32"/>
        <v>0</v>
      </c>
      <c r="CF81" s="69">
        <f t="shared" si="62"/>
        <v>0</v>
      </c>
      <c r="CG81" s="69">
        <f t="shared" si="34"/>
        <v>0</v>
      </c>
      <c r="CH81" s="69">
        <f t="shared" si="63"/>
        <v>0</v>
      </c>
      <c r="CI81" s="69">
        <f t="shared" si="64"/>
        <v>0</v>
      </c>
      <c r="CJ81" s="69">
        <f t="shared" si="65"/>
        <v>0</v>
      </c>
      <c r="CL81" s="54">
        <f t="shared" si="66"/>
        <v>0</v>
      </c>
      <c r="CM81" s="54">
        <f t="shared" si="67"/>
        <v>0</v>
      </c>
      <c r="CN81" s="54">
        <f t="shared" si="68"/>
        <v>0</v>
      </c>
      <c r="CO81" s="54">
        <f t="shared" si="69"/>
        <v>0</v>
      </c>
      <c r="CP81" s="54">
        <f t="shared" si="70"/>
        <v>0</v>
      </c>
      <c r="CQ81" s="54">
        <f t="shared" si="71"/>
        <v>0</v>
      </c>
      <c r="CR81" s="54">
        <f t="shared" si="72"/>
        <v>0</v>
      </c>
      <c r="CT81" s="54">
        <f t="shared" si="117"/>
        <v>0</v>
      </c>
      <c r="CU81" s="54">
        <f t="shared" si="118"/>
        <v>0</v>
      </c>
      <c r="CV81" s="54">
        <f t="shared" si="119"/>
        <v>0</v>
      </c>
      <c r="CW81" s="54">
        <f t="shared" si="120"/>
        <v>0</v>
      </c>
      <c r="CX81" s="54">
        <f t="shared" si="121"/>
        <v>0</v>
      </c>
      <c r="CY81" s="54">
        <f t="shared" si="122"/>
        <v>0</v>
      </c>
      <c r="CZ81" s="54">
        <f t="shared" si="74"/>
        <v>0</v>
      </c>
      <c r="DB81" s="54">
        <f t="shared" si="123"/>
        <v>0</v>
      </c>
      <c r="DC81" s="54">
        <f t="shared" si="124"/>
        <v>0</v>
      </c>
      <c r="DD81" s="54">
        <f t="shared" si="125"/>
        <v>0</v>
      </c>
      <c r="DE81" s="54">
        <f t="shared" si="126"/>
        <v>0</v>
      </c>
      <c r="DF81" s="54">
        <f t="shared" si="127"/>
        <v>0</v>
      </c>
      <c r="DG81" s="54">
        <f t="shared" si="128"/>
        <v>0</v>
      </c>
      <c r="DH81" s="54">
        <f t="shared" si="76"/>
        <v>0</v>
      </c>
      <c r="DJ81" s="54">
        <f t="shared" si="129"/>
        <v>0</v>
      </c>
      <c r="DK81" s="54">
        <f t="shared" si="130"/>
        <v>0</v>
      </c>
      <c r="DL81" s="54">
        <f t="shared" si="131"/>
        <v>432</v>
      </c>
      <c r="DM81" s="54">
        <f t="shared" si="132"/>
        <v>432</v>
      </c>
      <c r="DN81" s="54">
        <f t="shared" si="133"/>
        <v>432</v>
      </c>
      <c r="DO81" s="54">
        <f t="shared" si="134"/>
        <v>432</v>
      </c>
      <c r="DP81" s="54">
        <f t="shared" si="135"/>
        <v>432</v>
      </c>
      <c r="DR81" s="54">
        <f>+IF(Z81&gt;0,$K81*(1-$BE81)-SUM($DJ81:DJ81),DB81)</f>
        <v>0</v>
      </c>
      <c r="DS81" s="54">
        <f>+IF(AA81&gt;0,$K81*(1-$BE81)-SUM($DJ81:DK81),DC81)</f>
        <v>10800</v>
      </c>
      <c r="DT81" s="54">
        <f>+IF(AB81&gt;0,$K81*(1-$BE81)-SUM($DJ81:DL81),DD81)</f>
        <v>10368</v>
      </c>
      <c r="DU81" s="54">
        <f>+IF(AC81&gt;0,$K81*(1-$BE81)-SUM($DJ81:DM81),DE81)</f>
        <v>9936</v>
      </c>
      <c r="DV81" s="54">
        <f>+IF(AD81&gt;0,$K81*(1-$BE81)-SUM($DJ81:DN81),DF81)</f>
        <v>9504</v>
      </c>
      <c r="DW81" s="54">
        <f>+IF(AE81&gt;0,$K81*(1-$BE81)-SUM($DJ81:DO81),DG81)</f>
        <v>9072</v>
      </c>
      <c r="DX81" s="54">
        <f>+IF(AF81&gt;0,$K81*(1-$BE81)-SUM($DJ81:DP81),DH81)</f>
        <v>8640</v>
      </c>
      <c r="DZ81" s="54">
        <f t="shared" si="136"/>
        <v>0</v>
      </c>
      <c r="EA81" s="54">
        <f t="shared" si="137"/>
        <v>810.7397260273973</v>
      </c>
      <c r="EB81" s="54">
        <f t="shared" si="138"/>
        <v>1036.8</v>
      </c>
      <c r="EC81" s="54">
        <f t="shared" si="139"/>
        <v>993.6</v>
      </c>
      <c r="ED81" s="54">
        <f t="shared" si="140"/>
        <v>950.40000000000009</v>
      </c>
      <c r="EE81" s="54">
        <f t="shared" si="141"/>
        <v>907.2</v>
      </c>
      <c r="EF81" s="54">
        <f t="shared" si="79"/>
        <v>0</v>
      </c>
      <c r="EH81" s="48"/>
      <c r="EI81" s="48"/>
      <c r="EJ81" s="48"/>
      <c r="EK81" s="48"/>
      <c r="EL81" s="48"/>
      <c r="EM81" s="48"/>
      <c r="EN81" s="48"/>
      <c r="EP81" s="48"/>
      <c r="EQ81" s="48"/>
      <c r="ER81" s="48"/>
      <c r="ES81" s="48"/>
      <c r="ET81" s="48"/>
      <c r="EU81" s="48"/>
      <c r="EV81" s="48"/>
      <c r="EX81" s="48"/>
      <c r="EY81" s="48"/>
      <c r="EZ81" s="48"/>
      <c r="FA81" s="48"/>
      <c r="FB81" s="48"/>
      <c r="FC81" s="48"/>
      <c r="FD81" s="48"/>
      <c r="FF81" s="48"/>
      <c r="FG81" s="48"/>
      <c r="FH81" s="48"/>
      <c r="FI81" s="48"/>
      <c r="FJ81" s="48"/>
      <c r="FK81" s="48"/>
      <c r="FL81" s="48"/>
      <c r="FM81" s="51">
        <v>0</v>
      </c>
      <c r="FN81" s="48">
        <v>0</v>
      </c>
      <c r="FO81" s="48">
        <f t="shared" si="80"/>
        <v>0</v>
      </c>
      <c r="FP81" s="48"/>
      <c r="FQ81" s="48"/>
      <c r="FR81" s="48"/>
      <c r="FS81" s="48"/>
      <c r="FT81" s="48"/>
      <c r="FV81" s="48">
        <f t="shared" si="81"/>
        <v>3.05</v>
      </c>
      <c r="FW81" s="48">
        <f t="shared" si="82"/>
        <v>3.05</v>
      </c>
      <c r="FX81" s="48">
        <f t="shared" si="83"/>
        <v>3.05</v>
      </c>
      <c r="FY81" s="48">
        <f t="shared" si="84"/>
        <v>3.05</v>
      </c>
      <c r="FZ81" s="48">
        <f t="shared" si="85"/>
        <v>3.05</v>
      </c>
      <c r="GA81" s="48">
        <f t="shared" si="86"/>
        <v>3.05</v>
      </c>
      <c r="GB81" s="48">
        <f t="shared" si="87"/>
        <v>3.05</v>
      </c>
    </row>
    <row r="82" spans="2:184" x14ac:dyDescent="0.2">
      <c r="B82" s="393" t="str">
        <f>Key_New!D32</f>
        <v>Gujarat</v>
      </c>
      <c r="C82" s="394" t="str">
        <f>Key_New!B32</f>
        <v>ACME Pokhran Solar Pvt Ltd</v>
      </c>
      <c r="D82" s="395" t="str">
        <f>Key_New!E32</f>
        <v>Wind</v>
      </c>
      <c r="E82" s="396" t="str">
        <f>Key_New!C32</f>
        <v>Operational</v>
      </c>
      <c r="F82" s="397">
        <f>Key_New!F32</f>
        <v>50</v>
      </c>
      <c r="G82" s="398">
        <f t="shared" si="31"/>
        <v>45838</v>
      </c>
      <c r="H82" s="399">
        <f>Key_New!O32</f>
        <v>45838</v>
      </c>
      <c r="I82" s="369">
        <f t="shared" si="35"/>
        <v>2026</v>
      </c>
      <c r="J82" s="367">
        <v>65</v>
      </c>
      <c r="K82" s="370">
        <f t="shared" si="36"/>
        <v>3250</v>
      </c>
      <c r="L82" s="368">
        <v>0.12</v>
      </c>
      <c r="M82" s="368">
        <v>0.25</v>
      </c>
      <c r="N82" s="403">
        <f>Key_New!J32</f>
        <v>2.9</v>
      </c>
      <c r="O82" s="462">
        <f t="shared" si="37"/>
        <v>0</v>
      </c>
      <c r="P82" s="54">
        <f t="shared" si="88"/>
        <v>0</v>
      </c>
      <c r="Q82" s="54">
        <f t="shared" si="88"/>
        <v>0</v>
      </c>
      <c r="R82" s="54">
        <f t="shared" si="88"/>
        <v>274</v>
      </c>
      <c r="S82" s="54">
        <f t="shared" si="88"/>
        <v>365</v>
      </c>
      <c r="T82" s="54">
        <f t="shared" si="88"/>
        <v>365</v>
      </c>
      <c r="U82" s="54">
        <f t="shared" si="88"/>
        <v>365</v>
      </c>
      <c r="V82" s="54">
        <f t="shared" si="88"/>
        <v>365</v>
      </c>
      <c r="W82" s="54">
        <f t="shared" si="88"/>
        <v>365</v>
      </c>
      <c r="Y82" s="54">
        <f t="shared" ref="Y82" si="143">IF(AND(O82=0,P82&gt;0),1,IF(X82=0,0,X82+1))</f>
        <v>0</v>
      </c>
      <c r="Z82" s="54">
        <f t="shared" si="89"/>
        <v>0</v>
      </c>
      <c r="AA82" s="54">
        <f t="shared" si="90"/>
        <v>1</v>
      </c>
      <c r="AB82" s="54">
        <f t="shared" si="91"/>
        <v>2</v>
      </c>
      <c r="AC82" s="54">
        <f t="shared" si="92"/>
        <v>3</v>
      </c>
      <c r="AD82" s="54">
        <f t="shared" si="93"/>
        <v>4</v>
      </c>
      <c r="AE82" s="54">
        <f t="shared" si="94"/>
        <v>5</v>
      </c>
      <c r="AF82" s="54">
        <f t="shared" si="94"/>
        <v>6</v>
      </c>
      <c r="AG82" s="444"/>
      <c r="AH82" s="48">
        <f t="shared" si="95"/>
        <v>0</v>
      </c>
      <c r="AI82" s="48">
        <f t="shared" si="96"/>
        <v>50</v>
      </c>
      <c r="AJ82" s="48">
        <f t="shared" si="97"/>
        <v>50</v>
      </c>
      <c r="AK82" s="48">
        <f t="shared" si="98"/>
        <v>50</v>
      </c>
      <c r="AL82" s="48">
        <f t="shared" si="99"/>
        <v>50</v>
      </c>
      <c r="AM82" s="48">
        <f t="shared" si="46"/>
        <v>50</v>
      </c>
      <c r="AN82" s="48">
        <f t="shared" si="47"/>
        <v>50</v>
      </c>
      <c r="AP82" s="61">
        <v>0.35</v>
      </c>
      <c r="AQ82" s="61">
        <v>0.35</v>
      </c>
      <c r="AR82" s="61">
        <v>0.35</v>
      </c>
      <c r="AS82" s="61">
        <v>0.35</v>
      </c>
      <c r="AT82" s="61">
        <v>0.35</v>
      </c>
      <c r="AU82" s="61">
        <v>0.35</v>
      </c>
      <c r="AV82" s="61">
        <v>0.35</v>
      </c>
      <c r="AX82" s="52">
        <f t="shared" si="100"/>
        <v>0</v>
      </c>
      <c r="AY82" s="52">
        <f t="shared" si="101"/>
        <v>115.15882191780823</v>
      </c>
      <c r="AZ82" s="52">
        <f t="shared" si="102"/>
        <v>153.405</v>
      </c>
      <c r="BA82" s="52">
        <f t="shared" si="103"/>
        <v>153.405</v>
      </c>
      <c r="BB82" s="52">
        <f t="shared" si="104"/>
        <v>153.405</v>
      </c>
      <c r="BC82" s="52">
        <f t="shared" si="53"/>
        <v>153.405</v>
      </c>
      <c r="BD82" s="52">
        <f t="shared" si="54"/>
        <v>153.405</v>
      </c>
      <c r="BE82" s="57">
        <v>0.2</v>
      </c>
      <c r="BF82" s="52">
        <f t="shared" si="105"/>
        <v>0</v>
      </c>
      <c r="BG82" s="52">
        <f t="shared" si="106"/>
        <v>78.07123287671233</v>
      </c>
      <c r="BH82" s="52">
        <f t="shared" si="107"/>
        <v>104</v>
      </c>
      <c r="BI82" s="52">
        <f t="shared" si="108"/>
        <v>104</v>
      </c>
      <c r="BJ82" s="52">
        <f t="shared" si="109"/>
        <v>104</v>
      </c>
      <c r="BK82" s="52">
        <f t="shared" si="60"/>
        <v>104</v>
      </c>
      <c r="BL82" s="52">
        <f t="shared" si="61"/>
        <v>104</v>
      </c>
      <c r="BM82" s="297">
        <v>0.04</v>
      </c>
      <c r="BN82" s="69">
        <f t="shared" si="110"/>
        <v>0</v>
      </c>
      <c r="BO82" s="69">
        <f t="shared" si="111"/>
        <v>97.589041095890408</v>
      </c>
      <c r="BP82" s="69">
        <f t="shared" si="112"/>
        <v>130</v>
      </c>
      <c r="BQ82" s="69">
        <f t="shared" si="113"/>
        <v>130</v>
      </c>
      <c r="BR82" s="69">
        <f t="shared" si="114"/>
        <v>130</v>
      </c>
      <c r="BS82" s="69">
        <f t="shared" si="115"/>
        <v>130</v>
      </c>
      <c r="BT82" s="69">
        <f t="shared" si="116"/>
        <v>130</v>
      </c>
      <c r="BV82" s="69"/>
      <c r="BW82" s="69"/>
      <c r="BX82" s="69"/>
      <c r="BY82" s="69"/>
      <c r="BZ82" s="69"/>
      <c r="CA82" s="69"/>
      <c r="CB82" s="69"/>
      <c r="CC82" s="107">
        <v>0</v>
      </c>
      <c r="CD82" s="69">
        <v>0</v>
      </c>
      <c r="CE82" s="69">
        <f t="shared" si="32"/>
        <v>0</v>
      </c>
      <c r="CF82" s="69">
        <f t="shared" si="62"/>
        <v>0</v>
      </c>
      <c r="CG82" s="69">
        <f t="shared" si="34"/>
        <v>0</v>
      </c>
      <c r="CH82" s="69">
        <f t="shared" si="63"/>
        <v>0</v>
      </c>
      <c r="CI82" s="69">
        <f t="shared" si="64"/>
        <v>0</v>
      </c>
      <c r="CJ82" s="69">
        <f t="shared" si="65"/>
        <v>0</v>
      </c>
      <c r="CL82" s="54">
        <f t="shared" si="66"/>
        <v>0</v>
      </c>
      <c r="CM82" s="54">
        <f t="shared" si="67"/>
        <v>0</v>
      </c>
      <c r="CN82" s="54">
        <f t="shared" si="68"/>
        <v>0</v>
      </c>
      <c r="CO82" s="54">
        <f t="shared" si="69"/>
        <v>0</v>
      </c>
      <c r="CP82" s="54">
        <f t="shared" si="70"/>
        <v>0</v>
      </c>
      <c r="CQ82" s="54">
        <f t="shared" si="71"/>
        <v>0</v>
      </c>
      <c r="CR82" s="54">
        <f t="shared" si="72"/>
        <v>0</v>
      </c>
      <c r="CT82" s="54">
        <f t="shared" si="117"/>
        <v>0</v>
      </c>
      <c r="CU82" s="54">
        <f t="shared" si="118"/>
        <v>0</v>
      </c>
      <c r="CV82" s="54">
        <f t="shared" si="119"/>
        <v>0</v>
      </c>
      <c r="CW82" s="54">
        <f t="shared" si="120"/>
        <v>0</v>
      </c>
      <c r="CX82" s="54">
        <f t="shared" si="121"/>
        <v>0</v>
      </c>
      <c r="CY82" s="54">
        <f t="shared" si="122"/>
        <v>0</v>
      </c>
      <c r="CZ82" s="54">
        <f t="shared" si="74"/>
        <v>0</v>
      </c>
      <c r="DB82" s="54">
        <f t="shared" si="123"/>
        <v>0</v>
      </c>
      <c r="DC82" s="54">
        <f t="shared" si="124"/>
        <v>0</v>
      </c>
      <c r="DD82" s="54">
        <f t="shared" si="125"/>
        <v>0</v>
      </c>
      <c r="DE82" s="54">
        <f t="shared" si="126"/>
        <v>0</v>
      </c>
      <c r="DF82" s="54">
        <f t="shared" si="127"/>
        <v>0</v>
      </c>
      <c r="DG82" s="54">
        <f t="shared" si="128"/>
        <v>0</v>
      </c>
      <c r="DH82" s="54">
        <f t="shared" si="76"/>
        <v>0</v>
      </c>
      <c r="DJ82" s="54">
        <f t="shared" si="129"/>
        <v>0</v>
      </c>
      <c r="DK82" s="54">
        <f t="shared" si="130"/>
        <v>0</v>
      </c>
      <c r="DL82" s="54">
        <f t="shared" si="131"/>
        <v>104</v>
      </c>
      <c r="DM82" s="54">
        <f t="shared" si="132"/>
        <v>104</v>
      </c>
      <c r="DN82" s="54">
        <f t="shared" si="133"/>
        <v>104</v>
      </c>
      <c r="DO82" s="54">
        <f t="shared" si="134"/>
        <v>104</v>
      </c>
      <c r="DP82" s="54">
        <f t="shared" si="135"/>
        <v>104</v>
      </c>
      <c r="DR82" s="54">
        <f>+IF(Z82&gt;0,$K82*(1-$BE82)-SUM($DJ82:DJ82),DB82)</f>
        <v>0</v>
      </c>
      <c r="DS82" s="54">
        <f>+IF(AA82&gt;0,$K82*(1-$BE82)-SUM($DJ82:DK82),DC82)</f>
        <v>2600</v>
      </c>
      <c r="DT82" s="54">
        <f>+IF(AB82&gt;0,$K82*(1-$BE82)-SUM($DJ82:DL82),DD82)</f>
        <v>2496</v>
      </c>
      <c r="DU82" s="54">
        <f>+IF(AC82&gt;0,$K82*(1-$BE82)-SUM($DJ82:DM82),DE82)</f>
        <v>2392</v>
      </c>
      <c r="DV82" s="54">
        <f>+IF(AD82&gt;0,$K82*(1-$BE82)-SUM($DJ82:DN82),DF82)</f>
        <v>2288</v>
      </c>
      <c r="DW82" s="54">
        <f>+IF(AE82&gt;0,$K82*(1-$BE82)-SUM($DJ82:DO82),DG82)</f>
        <v>2184</v>
      </c>
      <c r="DX82" s="54">
        <f>+IF(AF82&gt;0,$K82*(1-$BE82)-SUM($DJ82:DP82),DH82)</f>
        <v>2080</v>
      </c>
      <c r="DZ82" s="54">
        <f t="shared" si="136"/>
        <v>0</v>
      </c>
      <c r="EA82" s="54">
        <f t="shared" si="137"/>
        <v>195.17808219178082</v>
      </c>
      <c r="EB82" s="54">
        <f t="shared" si="138"/>
        <v>249.60000000000002</v>
      </c>
      <c r="EC82" s="54">
        <f t="shared" si="139"/>
        <v>239.20000000000002</v>
      </c>
      <c r="ED82" s="54">
        <f t="shared" si="140"/>
        <v>228.8</v>
      </c>
      <c r="EE82" s="54">
        <f t="shared" si="141"/>
        <v>218.4</v>
      </c>
      <c r="EF82" s="54">
        <f t="shared" si="79"/>
        <v>0</v>
      </c>
      <c r="EH82" s="48"/>
      <c r="EI82" s="48"/>
      <c r="EJ82" s="48"/>
      <c r="EK82" s="48"/>
      <c r="EL82" s="48"/>
      <c r="EM82" s="48"/>
      <c r="EN82" s="48"/>
      <c r="EP82" s="48"/>
      <c r="EQ82" s="48"/>
      <c r="ER82" s="48"/>
      <c r="ES82" s="48"/>
      <c r="ET82" s="48"/>
      <c r="EU82" s="48"/>
      <c r="EV82" s="48"/>
      <c r="EX82" s="48"/>
      <c r="EY82" s="48"/>
      <c r="EZ82" s="48"/>
      <c r="FA82" s="48"/>
      <c r="FB82" s="48"/>
      <c r="FC82" s="48"/>
      <c r="FD82" s="48"/>
      <c r="FF82" s="48"/>
      <c r="FG82" s="48"/>
      <c r="FH82" s="48"/>
      <c r="FI82" s="48"/>
      <c r="FJ82" s="48"/>
      <c r="FK82" s="48"/>
      <c r="FL82" s="48"/>
      <c r="FM82" s="51">
        <v>0</v>
      </c>
      <c r="FN82" s="48">
        <v>0</v>
      </c>
      <c r="FO82" s="48">
        <f t="shared" si="80"/>
        <v>0</v>
      </c>
      <c r="FP82" s="48"/>
      <c r="FQ82" s="48"/>
      <c r="FR82" s="48"/>
      <c r="FS82" s="48"/>
      <c r="FT82" s="48"/>
      <c r="FV82" s="48">
        <f t="shared" si="81"/>
        <v>2.9</v>
      </c>
      <c r="FW82" s="48">
        <f t="shared" si="82"/>
        <v>2.9</v>
      </c>
      <c r="FX82" s="48">
        <f t="shared" si="83"/>
        <v>2.9</v>
      </c>
      <c r="FY82" s="48">
        <f t="shared" si="84"/>
        <v>2.9</v>
      </c>
      <c r="FZ82" s="48">
        <f t="shared" si="85"/>
        <v>2.9</v>
      </c>
      <c r="GA82" s="48">
        <f t="shared" si="86"/>
        <v>2.9</v>
      </c>
      <c r="GB82" s="48">
        <f t="shared" si="87"/>
        <v>2.9</v>
      </c>
    </row>
    <row r="83" spans="2:184" x14ac:dyDescent="0.2">
      <c r="B83" s="393" t="str">
        <f>Key_New!D33</f>
        <v>Gujarat</v>
      </c>
      <c r="C83" s="394" t="str">
        <f>Key_New!B33</f>
        <v>ACME Eco Clean Energy Pvt Ltd (Ph I-II)</v>
      </c>
      <c r="D83" s="395" t="str">
        <f>Key_New!E33</f>
        <v>Wind</v>
      </c>
      <c r="E83" s="396" t="str">
        <f>Key_New!C33</f>
        <v>Operational</v>
      </c>
      <c r="F83" s="397">
        <f>Key_New!F33</f>
        <v>72</v>
      </c>
      <c r="G83" s="398">
        <f t="shared" si="31"/>
        <v>46053</v>
      </c>
      <c r="H83" s="399">
        <f>Key_New!O33</f>
        <v>46053</v>
      </c>
      <c r="I83" s="369">
        <f t="shared" si="35"/>
        <v>2026</v>
      </c>
      <c r="J83" s="367">
        <v>65</v>
      </c>
      <c r="K83" s="370">
        <f t="shared" si="36"/>
        <v>4680</v>
      </c>
      <c r="L83" s="368">
        <v>0.12</v>
      </c>
      <c r="M83" s="368">
        <v>0.25</v>
      </c>
      <c r="N83" s="403">
        <f>Key_New!J33</f>
        <v>3.01</v>
      </c>
      <c r="O83" s="462">
        <f t="shared" si="37"/>
        <v>0</v>
      </c>
      <c r="P83" s="54">
        <f t="shared" si="88"/>
        <v>0</v>
      </c>
      <c r="Q83" s="54">
        <f t="shared" si="88"/>
        <v>0</v>
      </c>
      <c r="R83" s="54">
        <f t="shared" si="88"/>
        <v>59</v>
      </c>
      <c r="S83" s="54">
        <f t="shared" si="88"/>
        <v>365</v>
      </c>
      <c r="T83" s="54">
        <f t="shared" si="88"/>
        <v>365</v>
      </c>
      <c r="U83" s="54">
        <f t="shared" si="88"/>
        <v>365</v>
      </c>
      <c r="V83" s="54">
        <f t="shared" si="88"/>
        <v>365</v>
      </c>
      <c r="W83" s="54">
        <f t="shared" si="88"/>
        <v>365</v>
      </c>
      <c r="Y83" s="54">
        <f t="shared" ref="Y83" si="144">IF(AND(O83=0,P83&gt;0),1,IF(X83=0,0,X83+1))</f>
        <v>0</v>
      </c>
      <c r="Z83" s="54">
        <f t="shared" si="89"/>
        <v>0</v>
      </c>
      <c r="AA83" s="54">
        <f t="shared" si="90"/>
        <v>1</v>
      </c>
      <c r="AB83" s="54">
        <f t="shared" si="91"/>
        <v>2</v>
      </c>
      <c r="AC83" s="54">
        <f t="shared" si="92"/>
        <v>3</v>
      </c>
      <c r="AD83" s="54">
        <f t="shared" si="93"/>
        <v>4</v>
      </c>
      <c r="AE83" s="54">
        <f t="shared" si="94"/>
        <v>5</v>
      </c>
      <c r="AF83" s="54">
        <f t="shared" si="94"/>
        <v>6</v>
      </c>
      <c r="AG83" s="444"/>
      <c r="AH83" s="48">
        <f t="shared" si="95"/>
        <v>0</v>
      </c>
      <c r="AI83" s="48">
        <f t="shared" si="96"/>
        <v>72</v>
      </c>
      <c r="AJ83" s="48">
        <f t="shared" si="97"/>
        <v>72</v>
      </c>
      <c r="AK83" s="48">
        <f t="shared" si="98"/>
        <v>72</v>
      </c>
      <c r="AL83" s="48">
        <f t="shared" si="99"/>
        <v>72</v>
      </c>
      <c r="AM83" s="48">
        <f t="shared" si="46"/>
        <v>72</v>
      </c>
      <c r="AN83" s="48">
        <f t="shared" si="47"/>
        <v>72</v>
      </c>
      <c r="AP83" s="61">
        <v>0.35</v>
      </c>
      <c r="AQ83" s="61">
        <v>0.35</v>
      </c>
      <c r="AR83" s="61">
        <v>0.35</v>
      </c>
      <c r="AS83" s="61">
        <v>0.35</v>
      </c>
      <c r="AT83" s="61">
        <v>0.35</v>
      </c>
      <c r="AU83" s="61">
        <v>0.35</v>
      </c>
      <c r="AV83" s="61">
        <v>0.35</v>
      </c>
      <c r="AX83" s="52">
        <f t="shared" si="100"/>
        <v>0</v>
      </c>
      <c r="AY83" s="52">
        <f t="shared" si="101"/>
        <v>35.707640547945203</v>
      </c>
      <c r="AZ83" s="52">
        <f t="shared" si="102"/>
        <v>220.9032</v>
      </c>
      <c r="BA83" s="52">
        <f t="shared" si="103"/>
        <v>220.9032</v>
      </c>
      <c r="BB83" s="52">
        <f t="shared" si="104"/>
        <v>220.9032</v>
      </c>
      <c r="BC83" s="52">
        <f t="shared" si="53"/>
        <v>220.9032</v>
      </c>
      <c r="BD83" s="52">
        <f t="shared" si="54"/>
        <v>220.9032</v>
      </c>
      <c r="BE83" s="57">
        <v>0.2</v>
      </c>
      <c r="BF83" s="52">
        <f t="shared" si="105"/>
        <v>0</v>
      </c>
      <c r="BG83" s="298">
        <f t="shared" si="106"/>
        <v>24.207780821917808</v>
      </c>
      <c r="BH83" s="298">
        <f t="shared" si="107"/>
        <v>149.76</v>
      </c>
      <c r="BI83" s="52">
        <f t="shared" si="108"/>
        <v>149.76</v>
      </c>
      <c r="BJ83" s="52">
        <f t="shared" si="109"/>
        <v>149.76</v>
      </c>
      <c r="BK83" s="52">
        <f t="shared" si="60"/>
        <v>149.76</v>
      </c>
      <c r="BL83" s="52">
        <f t="shared" si="61"/>
        <v>149.76</v>
      </c>
      <c r="BM83" s="297">
        <v>0.04</v>
      </c>
      <c r="BN83" s="69">
        <f t="shared" si="110"/>
        <v>0</v>
      </c>
      <c r="BO83" s="69">
        <f t="shared" si="111"/>
        <v>30.259726027397264</v>
      </c>
      <c r="BP83" s="69">
        <f t="shared" si="112"/>
        <v>187.20000000000002</v>
      </c>
      <c r="BQ83" s="69">
        <f t="shared" si="113"/>
        <v>187.20000000000002</v>
      </c>
      <c r="BR83" s="69">
        <f t="shared" si="114"/>
        <v>187.20000000000002</v>
      </c>
      <c r="BS83" s="69">
        <f t="shared" si="115"/>
        <v>187.20000000000002</v>
      </c>
      <c r="BT83" s="69">
        <f t="shared" si="116"/>
        <v>187.20000000000002</v>
      </c>
      <c r="BV83" s="69"/>
      <c r="BW83" s="69"/>
      <c r="BX83" s="69"/>
      <c r="BY83" s="69"/>
      <c r="BZ83" s="69"/>
      <c r="CA83" s="69"/>
      <c r="CB83" s="69"/>
      <c r="CC83" s="107">
        <v>0</v>
      </c>
      <c r="CD83" s="69">
        <v>0</v>
      </c>
      <c r="CE83" s="69">
        <f t="shared" si="32"/>
        <v>0</v>
      </c>
      <c r="CF83" s="69">
        <f t="shared" si="62"/>
        <v>0</v>
      </c>
      <c r="CG83" s="69">
        <f t="shared" si="34"/>
        <v>0</v>
      </c>
      <c r="CH83" s="69">
        <f t="shared" si="63"/>
        <v>0</v>
      </c>
      <c r="CI83" s="69">
        <f t="shared" si="64"/>
        <v>0</v>
      </c>
      <c r="CJ83" s="69">
        <f t="shared" si="65"/>
        <v>0</v>
      </c>
      <c r="CL83" s="54">
        <f t="shared" si="66"/>
        <v>0</v>
      </c>
      <c r="CM83" s="54">
        <f t="shared" si="67"/>
        <v>0</v>
      </c>
      <c r="CN83" s="54">
        <f t="shared" si="68"/>
        <v>0</v>
      </c>
      <c r="CO83" s="54">
        <f t="shared" si="69"/>
        <v>0</v>
      </c>
      <c r="CP83" s="54">
        <f t="shared" si="70"/>
        <v>0</v>
      </c>
      <c r="CQ83" s="54">
        <f t="shared" si="71"/>
        <v>0</v>
      </c>
      <c r="CR83" s="54">
        <f t="shared" si="72"/>
        <v>0</v>
      </c>
      <c r="CT83" s="54">
        <f t="shared" si="117"/>
        <v>0</v>
      </c>
      <c r="CU83" s="54">
        <f t="shared" si="118"/>
        <v>0</v>
      </c>
      <c r="CV83" s="54">
        <f t="shared" si="119"/>
        <v>0</v>
      </c>
      <c r="CW83" s="54">
        <f t="shared" si="120"/>
        <v>0</v>
      </c>
      <c r="CX83" s="54">
        <f t="shared" si="121"/>
        <v>0</v>
      </c>
      <c r="CY83" s="54">
        <f t="shared" si="122"/>
        <v>0</v>
      </c>
      <c r="CZ83" s="54">
        <f t="shared" si="74"/>
        <v>0</v>
      </c>
      <c r="DB83" s="54">
        <f t="shared" si="123"/>
        <v>0</v>
      </c>
      <c r="DC83" s="54">
        <f t="shared" si="124"/>
        <v>0</v>
      </c>
      <c r="DD83" s="54">
        <f t="shared" si="125"/>
        <v>0</v>
      </c>
      <c r="DE83" s="54">
        <f t="shared" si="126"/>
        <v>0</v>
      </c>
      <c r="DF83" s="54">
        <f t="shared" si="127"/>
        <v>0</v>
      </c>
      <c r="DG83" s="54">
        <f t="shared" si="128"/>
        <v>0</v>
      </c>
      <c r="DH83" s="54">
        <f t="shared" si="76"/>
        <v>0</v>
      </c>
      <c r="DJ83" s="54">
        <f t="shared" si="129"/>
        <v>0</v>
      </c>
      <c r="DK83" s="54">
        <f t="shared" si="130"/>
        <v>0</v>
      </c>
      <c r="DL83" s="54">
        <f t="shared" si="131"/>
        <v>149.76</v>
      </c>
      <c r="DM83" s="54">
        <f t="shared" si="132"/>
        <v>149.76</v>
      </c>
      <c r="DN83" s="54">
        <f t="shared" si="133"/>
        <v>149.76</v>
      </c>
      <c r="DO83" s="54">
        <f t="shared" si="134"/>
        <v>149.76</v>
      </c>
      <c r="DP83" s="54">
        <f t="shared" si="135"/>
        <v>149.76</v>
      </c>
      <c r="DR83" s="54">
        <f>+IF(Z83&gt;0,$K83*(1-$BE83)-SUM($DJ83:DJ83),DB83)</f>
        <v>0</v>
      </c>
      <c r="DS83" s="54">
        <f>+IF(AA83&gt;0,$K83*(1-$BE83)-SUM($DJ83:DK83),DC83)</f>
        <v>3744</v>
      </c>
      <c r="DT83" s="54">
        <f>+IF(AB83&gt;0,$K83*(1-$BE83)-SUM($DJ83:DL83),DD83)</f>
        <v>3594.24</v>
      </c>
      <c r="DU83" s="54">
        <f>+IF(AC83&gt;0,$K83*(1-$BE83)-SUM($DJ83:DM83),DE83)</f>
        <v>3444.48</v>
      </c>
      <c r="DV83" s="54">
        <f>+IF(AD83&gt;0,$K83*(1-$BE83)-SUM($DJ83:DN83),DF83)</f>
        <v>3294.7200000000003</v>
      </c>
      <c r="DW83" s="54">
        <f>+IF(AE83&gt;0,$K83*(1-$BE83)-SUM($DJ83:DO83),DG83)</f>
        <v>3144.96</v>
      </c>
      <c r="DX83" s="54">
        <f>+IF(AF83&gt;0,$K83*(1-$BE83)-SUM($DJ83:DP83),DH83)</f>
        <v>2995.2</v>
      </c>
      <c r="DZ83" s="54">
        <f t="shared" si="136"/>
        <v>0</v>
      </c>
      <c r="EA83" s="54">
        <f t="shared" si="137"/>
        <v>60.519452054794527</v>
      </c>
      <c r="EB83" s="54">
        <f t="shared" si="138"/>
        <v>359.42399999999998</v>
      </c>
      <c r="EC83" s="54">
        <f t="shared" si="139"/>
        <v>344.44800000000004</v>
      </c>
      <c r="ED83" s="54">
        <f t="shared" si="140"/>
        <v>329.47200000000004</v>
      </c>
      <c r="EE83" s="54">
        <f t="shared" si="141"/>
        <v>314.49600000000004</v>
      </c>
      <c r="EF83" s="54">
        <f t="shared" si="79"/>
        <v>0</v>
      </c>
      <c r="EH83" s="48"/>
      <c r="EI83" s="48"/>
      <c r="EJ83" s="48"/>
      <c r="EK83" s="48"/>
      <c r="EL83" s="48"/>
      <c r="EM83" s="48"/>
      <c r="EN83" s="48"/>
      <c r="EP83" s="48"/>
      <c r="EQ83" s="48"/>
      <c r="ER83" s="48"/>
      <c r="ES83" s="48"/>
      <c r="ET83" s="48"/>
      <c r="EU83" s="48"/>
      <c r="EV83" s="48"/>
      <c r="EX83" s="48"/>
      <c r="EY83" s="48"/>
      <c r="EZ83" s="48"/>
      <c r="FA83" s="48"/>
      <c r="FB83" s="48"/>
      <c r="FC83" s="48"/>
      <c r="FD83" s="48"/>
      <c r="FF83" s="48"/>
      <c r="FG83" s="48"/>
      <c r="FH83" s="48"/>
      <c r="FI83" s="48"/>
      <c r="FJ83" s="48"/>
      <c r="FK83" s="48"/>
      <c r="FL83" s="48"/>
      <c r="FM83" s="51">
        <v>0</v>
      </c>
      <c r="FN83" s="48">
        <v>0</v>
      </c>
      <c r="FO83" s="48">
        <f t="shared" si="80"/>
        <v>0</v>
      </c>
      <c r="FP83" s="48"/>
      <c r="FQ83" s="48"/>
      <c r="FR83" s="48"/>
      <c r="FS83" s="48"/>
      <c r="FT83" s="48"/>
      <c r="FV83" s="48">
        <f t="shared" si="81"/>
        <v>3.01</v>
      </c>
      <c r="FW83" s="48">
        <f t="shared" si="82"/>
        <v>3.01</v>
      </c>
      <c r="FX83" s="48">
        <f t="shared" si="83"/>
        <v>3.01</v>
      </c>
      <c r="FY83" s="48">
        <f t="shared" si="84"/>
        <v>3.01</v>
      </c>
      <c r="FZ83" s="48">
        <f t="shared" si="85"/>
        <v>3.01</v>
      </c>
      <c r="GA83" s="48">
        <f t="shared" si="86"/>
        <v>3.01</v>
      </c>
      <c r="GB83" s="48">
        <f t="shared" si="87"/>
        <v>3.01</v>
      </c>
    </row>
    <row r="84" spans="2:184" x14ac:dyDescent="0.2">
      <c r="B84" s="393" t="str">
        <f>Key_New!D34</f>
        <v>Gujarat</v>
      </c>
      <c r="C84" s="394" t="str">
        <f>Key_New!B34</f>
        <v>ACME Eco Clean Energy Pvt Ltd (Ph III)</v>
      </c>
      <c r="D84" s="395" t="str">
        <f>Key_New!E34</f>
        <v>Wind</v>
      </c>
      <c r="E84" s="396" t="str">
        <f>Key_New!C34</f>
        <v>Operational</v>
      </c>
      <c r="F84" s="397">
        <f>Key_New!F34</f>
        <v>20</v>
      </c>
      <c r="G84" s="398">
        <f t="shared" ref="G84:G115" si="145">IF(NOT(ISNUMBER($H84)),"",IF($H84&lt;=DATE(2026,3,31),$H84,EDATE($H84,-IF($D84="BESS",$S$19,$S$26))))</f>
        <v>46112</v>
      </c>
      <c r="H84" s="399">
        <f>Key_New!O34</f>
        <v>46112</v>
      </c>
      <c r="I84" s="369">
        <f t="shared" si="35"/>
        <v>2026</v>
      </c>
      <c r="J84" s="367">
        <v>65</v>
      </c>
      <c r="K84" s="370">
        <f t="shared" si="36"/>
        <v>1300</v>
      </c>
      <c r="L84" s="368">
        <v>0.12</v>
      </c>
      <c r="M84" s="368">
        <v>0.25</v>
      </c>
      <c r="N84" s="403">
        <f>Key_New!J34</f>
        <v>3.01</v>
      </c>
      <c r="O84" s="462">
        <f t="shared" si="37"/>
        <v>0</v>
      </c>
      <c r="P84" s="54">
        <f t="shared" si="88"/>
        <v>0</v>
      </c>
      <c r="Q84" s="54">
        <f t="shared" si="88"/>
        <v>0</v>
      </c>
      <c r="R84" s="54">
        <f t="shared" si="88"/>
        <v>0</v>
      </c>
      <c r="S84" s="54">
        <f t="shared" si="88"/>
        <v>365</v>
      </c>
      <c r="T84" s="54">
        <f t="shared" si="88"/>
        <v>365</v>
      </c>
      <c r="U84" s="54">
        <f t="shared" si="88"/>
        <v>365</v>
      </c>
      <c r="V84" s="54">
        <f t="shared" si="88"/>
        <v>365</v>
      </c>
      <c r="W84" s="54">
        <f t="shared" si="88"/>
        <v>365</v>
      </c>
      <c r="Y84" s="54">
        <f t="shared" ref="Y84" si="146">IF(AND(O84=0,P84&gt;0),1,IF(X84=0,0,X84+1))</f>
        <v>0</v>
      </c>
      <c r="Z84" s="54">
        <f t="shared" si="89"/>
        <v>0</v>
      </c>
      <c r="AA84" s="54">
        <f t="shared" si="90"/>
        <v>0</v>
      </c>
      <c r="AB84" s="54">
        <f t="shared" si="91"/>
        <v>1</v>
      </c>
      <c r="AC84" s="54">
        <f t="shared" si="92"/>
        <v>2</v>
      </c>
      <c r="AD84" s="54">
        <f t="shared" si="93"/>
        <v>3</v>
      </c>
      <c r="AE84" s="54">
        <f t="shared" si="94"/>
        <v>4</v>
      </c>
      <c r="AF84" s="54">
        <f t="shared" si="94"/>
        <v>5</v>
      </c>
      <c r="AG84" s="444"/>
      <c r="AH84" s="48">
        <f t="shared" si="95"/>
        <v>0</v>
      </c>
      <c r="AI84" s="48">
        <f t="shared" si="96"/>
        <v>0</v>
      </c>
      <c r="AJ84" s="48">
        <f t="shared" si="97"/>
        <v>20</v>
      </c>
      <c r="AK84" s="48">
        <f t="shared" si="98"/>
        <v>20</v>
      </c>
      <c r="AL84" s="48">
        <f t="shared" si="99"/>
        <v>20</v>
      </c>
      <c r="AM84" s="48">
        <f t="shared" si="46"/>
        <v>20</v>
      </c>
      <c r="AN84" s="48">
        <f t="shared" si="47"/>
        <v>20</v>
      </c>
      <c r="AP84" s="61">
        <v>0.35</v>
      </c>
      <c r="AQ84" s="61">
        <v>0.35</v>
      </c>
      <c r="AR84" s="61">
        <v>0.35</v>
      </c>
      <c r="AS84" s="61">
        <v>0.35</v>
      </c>
      <c r="AT84" s="61">
        <v>0.35</v>
      </c>
      <c r="AU84" s="61">
        <v>0.35</v>
      </c>
      <c r="AV84" s="61">
        <v>0.35</v>
      </c>
      <c r="AX84" s="52">
        <f t="shared" si="100"/>
        <v>0</v>
      </c>
      <c r="AY84" s="52">
        <f t="shared" si="101"/>
        <v>0</v>
      </c>
      <c r="AZ84" s="52">
        <f t="shared" si="102"/>
        <v>61.361999999999995</v>
      </c>
      <c r="BA84" s="52">
        <f t="shared" si="103"/>
        <v>61.361999999999995</v>
      </c>
      <c r="BB84" s="52">
        <f t="shared" si="104"/>
        <v>61.361999999999995</v>
      </c>
      <c r="BC84" s="52">
        <f t="shared" si="53"/>
        <v>61.361999999999995</v>
      </c>
      <c r="BD84" s="52">
        <f t="shared" si="54"/>
        <v>61.361999999999995</v>
      </c>
      <c r="BE84" s="57">
        <v>0.2</v>
      </c>
      <c r="BF84" s="52">
        <f t="shared" si="105"/>
        <v>0</v>
      </c>
      <c r="BG84" s="298">
        <f t="shared" si="106"/>
        <v>0</v>
      </c>
      <c r="BH84" s="298">
        <f t="shared" si="107"/>
        <v>41.6</v>
      </c>
      <c r="BI84" s="52">
        <f t="shared" si="108"/>
        <v>41.6</v>
      </c>
      <c r="BJ84" s="52">
        <f t="shared" si="109"/>
        <v>41.6</v>
      </c>
      <c r="BK84" s="52">
        <f t="shared" si="60"/>
        <v>41.6</v>
      </c>
      <c r="BL84" s="52">
        <f t="shared" si="61"/>
        <v>41.6</v>
      </c>
      <c r="BM84" s="297">
        <v>0.04</v>
      </c>
      <c r="BN84" s="69">
        <f t="shared" si="110"/>
        <v>0</v>
      </c>
      <c r="BO84" s="69">
        <f t="shared" si="111"/>
        <v>0</v>
      </c>
      <c r="BP84" s="69">
        <f t="shared" si="112"/>
        <v>52</v>
      </c>
      <c r="BQ84" s="69">
        <f t="shared" si="113"/>
        <v>52</v>
      </c>
      <c r="BR84" s="69">
        <f t="shared" si="114"/>
        <v>52</v>
      </c>
      <c r="BS84" s="69">
        <f t="shared" si="115"/>
        <v>52</v>
      </c>
      <c r="BT84" s="69">
        <f t="shared" si="116"/>
        <v>52</v>
      </c>
      <c r="BV84" s="69"/>
      <c r="BW84" s="69"/>
      <c r="BX84" s="69"/>
      <c r="BY84" s="69"/>
      <c r="BZ84" s="69"/>
      <c r="CA84" s="69"/>
      <c r="CB84" s="69"/>
      <c r="CC84" s="107">
        <v>0</v>
      </c>
      <c r="CD84" s="69">
        <v>0</v>
      </c>
      <c r="CE84" s="69">
        <f t="shared" si="32"/>
        <v>0</v>
      </c>
      <c r="CF84" s="69">
        <f t="shared" si="62"/>
        <v>0</v>
      </c>
      <c r="CG84" s="69">
        <f t="shared" si="34"/>
        <v>0</v>
      </c>
      <c r="CH84" s="69">
        <f t="shared" si="63"/>
        <v>0</v>
      </c>
      <c r="CI84" s="69">
        <f t="shared" si="64"/>
        <v>0</v>
      </c>
      <c r="CJ84" s="69">
        <f t="shared" si="65"/>
        <v>0</v>
      </c>
      <c r="CL84" s="54">
        <f t="shared" si="66"/>
        <v>0</v>
      </c>
      <c r="CM84" s="54">
        <f t="shared" si="67"/>
        <v>0</v>
      </c>
      <c r="CN84" s="54">
        <f t="shared" si="68"/>
        <v>0</v>
      </c>
      <c r="CO84" s="54">
        <f t="shared" si="69"/>
        <v>0</v>
      </c>
      <c r="CP84" s="54">
        <f t="shared" si="70"/>
        <v>0</v>
      </c>
      <c r="CQ84" s="54">
        <f t="shared" si="71"/>
        <v>0</v>
      </c>
      <c r="CR84" s="54">
        <f t="shared" si="72"/>
        <v>0</v>
      </c>
      <c r="CT84" s="54">
        <f t="shared" si="117"/>
        <v>0</v>
      </c>
      <c r="CU84" s="54">
        <f t="shared" si="118"/>
        <v>0</v>
      </c>
      <c r="CV84" s="54">
        <f t="shared" si="119"/>
        <v>0</v>
      </c>
      <c r="CW84" s="54">
        <f t="shared" si="120"/>
        <v>0</v>
      </c>
      <c r="CX84" s="54">
        <f t="shared" si="121"/>
        <v>0</v>
      </c>
      <c r="CY84" s="54">
        <f t="shared" si="122"/>
        <v>0</v>
      </c>
      <c r="CZ84" s="54">
        <f t="shared" si="74"/>
        <v>0</v>
      </c>
      <c r="DB84" s="54">
        <f t="shared" si="123"/>
        <v>0</v>
      </c>
      <c r="DC84" s="54">
        <f t="shared" si="124"/>
        <v>0</v>
      </c>
      <c r="DD84" s="54">
        <f t="shared" si="125"/>
        <v>0</v>
      </c>
      <c r="DE84" s="54">
        <f t="shared" si="126"/>
        <v>0</v>
      </c>
      <c r="DF84" s="54">
        <f t="shared" si="127"/>
        <v>0</v>
      </c>
      <c r="DG84" s="54">
        <f t="shared" si="128"/>
        <v>0</v>
      </c>
      <c r="DH84" s="54">
        <f t="shared" si="76"/>
        <v>0</v>
      </c>
      <c r="DJ84" s="54">
        <f t="shared" si="129"/>
        <v>0</v>
      </c>
      <c r="DK84" s="54">
        <f t="shared" si="130"/>
        <v>0</v>
      </c>
      <c r="DL84" s="54">
        <f t="shared" si="131"/>
        <v>0</v>
      </c>
      <c r="DM84" s="54">
        <f t="shared" si="132"/>
        <v>41.6</v>
      </c>
      <c r="DN84" s="54">
        <f t="shared" si="133"/>
        <v>41.6</v>
      </c>
      <c r="DO84" s="54">
        <f t="shared" si="134"/>
        <v>41.6</v>
      </c>
      <c r="DP84" s="54">
        <f t="shared" si="135"/>
        <v>41.6</v>
      </c>
      <c r="DR84" s="54">
        <f>+IF(Z84&gt;0,$K84*(1-$BE84)-SUM($DJ84:DJ84),DB84)</f>
        <v>0</v>
      </c>
      <c r="DS84" s="54">
        <f>+IF(AA84&gt;0,$K84*(1-$BE84)-SUM($DJ84:DK84),DC84)</f>
        <v>0</v>
      </c>
      <c r="DT84" s="54">
        <f>+IF(AB84&gt;0,$K84*(1-$BE84)-SUM($DJ84:DL84),DD84)</f>
        <v>1040</v>
      </c>
      <c r="DU84" s="54">
        <f>+IF(AC84&gt;0,$K84*(1-$BE84)-SUM($DJ84:DM84),DE84)</f>
        <v>998.4</v>
      </c>
      <c r="DV84" s="54">
        <f>+IF(AD84&gt;0,$K84*(1-$BE84)-SUM($DJ84:DN84),DF84)</f>
        <v>956.8</v>
      </c>
      <c r="DW84" s="54">
        <f>+IF(AE84&gt;0,$K84*(1-$BE84)-SUM($DJ84:DO84),DG84)</f>
        <v>915.2</v>
      </c>
      <c r="DX84" s="54">
        <f>+IF(AF84&gt;0,$K84*(1-$BE84)-SUM($DJ84:DP84),DH84)</f>
        <v>873.6</v>
      </c>
      <c r="DZ84" s="54">
        <f t="shared" si="136"/>
        <v>0</v>
      </c>
      <c r="EA84" s="54">
        <f t="shared" si="137"/>
        <v>0</v>
      </c>
      <c r="EB84" s="54">
        <f t="shared" si="138"/>
        <v>104</v>
      </c>
      <c r="EC84" s="54">
        <f t="shared" si="139"/>
        <v>99.84</v>
      </c>
      <c r="ED84" s="54">
        <f t="shared" si="140"/>
        <v>95.68</v>
      </c>
      <c r="EE84" s="54">
        <f t="shared" si="141"/>
        <v>91.52000000000001</v>
      </c>
      <c r="EF84" s="54">
        <f t="shared" si="79"/>
        <v>0</v>
      </c>
      <c r="EH84" s="48"/>
      <c r="EI84" s="48"/>
      <c r="EJ84" s="48"/>
      <c r="EK84" s="48"/>
      <c r="EL84" s="48"/>
      <c r="EM84" s="48"/>
      <c r="EN84" s="48"/>
      <c r="EP84" s="48"/>
      <c r="EQ84" s="48"/>
      <c r="ER84" s="48"/>
      <c r="ES84" s="48"/>
      <c r="ET84" s="48"/>
      <c r="EU84" s="48"/>
      <c r="EV84" s="48"/>
      <c r="EX84" s="48"/>
      <c r="EY84" s="48"/>
      <c r="EZ84" s="48"/>
      <c r="FA84" s="48"/>
      <c r="FB84" s="48"/>
      <c r="FC84" s="48"/>
      <c r="FD84" s="48"/>
      <c r="FF84" s="48"/>
      <c r="FG84" s="48"/>
      <c r="FH84" s="48"/>
      <c r="FI84" s="48"/>
      <c r="FJ84" s="48"/>
      <c r="FK84" s="48"/>
      <c r="FL84" s="48"/>
      <c r="FM84" s="51">
        <v>0</v>
      </c>
      <c r="FN84" s="48">
        <v>0</v>
      </c>
      <c r="FO84" s="48">
        <f t="shared" si="80"/>
        <v>0</v>
      </c>
      <c r="FP84" s="48"/>
      <c r="FQ84" s="48"/>
      <c r="FR84" s="48"/>
      <c r="FS84" s="48"/>
      <c r="FT84" s="48"/>
      <c r="FV84" s="48">
        <f t="shared" si="81"/>
        <v>3.01</v>
      </c>
      <c r="FW84" s="48">
        <f t="shared" si="82"/>
        <v>3.01</v>
      </c>
      <c r="FX84" s="48">
        <f t="shared" si="83"/>
        <v>3.01</v>
      </c>
      <c r="FY84" s="48">
        <f t="shared" si="84"/>
        <v>3.01</v>
      </c>
      <c r="FZ84" s="48">
        <f t="shared" si="85"/>
        <v>3.01</v>
      </c>
      <c r="GA84" s="48">
        <f t="shared" si="86"/>
        <v>3.01</v>
      </c>
      <c r="GB84" s="48">
        <f t="shared" si="87"/>
        <v>3.01</v>
      </c>
    </row>
    <row r="85" spans="2:184" x14ac:dyDescent="0.2">
      <c r="B85" s="393" t="str">
        <f>Key_New!D35</f>
        <v>Gujarat</v>
      </c>
      <c r="C85" s="394" t="str">
        <f>Key_New!B35</f>
        <v>ACME Eco Clean Energy Pvt Ltd (Ph IV)</v>
      </c>
      <c r="D85" s="395" t="str">
        <f>Key_New!E35</f>
        <v>Wind</v>
      </c>
      <c r="E85" s="396" t="str">
        <f>Key_New!C35</f>
        <v>Operational</v>
      </c>
      <c r="F85" s="397">
        <f>Key_New!F35</f>
        <v>8</v>
      </c>
      <c r="G85" s="398">
        <f t="shared" si="145"/>
        <v>45412</v>
      </c>
      <c r="H85" s="399">
        <f>Key_New!O35</f>
        <v>46142</v>
      </c>
      <c r="I85" s="369">
        <f t="shared" si="35"/>
        <v>2027</v>
      </c>
      <c r="J85" s="367">
        <v>65</v>
      </c>
      <c r="K85" s="370">
        <f t="shared" si="36"/>
        <v>520</v>
      </c>
      <c r="L85" s="368">
        <v>0.12</v>
      </c>
      <c r="M85" s="368">
        <v>0.25</v>
      </c>
      <c r="N85" s="403">
        <f>Key_New!J35</f>
        <v>3.01</v>
      </c>
      <c r="O85" s="462">
        <f t="shared" ref="O85:O116" si="147">IF(OR(NOT(ISNUMBER($G85)),NOT(ISNUMBER($H85)),$H85&lt;=DATE(2026,3,31)),0,MIN(1,MAX(0,(DATE(2026,3,31)-$G85)/($H85-$G85)))*$S$23)</f>
        <v>0.39401369863013697</v>
      </c>
      <c r="P85" s="54"/>
      <c r="Q85" s="54"/>
      <c r="R85" s="54"/>
      <c r="S85" s="54"/>
      <c r="T85" s="54"/>
      <c r="U85" s="54">
        <f t="shared" ref="U85:V104" si="148">IF(OR(ISERROR(U$49-$H85),(U$49-$H85)&gt;=365),365,IF((U$49-$H85)&lt;=0,0,U$49-$H85))</f>
        <v>365</v>
      </c>
      <c r="V85" s="54">
        <f t="shared" si="148"/>
        <v>365</v>
      </c>
      <c r="W85" s="54"/>
      <c r="Y85" s="54"/>
      <c r="Z85" s="54"/>
      <c r="AA85" s="54"/>
      <c r="AB85" s="54"/>
      <c r="AC85" s="54"/>
      <c r="AD85" s="54"/>
      <c r="AE85" s="54"/>
      <c r="AF85" s="54"/>
      <c r="AG85" s="444"/>
      <c r="AH85" s="48"/>
      <c r="AI85" s="48"/>
      <c r="AJ85" s="48"/>
      <c r="AK85" s="48"/>
      <c r="AL85" s="48"/>
      <c r="AM85" s="48"/>
      <c r="AN85" s="48"/>
      <c r="AP85" s="61">
        <v>0.35</v>
      </c>
      <c r="AQ85" s="61">
        <v>0.35</v>
      </c>
      <c r="AR85" s="61">
        <v>0.35</v>
      </c>
      <c r="AS85" s="61">
        <v>0.35</v>
      </c>
      <c r="AT85" s="61">
        <v>0.35</v>
      </c>
      <c r="AU85" s="61">
        <v>0.35</v>
      </c>
      <c r="AV85" s="61">
        <v>0.35</v>
      </c>
      <c r="AX85" s="52"/>
      <c r="AY85" s="52"/>
      <c r="AZ85" s="52"/>
      <c r="BA85" s="52"/>
      <c r="BB85" s="52"/>
      <c r="BC85" s="52"/>
      <c r="BD85" s="52"/>
      <c r="BE85" s="57"/>
      <c r="BF85" s="52"/>
      <c r="BG85" s="298"/>
      <c r="BH85" s="298"/>
      <c r="BI85" s="52"/>
      <c r="BJ85" s="52"/>
      <c r="BK85" s="52"/>
      <c r="BL85" s="52"/>
      <c r="BM85" s="297"/>
      <c r="BN85" s="69"/>
      <c r="BO85" s="69"/>
      <c r="BP85" s="69"/>
      <c r="BQ85" s="69"/>
      <c r="BR85" s="69"/>
      <c r="BS85" s="69"/>
      <c r="BT85" s="69"/>
      <c r="BV85" s="69"/>
      <c r="BW85" s="69"/>
      <c r="BX85" s="69"/>
      <c r="BY85" s="69"/>
      <c r="BZ85" s="69"/>
      <c r="CA85" s="69"/>
      <c r="CB85" s="69"/>
      <c r="CC85" s="107">
        <v>0</v>
      </c>
      <c r="CD85" s="69">
        <v>0</v>
      </c>
      <c r="CE85" s="513">
        <f>1-$O85</f>
        <v>0.60598630136986298</v>
      </c>
      <c r="CF85" s="69">
        <f t="shared" si="62"/>
        <v>0</v>
      </c>
      <c r="CG85" s="69">
        <f t="shared" si="34"/>
        <v>0</v>
      </c>
      <c r="CH85" s="69">
        <f t="shared" ref="CH85:CH116" si="149">IF(SUM($BX85:$CB85)=0,0,CA85/SUM($BX85:$CB85)*(1-$O85))</f>
        <v>0</v>
      </c>
      <c r="CI85" s="69">
        <f t="shared" ref="CI85:CI116" si="150">IF(SUM($BX85:$CB85)=0,0,CB85/SUM($BX85:$CB85)*(1-$O85))</f>
        <v>0</v>
      </c>
      <c r="CJ85" s="69">
        <f t="shared" ref="CJ85:CJ116" si="151">$O85+SUM(CC85:CI85)</f>
        <v>1</v>
      </c>
      <c r="CL85" s="54">
        <f t="shared" ref="CL85:CL116" si="152">IF($K85*CC85&lt;=0,,$K85*CC85)</f>
        <v>0</v>
      </c>
      <c r="CM85" s="54">
        <f t="shared" ref="CM85:CM116" si="153">IF($K85*CD85&lt;=0,,$K85*CD85)</f>
        <v>0</v>
      </c>
      <c r="CN85" s="54">
        <f t="shared" ref="CN85:CN116" si="154">IF($K85*CE85&lt;=0,,$K85*CE85)</f>
        <v>315.11287671232873</v>
      </c>
      <c r="CO85" s="54">
        <f t="shared" ref="CO85:CO116" si="155">IF($K85*CF85&lt;=0,,$K85*CF85)</f>
        <v>0</v>
      </c>
      <c r="CP85" s="54">
        <f t="shared" ref="CP85:CP116" si="156">IF($K85*CG85&lt;=0,,$K85*CG85)</f>
        <v>0</v>
      </c>
      <c r="CQ85" s="54">
        <f t="shared" ref="CQ85:CQ116" si="157">IF($K85*CH85&lt;=0,,$K85*CH85)</f>
        <v>0</v>
      </c>
      <c r="CR85" s="54">
        <f t="shared" ref="CR85:CR116" si="158">IF($K85*CI85&lt;=0,,$K85*CI85)</f>
        <v>0</v>
      </c>
      <c r="CT85" s="54"/>
      <c r="CU85" s="54"/>
      <c r="CV85" s="54"/>
      <c r="CW85" s="54"/>
      <c r="CX85" s="54"/>
      <c r="CY85" s="54"/>
      <c r="CZ85" s="54"/>
      <c r="DB85" s="54"/>
      <c r="DC85" s="54"/>
      <c r="DD85" s="54"/>
      <c r="DE85" s="54"/>
      <c r="DF85" s="54"/>
      <c r="DG85" s="54"/>
      <c r="DH85" s="54"/>
      <c r="DJ85" s="54"/>
      <c r="DK85" s="54"/>
      <c r="DL85" s="54"/>
      <c r="DM85" s="54"/>
      <c r="DN85" s="54"/>
      <c r="DO85" s="54"/>
      <c r="DP85" s="54"/>
      <c r="DR85" s="54"/>
      <c r="DS85" s="54"/>
      <c r="DT85" s="54"/>
      <c r="DU85" s="54"/>
      <c r="DV85" s="54"/>
      <c r="DW85" s="54"/>
      <c r="DX85" s="54"/>
      <c r="DZ85" s="54"/>
      <c r="EA85" s="54"/>
      <c r="EB85" s="54"/>
      <c r="EC85" s="54"/>
      <c r="ED85" s="54"/>
      <c r="EE85" s="54"/>
      <c r="EF85" s="54"/>
      <c r="EH85" s="48"/>
      <c r="EI85" s="48"/>
      <c r="EJ85" s="48"/>
      <c r="EK85" s="48"/>
      <c r="EL85" s="48"/>
      <c r="EM85" s="48"/>
      <c r="EN85" s="48"/>
      <c r="EP85" s="48"/>
      <c r="EQ85" s="48"/>
      <c r="ER85" s="48"/>
      <c r="ES85" s="48"/>
      <c r="ET85" s="48"/>
      <c r="EU85" s="48"/>
      <c r="EV85" s="48"/>
      <c r="EX85" s="48"/>
      <c r="EY85" s="48"/>
      <c r="EZ85" s="48"/>
      <c r="FA85" s="48"/>
      <c r="FB85" s="48"/>
      <c r="FC85" s="48"/>
      <c r="FD85" s="48"/>
      <c r="FF85" s="48"/>
      <c r="FG85" s="48"/>
      <c r="FH85" s="48"/>
      <c r="FI85" s="48"/>
      <c r="FJ85" s="48"/>
      <c r="FK85" s="48"/>
      <c r="FL85" s="48"/>
      <c r="FM85" s="51">
        <v>0</v>
      </c>
      <c r="FN85" s="48">
        <v>0</v>
      </c>
      <c r="FO85" s="48">
        <f t="shared" ref="FO85:FO116" si="159">IF(AA85&lt;1,$K85*$O85,0)</f>
        <v>204.88712328767122</v>
      </c>
      <c r="FP85" s="48"/>
      <c r="FQ85" s="48"/>
      <c r="FR85" s="48"/>
      <c r="FS85" s="48"/>
      <c r="FT85" s="48"/>
      <c r="FV85" s="48">
        <f t="shared" ref="FV85:FV116" si="160">IF($D85="BESS",IF(Z85&lt;=$S$18,$S$13,$S$21),$N85)</f>
        <v>3.01</v>
      </c>
      <c r="FW85" s="48">
        <f t="shared" ref="FW85:FW116" si="161">IF($D85="BESS",IF(AA85&lt;=$S$18,$S$13,$S$21),$N85)</f>
        <v>3.01</v>
      </c>
      <c r="FX85" s="48">
        <f t="shared" ref="FX85:FX116" si="162">IF($D85="BESS",IF(AB85&lt;=$S$18,$S$13,$S$21),$N85)</f>
        <v>3.01</v>
      </c>
      <c r="FY85" s="48">
        <f t="shared" ref="FY85:FY116" si="163">IF($D85="BESS",IF(AC85&lt;=$S$18,$S$13,$S$21),$N85)</f>
        <v>3.01</v>
      </c>
      <c r="FZ85" s="48">
        <f t="shared" ref="FZ85:FZ116" si="164">IF($D85="BESS",IF(AD85&lt;=$S$18,$S$13,$S$21),$N85)</f>
        <v>3.01</v>
      </c>
      <c r="GA85" s="48">
        <f t="shared" ref="GA85:GA116" si="165">IF($D85="BESS",IF(AE85&lt;=$S$18,$S$13,$S$21),$N85)</f>
        <v>3.01</v>
      </c>
      <c r="GB85" s="48">
        <f t="shared" ref="GB85:GB116" si="166">IF($D85="BESS",IF(AF85&lt;=$S$18,$S$13,$S$21),$N85)</f>
        <v>3.01</v>
      </c>
    </row>
    <row r="86" spans="2:184" x14ac:dyDescent="0.2">
      <c r="B86" s="400" t="s">
        <v>264</v>
      </c>
      <c r="C86" s="394"/>
      <c r="D86" s="396"/>
      <c r="E86" s="396"/>
      <c r="F86" s="397"/>
      <c r="G86" s="398" t="str">
        <f t="shared" si="145"/>
        <v/>
      </c>
      <c r="H86" s="399"/>
      <c r="I86" s="369"/>
      <c r="J86" s="367"/>
      <c r="K86" s="370"/>
      <c r="L86" s="368"/>
      <c r="M86" s="368"/>
      <c r="N86" s="403"/>
      <c r="O86" s="462">
        <f t="shared" si="147"/>
        <v>0</v>
      </c>
      <c r="P86" s="18"/>
      <c r="Q86" s="54"/>
      <c r="R86" s="54"/>
      <c r="S86" s="54"/>
      <c r="T86" s="54"/>
      <c r="U86" s="54"/>
      <c r="V86" s="54"/>
      <c r="W86" s="54"/>
      <c r="Y86" s="60"/>
      <c r="Z86" s="60"/>
      <c r="AA86" s="54"/>
      <c r="AB86" s="54"/>
      <c r="AC86" s="54"/>
      <c r="AD86" s="54"/>
      <c r="AE86" s="54"/>
      <c r="AF86" s="54"/>
      <c r="AG86" s="444"/>
      <c r="AH86" s="48"/>
      <c r="AI86" s="48"/>
      <c r="AJ86" s="48"/>
      <c r="AK86" s="48"/>
      <c r="AL86" s="48"/>
      <c r="AM86" s="48"/>
      <c r="AN86" s="48"/>
      <c r="AP86" s="61">
        <v>0</v>
      </c>
      <c r="AQ86" s="61">
        <v>0</v>
      </c>
      <c r="AR86" s="61">
        <v>0</v>
      </c>
      <c r="AS86" s="61">
        <v>0</v>
      </c>
      <c r="AT86" s="61">
        <v>0</v>
      </c>
      <c r="AU86" s="61">
        <v>0</v>
      </c>
      <c r="AV86" s="61">
        <v>0</v>
      </c>
      <c r="AX86" s="52"/>
      <c r="AY86" s="52"/>
      <c r="AZ86" s="52"/>
      <c r="BA86" s="52"/>
      <c r="BB86" s="52"/>
      <c r="BC86" s="52"/>
      <c r="BD86" s="52"/>
      <c r="BE86" s="57"/>
      <c r="BF86" s="52"/>
      <c r="BG86" s="82"/>
      <c r="BH86" s="82"/>
      <c r="BI86" s="48"/>
      <c r="BJ86" s="48"/>
      <c r="BK86" s="48"/>
      <c r="BL86" s="48"/>
      <c r="BM86" s="68"/>
      <c r="BN86" s="69"/>
      <c r="BO86" s="69"/>
      <c r="BP86" s="69"/>
      <c r="BQ86" s="69"/>
      <c r="BR86" s="69"/>
      <c r="BS86" s="69"/>
      <c r="BT86" s="69"/>
      <c r="BV86" s="69"/>
      <c r="BW86" s="69"/>
      <c r="BX86" s="69"/>
      <c r="BY86" s="69"/>
      <c r="BZ86" s="69"/>
      <c r="CA86" s="69"/>
      <c r="CB86" s="69"/>
      <c r="CC86" s="107">
        <v>0</v>
      </c>
      <c r="CD86" s="69">
        <v>0</v>
      </c>
      <c r="CE86" s="69">
        <f t="shared" si="32"/>
        <v>0</v>
      </c>
      <c r="CF86" s="69">
        <f t="shared" si="62"/>
        <v>0</v>
      </c>
      <c r="CG86" s="69">
        <f t="shared" si="34"/>
        <v>0</v>
      </c>
      <c r="CH86" s="69">
        <f t="shared" si="149"/>
        <v>0</v>
      </c>
      <c r="CI86" s="69">
        <f t="shared" si="150"/>
        <v>0</v>
      </c>
      <c r="CJ86" s="69">
        <f t="shared" si="151"/>
        <v>0</v>
      </c>
      <c r="CL86" s="54">
        <f t="shared" si="152"/>
        <v>0</v>
      </c>
      <c r="CM86" s="54">
        <f t="shared" si="153"/>
        <v>0</v>
      </c>
      <c r="CN86" s="54">
        <f t="shared" si="154"/>
        <v>0</v>
      </c>
      <c r="CO86" s="54">
        <f t="shared" si="155"/>
        <v>0</v>
      </c>
      <c r="CP86" s="54">
        <f t="shared" si="156"/>
        <v>0</v>
      </c>
      <c r="CQ86" s="54">
        <f t="shared" si="157"/>
        <v>0</v>
      </c>
      <c r="CR86" s="54">
        <f t="shared" si="158"/>
        <v>0</v>
      </c>
      <c r="CT86" s="54"/>
      <c r="CU86" s="54"/>
      <c r="CV86" s="54"/>
      <c r="CW86" s="54"/>
      <c r="CX86" s="54"/>
      <c r="CY86" s="54"/>
      <c r="CZ86" s="54"/>
      <c r="DB86" s="54"/>
      <c r="DC86" s="54"/>
      <c r="DD86" s="54"/>
      <c r="DE86" s="54"/>
      <c r="DF86" s="54"/>
      <c r="DG86" s="54"/>
      <c r="DH86" s="54"/>
      <c r="DJ86" s="54"/>
      <c r="DK86" s="54"/>
      <c r="DL86" s="54"/>
      <c r="DM86" s="54"/>
      <c r="DN86" s="54"/>
      <c r="DO86" s="54"/>
      <c r="DP86" s="54"/>
      <c r="DR86" s="54"/>
      <c r="DS86" s="54"/>
      <c r="DT86" s="54"/>
      <c r="DU86" s="54"/>
      <c r="DV86" s="54"/>
      <c r="DW86" s="54"/>
      <c r="DX86" s="54"/>
      <c r="DZ86" s="54"/>
      <c r="EA86" s="54"/>
      <c r="EB86" s="54"/>
      <c r="EC86" s="54"/>
      <c r="ED86" s="54"/>
      <c r="EE86" s="54"/>
      <c r="EF86" s="54"/>
      <c r="EH86" s="48"/>
      <c r="EI86" s="48"/>
      <c r="EJ86" s="48"/>
      <c r="EK86" s="48"/>
      <c r="EL86" s="48"/>
      <c r="EM86" s="48"/>
      <c r="EN86" s="48"/>
      <c r="EP86" s="48"/>
      <c r="EQ86" s="48"/>
      <c r="ER86" s="48"/>
      <c r="ES86" s="48"/>
      <c r="ET86" s="48"/>
      <c r="EU86" s="48"/>
      <c r="EV86" s="48"/>
      <c r="EX86" s="48"/>
      <c r="EY86" s="48"/>
      <c r="EZ86" s="48"/>
      <c r="FA86" s="48"/>
      <c r="FB86" s="48"/>
      <c r="FC86" s="48"/>
      <c r="FD86" s="48"/>
      <c r="FF86" s="48"/>
      <c r="FG86" s="48"/>
      <c r="FH86" s="48"/>
      <c r="FI86" s="48"/>
      <c r="FJ86" s="48"/>
      <c r="FK86" s="48"/>
      <c r="FL86" s="48"/>
      <c r="FM86" s="51">
        <v>0</v>
      </c>
      <c r="FN86" s="48">
        <v>0</v>
      </c>
      <c r="FO86" s="48">
        <f t="shared" si="159"/>
        <v>0</v>
      </c>
      <c r="FP86" s="48"/>
      <c r="FQ86" s="48"/>
      <c r="FR86" s="48"/>
      <c r="FS86" s="48"/>
      <c r="FT86" s="48"/>
      <c r="FV86" s="48">
        <f t="shared" si="160"/>
        <v>0</v>
      </c>
      <c r="FW86" s="48">
        <f t="shared" si="161"/>
        <v>0</v>
      </c>
      <c r="FX86" s="48">
        <f t="shared" si="162"/>
        <v>0</v>
      </c>
      <c r="FY86" s="48">
        <f t="shared" si="163"/>
        <v>0</v>
      </c>
      <c r="FZ86" s="48">
        <f t="shared" si="164"/>
        <v>0</v>
      </c>
      <c r="GA86" s="48">
        <f t="shared" si="165"/>
        <v>0</v>
      </c>
      <c r="GB86" s="48">
        <f t="shared" si="166"/>
        <v>0</v>
      </c>
    </row>
    <row r="87" spans="2:184" x14ac:dyDescent="0.2">
      <c r="B87" s="400" t="s">
        <v>253</v>
      </c>
      <c r="C87" s="394"/>
      <c r="D87" s="396"/>
      <c r="E87" s="396"/>
      <c r="F87" s="397"/>
      <c r="G87" s="401" t="str">
        <f t="shared" si="145"/>
        <v/>
      </c>
      <c r="H87" s="399" t="s">
        <v>265</v>
      </c>
      <c r="I87" s="369"/>
      <c r="J87" s="367"/>
      <c r="K87" s="370"/>
      <c r="L87" s="368"/>
      <c r="M87" s="368"/>
      <c r="N87" s="403"/>
      <c r="O87" s="462">
        <f t="shared" si="147"/>
        <v>0</v>
      </c>
      <c r="P87" s="18"/>
      <c r="Q87" s="54"/>
      <c r="R87" s="54"/>
      <c r="S87" s="54"/>
      <c r="T87" s="54"/>
      <c r="U87" s="54"/>
      <c r="V87" s="54"/>
      <c r="W87" s="54"/>
      <c r="Y87" s="60"/>
      <c r="Z87" s="60"/>
      <c r="AA87" s="54"/>
      <c r="AB87" s="54"/>
      <c r="AC87" s="54"/>
      <c r="AD87" s="54"/>
      <c r="AE87" s="54"/>
      <c r="AF87" s="54"/>
      <c r="AG87" s="444"/>
      <c r="AH87" s="48"/>
      <c r="AI87" s="48"/>
      <c r="AJ87" s="48"/>
      <c r="AK87" s="48"/>
      <c r="AL87" s="48"/>
      <c r="AM87" s="48"/>
      <c r="AN87" s="48"/>
      <c r="AP87" s="61">
        <v>0</v>
      </c>
      <c r="AQ87" s="61">
        <v>0</v>
      </c>
      <c r="AR87" s="61">
        <v>0</v>
      </c>
      <c r="AS87" s="61">
        <v>0</v>
      </c>
      <c r="AT87" s="61">
        <v>0</v>
      </c>
      <c r="AU87" s="61">
        <v>0</v>
      </c>
      <c r="AV87" s="61">
        <v>0</v>
      </c>
      <c r="AX87" s="52"/>
      <c r="AY87" s="52"/>
      <c r="AZ87" s="52"/>
      <c r="BA87" s="52"/>
      <c r="BB87" s="52"/>
      <c r="BC87" s="52"/>
      <c r="BD87" s="52"/>
      <c r="BE87" s="57"/>
      <c r="BF87" s="52"/>
      <c r="BG87" s="82"/>
      <c r="BH87" s="82"/>
      <c r="BI87" s="48"/>
      <c r="BJ87" s="48"/>
      <c r="BK87" s="48"/>
      <c r="BL87" s="48"/>
      <c r="BM87" s="68"/>
      <c r="BN87" s="69"/>
      <c r="BO87" s="69"/>
      <c r="BP87" s="69"/>
      <c r="BQ87" s="69"/>
      <c r="BR87" s="69"/>
      <c r="BS87" s="69"/>
      <c r="BT87" s="69"/>
      <c r="BV87" s="69"/>
      <c r="BW87" s="69"/>
      <c r="BX87" s="69"/>
      <c r="BY87" s="69"/>
      <c r="BZ87" s="69"/>
      <c r="CA87" s="69"/>
      <c r="CB87" s="69"/>
      <c r="CC87" s="107">
        <v>0</v>
      </c>
      <c r="CD87" s="69">
        <v>0</v>
      </c>
      <c r="CE87" s="69">
        <f t="shared" si="32"/>
        <v>0</v>
      </c>
      <c r="CF87" s="69">
        <f t="shared" si="62"/>
        <v>0</v>
      </c>
      <c r="CG87" s="69">
        <f t="shared" si="34"/>
        <v>0</v>
      </c>
      <c r="CH87" s="69">
        <f t="shared" si="149"/>
        <v>0</v>
      </c>
      <c r="CI87" s="69">
        <f t="shared" si="150"/>
        <v>0</v>
      </c>
      <c r="CJ87" s="69">
        <f t="shared" si="151"/>
        <v>0</v>
      </c>
      <c r="CL87" s="54">
        <f t="shared" si="152"/>
        <v>0</v>
      </c>
      <c r="CM87" s="54">
        <f t="shared" si="153"/>
        <v>0</v>
      </c>
      <c r="CN87" s="54">
        <f t="shared" si="154"/>
        <v>0</v>
      </c>
      <c r="CO87" s="54">
        <f t="shared" si="155"/>
        <v>0</v>
      </c>
      <c r="CP87" s="54">
        <f t="shared" si="156"/>
        <v>0</v>
      </c>
      <c r="CQ87" s="54">
        <f t="shared" si="157"/>
        <v>0</v>
      </c>
      <c r="CR87" s="54">
        <f t="shared" si="158"/>
        <v>0</v>
      </c>
      <c r="CT87" s="54"/>
      <c r="CU87" s="54"/>
      <c r="CV87" s="54"/>
      <c r="CW87" s="54"/>
      <c r="CX87" s="54"/>
      <c r="CY87" s="54"/>
      <c r="CZ87" s="54"/>
      <c r="DB87" s="54"/>
      <c r="DC87" s="54"/>
      <c r="DD87" s="54"/>
      <c r="DE87" s="54"/>
      <c r="DF87" s="54"/>
      <c r="DG87" s="54"/>
      <c r="DH87" s="54"/>
      <c r="DJ87" s="54"/>
      <c r="DK87" s="54"/>
      <c r="DL87" s="54"/>
      <c r="DM87" s="54"/>
      <c r="DN87" s="54"/>
      <c r="DO87" s="54"/>
      <c r="DP87" s="54"/>
      <c r="DR87" s="54"/>
      <c r="DS87" s="54"/>
      <c r="DT87" s="54"/>
      <c r="DU87" s="54"/>
      <c r="DV87" s="54"/>
      <c r="DW87" s="54"/>
      <c r="DX87" s="54"/>
      <c r="DZ87" s="54"/>
      <c r="EA87" s="54"/>
      <c r="EB87" s="54"/>
      <c r="EC87" s="54"/>
      <c r="ED87" s="54"/>
      <c r="EE87" s="54"/>
      <c r="EF87" s="54"/>
      <c r="EH87" s="48"/>
      <c r="EI87" s="48"/>
      <c r="EJ87" s="48"/>
      <c r="EK87" s="48"/>
      <c r="EL87" s="48"/>
      <c r="EM87" s="48"/>
      <c r="EN87" s="48"/>
      <c r="EP87" s="48"/>
      <c r="EQ87" s="48"/>
      <c r="ER87" s="48"/>
      <c r="ES87" s="48"/>
      <c r="ET87" s="48"/>
      <c r="EU87" s="48"/>
      <c r="EV87" s="48"/>
      <c r="EX87" s="48"/>
      <c r="EY87" s="48"/>
      <c r="EZ87" s="48"/>
      <c r="FA87" s="48"/>
      <c r="FB87" s="48"/>
      <c r="FC87" s="48"/>
      <c r="FD87" s="48"/>
      <c r="FF87" s="48"/>
      <c r="FG87" s="48"/>
      <c r="FH87" s="48"/>
      <c r="FI87" s="48"/>
      <c r="FJ87" s="48"/>
      <c r="FK87" s="48"/>
      <c r="FL87" s="48"/>
      <c r="FM87" s="51">
        <v>0</v>
      </c>
      <c r="FN87" s="48">
        <v>0</v>
      </c>
      <c r="FO87" s="48">
        <f t="shared" si="159"/>
        <v>0</v>
      </c>
      <c r="FP87" s="48"/>
      <c r="FQ87" s="48"/>
      <c r="FR87" s="48"/>
      <c r="FS87" s="48"/>
      <c r="FT87" s="48"/>
      <c r="FV87" s="48">
        <f t="shared" si="160"/>
        <v>0</v>
      </c>
      <c r="FW87" s="48">
        <f t="shared" si="161"/>
        <v>0</v>
      </c>
      <c r="FX87" s="48">
        <f t="shared" si="162"/>
        <v>0</v>
      </c>
      <c r="FY87" s="48">
        <f t="shared" si="163"/>
        <v>0</v>
      </c>
      <c r="FZ87" s="48">
        <f t="shared" si="164"/>
        <v>0</v>
      </c>
      <c r="GA87" s="48">
        <f t="shared" si="165"/>
        <v>0</v>
      </c>
      <c r="GB87" s="48">
        <f t="shared" si="166"/>
        <v>0</v>
      </c>
    </row>
    <row r="88" spans="2:184" x14ac:dyDescent="0.2">
      <c r="B88" s="402" t="str">
        <f>Key_New!D36</f>
        <v>Rajasthan</v>
      </c>
      <c r="C88" s="394" t="str">
        <f>Key_New!B36</f>
        <v>ACME Surya Power Pvt Ltd</v>
      </c>
      <c r="D88" s="395" t="str">
        <f>Key_New!E36</f>
        <v>FDRE</v>
      </c>
      <c r="E88" s="395" t="str">
        <f>Key_New!C36</f>
        <v>Under Construction</v>
      </c>
      <c r="F88" s="397">
        <f>Key_New!F36</f>
        <v>250</v>
      </c>
      <c r="G88" s="399">
        <f t="shared" si="145"/>
        <v>45838</v>
      </c>
      <c r="H88" s="399">
        <f>Key_New!O36</f>
        <v>46568</v>
      </c>
      <c r="I88" s="369">
        <f t="shared" ref="I88:I133" si="167">IF(MONTH(H88)&lt;=3,YEAR(H88),YEAR(H88)+1)</f>
        <v>2028</v>
      </c>
      <c r="J88" s="367">
        <v>110</v>
      </c>
      <c r="K88" s="370">
        <f t="shared" ref="K88:K133" si="168">J88*F88</f>
        <v>27500</v>
      </c>
      <c r="L88" s="368">
        <v>0.12</v>
      </c>
      <c r="M88" s="368">
        <v>0.25</v>
      </c>
      <c r="N88" s="403">
        <f>Key_New!J36</f>
        <v>4.38</v>
      </c>
      <c r="O88" s="462">
        <f t="shared" si="147"/>
        <v>0.15422821917808219</v>
      </c>
      <c r="P88" s="54">
        <f t="shared" ref="P88:W104" si="169">IF(OR(ISERROR(P$49-$H88),(P$49-$H88)&gt;=365),365,IF((P$49-$H88)&lt;=0,0,P$49-$H88))</f>
        <v>0</v>
      </c>
      <c r="Q88" s="54">
        <f t="shared" si="169"/>
        <v>0</v>
      </c>
      <c r="R88" s="54">
        <f t="shared" si="169"/>
        <v>0</v>
      </c>
      <c r="S88" s="54">
        <f t="shared" si="169"/>
        <v>0</v>
      </c>
      <c r="T88" s="54">
        <f t="shared" si="169"/>
        <v>275</v>
      </c>
      <c r="U88" s="54">
        <f t="shared" si="148"/>
        <v>365</v>
      </c>
      <c r="V88" s="54">
        <f t="shared" si="148"/>
        <v>365</v>
      </c>
      <c r="W88" s="54">
        <f t="shared" si="169"/>
        <v>365</v>
      </c>
      <c r="Y88" s="54">
        <f t="shared" ref="Y88:Y107" si="170">IF(AND(O88=0,P88&gt;0),1,IF(X88=0,0,X88+1))</f>
        <v>0</v>
      </c>
      <c r="Z88" s="54">
        <f t="shared" ref="Z88:Z107" si="171">IF(AND(P88=0,Q88&gt;0),1,IF(Y88=0,0,Y88+1))</f>
        <v>0</v>
      </c>
      <c r="AA88" s="54">
        <f t="shared" ref="AA88:AA107" si="172">IF(AND(Q88=0,R88&gt;0),1,IF(Z88=0,0,Z88+1))</f>
        <v>0</v>
      </c>
      <c r="AB88" s="54">
        <f t="shared" ref="AB88:AB104" si="173">IF(AND(R88=0,S88&gt;0),1,IF(AA88=0,0,AA88+1))</f>
        <v>0</v>
      </c>
      <c r="AC88" s="54">
        <f t="shared" ref="AC88:AC104" si="174">IF(AND(S88=0,T88&gt;0),1,IF(AB88=0,0,AB88+1))</f>
        <v>1</v>
      </c>
      <c r="AD88" s="54">
        <f t="shared" ref="AD88:AD104" si="175">IF(AND(T88=0,U88&gt;0),1,IF(AC88=0,0,AC88+1))</f>
        <v>2</v>
      </c>
      <c r="AE88" s="54">
        <f t="shared" ref="AE88:AF104" si="176">IF(AND(U88=0,V88&gt;0),1,IF(AD88=0,0,AD88+1))</f>
        <v>3</v>
      </c>
      <c r="AF88" s="54">
        <f t="shared" si="176"/>
        <v>4</v>
      </c>
      <c r="AG88" s="444"/>
      <c r="AH88" s="48">
        <f t="shared" ref="AH88:AH104" si="177">IF(AND(P88&lt;=0,Q88&gt;0),$F88,IF(P88&gt;0,$F88,0))</f>
        <v>0</v>
      </c>
      <c r="AI88" s="48">
        <f t="shared" ref="AI88:AI104" si="178">IF(AND(Q88&lt;=0,R88&gt;0),$F88,IF(Q88&gt;0,$F88,0))</f>
        <v>0</v>
      </c>
      <c r="AJ88" s="48">
        <f t="shared" ref="AJ88:AJ104" si="179">IF(AND(R88&lt;=0,S88&gt;0),$F88,IF(R88&gt;0,$F88,0))</f>
        <v>0</v>
      </c>
      <c r="AK88" s="48">
        <f t="shared" ref="AK88:AK104" si="180">IF(AND(S88&lt;=0,T88&gt;0),$F88,IF(S88&gt;0,$F88,0))</f>
        <v>250</v>
      </c>
      <c r="AL88" s="48">
        <f t="shared" ref="AL88:AL104" si="181">IF(AND(T88&lt;=0,U88&gt;0),$F88,IF(T88&gt;0,$F88,0))</f>
        <v>250</v>
      </c>
      <c r="AM88" s="48">
        <f t="shared" ref="AM88:AM107" si="182">IF(AND(U88&lt;=0,V88&gt;0),$F88,IF(U88&gt;0,$F88,0))</f>
        <v>250</v>
      </c>
      <c r="AN88" s="48">
        <f t="shared" ref="AN88:AN107" si="183">IF(AND(V88&lt;=0,W88&gt;0),$F88,IF(V88&gt;0,$F88,0))</f>
        <v>250</v>
      </c>
      <c r="AP88" s="61">
        <v>0.4</v>
      </c>
      <c r="AQ88" s="61">
        <v>0.4</v>
      </c>
      <c r="AR88" s="61">
        <v>0.4</v>
      </c>
      <c r="AS88" s="61">
        <v>0.4</v>
      </c>
      <c r="AT88" s="61">
        <v>0.4</v>
      </c>
      <c r="AU88" s="61">
        <v>0.4</v>
      </c>
      <c r="AV88" s="61">
        <v>0.4</v>
      </c>
      <c r="AX88" s="52">
        <f t="shared" ref="AX88:AX104" si="184">$F88*8.766*AP88*(Q88/365)</f>
        <v>0</v>
      </c>
      <c r="AY88" s="52">
        <f t="shared" ref="AY88:AY104" si="185">$F88*8.766*AQ88*(R88/365)</f>
        <v>0</v>
      </c>
      <c r="AZ88" s="52">
        <f t="shared" ref="AZ88:AZ104" si="186">$F88*8.766*AR88*(S88/365)</f>
        <v>0</v>
      </c>
      <c r="BA88" s="52">
        <f t="shared" ref="BA88:BA104" si="187">$F88*8.766*AS88*(T88/365)</f>
        <v>660.45205479452056</v>
      </c>
      <c r="BB88" s="52">
        <f t="shared" ref="BB88:BB104" si="188">$F88*8.766*AT88*(U88/365)</f>
        <v>876.6</v>
      </c>
      <c r="BC88" s="52">
        <f t="shared" ref="BC88:BC107" si="189">$F88*8.766*AU88*(V88/365)</f>
        <v>876.6</v>
      </c>
      <c r="BD88" s="52">
        <f t="shared" ref="BD88:BD107" si="190">$F88*8.766*AV88*(W88/365)</f>
        <v>876.6</v>
      </c>
      <c r="BE88" s="57">
        <v>0.2</v>
      </c>
      <c r="BF88" s="52">
        <f t="shared" ref="BF88:BF104" si="191">$BE88*$K88*(Q88/365)*($L88/(1-$M88))</f>
        <v>0</v>
      </c>
      <c r="BG88" s="82">
        <f t="shared" ref="BG88:BG104" si="192">$BE88*$K88*(R88/365)*($L88/(1-$M88))</f>
        <v>0</v>
      </c>
      <c r="BH88" s="82">
        <f t="shared" ref="BH88:BH104" si="193">$BE88*$K88*(S88/365)*($L88/(1-$M88))</f>
        <v>0</v>
      </c>
      <c r="BI88" s="52">
        <f t="shared" ref="BI88:BI104" si="194">$BE88*$K88*(T88/365)*($L88/(1-$M88))</f>
        <v>663.0136986301369</v>
      </c>
      <c r="BJ88" s="52">
        <f t="shared" ref="BJ88:BJ104" si="195">$BE88*$K88*(U88/365)*($L88/(1-$M88))</f>
        <v>880</v>
      </c>
      <c r="BK88" s="52">
        <f t="shared" ref="BK88:BK107" si="196">$BE88*$K88*(V88/365)*($L88/(1-$M88))</f>
        <v>880</v>
      </c>
      <c r="BL88" s="52">
        <f t="shared" ref="BL88:BL107" si="197">$BE88*$K88*(W88/365)*($L88/(1-$M88))</f>
        <v>880</v>
      </c>
      <c r="BM88" s="297">
        <v>0.04</v>
      </c>
      <c r="BN88" s="69">
        <f t="shared" ref="BN88" si="198">$BM88*$K88*(Q88/365)</f>
        <v>0</v>
      </c>
      <c r="BO88" s="69">
        <f t="shared" ref="BO88" si="199">($BM88*$K88*(R88/365))</f>
        <v>0</v>
      </c>
      <c r="BP88" s="69">
        <f t="shared" ref="BP88" si="200">$BM88*$K88*(S88/365)</f>
        <v>0</v>
      </c>
      <c r="BQ88" s="69">
        <f t="shared" ref="BQ88" si="201">$BM88*$K88*(T88/365)</f>
        <v>828.76712328767121</v>
      </c>
      <c r="BR88" s="69">
        <f t="shared" ref="BR88" si="202">$BM88*$K88*(U88/365)</f>
        <v>1100</v>
      </c>
      <c r="BS88" s="69">
        <f t="shared" ref="BS88:BS107" si="203">$BM88*$K88*(V88/365)</f>
        <v>1100</v>
      </c>
      <c r="BT88" s="69">
        <f t="shared" ref="BT88:BT107" si="204">$BM88*$K88*(W88/365)</f>
        <v>1100</v>
      </c>
      <c r="BV88" s="52">
        <f t="shared" ref="BV88:CB88" si="205">IF(AND($H88&gt;BU$49,$H88&lt;=BV$49),IF($G88&gt;BU$49,$H88-$G88,$H88-BU$49),IF($H88&lt;=BU$49,0,IF(AND($G88&gt;BU$49,$G88&lt;=BV$49),BV$49-$G88,IF($G88&gt;BV$49,0,BV$49-BU$49))))</f>
        <v>0</v>
      </c>
      <c r="BW88" s="52">
        <f t="shared" si="205"/>
        <v>274</v>
      </c>
      <c r="BX88" s="52">
        <f t="shared" si="205"/>
        <v>365</v>
      </c>
      <c r="BY88" s="52">
        <f t="shared" si="205"/>
        <v>91</v>
      </c>
      <c r="BZ88" s="52">
        <f t="shared" si="205"/>
        <v>0</v>
      </c>
      <c r="CA88" s="52">
        <f t="shared" si="205"/>
        <v>0</v>
      </c>
      <c r="CB88" s="52">
        <f t="shared" si="205"/>
        <v>0</v>
      </c>
      <c r="CC88" s="107">
        <v>0</v>
      </c>
      <c r="CD88" s="61">
        <v>0</v>
      </c>
      <c r="CE88" s="61">
        <f>IF(SUM($BX88:$CB88)=0,0,BX88/SUM($BX88:$CB88)*(1-$O88))-10%</f>
        <v>0.57698837719298246</v>
      </c>
      <c r="CF88" s="61">
        <f>IF(SUM($BX88:$CB88)=0,0,BY88/SUM($BX88:$CB88)*(1-$O88))+10%</f>
        <v>0.26878340362893538</v>
      </c>
      <c r="CG88" s="61">
        <f t="shared" ref="CG88:CG96" si="206">IF(SUM($BX88:$CB88)=0,0,BZ88/SUM($BX88:$CB88)*(1-$O88))</f>
        <v>0</v>
      </c>
      <c r="CH88" s="61">
        <f t="shared" si="149"/>
        <v>0</v>
      </c>
      <c r="CI88" s="61">
        <f t="shared" si="150"/>
        <v>0</v>
      </c>
      <c r="CJ88" s="61">
        <f t="shared" si="151"/>
        <v>1</v>
      </c>
      <c r="CK88" s="4"/>
      <c r="CL88" s="54">
        <f t="shared" si="152"/>
        <v>0</v>
      </c>
      <c r="CM88" s="54">
        <f t="shared" si="153"/>
        <v>0</v>
      </c>
      <c r="CN88" s="54">
        <f t="shared" si="154"/>
        <v>15867.180372807017</v>
      </c>
      <c r="CO88" s="54">
        <f t="shared" si="155"/>
        <v>7391.5435997957229</v>
      </c>
      <c r="CP88" s="54">
        <f t="shared" si="156"/>
        <v>0</v>
      </c>
      <c r="CQ88" s="54">
        <f t="shared" si="157"/>
        <v>0</v>
      </c>
      <c r="CR88" s="54">
        <f t="shared" si="158"/>
        <v>0</v>
      </c>
      <c r="CT88" s="54">
        <f t="shared" ref="CT88:CT104" si="207">$BE88*CL88</f>
        <v>0</v>
      </c>
      <c r="CU88" s="54">
        <f t="shared" ref="CU88:CU104" si="208">$BE88*CM88</f>
        <v>0</v>
      </c>
      <c r="CV88" s="54">
        <f t="shared" ref="CV88:CV104" si="209">$BE88*CN88</f>
        <v>3173.4360745614035</v>
      </c>
      <c r="CW88" s="54">
        <f t="shared" ref="CW88:CW104" si="210">$BE88*CO88</f>
        <v>1478.3087199591446</v>
      </c>
      <c r="CX88" s="54">
        <f t="shared" ref="CX88:CX104" si="211">$BE88*CP88</f>
        <v>0</v>
      </c>
      <c r="CY88" s="54">
        <f t="shared" ref="CY88:CY107" si="212">$BE88*CQ88</f>
        <v>0</v>
      </c>
      <c r="CZ88" s="54">
        <f t="shared" ref="CZ88:CZ133" si="213">$BE88*CR88</f>
        <v>0</v>
      </c>
      <c r="DB88" s="54">
        <f t="shared" ref="DB88:DB104" si="214">CL88-CT88</f>
        <v>0</v>
      </c>
      <c r="DC88" s="54">
        <f t="shared" ref="DC88:DC104" si="215">CM88-CU88</f>
        <v>0</v>
      </c>
      <c r="DD88" s="54">
        <f t="shared" ref="DD88:DD104" si="216">CN88-CV88</f>
        <v>12693.744298245614</v>
      </c>
      <c r="DE88" s="54">
        <f t="shared" ref="DE88:DE104" si="217">CO88-CW88</f>
        <v>5913.2348798365783</v>
      </c>
      <c r="DF88" s="54">
        <f t="shared" ref="DF88:DF104" si="218">CP88-CX88</f>
        <v>0</v>
      </c>
      <c r="DG88" s="54">
        <f t="shared" ref="DG88:DG107" si="219">CQ88-CY88</f>
        <v>0</v>
      </c>
      <c r="DH88" s="54">
        <f t="shared" ref="DH88:DH133" si="220">CR88-CZ88</f>
        <v>0</v>
      </c>
      <c r="DJ88" s="54">
        <f t="shared" ref="DJ88:DJ104" si="221">IF(Z88&lt;=26,IF(AND(P88=0,Q88&gt;0),0,IF(Q88&gt;0,($K88*(1-$BE88))/25,0)),0)</f>
        <v>0</v>
      </c>
      <c r="DK88" s="54">
        <f t="shared" ref="DK88:DK104" si="222">IF(AA88&lt;=26,IF(AND(Q88=0,R88&gt;0),0,IF(R88&gt;0,($K88*(1-$BE88))/25,0)),0)</f>
        <v>0</v>
      </c>
      <c r="DL88" s="54">
        <f t="shared" ref="DL88:DL104" si="223">IF(AB88&lt;=26,IF(AND(R88=0,S88&gt;0),0,IF(S88&gt;0,($K88*(1-$BE88))/25,0)),0)</f>
        <v>0</v>
      </c>
      <c r="DM88" s="54">
        <f t="shared" ref="DM88:DM104" si="224">IF(AC88&lt;=26,IF(AND(S88=0,T88&gt;0),0,IF(T88&gt;0,($K88*(1-$BE88))/25,0)),0)</f>
        <v>0</v>
      </c>
      <c r="DN88" s="54">
        <f t="shared" ref="DN88:DN104" si="225">IF(AD88&lt;=26,IF(AND(T88=0,U88&gt;0),0,IF(U88&gt;0,($K88*(1-$BE88))/25,0)),0)</f>
        <v>880</v>
      </c>
      <c r="DO88" s="54">
        <f t="shared" ref="DO88:DO107" si="226">IF(AE88&lt;=26,IF(AND(U88=0,V88&gt;0),0,IF(V88&gt;0,($K88*(1-$BE88))/25,0)),0)</f>
        <v>880</v>
      </c>
      <c r="DP88" s="54">
        <f t="shared" ref="DP88:DP107" si="227">IF(AF88&lt;=26,IF(AND(V88=0,W88&gt;0),0,IF(W88&gt;0,($K88*(1-$BE88))/25,0)),0)</f>
        <v>880</v>
      </c>
      <c r="DR88" s="54">
        <f>+IF(Z88&gt;0,$K88*(1-$BE88)-SUM($DJ88:DJ88),DB88)</f>
        <v>0</v>
      </c>
      <c r="DS88" s="54">
        <f>+IF(AA88&gt;0,$K88*(1-$BE88)-SUM($DJ88:DK88),DC88)</f>
        <v>0</v>
      </c>
      <c r="DT88" s="54">
        <f>+IF(AB88&gt;0,$K88*(1-$BE88)-SUM($DJ88:DL88),DD88)</f>
        <v>12693.744298245614</v>
      </c>
      <c r="DU88" s="54">
        <f>+IF(AC88&gt;0,$K88*(1-$BE88)-SUM($DJ88:DM88),DE88)</f>
        <v>22000</v>
      </c>
      <c r="DV88" s="54">
        <f>+IF(AD88&gt;0,$K88*(1-$BE88)-SUM($DJ88:DN88),DF88)</f>
        <v>21120</v>
      </c>
      <c r="DW88" s="54">
        <f>+IF(AE88&gt;0,$K88*(1-$BE88)-SUM($DJ88:DO88),DG88)</f>
        <v>20240</v>
      </c>
      <c r="DX88" s="54">
        <f>+IF(AF88&gt;0,$K88*(1-$BE88)-SUM($DJ88:DP88),DH88)</f>
        <v>19360</v>
      </c>
      <c r="DZ88" s="54">
        <f t="shared" ref="DZ88:DZ104" si="228">DR88*(DZ$51)*(Q88/365)</f>
        <v>0</v>
      </c>
      <c r="EA88" s="54">
        <f t="shared" ref="EA88:EA104" si="229">DS88*(EA$51)*(R88/365)</f>
        <v>0</v>
      </c>
      <c r="EB88" s="54">
        <f t="shared" ref="EB88:EB104" si="230">DT88*(EB$51)*(S88/365)</f>
        <v>0</v>
      </c>
      <c r="EC88" s="54">
        <f t="shared" ref="EC88:EC104" si="231">DU88*(EC$51)*(T88/365)</f>
        <v>1657.5342465753424</v>
      </c>
      <c r="ED88" s="54">
        <f t="shared" ref="ED88:ED104" si="232">DV88*(ED$51)*(U88/365)</f>
        <v>2112</v>
      </c>
      <c r="EE88" s="54">
        <f t="shared" ref="EE88:EE107" si="233">DW88*(EE$51)*(V88/365)</f>
        <v>2024</v>
      </c>
      <c r="EF88" s="54">
        <f t="shared" ref="EF88:EF107" si="234">DY88*(EF$51)*(W88/365)</f>
        <v>0</v>
      </c>
      <c r="EH88" s="54">
        <f t="shared" ref="EH88:EH107" si="235">$F88*EH$24*(Q88/365)</f>
        <v>0</v>
      </c>
      <c r="EI88" s="54">
        <f t="shared" ref="EI88:EI107" si="236">$F88*EI$24*(R88/365)</f>
        <v>0</v>
      </c>
      <c r="EJ88" s="54">
        <f t="shared" ref="EJ88:EJ107" si="237">$F88*EJ$24*(S88/365)</f>
        <v>0</v>
      </c>
      <c r="EK88" s="54">
        <f t="shared" ref="EK88:EK107" si="238">$F88*EK$24*(T88/365)</f>
        <v>0</v>
      </c>
      <c r="EL88" s="54">
        <f t="shared" ref="EL88:EL107" si="239">$F88*EL$24*(U88/365)</f>
        <v>0</v>
      </c>
      <c r="EM88" s="54">
        <f t="shared" ref="EM88:EM107" si="240">$F88*EM$24*(V88/365)</f>
        <v>0</v>
      </c>
      <c r="EN88" s="54">
        <f t="shared" ref="EN88:EN107" si="241">$F88*EN$24*(W88/365)</f>
        <v>0</v>
      </c>
      <c r="EP88" s="52">
        <f t="shared" ref="EP88:EP133" ca="1" si="242">(((1/12)+15%)*EH88+(45/365)*EX88)*EP$24</f>
        <v>0</v>
      </c>
      <c r="EQ88" s="52">
        <f t="shared" ref="EQ88:EQ133" ca="1" si="243">(((1/12)+15%)*EI88+(45/365)*EY88)*EQ$24</f>
        <v>0</v>
      </c>
      <c r="ER88" s="52">
        <f t="shared" ref="ER88:ER133" ca="1" si="244">(((1/12)+15%)*EJ88+(45/365)*EZ88)*ER$24</f>
        <v>0</v>
      </c>
      <c r="ES88" s="52">
        <f t="shared" ref="ES88:ES133" ca="1" si="245">(((1/12)+15%)*EK88+(45/365)*FA88)*ES$24</f>
        <v>0</v>
      </c>
      <c r="ET88" s="52">
        <f t="shared" ref="ET88:ET133" ca="1" si="246">(((1/12)+15%)*EL88+(45/365)*FB88)*ET$24</f>
        <v>0</v>
      </c>
      <c r="EU88" s="52">
        <f t="shared" ref="EU88:EU133" ca="1" si="247">(((1/12)+15%)*EM88+(45/365)*FC88)*EU$24</f>
        <v>0</v>
      </c>
      <c r="EV88" s="52">
        <f t="shared" ref="EV88:EV107" ca="1" si="248">(((1/12)+15%)*EO88+(45/365)*FD88)*EV$24</f>
        <v>0</v>
      </c>
      <c r="EX88" s="52">
        <f t="shared" ref="EX88:EX133" ca="1" si="249">BF88+BN88+DZ88+EH88+EP88</f>
        <v>0</v>
      </c>
      <c r="EY88" s="52">
        <f t="shared" ref="EY88:EY133" ca="1" si="250">BG88+BO88+EA88+EI88+EQ88</f>
        <v>0</v>
      </c>
      <c r="EZ88" s="52">
        <f t="shared" ref="EZ88:EZ133" ca="1" si="251">BH88+BP88+EB88+EJ88+ER88</f>
        <v>0</v>
      </c>
      <c r="FA88" s="52">
        <f t="shared" ref="FA88:FA133" ca="1" si="252">BI88+BQ88+EC88+EK88+ES88</f>
        <v>3149.3150684931506</v>
      </c>
      <c r="FB88" s="52">
        <f t="shared" ref="FB88:FB133" ca="1" si="253">BJ88+BR88+ED88+EL88+ET88</f>
        <v>4092</v>
      </c>
      <c r="FC88" s="52">
        <f t="shared" ref="FC88:FC133" ca="1" si="254">BK88+BS88+EE88+EM88+EU88</f>
        <v>4004</v>
      </c>
      <c r="FD88" s="52">
        <f t="shared" ref="FD88:FD133" ca="1" si="255">BL88+BT88+EF88+EN88+EV88</f>
        <v>1980</v>
      </c>
      <c r="FF88" s="82">
        <f t="shared" ref="FF88:FF139" si="256">IF(Z88=1,$K88,)</f>
        <v>0</v>
      </c>
      <c r="FG88" s="82">
        <f t="shared" ref="FG88:FG139" si="257">IF(AA88=1,$K88,)</f>
        <v>0</v>
      </c>
      <c r="FH88" s="82">
        <f t="shared" ref="FH88:FH139" si="258">IF(AB88=1,$K88,)</f>
        <v>0</v>
      </c>
      <c r="FI88" s="82">
        <f t="shared" ref="FI88:FI139" si="259">IF(AC88=1,$K88,)</f>
        <v>27500</v>
      </c>
      <c r="FJ88" s="82">
        <f t="shared" ref="FJ88:FJ139" si="260">IF(AD88=1,$K88,)</f>
        <v>0</v>
      </c>
      <c r="FK88" s="82">
        <f t="shared" ref="FK88:FK107" si="261">IF(AE88=1,$K88,)</f>
        <v>0</v>
      </c>
      <c r="FL88" s="82">
        <f t="shared" ref="FL88:FL107" si="262">IF(AF88=1,$K88,)</f>
        <v>0</v>
      </c>
      <c r="FM88" s="51">
        <v>0</v>
      </c>
      <c r="FN88" s="82">
        <v>0</v>
      </c>
      <c r="FO88" s="82">
        <f t="shared" si="159"/>
        <v>4241.2760273972599</v>
      </c>
      <c r="FP88" s="82">
        <f t="shared" ref="FP88:FP138" si="263">IF(AB88&lt;1,FO88+CN88,)</f>
        <v>20108.456400204275</v>
      </c>
      <c r="FQ88" s="82">
        <f t="shared" ref="FQ88:FQ138" si="264">IF(AC88&lt;1,FP88+CO88,)</f>
        <v>0</v>
      </c>
      <c r="FR88" s="82">
        <f t="shared" ref="FR88:FR138" si="265">IF(AD88&lt;1,FQ88+CP88,)</f>
        <v>0</v>
      </c>
      <c r="FS88" s="82">
        <f t="shared" ref="FS88:FS107" si="266">IF(AE88&lt;1,FR88+CQ88,)</f>
        <v>0</v>
      </c>
      <c r="FT88" s="82">
        <f t="shared" ref="FT88:FT107" si="267">IF(AF88&lt;1,FS88+CR88,)</f>
        <v>0</v>
      </c>
      <c r="FV88" s="82">
        <f t="shared" si="160"/>
        <v>4.38</v>
      </c>
      <c r="FW88" s="82">
        <f t="shared" si="161"/>
        <v>4.38</v>
      </c>
      <c r="FX88" s="82">
        <f t="shared" si="162"/>
        <v>4.38</v>
      </c>
      <c r="FY88" s="82">
        <f t="shared" si="163"/>
        <v>4.38</v>
      </c>
      <c r="FZ88" s="82">
        <f t="shared" si="164"/>
        <v>4.38</v>
      </c>
      <c r="GA88" s="82">
        <f t="shared" si="165"/>
        <v>4.38</v>
      </c>
      <c r="GB88" s="82">
        <f t="shared" si="166"/>
        <v>4.38</v>
      </c>
    </row>
    <row r="89" spans="2:184" x14ac:dyDescent="0.2">
      <c r="B89" s="402" t="str">
        <f>Key_New!D37</f>
        <v>Rajasthan</v>
      </c>
      <c r="C89" s="394" t="str">
        <f>Key_New!B37</f>
        <v>ACME Sun Power Pvt Ltd</v>
      </c>
      <c r="D89" s="395" t="str">
        <f>Key_New!E37</f>
        <v>FDRE</v>
      </c>
      <c r="E89" s="395" t="str">
        <f>Key_New!C37</f>
        <v>Under Construction</v>
      </c>
      <c r="F89" s="397">
        <f>Key_New!F37</f>
        <v>320</v>
      </c>
      <c r="G89" s="399">
        <f t="shared" si="145"/>
        <v>45838</v>
      </c>
      <c r="H89" s="399">
        <f>Key_New!O37</f>
        <v>46568</v>
      </c>
      <c r="I89" s="369">
        <f t="shared" si="167"/>
        <v>2028</v>
      </c>
      <c r="J89" s="367">
        <v>110</v>
      </c>
      <c r="K89" s="370">
        <f t="shared" si="168"/>
        <v>35200</v>
      </c>
      <c r="L89" s="368">
        <v>0.12</v>
      </c>
      <c r="M89" s="368">
        <v>0.25</v>
      </c>
      <c r="N89" s="403">
        <f>Key_New!J37</f>
        <v>4.38</v>
      </c>
      <c r="O89" s="462">
        <f t="shared" si="147"/>
        <v>0.15422821917808219</v>
      </c>
      <c r="P89" s="54">
        <f t="shared" si="169"/>
        <v>0</v>
      </c>
      <c r="Q89" s="54">
        <f t="shared" si="169"/>
        <v>0</v>
      </c>
      <c r="R89" s="54">
        <f t="shared" si="169"/>
        <v>0</v>
      </c>
      <c r="S89" s="54">
        <f t="shared" si="169"/>
        <v>0</v>
      </c>
      <c r="T89" s="54">
        <f t="shared" si="169"/>
        <v>275</v>
      </c>
      <c r="U89" s="54">
        <f t="shared" si="148"/>
        <v>365</v>
      </c>
      <c r="V89" s="54">
        <f t="shared" si="148"/>
        <v>365</v>
      </c>
      <c r="W89" s="54">
        <f t="shared" si="169"/>
        <v>365</v>
      </c>
      <c r="Y89" s="54">
        <f t="shared" si="170"/>
        <v>0</v>
      </c>
      <c r="Z89" s="54">
        <f t="shared" si="171"/>
        <v>0</v>
      </c>
      <c r="AA89" s="54">
        <f t="shared" si="172"/>
        <v>0</v>
      </c>
      <c r="AB89" s="54">
        <f t="shared" si="173"/>
        <v>0</v>
      </c>
      <c r="AC89" s="54">
        <f t="shared" si="174"/>
        <v>1</v>
      </c>
      <c r="AD89" s="54">
        <f t="shared" si="175"/>
        <v>2</v>
      </c>
      <c r="AE89" s="54">
        <f t="shared" si="176"/>
        <v>3</v>
      </c>
      <c r="AF89" s="54">
        <f t="shared" si="176"/>
        <v>4</v>
      </c>
      <c r="AG89" s="444"/>
      <c r="AH89" s="48">
        <f t="shared" si="177"/>
        <v>0</v>
      </c>
      <c r="AI89" s="48">
        <f t="shared" si="178"/>
        <v>0</v>
      </c>
      <c r="AJ89" s="48">
        <f t="shared" si="179"/>
        <v>0</v>
      </c>
      <c r="AK89" s="48">
        <f t="shared" si="180"/>
        <v>320</v>
      </c>
      <c r="AL89" s="48">
        <f t="shared" si="181"/>
        <v>320</v>
      </c>
      <c r="AM89" s="48">
        <f t="shared" si="182"/>
        <v>320</v>
      </c>
      <c r="AN89" s="48">
        <f t="shared" si="183"/>
        <v>320</v>
      </c>
      <c r="AP89" s="61">
        <v>0.4</v>
      </c>
      <c r="AQ89" s="61">
        <v>0.4</v>
      </c>
      <c r="AR89" s="61">
        <v>0.4</v>
      </c>
      <c r="AS89" s="61">
        <v>0.4</v>
      </c>
      <c r="AT89" s="61">
        <v>0.4</v>
      </c>
      <c r="AU89" s="61">
        <v>0.4</v>
      </c>
      <c r="AV89" s="61">
        <v>0.4</v>
      </c>
      <c r="AX89" s="52">
        <f t="shared" si="184"/>
        <v>0</v>
      </c>
      <c r="AY89" s="52">
        <f t="shared" si="185"/>
        <v>0</v>
      </c>
      <c r="AZ89" s="52">
        <f t="shared" si="186"/>
        <v>0</v>
      </c>
      <c r="BA89" s="52">
        <f t="shared" si="187"/>
        <v>845.37863013698632</v>
      </c>
      <c r="BB89" s="52">
        <f t="shared" si="188"/>
        <v>1122.048</v>
      </c>
      <c r="BC89" s="52">
        <f t="shared" si="189"/>
        <v>1122.048</v>
      </c>
      <c r="BD89" s="52">
        <f t="shared" si="190"/>
        <v>1122.048</v>
      </c>
      <c r="BE89" s="57">
        <v>0.2</v>
      </c>
      <c r="BF89" s="52">
        <f t="shared" si="191"/>
        <v>0</v>
      </c>
      <c r="BG89" s="82">
        <f t="shared" si="192"/>
        <v>0</v>
      </c>
      <c r="BH89" s="82">
        <f t="shared" si="193"/>
        <v>0</v>
      </c>
      <c r="BI89" s="52">
        <f t="shared" si="194"/>
        <v>848.65753424657544</v>
      </c>
      <c r="BJ89" s="52">
        <f t="shared" si="195"/>
        <v>1126.4000000000001</v>
      </c>
      <c r="BK89" s="52">
        <f t="shared" si="196"/>
        <v>1126.4000000000001</v>
      </c>
      <c r="BL89" s="52">
        <f t="shared" si="197"/>
        <v>1126.4000000000001</v>
      </c>
      <c r="BM89" s="297">
        <v>0.04</v>
      </c>
      <c r="BN89" s="69">
        <f t="shared" ref="BN89:BN107" si="268">$BM89*$K89*(Q89/365)</f>
        <v>0</v>
      </c>
      <c r="BO89" s="69">
        <f t="shared" ref="BO89:BO107" si="269">($BM89*$K89*(R89/365))</f>
        <v>0</v>
      </c>
      <c r="BP89" s="69">
        <f t="shared" ref="BP89:BP107" si="270">$BM89*$K89*(S89/365)</f>
        <v>0</v>
      </c>
      <c r="BQ89" s="69">
        <f t="shared" ref="BQ89:BQ107" si="271">$BM89*$K89*(T89/365)</f>
        <v>1060.8219178082193</v>
      </c>
      <c r="BR89" s="69">
        <f t="shared" ref="BR89:BR107" si="272">$BM89*$K89*(U89/365)</f>
        <v>1408</v>
      </c>
      <c r="BS89" s="69">
        <f t="shared" si="203"/>
        <v>1408</v>
      </c>
      <c r="BT89" s="69">
        <f t="shared" si="204"/>
        <v>1408</v>
      </c>
      <c r="BV89" s="52">
        <f t="shared" ref="BV89:CB89" si="273">IF(AND($H89&gt;BU$49,$H89&lt;=BV$49),IF($G89&gt;BU$49,$H89-$G89,$H89-BU$49),IF($H89&lt;=BU$49,0,IF(AND($G89&gt;BU$49,$G89&lt;=BV$49),BV$49-$G89,IF($G89&gt;BV$49,0,BV$49-BU$49))))</f>
        <v>0</v>
      </c>
      <c r="BW89" s="52">
        <f t="shared" si="273"/>
        <v>274</v>
      </c>
      <c r="BX89" s="52">
        <f t="shared" si="273"/>
        <v>365</v>
      </c>
      <c r="BY89" s="52">
        <f t="shared" si="273"/>
        <v>91</v>
      </c>
      <c r="BZ89" s="52">
        <f t="shared" si="273"/>
        <v>0</v>
      </c>
      <c r="CA89" s="52">
        <f t="shared" si="273"/>
        <v>0</v>
      </c>
      <c r="CB89" s="52">
        <f t="shared" si="273"/>
        <v>0</v>
      </c>
      <c r="CC89" s="107">
        <v>0</v>
      </c>
      <c r="CD89" s="61">
        <v>0</v>
      </c>
      <c r="CE89" s="61">
        <f>IF(SUM($BX89:$CB89)=0,0,BX89/SUM($BX89:$CB89)*(1-$O89))-10%</f>
        <v>0.57698837719298246</v>
      </c>
      <c r="CF89" s="61">
        <f>IF(SUM($BX89:$CB89)=0,0,BY89/SUM($BX89:$CB89)*(1-$O89))+10%</f>
        <v>0.26878340362893538</v>
      </c>
      <c r="CG89" s="61">
        <f t="shared" si="206"/>
        <v>0</v>
      </c>
      <c r="CH89" s="61">
        <f t="shared" si="149"/>
        <v>0</v>
      </c>
      <c r="CI89" s="61">
        <f t="shared" si="150"/>
        <v>0</v>
      </c>
      <c r="CJ89" s="61">
        <f t="shared" si="151"/>
        <v>1</v>
      </c>
      <c r="CK89" s="4"/>
      <c r="CL89" s="54">
        <f t="shared" si="152"/>
        <v>0</v>
      </c>
      <c r="CM89" s="54">
        <f t="shared" si="153"/>
        <v>0</v>
      </c>
      <c r="CN89" s="54">
        <f t="shared" si="154"/>
        <v>20309.990877192984</v>
      </c>
      <c r="CO89" s="54">
        <f t="shared" si="155"/>
        <v>9461.1758077385257</v>
      </c>
      <c r="CP89" s="54">
        <f t="shared" si="156"/>
        <v>0</v>
      </c>
      <c r="CQ89" s="54">
        <f t="shared" si="157"/>
        <v>0</v>
      </c>
      <c r="CR89" s="54">
        <f t="shared" si="158"/>
        <v>0</v>
      </c>
      <c r="CT89" s="54">
        <f t="shared" si="207"/>
        <v>0</v>
      </c>
      <c r="CU89" s="54">
        <f t="shared" si="208"/>
        <v>0</v>
      </c>
      <c r="CV89" s="54">
        <f t="shared" si="209"/>
        <v>4061.9981754385972</v>
      </c>
      <c r="CW89" s="54">
        <f t="shared" si="210"/>
        <v>1892.2351615477053</v>
      </c>
      <c r="CX89" s="54">
        <f t="shared" si="211"/>
        <v>0</v>
      </c>
      <c r="CY89" s="54">
        <f t="shared" si="212"/>
        <v>0</v>
      </c>
      <c r="CZ89" s="54">
        <f t="shared" si="213"/>
        <v>0</v>
      </c>
      <c r="DB89" s="54">
        <f t="shared" si="214"/>
        <v>0</v>
      </c>
      <c r="DC89" s="54">
        <f t="shared" si="215"/>
        <v>0</v>
      </c>
      <c r="DD89" s="54">
        <f t="shared" si="216"/>
        <v>16247.992701754387</v>
      </c>
      <c r="DE89" s="54">
        <f t="shared" si="217"/>
        <v>7568.9406461908202</v>
      </c>
      <c r="DF89" s="54">
        <f t="shared" si="218"/>
        <v>0</v>
      </c>
      <c r="DG89" s="54">
        <f t="shared" si="219"/>
        <v>0</v>
      </c>
      <c r="DH89" s="54">
        <f t="shared" si="220"/>
        <v>0</v>
      </c>
      <c r="DJ89" s="54">
        <f t="shared" si="221"/>
        <v>0</v>
      </c>
      <c r="DK89" s="54">
        <f t="shared" si="222"/>
        <v>0</v>
      </c>
      <c r="DL89" s="54">
        <f t="shared" si="223"/>
        <v>0</v>
      </c>
      <c r="DM89" s="54">
        <f t="shared" si="224"/>
        <v>0</v>
      </c>
      <c r="DN89" s="54">
        <f t="shared" si="225"/>
        <v>1126.4000000000001</v>
      </c>
      <c r="DO89" s="54">
        <f t="shared" si="226"/>
        <v>1126.4000000000001</v>
      </c>
      <c r="DP89" s="54">
        <f t="shared" si="227"/>
        <v>1126.4000000000001</v>
      </c>
      <c r="DR89" s="54">
        <f>+IF(Z89&gt;0,$K89*(1-$BE89)-SUM($DJ89:DJ89),DB89)</f>
        <v>0</v>
      </c>
      <c r="DS89" s="54">
        <f>+IF(AA89&gt;0,$K89*(1-$BE89)-SUM($DJ89:DK89),DC89)</f>
        <v>0</v>
      </c>
      <c r="DT89" s="54">
        <f>+IF(AB89&gt;0,$K89*(1-$BE89)-SUM($DJ89:DL89),DD89)</f>
        <v>16247.992701754387</v>
      </c>
      <c r="DU89" s="54">
        <f>+IF(AC89&gt;0,$K89*(1-$BE89)-SUM($DJ89:DM89),DE89)</f>
        <v>28160</v>
      </c>
      <c r="DV89" s="54">
        <f>+IF(AD89&gt;0,$K89*(1-$BE89)-SUM($DJ89:DN89),DF89)</f>
        <v>27033.599999999999</v>
      </c>
      <c r="DW89" s="54">
        <f>+IF(AE89&gt;0,$K89*(1-$BE89)-SUM($DJ89:DO89),DG89)</f>
        <v>25907.200000000001</v>
      </c>
      <c r="DX89" s="54">
        <f>+IF(AF89&gt;0,$K89*(1-$BE89)-SUM($DJ89:DP89),DH89)</f>
        <v>24780.799999999999</v>
      </c>
      <c r="DZ89" s="54">
        <f t="shared" si="228"/>
        <v>0</v>
      </c>
      <c r="EA89" s="54">
        <f t="shared" si="229"/>
        <v>0</v>
      </c>
      <c r="EB89" s="54">
        <f t="shared" si="230"/>
        <v>0</v>
      </c>
      <c r="EC89" s="54">
        <f t="shared" si="231"/>
        <v>2121.6438356164385</v>
      </c>
      <c r="ED89" s="54">
        <f t="shared" si="232"/>
        <v>2703.36</v>
      </c>
      <c r="EE89" s="54">
        <f t="shared" si="233"/>
        <v>2590.7200000000003</v>
      </c>
      <c r="EF89" s="54">
        <f t="shared" si="234"/>
        <v>0</v>
      </c>
      <c r="EH89" s="54">
        <f t="shared" si="235"/>
        <v>0</v>
      </c>
      <c r="EI89" s="54">
        <f t="shared" si="236"/>
        <v>0</v>
      </c>
      <c r="EJ89" s="54">
        <f t="shared" si="237"/>
        <v>0</v>
      </c>
      <c r="EK89" s="54">
        <f t="shared" si="238"/>
        <v>0</v>
      </c>
      <c r="EL89" s="54">
        <f t="shared" si="239"/>
        <v>0</v>
      </c>
      <c r="EM89" s="54">
        <f t="shared" si="240"/>
        <v>0</v>
      </c>
      <c r="EN89" s="54">
        <f t="shared" si="241"/>
        <v>0</v>
      </c>
      <c r="EP89" s="52">
        <f t="shared" ca="1" si="242"/>
        <v>0</v>
      </c>
      <c r="EQ89" s="52">
        <f t="shared" ca="1" si="243"/>
        <v>0</v>
      </c>
      <c r="ER89" s="52">
        <f t="shared" ca="1" si="244"/>
        <v>0</v>
      </c>
      <c r="ES89" s="52">
        <f t="shared" ca="1" si="245"/>
        <v>0</v>
      </c>
      <c r="ET89" s="52">
        <f t="shared" ca="1" si="246"/>
        <v>0</v>
      </c>
      <c r="EU89" s="52">
        <f t="shared" ca="1" si="247"/>
        <v>0</v>
      </c>
      <c r="EV89" s="52">
        <f t="shared" ca="1" si="248"/>
        <v>0</v>
      </c>
      <c r="EX89" s="52">
        <f t="shared" ca="1" si="249"/>
        <v>0</v>
      </c>
      <c r="EY89" s="52">
        <f t="shared" ca="1" si="250"/>
        <v>0</v>
      </c>
      <c r="EZ89" s="52">
        <f t="shared" ca="1" si="251"/>
        <v>0</v>
      </c>
      <c r="FA89" s="52">
        <f t="shared" ca="1" si="252"/>
        <v>4031.1232876712334</v>
      </c>
      <c r="FB89" s="52">
        <f t="shared" ca="1" si="253"/>
        <v>5237.76</v>
      </c>
      <c r="FC89" s="52">
        <f t="shared" ca="1" si="254"/>
        <v>5125.1200000000008</v>
      </c>
      <c r="FD89" s="52">
        <f t="shared" ca="1" si="255"/>
        <v>2534.4</v>
      </c>
      <c r="FF89" s="82">
        <f t="shared" si="256"/>
        <v>0</v>
      </c>
      <c r="FG89" s="82">
        <f t="shared" si="257"/>
        <v>0</v>
      </c>
      <c r="FH89" s="82">
        <f t="shared" si="258"/>
        <v>0</v>
      </c>
      <c r="FI89" s="82">
        <f t="shared" si="259"/>
        <v>35200</v>
      </c>
      <c r="FJ89" s="82">
        <f t="shared" si="260"/>
        <v>0</v>
      </c>
      <c r="FK89" s="82">
        <f t="shared" si="261"/>
        <v>0</v>
      </c>
      <c r="FL89" s="82">
        <f t="shared" si="262"/>
        <v>0</v>
      </c>
      <c r="FM89" s="51">
        <v>0</v>
      </c>
      <c r="FN89" s="82">
        <v>0</v>
      </c>
      <c r="FO89" s="82">
        <f t="shared" si="159"/>
        <v>5428.833315068493</v>
      </c>
      <c r="FP89" s="82">
        <f t="shared" si="263"/>
        <v>25738.824192261476</v>
      </c>
      <c r="FQ89" s="82">
        <f t="shared" si="264"/>
        <v>0</v>
      </c>
      <c r="FR89" s="82">
        <f t="shared" si="265"/>
        <v>0</v>
      </c>
      <c r="FS89" s="82">
        <f t="shared" si="266"/>
        <v>0</v>
      </c>
      <c r="FT89" s="82">
        <f t="shared" si="267"/>
        <v>0</v>
      </c>
      <c r="FV89" s="82">
        <f t="shared" si="160"/>
        <v>4.38</v>
      </c>
      <c r="FW89" s="82">
        <f t="shared" si="161"/>
        <v>4.38</v>
      </c>
      <c r="FX89" s="82">
        <f t="shared" si="162"/>
        <v>4.38</v>
      </c>
      <c r="FY89" s="82">
        <f t="shared" si="163"/>
        <v>4.38</v>
      </c>
      <c r="FZ89" s="82">
        <f t="shared" si="164"/>
        <v>4.38</v>
      </c>
      <c r="GA89" s="82">
        <f t="shared" si="165"/>
        <v>4.38</v>
      </c>
      <c r="GB89" s="82">
        <f t="shared" si="166"/>
        <v>4.38</v>
      </c>
    </row>
    <row r="90" spans="2:184" x14ac:dyDescent="0.2">
      <c r="B90" s="402" t="str">
        <f>Key_New!D38</f>
        <v>Andhra Pradesh / Maharashtra</v>
      </c>
      <c r="C90" s="394" t="str">
        <f>Key_New!B38</f>
        <v>ACME Urja One Pvt Ltd (SECI)</v>
      </c>
      <c r="D90" s="395" t="str">
        <f>Key_New!E38</f>
        <v>FDRE</v>
      </c>
      <c r="E90" s="395" t="str">
        <f>Key_New!C38</f>
        <v>Under Construction</v>
      </c>
      <c r="F90" s="397">
        <f>Key_New!F38</f>
        <v>380</v>
      </c>
      <c r="G90" s="399">
        <f t="shared" si="145"/>
        <v>45703</v>
      </c>
      <c r="H90" s="399">
        <f>Key_New!O38</f>
        <v>46433</v>
      </c>
      <c r="I90" s="369">
        <f t="shared" si="167"/>
        <v>2027</v>
      </c>
      <c r="J90" s="367">
        <v>110</v>
      </c>
      <c r="K90" s="370">
        <f t="shared" si="168"/>
        <v>41800</v>
      </c>
      <c r="L90" s="368">
        <v>0.12</v>
      </c>
      <c r="M90" s="368">
        <v>0.25</v>
      </c>
      <c r="N90" s="403">
        <f>Key_New!J38</f>
        <v>4.7300000000000004</v>
      </c>
      <c r="O90" s="462">
        <f t="shared" si="147"/>
        <v>0.23021657534246573</v>
      </c>
      <c r="P90" s="54">
        <f t="shared" si="169"/>
        <v>0</v>
      </c>
      <c r="Q90" s="54">
        <f t="shared" si="169"/>
        <v>0</v>
      </c>
      <c r="R90" s="54">
        <f t="shared" si="169"/>
        <v>0</v>
      </c>
      <c r="S90" s="54">
        <f t="shared" si="169"/>
        <v>44</v>
      </c>
      <c r="T90" s="54">
        <f t="shared" si="169"/>
        <v>365</v>
      </c>
      <c r="U90" s="54">
        <f t="shared" si="148"/>
        <v>365</v>
      </c>
      <c r="V90" s="54">
        <f t="shared" si="148"/>
        <v>365</v>
      </c>
      <c r="W90" s="54">
        <f t="shared" si="169"/>
        <v>365</v>
      </c>
      <c r="Y90" s="54">
        <f t="shared" si="170"/>
        <v>0</v>
      </c>
      <c r="Z90" s="54">
        <f t="shared" si="171"/>
        <v>0</v>
      </c>
      <c r="AA90" s="54">
        <f t="shared" si="172"/>
        <v>0</v>
      </c>
      <c r="AB90" s="54">
        <f t="shared" si="173"/>
        <v>1</v>
      </c>
      <c r="AC90" s="54">
        <f t="shared" si="174"/>
        <v>2</v>
      </c>
      <c r="AD90" s="54">
        <f t="shared" si="175"/>
        <v>3</v>
      </c>
      <c r="AE90" s="54">
        <f t="shared" si="176"/>
        <v>4</v>
      </c>
      <c r="AF90" s="54">
        <f t="shared" si="176"/>
        <v>5</v>
      </c>
      <c r="AG90" s="444"/>
      <c r="AH90" s="48">
        <f t="shared" si="177"/>
        <v>0</v>
      </c>
      <c r="AI90" s="48">
        <f t="shared" si="178"/>
        <v>0</v>
      </c>
      <c r="AJ90" s="48">
        <f t="shared" si="179"/>
        <v>380</v>
      </c>
      <c r="AK90" s="48">
        <f t="shared" si="180"/>
        <v>380</v>
      </c>
      <c r="AL90" s="48">
        <f t="shared" si="181"/>
        <v>380</v>
      </c>
      <c r="AM90" s="48">
        <f t="shared" si="182"/>
        <v>380</v>
      </c>
      <c r="AN90" s="48">
        <f t="shared" si="183"/>
        <v>380</v>
      </c>
      <c r="AP90" s="61">
        <v>0.4</v>
      </c>
      <c r="AQ90" s="61">
        <v>0.4</v>
      </c>
      <c r="AR90" s="61">
        <v>0.4</v>
      </c>
      <c r="AS90" s="61">
        <v>0.4</v>
      </c>
      <c r="AT90" s="61">
        <v>0.4</v>
      </c>
      <c r="AU90" s="61">
        <v>0.4</v>
      </c>
      <c r="AV90" s="61">
        <v>0.4</v>
      </c>
      <c r="AX90" s="52">
        <f t="shared" si="184"/>
        <v>0</v>
      </c>
      <c r="AY90" s="52">
        <f t="shared" si="185"/>
        <v>0</v>
      </c>
      <c r="AZ90" s="52">
        <f t="shared" si="186"/>
        <v>160.62193972602739</v>
      </c>
      <c r="BA90" s="52">
        <f t="shared" si="187"/>
        <v>1332.432</v>
      </c>
      <c r="BB90" s="52">
        <f t="shared" si="188"/>
        <v>1332.432</v>
      </c>
      <c r="BC90" s="52">
        <f t="shared" si="189"/>
        <v>1332.432</v>
      </c>
      <c r="BD90" s="52">
        <f t="shared" si="190"/>
        <v>1332.432</v>
      </c>
      <c r="BE90" s="57">
        <v>0.2</v>
      </c>
      <c r="BF90" s="52">
        <f t="shared" si="191"/>
        <v>0</v>
      </c>
      <c r="BG90" s="82">
        <f t="shared" si="192"/>
        <v>0</v>
      </c>
      <c r="BH90" s="82">
        <f t="shared" si="193"/>
        <v>161.24493150684933</v>
      </c>
      <c r="BI90" s="52">
        <f t="shared" si="194"/>
        <v>1337.6000000000001</v>
      </c>
      <c r="BJ90" s="52">
        <f t="shared" si="195"/>
        <v>1337.6000000000001</v>
      </c>
      <c r="BK90" s="52">
        <f t="shared" si="196"/>
        <v>1337.6000000000001</v>
      </c>
      <c r="BL90" s="52">
        <f t="shared" si="197"/>
        <v>1337.6000000000001</v>
      </c>
      <c r="BM90" s="297">
        <v>0.04</v>
      </c>
      <c r="BN90" s="69">
        <f t="shared" si="268"/>
        <v>0</v>
      </c>
      <c r="BO90" s="69">
        <f t="shared" si="269"/>
        <v>0</v>
      </c>
      <c r="BP90" s="69">
        <f t="shared" si="270"/>
        <v>201.55616438356165</v>
      </c>
      <c r="BQ90" s="69">
        <f t="shared" si="271"/>
        <v>1672</v>
      </c>
      <c r="BR90" s="69">
        <f t="shared" si="272"/>
        <v>1672</v>
      </c>
      <c r="BS90" s="69">
        <f t="shared" si="203"/>
        <v>1672</v>
      </c>
      <c r="BT90" s="69">
        <f t="shared" si="204"/>
        <v>1672</v>
      </c>
      <c r="BV90" s="52">
        <f t="shared" ref="BV90:CB90" si="274">IF(AND($H90&gt;BU$49,$H90&lt;=BV$49),IF($G90&gt;BU$49,$H90-$G90,$H90-BU$49),IF($H90&lt;=BU$49,0,IF(AND($G90&gt;BU$49,$G90&lt;=BV$49),BV$49-$G90,IF($G90&gt;BV$49,0,BV$49-BU$49))))</f>
        <v>44</v>
      </c>
      <c r="BW90" s="52">
        <f t="shared" si="274"/>
        <v>365</v>
      </c>
      <c r="BX90" s="52">
        <f t="shared" si="274"/>
        <v>321</v>
      </c>
      <c r="BY90" s="52">
        <f t="shared" si="274"/>
        <v>0</v>
      </c>
      <c r="BZ90" s="52">
        <f t="shared" si="274"/>
        <v>0</v>
      </c>
      <c r="CA90" s="52">
        <f t="shared" si="274"/>
        <v>0</v>
      </c>
      <c r="CB90" s="52">
        <f t="shared" si="274"/>
        <v>0</v>
      </c>
      <c r="CC90" s="107">
        <v>0</v>
      </c>
      <c r="CD90" s="61">
        <v>0</v>
      </c>
      <c r="CE90" s="61">
        <f t="shared" ref="CE90:CF92" si="275">IF(SUM($BX90:$CB90)=0,0,BX90/SUM($BX90:$CB90)*(1-$O90))</f>
        <v>0.76978342465753424</v>
      </c>
      <c r="CF90" s="61">
        <f>IF(SUM($BX90:$CB90)=0,0,BY90/SUM($BX90:$CB90)*(1-$O90))</f>
        <v>0</v>
      </c>
      <c r="CG90" s="61">
        <f t="shared" si="206"/>
        <v>0</v>
      </c>
      <c r="CH90" s="61">
        <f t="shared" si="149"/>
        <v>0</v>
      </c>
      <c r="CI90" s="61">
        <f t="shared" si="150"/>
        <v>0</v>
      </c>
      <c r="CJ90" s="61">
        <f t="shared" si="151"/>
        <v>1</v>
      </c>
      <c r="CK90" s="4"/>
      <c r="CL90" s="54">
        <f t="shared" si="152"/>
        <v>0</v>
      </c>
      <c r="CM90" s="54">
        <f t="shared" si="153"/>
        <v>0</v>
      </c>
      <c r="CN90" s="54">
        <f t="shared" si="154"/>
        <v>32176.947150684933</v>
      </c>
      <c r="CO90" s="54">
        <f t="shared" si="155"/>
        <v>0</v>
      </c>
      <c r="CP90" s="54">
        <f t="shared" si="156"/>
        <v>0</v>
      </c>
      <c r="CQ90" s="54">
        <f t="shared" si="157"/>
        <v>0</v>
      </c>
      <c r="CR90" s="54">
        <f t="shared" si="158"/>
        <v>0</v>
      </c>
      <c r="CT90" s="54">
        <f t="shared" si="207"/>
        <v>0</v>
      </c>
      <c r="CU90" s="54">
        <f t="shared" si="208"/>
        <v>0</v>
      </c>
      <c r="CV90" s="54">
        <f t="shared" si="209"/>
        <v>6435.3894301369874</v>
      </c>
      <c r="CW90" s="54">
        <f t="shared" si="210"/>
        <v>0</v>
      </c>
      <c r="CX90" s="54">
        <f t="shared" si="211"/>
        <v>0</v>
      </c>
      <c r="CY90" s="54">
        <f t="shared" si="212"/>
        <v>0</v>
      </c>
      <c r="CZ90" s="54">
        <f t="shared" si="213"/>
        <v>0</v>
      </c>
      <c r="DB90" s="54">
        <f t="shared" si="214"/>
        <v>0</v>
      </c>
      <c r="DC90" s="54">
        <f t="shared" si="215"/>
        <v>0</v>
      </c>
      <c r="DD90" s="54">
        <f t="shared" si="216"/>
        <v>25741.557720547946</v>
      </c>
      <c r="DE90" s="54">
        <f t="shared" si="217"/>
        <v>0</v>
      </c>
      <c r="DF90" s="54">
        <f t="shared" si="218"/>
        <v>0</v>
      </c>
      <c r="DG90" s="54">
        <f t="shared" si="219"/>
        <v>0</v>
      </c>
      <c r="DH90" s="54">
        <f t="shared" si="220"/>
        <v>0</v>
      </c>
      <c r="DJ90" s="54">
        <f t="shared" si="221"/>
        <v>0</v>
      </c>
      <c r="DK90" s="54">
        <f t="shared" si="222"/>
        <v>0</v>
      </c>
      <c r="DL90" s="54">
        <f t="shared" si="223"/>
        <v>0</v>
      </c>
      <c r="DM90" s="54">
        <f t="shared" si="224"/>
        <v>1337.6</v>
      </c>
      <c r="DN90" s="54">
        <f t="shared" si="225"/>
        <v>1337.6</v>
      </c>
      <c r="DO90" s="54">
        <f t="shared" si="226"/>
        <v>1337.6</v>
      </c>
      <c r="DP90" s="54">
        <f t="shared" si="227"/>
        <v>1337.6</v>
      </c>
      <c r="DR90" s="54">
        <f>+IF(Z90&gt;0,$K90*(1-$BE90)-SUM($DJ90:DJ90),DB90)</f>
        <v>0</v>
      </c>
      <c r="DS90" s="54">
        <f>+IF(AA90&gt;0,$K90*(1-$BE90)-SUM($DJ90:DK90),DC90)</f>
        <v>0</v>
      </c>
      <c r="DT90" s="54">
        <f>+IF(AB90&gt;0,$K90*(1-$BE90)-SUM($DJ90:DL90),DD90)</f>
        <v>33440</v>
      </c>
      <c r="DU90" s="54">
        <f>+IF(AC90&gt;0,$K90*(1-$BE90)-SUM($DJ90:DM90),DE90)</f>
        <v>32102.400000000001</v>
      </c>
      <c r="DV90" s="54">
        <f>+IF(AD90&gt;0,$K90*(1-$BE90)-SUM($DJ90:DN90),DF90)</f>
        <v>30764.799999999999</v>
      </c>
      <c r="DW90" s="54">
        <f>+IF(AE90&gt;0,$K90*(1-$BE90)-SUM($DJ90:DO90),DG90)</f>
        <v>29427.200000000001</v>
      </c>
      <c r="DX90" s="54">
        <f>+IF(AF90&gt;0,$K90*(1-$BE90)-SUM($DJ90:DP90),DH90)</f>
        <v>28089.599999999999</v>
      </c>
      <c r="DZ90" s="54">
        <f t="shared" si="228"/>
        <v>0</v>
      </c>
      <c r="EA90" s="54">
        <f t="shared" si="229"/>
        <v>0</v>
      </c>
      <c r="EB90" s="54">
        <f t="shared" si="230"/>
        <v>403.1123287671233</v>
      </c>
      <c r="EC90" s="54">
        <f t="shared" si="231"/>
        <v>3210.2400000000002</v>
      </c>
      <c r="ED90" s="54">
        <f t="shared" si="232"/>
        <v>3076.48</v>
      </c>
      <c r="EE90" s="54">
        <f t="shared" si="233"/>
        <v>2942.7200000000003</v>
      </c>
      <c r="EF90" s="54">
        <f t="shared" si="234"/>
        <v>0</v>
      </c>
      <c r="EH90" s="54">
        <f t="shared" si="235"/>
        <v>0</v>
      </c>
      <c r="EI90" s="54">
        <f t="shared" si="236"/>
        <v>0</v>
      </c>
      <c r="EJ90" s="54">
        <f t="shared" si="237"/>
        <v>0</v>
      </c>
      <c r="EK90" s="54">
        <f t="shared" si="238"/>
        <v>0</v>
      </c>
      <c r="EL90" s="54">
        <f t="shared" si="239"/>
        <v>0</v>
      </c>
      <c r="EM90" s="54">
        <f t="shared" si="240"/>
        <v>0</v>
      </c>
      <c r="EN90" s="54">
        <f t="shared" si="241"/>
        <v>0</v>
      </c>
      <c r="EP90" s="52">
        <f t="shared" ca="1" si="242"/>
        <v>0</v>
      </c>
      <c r="EQ90" s="52">
        <f t="shared" ca="1" si="243"/>
        <v>0</v>
      </c>
      <c r="ER90" s="52">
        <f t="shared" ca="1" si="244"/>
        <v>0</v>
      </c>
      <c r="ES90" s="52">
        <f t="shared" ca="1" si="245"/>
        <v>0</v>
      </c>
      <c r="ET90" s="52">
        <f t="shared" ca="1" si="246"/>
        <v>0</v>
      </c>
      <c r="EU90" s="52">
        <f t="shared" ca="1" si="247"/>
        <v>0</v>
      </c>
      <c r="EV90" s="52">
        <f t="shared" ca="1" si="248"/>
        <v>0</v>
      </c>
      <c r="EX90" s="52">
        <f t="shared" ca="1" si="249"/>
        <v>0</v>
      </c>
      <c r="EY90" s="52">
        <f t="shared" ca="1" si="250"/>
        <v>0</v>
      </c>
      <c r="EZ90" s="52">
        <f t="shared" ca="1" si="251"/>
        <v>765.91342465753428</v>
      </c>
      <c r="FA90" s="52">
        <f t="shared" ca="1" si="252"/>
        <v>6219.84</v>
      </c>
      <c r="FB90" s="52">
        <f t="shared" ca="1" si="253"/>
        <v>6086.08</v>
      </c>
      <c r="FC90" s="52">
        <f t="shared" ca="1" si="254"/>
        <v>5952.3200000000006</v>
      </c>
      <c r="FD90" s="52">
        <f t="shared" ca="1" si="255"/>
        <v>3009.6000000000004</v>
      </c>
      <c r="FF90" s="82">
        <f t="shared" si="256"/>
        <v>0</v>
      </c>
      <c r="FG90" s="82">
        <f t="shared" si="257"/>
        <v>0</v>
      </c>
      <c r="FH90" s="82">
        <f t="shared" si="258"/>
        <v>41800</v>
      </c>
      <c r="FI90" s="82">
        <f t="shared" si="259"/>
        <v>0</v>
      </c>
      <c r="FJ90" s="82">
        <f t="shared" si="260"/>
        <v>0</v>
      </c>
      <c r="FK90" s="82">
        <f t="shared" si="261"/>
        <v>0</v>
      </c>
      <c r="FL90" s="82">
        <f t="shared" si="262"/>
        <v>0</v>
      </c>
      <c r="FM90" s="51">
        <v>0</v>
      </c>
      <c r="FN90" s="82">
        <v>0</v>
      </c>
      <c r="FO90" s="82">
        <f t="shared" si="159"/>
        <v>9623.0528493150669</v>
      </c>
      <c r="FP90" s="82">
        <f t="shared" si="263"/>
        <v>0</v>
      </c>
      <c r="FQ90" s="82">
        <f t="shared" si="264"/>
        <v>0</v>
      </c>
      <c r="FR90" s="82">
        <f t="shared" si="265"/>
        <v>0</v>
      </c>
      <c r="FS90" s="82">
        <f t="shared" si="266"/>
        <v>0</v>
      </c>
      <c r="FT90" s="82">
        <f t="shared" si="267"/>
        <v>0</v>
      </c>
      <c r="FV90" s="82">
        <f t="shared" si="160"/>
        <v>4.7300000000000004</v>
      </c>
      <c r="FW90" s="82">
        <f t="shared" si="161"/>
        <v>4.7300000000000004</v>
      </c>
      <c r="FX90" s="82">
        <f t="shared" si="162"/>
        <v>4.7300000000000004</v>
      </c>
      <c r="FY90" s="82">
        <f t="shared" si="163"/>
        <v>4.7300000000000004</v>
      </c>
      <c r="FZ90" s="82">
        <f t="shared" si="164"/>
        <v>4.7300000000000004</v>
      </c>
      <c r="GA90" s="82">
        <f t="shared" si="165"/>
        <v>4.7300000000000004</v>
      </c>
      <c r="GB90" s="82">
        <f t="shared" si="166"/>
        <v>4.7300000000000004</v>
      </c>
    </row>
    <row r="91" spans="2:184" x14ac:dyDescent="0.2">
      <c r="B91" s="402" t="str">
        <f>Key_New!D39</f>
        <v>Rajasthan / Maharashtra</v>
      </c>
      <c r="C91" s="394" t="str">
        <f>Key_New!B39</f>
        <v>ACME Renewtech Pvt Ltd</v>
      </c>
      <c r="D91" s="395" t="str">
        <f>Key_New!E39</f>
        <v>Hybrid</v>
      </c>
      <c r="E91" s="395" t="str">
        <f>Key_New!C39</f>
        <v>Under Construction</v>
      </c>
      <c r="F91" s="397">
        <f>Key_New!F39</f>
        <v>300</v>
      </c>
      <c r="G91" s="399">
        <f t="shared" si="145"/>
        <v>45930</v>
      </c>
      <c r="H91" s="399">
        <f>Key_New!O39</f>
        <v>46660</v>
      </c>
      <c r="I91" s="369">
        <f t="shared" si="167"/>
        <v>2028</v>
      </c>
      <c r="J91" s="367">
        <v>80</v>
      </c>
      <c r="K91" s="370">
        <f t="shared" si="168"/>
        <v>24000</v>
      </c>
      <c r="L91" s="368">
        <v>0.12</v>
      </c>
      <c r="M91" s="368">
        <v>0.25</v>
      </c>
      <c r="N91" s="403">
        <f>Key_New!J39</f>
        <v>3.36</v>
      </c>
      <c r="O91" s="462">
        <f t="shared" si="147"/>
        <v>0.10244356164383561</v>
      </c>
      <c r="P91" s="54">
        <f t="shared" si="169"/>
        <v>0</v>
      </c>
      <c r="Q91" s="54">
        <f t="shared" si="169"/>
        <v>0</v>
      </c>
      <c r="R91" s="54">
        <f t="shared" si="169"/>
        <v>0</v>
      </c>
      <c r="S91" s="54">
        <f t="shared" si="169"/>
        <v>0</v>
      </c>
      <c r="T91" s="54">
        <f t="shared" si="169"/>
        <v>183</v>
      </c>
      <c r="U91" s="54">
        <f t="shared" si="148"/>
        <v>365</v>
      </c>
      <c r="V91" s="54">
        <f t="shared" si="148"/>
        <v>365</v>
      </c>
      <c r="W91" s="54">
        <f t="shared" si="169"/>
        <v>365</v>
      </c>
      <c r="Y91" s="54">
        <f t="shared" si="170"/>
        <v>0</v>
      </c>
      <c r="Z91" s="54">
        <f t="shared" si="171"/>
        <v>0</v>
      </c>
      <c r="AA91" s="54">
        <f t="shared" si="172"/>
        <v>0</v>
      </c>
      <c r="AB91" s="54">
        <f t="shared" si="173"/>
        <v>0</v>
      </c>
      <c r="AC91" s="54">
        <f t="shared" si="174"/>
        <v>1</v>
      </c>
      <c r="AD91" s="54">
        <f t="shared" si="175"/>
        <v>2</v>
      </c>
      <c r="AE91" s="54">
        <f t="shared" si="176"/>
        <v>3</v>
      </c>
      <c r="AF91" s="54">
        <f t="shared" si="176"/>
        <v>4</v>
      </c>
      <c r="AG91" s="444"/>
      <c r="AH91" s="48">
        <f t="shared" si="177"/>
        <v>0</v>
      </c>
      <c r="AI91" s="48">
        <f t="shared" si="178"/>
        <v>0</v>
      </c>
      <c r="AJ91" s="48">
        <f t="shared" si="179"/>
        <v>0</v>
      </c>
      <c r="AK91" s="48">
        <f t="shared" si="180"/>
        <v>300</v>
      </c>
      <c r="AL91" s="48">
        <f t="shared" si="181"/>
        <v>300</v>
      </c>
      <c r="AM91" s="48">
        <f t="shared" si="182"/>
        <v>300</v>
      </c>
      <c r="AN91" s="48">
        <f t="shared" si="183"/>
        <v>300</v>
      </c>
      <c r="AP91" s="61">
        <v>0.3</v>
      </c>
      <c r="AQ91" s="61">
        <v>0.3</v>
      </c>
      <c r="AR91" s="61">
        <v>0.3</v>
      </c>
      <c r="AS91" s="61">
        <v>0.3</v>
      </c>
      <c r="AT91" s="61">
        <v>0.3</v>
      </c>
      <c r="AU91" s="61">
        <v>0.3</v>
      </c>
      <c r="AV91" s="61">
        <v>0.3</v>
      </c>
      <c r="AX91" s="52">
        <f t="shared" si="184"/>
        <v>0</v>
      </c>
      <c r="AY91" s="52">
        <f t="shared" si="185"/>
        <v>0</v>
      </c>
      <c r="AZ91" s="52">
        <f t="shared" si="186"/>
        <v>0</v>
      </c>
      <c r="BA91" s="52">
        <f t="shared" si="187"/>
        <v>395.55073972602747</v>
      </c>
      <c r="BB91" s="52">
        <f t="shared" si="188"/>
        <v>788.94</v>
      </c>
      <c r="BC91" s="52">
        <f t="shared" si="189"/>
        <v>788.94</v>
      </c>
      <c r="BD91" s="52">
        <f t="shared" si="190"/>
        <v>788.94</v>
      </c>
      <c r="BE91" s="57">
        <v>0.2</v>
      </c>
      <c r="BF91" s="52">
        <f t="shared" si="191"/>
        <v>0</v>
      </c>
      <c r="BG91" s="82">
        <f t="shared" si="192"/>
        <v>0</v>
      </c>
      <c r="BH91" s="82">
        <f t="shared" si="193"/>
        <v>0</v>
      </c>
      <c r="BI91" s="52">
        <f t="shared" si="194"/>
        <v>385.05205479452059</v>
      </c>
      <c r="BJ91" s="52">
        <f t="shared" si="195"/>
        <v>768</v>
      </c>
      <c r="BK91" s="52">
        <f t="shared" si="196"/>
        <v>768</v>
      </c>
      <c r="BL91" s="52">
        <f t="shared" si="197"/>
        <v>768</v>
      </c>
      <c r="BM91" s="297">
        <v>0.04</v>
      </c>
      <c r="BN91" s="69">
        <f t="shared" si="268"/>
        <v>0</v>
      </c>
      <c r="BO91" s="69">
        <f t="shared" si="269"/>
        <v>0</v>
      </c>
      <c r="BP91" s="69">
        <f t="shared" si="270"/>
        <v>0</v>
      </c>
      <c r="BQ91" s="69">
        <f t="shared" si="271"/>
        <v>481.31506849315076</v>
      </c>
      <c r="BR91" s="69">
        <f t="shared" si="272"/>
        <v>960</v>
      </c>
      <c r="BS91" s="69">
        <f t="shared" si="203"/>
        <v>960</v>
      </c>
      <c r="BT91" s="69">
        <f t="shared" si="204"/>
        <v>960</v>
      </c>
      <c r="BV91" s="52">
        <f t="shared" ref="BV91:CB91" si="276">IF(AND($H91&gt;BU$49,$H91&lt;=BV$49),IF($G91&gt;BU$49,$H91-$G91,$H91-BU$49),IF($H91&lt;=BU$49,0,IF(AND($G91&gt;BU$49,$G91&lt;=BV$49),BV$49-$G91,IF($G91&gt;BV$49,0,BV$49-BU$49))))</f>
        <v>0</v>
      </c>
      <c r="BW91" s="52">
        <f t="shared" si="276"/>
        <v>182</v>
      </c>
      <c r="BX91" s="52">
        <f t="shared" si="276"/>
        <v>365</v>
      </c>
      <c r="BY91" s="52">
        <f t="shared" si="276"/>
        <v>183</v>
      </c>
      <c r="BZ91" s="52">
        <f t="shared" si="276"/>
        <v>0</v>
      </c>
      <c r="CA91" s="52">
        <f t="shared" si="276"/>
        <v>0</v>
      </c>
      <c r="CB91" s="52">
        <f t="shared" si="276"/>
        <v>0</v>
      </c>
      <c r="CC91" s="107">
        <v>0</v>
      </c>
      <c r="CD91" s="61">
        <v>0</v>
      </c>
      <c r="CE91" s="61">
        <f t="shared" si="275"/>
        <v>0.59782500000000005</v>
      </c>
      <c r="CF91" s="61">
        <f>IF(SUM($BX91:$CB91)=0,0,BY91/SUM($BX91:$CB91)*(1-$O91))</f>
        <v>0.29973143835616439</v>
      </c>
      <c r="CG91" s="61">
        <f t="shared" si="206"/>
        <v>0</v>
      </c>
      <c r="CH91" s="61">
        <f t="shared" si="149"/>
        <v>0</v>
      </c>
      <c r="CI91" s="61">
        <f t="shared" si="150"/>
        <v>0</v>
      </c>
      <c r="CJ91" s="61">
        <f t="shared" si="151"/>
        <v>1</v>
      </c>
      <c r="CK91" s="4"/>
      <c r="CL91" s="54">
        <f t="shared" si="152"/>
        <v>0</v>
      </c>
      <c r="CM91" s="54">
        <f t="shared" si="153"/>
        <v>0</v>
      </c>
      <c r="CN91" s="54">
        <f t="shared" si="154"/>
        <v>14347.800000000001</v>
      </c>
      <c r="CO91" s="54">
        <f t="shared" si="155"/>
        <v>7193.5545205479457</v>
      </c>
      <c r="CP91" s="54">
        <f t="shared" si="156"/>
        <v>0</v>
      </c>
      <c r="CQ91" s="54">
        <f t="shared" si="157"/>
        <v>0</v>
      </c>
      <c r="CR91" s="54">
        <f t="shared" si="158"/>
        <v>0</v>
      </c>
      <c r="CT91" s="54">
        <f t="shared" si="207"/>
        <v>0</v>
      </c>
      <c r="CU91" s="54">
        <f t="shared" si="208"/>
        <v>0</v>
      </c>
      <c r="CV91" s="54">
        <f t="shared" si="209"/>
        <v>2869.5600000000004</v>
      </c>
      <c r="CW91" s="54">
        <f t="shared" si="210"/>
        <v>1438.7109041095891</v>
      </c>
      <c r="CX91" s="54">
        <f t="shared" si="211"/>
        <v>0</v>
      </c>
      <c r="CY91" s="54">
        <f t="shared" si="212"/>
        <v>0</v>
      </c>
      <c r="CZ91" s="54">
        <f t="shared" si="213"/>
        <v>0</v>
      </c>
      <c r="DB91" s="54">
        <f t="shared" si="214"/>
        <v>0</v>
      </c>
      <c r="DC91" s="54">
        <f t="shared" si="215"/>
        <v>0</v>
      </c>
      <c r="DD91" s="54">
        <f t="shared" si="216"/>
        <v>11478.240000000002</v>
      </c>
      <c r="DE91" s="54">
        <f t="shared" si="217"/>
        <v>5754.8436164383565</v>
      </c>
      <c r="DF91" s="54">
        <f t="shared" si="218"/>
        <v>0</v>
      </c>
      <c r="DG91" s="54">
        <f t="shared" si="219"/>
        <v>0</v>
      </c>
      <c r="DH91" s="54">
        <f t="shared" si="220"/>
        <v>0</v>
      </c>
      <c r="DJ91" s="54">
        <f t="shared" si="221"/>
        <v>0</v>
      </c>
      <c r="DK91" s="54">
        <f t="shared" si="222"/>
        <v>0</v>
      </c>
      <c r="DL91" s="54">
        <f t="shared" si="223"/>
        <v>0</v>
      </c>
      <c r="DM91" s="54">
        <f t="shared" si="224"/>
        <v>0</v>
      </c>
      <c r="DN91" s="54">
        <f t="shared" si="225"/>
        <v>768</v>
      </c>
      <c r="DO91" s="54">
        <f t="shared" si="226"/>
        <v>768</v>
      </c>
      <c r="DP91" s="54">
        <f t="shared" si="227"/>
        <v>768</v>
      </c>
      <c r="DR91" s="54">
        <f>+IF(Z91&gt;0,$K91*(1-$BE91)-SUM($DJ91:DJ91),DB91)</f>
        <v>0</v>
      </c>
      <c r="DS91" s="54">
        <f>+IF(AA91&gt;0,$K91*(1-$BE91)-SUM($DJ91:DK91),DC91)</f>
        <v>0</v>
      </c>
      <c r="DT91" s="54">
        <f>+IF(AB91&gt;0,$K91*(1-$BE91)-SUM($DJ91:DL91),DD91)</f>
        <v>11478.240000000002</v>
      </c>
      <c r="DU91" s="54">
        <f>+IF(AC91&gt;0,$K91*(1-$BE91)-SUM($DJ91:DM91),DE91)</f>
        <v>19200</v>
      </c>
      <c r="DV91" s="54">
        <f>+IF(AD91&gt;0,$K91*(1-$BE91)-SUM($DJ91:DN91),DF91)</f>
        <v>18432</v>
      </c>
      <c r="DW91" s="54">
        <f>+IF(AE91&gt;0,$K91*(1-$BE91)-SUM($DJ91:DO91),DG91)</f>
        <v>17664</v>
      </c>
      <c r="DX91" s="54">
        <f>+IF(AF91&gt;0,$K91*(1-$BE91)-SUM($DJ91:DP91),DH91)</f>
        <v>16896</v>
      </c>
      <c r="DZ91" s="54">
        <f t="shared" si="228"/>
        <v>0</v>
      </c>
      <c r="EA91" s="54">
        <f t="shared" si="229"/>
        <v>0</v>
      </c>
      <c r="EB91" s="54">
        <f t="shared" si="230"/>
        <v>0</v>
      </c>
      <c r="EC91" s="54">
        <f t="shared" si="231"/>
        <v>962.63013698630152</v>
      </c>
      <c r="ED91" s="54">
        <f t="shared" si="232"/>
        <v>1843.2</v>
      </c>
      <c r="EE91" s="54">
        <f t="shared" si="233"/>
        <v>1766.4</v>
      </c>
      <c r="EF91" s="54">
        <f t="shared" si="234"/>
        <v>0</v>
      </c>
      <c r="EH91" s="54">
        <f t="shared" si="235"/>
        <v>0</v>
      </c>
      <c r="EI91" s="54">
        <f t="shared" si="236"/>
        <v>0</v>
      </c>
      <c r="EJ91" s="54">
        <f t="shared" si="237"/>
        <v>0</v>
      </c>
      <c r="EK91" s="54">
        <f t="shared" si="238"/>
        <v>0</v>
      </c>
      <c r="EL91" s="54">
        <f t="shared" si="239"/>
        <v>0</v>
      </c>
      <c r="EM91" s="54">
        <f t="shared" si="240"/>
        <v>0</v>
      </c>
      <c r="EN91" s="54">
        <f t="shared" si="241"/>
        <v>0</v>
      </c>
      <c r="EP91" s="52">
        <f t="shared" ca="1" si="242"/>
        <v>0</v>
      </c>
      <c r="EQ91" s="52">
        <f t="shared" ca="1" si="243"/>
        <v>0</v>
      </c>
      <c r="ER91" s="52">
        <f t="shared" ca="1" si="244"/>
        <v>0</v>
      </c>
      <c r="ES91" s="52">
        <f t="shared" ca="1" si="245"/>
        <v>0</v>
      </c>
      <c r="ET91" s="52">
        <f t="shared" ca="1" si="246"/>
        <v>0</v>
      </c>
      <c r="EU91" s="52">
        <f t="shared" ca="1" si="247"/>
        <v>0</v>
      </c>
      <c r="EV91" s="52">
        <f t="shared" ca="1" si="248"/>
        <v>0</v>
      </c>
      <c r="EX91" s="52">
        <f t="shared" ca="1" si="249"/>
        <v>0</v>
      </c>
      <c r="EY91" s="52">
        <f t="shared" ca="1" si="250"/>
        <v>0</v>
      </c>
      <c r="EZ91" s="52">
        <f t="shared" ca="1" si="251"/>
        <v>0</v>
      </c>
      <c r="FA91" s="52">
        <f t="shared" ca="1" si="252"/>
        <v>1828.9972602739729</v>
      </c>
      <c r="FB91" s="52">
        <f t="shared" ca="1" si="253"/>
        <v>3571.2</v>
      </c>
      <c r="FC91" s="52">
        <f t="shared" ca="1" si="254"/>
        <v>3494.4</v>
      </c>
      <c r="FD91" s="52">
        <f t="shared" ca="1" si="255"/>
        <v>1728</v>
      </c>
      <c r="FF91" s="82">
        <f t="shared" si="256"/>
        <v>0</v>
      </c>
      <c r="FG91" s="82">
        <f t="shared" si="257"/>
        <v>0</v>
      </c>
      <c r="FH91" s="82">
        <f t="shared" si="258"/>
        <v>0</v>
      </c>
      <c r="FI91" s="82">
        <f t="shared" si="259"/>
        <v>24000</v>
      </c>
      <c r="FJ91" s="82">
        <f t="shared" si="260"/>
        <v>0</v>
      </c>
      <c r="FK91" s="82">
        <f t="shared" si="261"/>
        <v>0</v>
      </c>
      <c r="FL91" s="82">
        <f t="shared" si="262"/>
        <v>0</v>
      </c>
      <c r="FM91" s="51">
        <v>0</v>
      </c>
      <c r="FN91" s="82">
        <v>0</v>
      </c>
      <c r="FO91" s="82">
        <f t="shared" si="159"/>
        <v>2458.6454794520546</v>
      </c>
      <c r="FP91" s="82">
        <f t="shared" si="263"/>
        <v>16806.445479452057</v>
      </c>
      <c r="FQ91" s="82">
        <f t="shared" si="264"/>
        <v>0</v>
      </c>
      <c r="FR91" s="82">
        <f t="shared" si="265"/>
        <v>0</v>
      </c>
      <c r="FS91" s="82">
        <f t="shared" si="266"/>
        <v>0</v>
      </c>
      <c r="FT91" s="82">
        <f t="shared" si="267"/>
        <v>0</v>
      </c>
      <c r="FV91" s="82">
        <f t="shared" si="160"/>
        <v>3.36</v>
      </c>
      <c r="FW91" s="82">
        <f t="shared" si="161"/>
        <v>3.36</v>
      </c>
      <c r="FX91" s="82">
        <f t="shared" si="162"/>
        <v>3.36</v>
      </c>
      <c r="FY91" s="82">
        <f t="shared" si="163"/>
        <v>3.36</v>
      </c>
      <c r="FZ91" s="82">
        <f t="shared" si="164"/>
        <v>3.36</v>
      </c>
      <c r="GA91" s="82">
        <f t="shared" si="165"/>
        <v>3.36</v>
      </c>
      <c r="GB91" s="82">
        <f t="shared" si="166"/>
        <v>3.36</v>
      </c>
    </row>
    <row r="92" spans="2:184" x14ac:dyDescent="0.2">
      <c r="B92" s="402" t="str">
        <f>Key_New!D40</f>
        <v>Karnataka</v>
      </c>
      <c r="C92" s="394" t="str">
        <f>Key_New!B40</f>
        <v>ACME Platinum Urja Pvt Ltd</v>
      </c>
      <c r="D92" s="395" t="str">
        <f>Key_New!E40</f>
        <v>FDRE</v>
      </c>
      <c r="E92" s="395" t="str">
        <f>Key_New!C40</f>
        <v>Under Construction</v>
      </c>
      <c r="F92" s="397">
        <f>Key_New!F40</f>
        <v>350</v>
      </c>
      <c r="G92" s="399">
        <f t="shared" si="145"/>
        <v>45703</v>
      </c>
      <c r="H92" s="399">
        <f>Key_New!O40</f>
        <v>46433</v>
      </c>
      <c r="I92" s="369">
        <f t="shared" si="167"/>
        <v>2027</v>
      </c>
      <c r="J92" s="367">
        <v>110</v>
      </c>
      <c r="K92" s="370">
        <f t="shared" si="168"/>
        <v>38500</v>
      </c>
      <c r="L92" s="368">
        <v>0.12</v>
      </c>
      <c r="M92" s="368">
        <v>0.25</v>
      </c>
      <c r="N92" s="403">
        <f>Key_New!J40</f>
        <v>3.42</v>
      </c>
      <c r="O92" s="462">
        <f t="shared" si="147"/>
        <v>0.23021657534246573</v>
      </c>
      <c r="P92" s="54">
        <f t="shared" si="169"/>
        <v>0</v>
      </c>
      <c r="Q92" s="54">
        <f t="shared" si="169"/>
        <v>0</v>
      </c>
      <c r="R92" s="54">
        <f t="shared" si="169"/>
        <v>0</v>
      </c>
      <c r="S92" s="54">
        <f t="shared" si="169"/>
        <v>44</v>
      </c>
      <c r="T92" s="54">
        <f t="shared" si="169"/>
        <v>365</v>
      </c>
      <c r="U92" s="54">
        <f t="shared" si="148"/>
        <v>365</v>
      </c>
      <c r="V92" s="54">
        <f t="shared" si="148"/>
        <v>365</v>
      </c>
      <c r="W92" s="54">
        <f t="shared" si="169"/>
        <v>365</v>
      </c>
      <c r="Y92" s="54">
        <f t="shared" si="170"/>
        <v>0</v>
      </c>
      <c r="Z92" s="54">
        <f t="shared" si="171"/>
        <v>0</v>
      </c>
      <c r="AA92" s="54">
        <f t="shared" si="172"/>
        <v>0</v>
      </c>
      <c r="AB92" s="54">
        <f t="shared" si="173"/>
        <v>1</v>
      </c>
      <c r="AC92" s="54">
        <f t="shared" si="174"/>
        <v>2</v>
      </c>
      <c r="AD92" s="54">
        <f t="shared" si="175"/>
        <v>3</v>
      </c>
      <c r="AE92" s="54">
        <f t="shared" si="176"/>
        <v>4</v>
      </c>
      <c r="AF92" s="54">
        <f t="shared" si="176"/>
        <v>5</v>
      </c>
      <c r="AG92" s="444"/>
      <c r="AH92" s="48">
        <f t="shared" si="177"/>
        <v>0</v>
      </c>
      <c r="AI92" s="48">
        <f t="shared" si="178"/>
        <v>0</v>
      </c>
      <c r="AJ92" s="48">
        <f t="shared" si="179"/>
        <v>350</v>
      </c>
      <c r="AK92" s="48">
        <f t="shared" si="180"/>
        <v>350</v>
      </c>
      <c r="AL92" s="48">
        <f t="shared" si="181"/>
        <v>350</v>
      </c>
      <c r="AM92" s="48">
        <f t="shared" si="182"/>
        <v>350</v>
      </c>
      <c r="AN92" s="48">
        <f t="shared" si="183"/>
        <v>350</v>
      </c>
      <c r="AP92" s="61">
        <v>0.4</v>
      </c>
      <c r="AQ92" s="61">
        <v>0.4</v>
      </c>
      <c r="AR92" s="61">
        <v>0.4</v>
      </c>
      <c r="AS92" s="61">
        <v>0.4</v>
      </c>
      <c r="AT92" s="61">
        <v>0.4</v>
      </c>
      <c r="AU92" s="61">
        <v>0.4</v>
      </c>
      <c r="AV92" s="61">
        <v>0.4</v>
      </c>
      <c r="AX92" s="52">
        <f t="shared" si="184"/>
        <v>0</v>
      </c>
      <c r="AY92" s="52">
        <f t="shared" si="185"/>
        <v>0</v>
      </c>
      <c r="AZ92" s="52">
        <f t="shared" si="186"/>
        <v>147.9412602739726</v>
      </c>
      <c r="BA92" s="52">
        <f t="shared" si="187"/>
        <v>1227.24</v>
      </c>
      <c r="BB92" s="52">
        <f t="shared" si="188"/>
        <v>1227.24</v>
      </c>
      <c r="BC92" s="52">
        <f t="shared" si="189"/>
        <v>1227.24</v>
      </c>
      <c r="BD92" s="52">
        <f t="shared" si="190"/>
        <v>1227.24</v>
      </c>
      <c r="BE92" s="57">
        <v>0.2</v>
      </c>
      <c r="BF92" s="52">
        <f t="shared" si="191"/>
        <v>0</v>
      </c>
      <c r="BG92" s="82">
        <f t="shared" si="192"/>
        <v>0</v>
      </c>
      <c r="BH92" s="82">
        <f t="shared" si="193"/>
        <v>148.51506849315069</v>
      </c>
      <c r="BI92" s="52">
        <f t="shared" si="194"/>
        <v>1232</v>
      </c>
      <c r="BJ92" s="52">
        <f t="shared" si="195"/>
        <v>1232</v>
      </c>
      <c r="BK92" s="52">
        <f t="shared" si="196"/>
        <v>1232</v>
      </c>
      <c r="BL92" s="52">
        <f t="shared" si="197"/>
        <v>1232</v>
      </c>
      <c r="BM92" s="297">
        <v>0.04</v>
      </c>
      <c r="BN92" s="69">
        <f t="shared" si="268"/>
        <v>0</v>
      </c>
      <c r="BO92" s="69">
        <f t="shared" si="269"/>
        <v>0</v>
      </c>
      <c r="BP92" s="69">
        <f t="shared" si="270"/>
        <v>185.64383561643837</v>
      </c>
      <c r="BQ92" s="69">
        <f t="shared" si="271"/>
        <v>1540</v>
      </c>
      <c r="BR92" s="69">
        <f t="shared" si="272"/>
        <v>1540</v>
      </c>
      <c r="BS92" s="69">
        <f t="shared" si="203"/>
        <v>1540</v>
      </c>
      <c r="BT92" s="69">
        <f t="shared" si="204"/>
        <v>1540</v>
      </c>
      <c r="BV92" s="52">
        <f t="shared" ref="BV92:CB92" si="277">IF(AND($H92&gt;BU$49,$H92&lt;=BV$49),IF($G92&gt;BU$49,$H92-$G92,$H92-BU$49),IF($H92&lt;=BU$49,0,IF(AND($G92&gt;BU$49,$G92&lt;=BV$49),BV$49-$G92,IF($G92&gt;BV$49,0,BV$49-BU$49))))</f>
        <v>44</v>
      </c>
      <c r="BW92" s="52">
        <f t="shared" si="277"/>
        <v>365</v>
      </c>
      <c r="BX92" s="52">
        <f t="shared" si="277"/>
        <v>321</v>
      </c>
      <c r="BY92" s="52">
        <f t="shared" si="277"/>
        <v>0</v>
      </c>
      <c r="BZ92" s="52">
        <f t="shared" si="277"/>
        <v>0</v>
      </c>
      <c r="CA92" s="52">
        <f t="shared" si="277"/>
        <v>0</v>
      </c>
      <c r="CB92" s="52">
        <f t="shared" si="277"/>
        <v>0</v>
      </c>
      <c r="CC92" s="107">
        <v>0</v>
      </c>
      <c r="CD92" s="61">
        <v>0</v>
      </c>
      <c r="CE92" s="61">
        <f t="shared" si="275"/>
        <v>0.76978342465753424</v>
      </c>
      <c r="CF92" s="61">
        <f>IF(SUM($BX92:$CB92)=0,0,BY92/SUM($BX92:$CB92)*(1-$O92))</f>
        <v>0</v>
      </c>
      <c r="CG92" s="61">
        <f t="shared" si="206"/>
        <v>0</v>
      </c>
      <c r="CH92" s="61">
        <f t="shared" si="149"/>
        <v>0</v>
      </c>
      <c r="CI92" s="61">
        <f t="shared" si="150"/>
        <v>0</v>
      </c>
      <c r="CJ92" s="61">
        <f t="shared" si="151"/>
        <v>1</v>
      </c>
      <c r="CK92" s="4"/>
      <c r="CL92" s="54">
        <f t="shared" si="152"/>
        <v>0</v>
      </c>
      <c r="CM92" s="54">
        <f t="shared" si="153"/>
        <v>0</v>
      </c>
      <c r="CN92" s="54">
        <f t="shared" si="154"/>
        <v>29636.661849315067</v>
      </c>
      <c r="CO92" s="54">
        <f t="shared" si="155"/>
        <v>0</v>
      </c>
      <c r="CP92" s="54">
        <f t="shared" si="156"/>
        <v>0</v>
      </c>
      <c r="CQ92" s="54">
        <f t="shared" si="157"/>
        <v>0</v>
      </c>
      <c r="CR92" s="54">
        <f t="shared" si="158"/>
        <v>0</v>
      </c>
      <c r="CT92" s="54">
        <f t="shared" si="207"/>
        <v>0</v>
      </c>
      <c r="CU92" s="54">
        <f t="shared" si="208"/>
        <v>0</v>
      </c>
      <c r="CV92" s="54">
        <f t="shared" si="209"/>
        <v>5927.3323698630138</v>
      </c>
      <c r="CW92" s="54">
        <f t="shared" si="210"/>
        <v>0</v>
      </c>
      <c r="CX92" s="54">
        <f t="shared" si="211"/>
        <v>0</v>
      </c>
      <c r="CY92" s="54">
        <f t="shared" si="212"/>
        <v>0</v>
      </c>
      <c r="CZ92" s="54">
        <f t="shared" si="213"/>
        <v>0</v>
      </c>
      <c r="DB92" s="54">
        <f t="shared" si="214"/>
        <v>0</v>
      </c>
      <c r="DC92" s="54">
        <f t="shared" si="215"/>
        <v>0</v>
      </c>
      <c r="DD92" s="54">
        <f t="shared" si="216"/>
        <v>23709.329479452055</v>
      </c>
      <c r="DE92" s="54">
        <f t="shared" si="217"/>
        <v>0</v>
      </c>
      <c r="DF92" s="54">
        <f t="shared" si="218"/>
        <v>0</v>
      </c>
      <c r="DG92" s="54">
        <f t="shared" si="219"/>
        <v>0</v>
      </c>
      <c r="DH92" s="54">
        <f t="shared" si="220"/>
        <v>0</v>
      </c>
      <c r="DJ92" s="54">
        <f t="shared" si="221"/>
        <v>0</v>
      </c>
      <c r="DK92" s="54">
        <f t="shared" si="222"/>
        <v>0</v>
      </c>
      <c r="DL92" s="54">
        <f t="shared" si="223"/>
        <v>0</v>
      </c>
      <c r="DM92" s="54">
        <f t="shared" si="224"/>
        <v>1232</v>
      </c>
      <c r="DN92" s="54">
        <f t="shared" si="225"/>
        <v>1232</v>
      </c>
      <c r="DO92" s="54">
        <f t="shared" si="226"/>
        <v>1232</v>
      </c>
      <c r="DP92" s="54">
        <f t="shared" si="227"/>
        <v>1232</v>
      </c>
      <c r="DR92" s="54">
        <f>+IF(Z92&gt;0,$K92*(1-$BE92)-SUM($DJ92:DJ92),DB92)</f>
        <v>0</v>
      </c>
      <c r="DS92" s="54">
        <f>+IF(AA92&gt;0,$K92*(1-$BE92)-SUM($DJ92:DK92),DC92)</f>
        <v>0</v>
      </c>
      <c r="DT92" s="54">
        <f>+IF(AB92&gt;0,$K92*(1-$BE92)-SUM($DJ92:DL92),DD92)</f>
        <v>30800</v>
      </c>
      <c r="DU92" s="54">
        <f>+IF(AC92&gt;0,$K92*(1-$BE92)-SUM($DJ92:DM92),DE92)</f>
        <v>29568</v>
      </c>
      <c r="DV92" s="54">
        <f>+IF(AD92&gt;0,$K92*(1-$BE92)-SUM($DJ92:DN92),DF92)</f>
        <v>28336</v>
      </c>
      <c r="DW92" s="54">
        <f>+IF(AE92&gt;0,$K92*(1-$BE92)-SUM($DJ92:DO92),DG92)</f>
        <v>27104</v>
      </c>
      <c r="DX92" s="54">
        <f>+IF(AF92&gt;0,$K92*(1-$BE92)-SUM($DJ92:DP92),DH92)</f>
        <v>25872</v>
      </c>
      <c r="DZ92" s="54">
        <f t="shared" si="228"/>
        <v>0</v>
      </c>
      <c r="EA92" s="54">
        <f t="shared" si="229"/>
        <v>0</v>
      </c>
      <c r="EB92" s="54">
        <f t="shared" si="230"/>
        <v>371.28767123287673</v>
      </c>
      <c r="EC92" s="54">
        <f t="shared" si="231"/>
        <v>2956.8</v>
      </c>
      <c r="ED92" s="54">
        <f t="shared" si="232"/>
        <v>2833.6000000000004</v>
      </c>
      <c r="EE92" s="54">
        <f t="shared" si="233"/>
        <v>2710.4</v>
      </c>
      <c r="EF92" s="54">
        <f t="shared" si="234"/>
        <v>0</v>
      </c>
      <c r="EH92" s="54">
        <f t="shared" si="235"/>
        <v>0</v>
      </c>
      <c r="EI92" s="54">
        <f t="shared" si="236"/>
        <v>0</v>
      </c>
      <c r="EJ92" s="54">
        <f t="shared" si="237"/>
        <v>0</v>
      </c>
      <c r="EK92" s="54">
        <f t="shared" si="238"/>
        <v>0</v>
      </c>
      <c r="EL92" s="54">
        <f t="shared" si="239"/>
        <v>0</v>
      </c>
      <c r="EM92" s="54">
        <f t="shared" si="240"/>
        <v>0</v>
      </c>
      <c r="EN92" s="54">
        <f t="shared" si="241"/>
        <v>0</v>
      </c>
      <c r="EP92" s="52">
        <f t="shared" ca="1" si="242"/>
        <v>0</v>
      </c>
      <c r="EQ92" s="52">
        <f t="shared" ca="1" si="243"/>
        <v>0</v>
      </c>
      <c r="ER92" s="52">
        <f t="shared" ca="1" si="244"/>
        <v>0</v>
      </c>
      <c r="ES92" s="52">
        <f t="shared" ca="1" si="245"/>
        <v>0</v>
      </c>
      <c r="ET92" s="52">
        <f t="shared" ca="1" si="246"/>
        <v>0</v>
      </c>
      <c r="EU92" s="52">
        <f t="shared" ca="1" si="247"/>
        <v>0</v>
      </c>
      <c r="EV92" s="52">
        <f t="shared" ca="1" si="248"/>
        <v>0</v>
      </c>
      <c r="EX92" s="52">
        <f t="shared" ca="1" si="249"/>
        <v>0</v>
      </c>
      <c r="EY92" s="52">
        <f t="shared" ca="1" si="250"/>
        <v>0</v>
      </c>
      <c r="EZ92" s="52">
        <f t="shared" ca="1" si="251"/>
        <v>705.44657534246585</v>
      </c>
      <c r="FA92" s="52">
        <f t="shared" ca="1" si="252"/>
        <v>5728.8</v>
      </c>
      <c r="FB92" s="52">
        <f t="shared" ca="1" si="253"/>
        <v>5605.6</v>
      </c>
      <c r="FC92" s="52">
        <f t="shared" ca="1" si="254"/>
        <v>5482.4</v>
      </c>
      <c r="FD92" s="52">
        <f t="shared" ca="1" si="255"/>
        <v>2772</v>
      </c>
      <c r="FF92" s="82">
        <f t="shared" si="256"/>
        <v>0</v>
      </c>
      <c r="FG92" s="82">
        <f t="shared" si="257"/>
        <v>0</v>
      </c>
      <c r="FH92" s="82">
        <f t="shared" si="258"/>
        <v>38500</v>
      </c>
      <c r="FI92" s="82">
        <f t="shared" si="259"/>
        <v>0</v>
      </c>
      <c r="FJ92" s="82">
        <f t="shared" si="260"/>
        <v>0</v>
      </c>
      <c r="FK92" s="82">
        <f t="shared" si="261"/>
        <v>0</v>
      </c>
      <c r="FL92" s="82">
        <f t="shared" si="262"/>
        <v>0</v>
      </c>
      <c r="FM92" s="51">
        <v>0</v>
      </c>
      <c r="FN92" s="82">
        <v>0</v>
      </c>
      <c r="FO92" s="82">
        <f t="shared" si="159"/>
        <v>8863.338150684931</v>
      </c>
      <c r="FP92" s="82">
        <f t="shared" si="263"/>
        <v>0</v>
      </c>
      <c r="FQ92" s="82">
        <f t="shared" si="264"/>
        <v>0</v>
      </c>
      <c r="FR92" s="82">
        <f t="shared" si="265"/>
        <v>0</v>
      </c>
      <c r="FS92" s="82">
        <f t="shared" si="266"/>
        <v>0</v>
      </c>
      <c r="FT92" s="82">
        <f t="shared" si="267"/>
        <v>0</v>
      </c>
      <c r="FV92" s="82">
        <f t="shared" si="160"/>
        <v>3.42</v>
      </c>
      <c r="FW92" s="82">
        <f t="shared" si="161"/>
        <v>3.42</v>
      </c>
      <c r="FX92" s="82">
        <f t="shared" si="162"/>
        <v>3.42</v>
      </c>
      <c r="FY92" s="82">
        <f t="shared" si="163"/>
        <v>3.42</v>
      </c>
      <c r="FZ92" s="82">
        <f t="shared" si="164"/>
        <v>3.42</v>
      </c>
      <c r="GA92" s="82">
        <f t="shared" si="165"/>
        <v>3.42</v>
      </c>
      <c r="GB92" s="82">
        <f t="shared" si="166"/>
        <v>3.42</v>
      </c>
    </row>
    <row r="93" spans="2:184" x14ac:dyDescent="0.2">
      <c r="B93" s="402" t="str">
        <f>Key_New!D41</f>
        <v>–</v>
      </c>
      <c r="C93" s="394" t="str">
        <f>Key_New!B41</f>
        <v>ACME Venus Urja Pvt Ltd</v>
      </c>
      <c r="D93" s="395" t="str">
        <f>Key_New!E41</f>
        <v>FDRE</v>
      </c>
      <c r="E93" s="395" t="str">
        <f>Key_New!C41</f>
        <v>Under Construction</v>
      </c>
      <c r="F93" s="397">
        <f>Key_New!F41</f>
        <v>400</v>
      </c>
      <c r="G93" s="399">
        <f t="shared" si="145"/>
        <v>45930</v>
      </c>
      <c r="H93" s="399">
        <f>Key_New!O41</f>
        <v>46660</v>
      </c>
      <c r="I93" s="369">
        <f t="shared" si="167"/>
        <v>2028</v>
      </c>
      <c r="J93" s="367">
        <v>110</v>
      </c>
      <c r="K93" s="370">
        <f t="shared" si="168"/>
        <v>44000</v>
      </c>
      <c r="L93" s="368">
        <v>0.12</v>
      </c>
      <c r="M93" s="368">
        <v>0.25</v>
      </c>
      <c r="N93" s="403">
        <f>Key_New!J41</f>
        <v>4.6399999999999997</v>
      </c>
      <c r="O93" s="462">
        <f t="shared" si="147"/>
        <v>0.10244356164383561</v>
      </c>
      <c r="P93" s="54">
        <f t="shared" si="169"/>
        <v>0</v>
      </c>
      <c r="Q93" s="54">
        <f t="shared" si="169"/>
        <v>0</v>
      </c>
      <c r="R93" s="54">
        <f t="shared" si="169"/>
        <v>0</v>
      </c>
      <c r="S93" s="54">
        <f t="shared" si="169"/>
        <v>0</v>
      </c>
      <c r="T93" s="54">
        <f t="shared" si="169"/>
        <v>183</v>
      </c>
      <c r="U93" s="54">
        <f t="shared" si="148"/>
        <v>365</v>
      </c>
      <c r="V93" s="54">
        <f t="shared" si="148"/>
        <v>365</v>
      </c>
      <c r="W93" s="54">
        <f t="shared" si="169"/>
        <v>365</v>
      </c>
      <c r="Y93" s="54">
        <f t="shared" si="170"/>
        <v>0</v>
      </c>
      <c r="Z93" s="54">
        <f t="shared" si="171"/>
        <v>0</v>
      </c>
      <c r="AA93" s="54">
        <f t="shared" si="172"/>
        <v>0</v>
      </c>
      <c r="AB93" s="54">
        <f t="shared" si="173"/>
        <v>0</v>
      </c>
      <c r="AC93" s="54">
        <f t="shared" si="174"/>
        <v>1</v>
      </c>
      <c r="AD93" s="54">
        <f t="shared" si="175"/>
        <v>2</v>
      </c>
      <c r="AE93" s="54">
        <f t="shared" si="176"/>
        <v>3</v>
      </c>
      <c r="AF93" s="54">
        <f t="shared" si="176"/>
        <v>4</v>
      </c>
      <c r="AG93" s="444"/>
      <c r="AH93" s="48">
        <f t="shared" si="177"/>
        <v>0</v>
      </c>
      <c r="AI93" s="48">
        <f t="shared" si="178"/>
        <v>0</v>
      </c>
      <c r="AJ93" s="48">
        <f t="shared" si="179"/>
        <v>0</v>
      </c>
      <c r="AK93" s="48">
        <f t="shared" si="180"/>
        <v>400</v>
      </c>
      <c r="AL93" s="48">
        <f t="shared" si="181"/>
        <v>400</v>
      </c>
      <c r="AM93" s="48">
        <f t="shared" si="182"/>
        <v>400</v>
      </c>
      <c r="AN93" s="48">
        <f t="shared" si="183"/>
        <v>400</v>
      </c>
      <c r="AP93" s="61">
        <v>0.4</v>
      </c>
      <c r="AQ93" s="61">
        <v>0.4</v>
      </c>
      <c r="AR93" s="61">
        <v>0.4</v>
      </c>
      <c r="AS93" s="61">
        <v>0.4</v>
      </c>
      <c r="AT93" s="61">
        <v>0.4</v>
      </c>
      <c r="AU93" s="61">
        <v>0.4</v>
      </c>
      <c r="AV93" s="61">
        <v>0.4</v>
      </c>
      <c r="AX93" s="52">
        <f t="shared" si="184"/>
        <v>0</v>
      </c>
      <c r="AY93" s="52">
        <f t="shared" si="185"/>
        <v>0</v>
      </c>
      <c r="AZ93" s="52">
        <f t="shared" si="186"/>
        <v>0</v>
      </c>
      <c r="BA93" s="52">
        <f t="shared" si="187"/>
        <v>703.20131506849327</v>
      </c>
      <c r="BB93" s="52">
        <f t="shared" si="188"/>
        <v>1402.5600000000002</v>
      </c>
      <c r="BC93" s="52">
        <f t="shared" si="189"/>
        <v>1402.5600000000002</v>
      </c>
      <c r="BD93" s="52">
        <f t="shared" si="190"/>
        <v>1402.5600000000002</v>
      </c>
      <c r="BE93" s="57">
        <v>0.2</v>
      </c>
      <c r="BF93" s="52">
        <f t="shared" si="191"/>
        <v>0</v>
      </c>
      <c r="BG93" s="82">
        <f t="shared" si="192"/>
        <v>0</v>
      </c>
      <c r="BH93" s="82">
        <f t="shared" si="193"/>
        <v>0</v>
      </c>
      <c r="BI93" s="52">
        <f t="shared" si="194"/>
        <v>705.92876712328768</v>
      </c>
      <c r="BJ93" s="52">
        <f t="shared" si="195"/>
        <v>1408</v>
      </c>
      <c r="BK93" s="52">
        <f t="shared" si="196"/>
        <v>1408</v>
      </c>
      <c r="BL93" s="52">
        <f t="shared" si="197"/>
        <v>1408</v>
      </c>
      <c r="BM93" s="297">
        <v>0.04</v>
      </c>
      <c r="BN93" s="69">
        <f t="shared" si="268"/>
        <v>0</v>
      </c>
      <c r="BO93" s="69">
        <f t="shared" si="269"/>
        <v>0</v>
      </c>
      <c r="BP93" s="69">
        <f t="shared" si="270"/>
        <v>0</v>
      </c>
      <c r="BQ93" s="69">
        <f t="shared" si="271"/>
        <v>882.41095890410963</v>
      </c>
      <c r="BR93" s="69">
        <f t="shared" si="272"/>
        <v>1760</v>
      </c>
      <c r="BS93" s="69">
        <f t="shared" si="203"/>
        <v>1760</v>
      </c>
      <c r="BT93" s="69">
        <f t="shared" si="204"/>
        <v>1760</v>
      </c>
      <c r="BV93" s="52">
        <f t="shared" ref="BV93:CB93" si="278">IF(AND($H93&gt;BU$49,$H93&lt;=BV$49),IF($G93&gt;BU$49,$H93-$G93,$H93-BU$49),IF($H93&lt;=BU$49,0,IF(AND($G93&gt;BU$49,$G93&lt;=BV$49),BV$49-$G93,IF($G93&gt;BV$49,0,BV$49-BU$49))))</f>
        <v>0</v>
      </c>
      <c r="BW93" s="52">
        <f t="shared" si="278"/>
        <v>182</v>
      </c>
      <c r="BX93" s="52">
        <f t="shared" si="278"/>
        <v>365</v>
      </c>
      <c r="BY93" s="52">
        <f t="shared" si="278"/>
        <v>183</v>
      </c>
      <c r="BZ93" s="52">
        <f t="shared" si="278"/>
        <v>0</v>
      </c>
      <c r="CA93" s="52">
        <f t="shared" si="278"/>
        <v>0</v>
      </c>
      <c r="CB93" s="52">
        <f t="shared" si="278"/>
        <v>0</v>
      </c>
      <c r="CC93" s="107">
        <v>0</v>
      </c>
      <c r="CD93" s="61">
        <v>0</v>
      </c>
      <c r="CE93" s="61">
        <f>IF(SUM($BX93:$CB93)=0,0,BX93/SUM($BX93:$CB93)*(1-$O93))-10%</f>
        <v>0.49782500000000007</v>
      </c>
      <c r="CF93" s="61">
        <f>IF(SUM($BX93:$CB93)=0,0,BY93/SUM($BX93:$CB93)*(1-$O93))+10%</f>
        <v>0.39973143835616443</v>
      </c>
      <c r="CG93" s="61">
        <f t="shared" si="206"/>
        <v>0</v>
      </c>
      <c r="CH93" s="61">
        <f t="shared" si="149"/>
        <v>0</v>
      </c>
      <c r="CI93" s="61">
        <f t="shared" si="150"/>
        <v>0</v>
      </c>
      <c r="CJ93" s="61">
        <f t="shared" si="151"/>
        <v>1</v>
      </c>
      <c r="CK93" s="4"/>
      <c r="CL93" s="54">
        <f t="shared" si="152"/>
        <v>0</v>
      </c>
      <c r="CM93" s="54">
        <f t="shared" si="153"/>
        <v>0</v>
      </c>
      <c r="CN93" s="54">
        <f t="shared" si="154"/>
        <v>21904.300000000003</v>
      </c>
      <c r="CO93" s="54">
        <f t="shared" si="155"/>
        <v>17588.183287671236</v>
      </c>
      <c r="CP93" s="54">
        <f t="shared" si="156"/>
        <v>0</v>
      </c>
      <c r="CQ93" s="54">
        <f t="shared" si="157"/>
        <v>0</v>
      </c>
      <c r="CR93" s="54">
        <f t="shared" si="158"/>
        <v>0</v>
      </c>
      <c r="CT93" s="54">
        <f t="shared" si="207"/>
        <v>0</v>
      </c>
      <c r="CU93" s="54">
        <f t="shared" si="208"/>
        <v>0</v>
      </c>
      <c r="CV93" s="54">
        <f t="shared" si="209"/>
        <v>4380.8600000000006</v>
      </c>
      <c r="CW93" s="54">
        <f t="shared" si="210"/>
        <v>3517.6366575342472</v>
      </c>
      <c r="CX93" s="54">
        <f t="shared" si="211"/>
        <v>0</v>
      </c>
      <c r="CY93" s="54">
        <f t="shared" si="212"/>
        <v>0</v>
      </c>
      <c r="CZ93" s="54">
        <f t="shared" si="213"/>
        <v>0</v>
      </c>
      <c r="DB93" s="54">
        <f t="shared" si="214"/>
        <v>0</v>
      </c>
      <c r="DC93" s="54">
        <f t="shared" si="215"/>
        <v>0</v>
      </c>
      <c r="DD93" s="54">
        <f t="shared" si="216"/>
        <v>17523.440000000002</v>
      </c>
      <c r="DE93" s="54">
        <f t="shared" si="217"/>
        <v>14070.546630136989</v>
      </c>
      <c r="DF93" s="54">
        <f t="shared" si="218"/>
        <v>0</v>
      </c>
      <c r="DG93" s="54">
        <f t="shared" si="219"/>
        <v>0</v>
      </c>
      <c r="DH93" s="54">
        <f t="shared" si="220"/>
        <v>0</v>
      </c>
      <c r="DJ93" s="54">
        <f t="shared" si="221"/>
        <v>0</v>
      </c>
      <c r="DK93" s="54">
        <f t="shared" si="222"/>
        <v>0</v>
      </c>
      <c r="DL93" s="54">
        <f t="shared" si="223"/>
        <v>0</v>
      </c>
      <c r="DM93" s="54">
        <f t="shared" si="224"/>
        <v>0</v>
      </c>
      <c r="DN93" s="54">
        <f t="shared" si="225"/>
        <v>1408</v>
      </c>
      <c r="DO93" s="54">
        <f t="shared" si="226"/>
        <v>1408</v>
      </c>
      <c r="DP93" s="54">
        <f t="shared" si="227"/>
        <v>1408</v>
      </c>
      <c r="DR93" s="54">
        <f>+IF(Z93&gt;0,$K93*(1-$BE93)-SUM($DJ93:DJ93),DB93)</f>
        <v>0</v>
      </c>
      <c r="DS93" s="54">
        <f>+IF(AA93&gt;0,$K93*(1-$BE93)-SUM($DJ93:DK93),DC93)</f>
        <v>0</v>
      </c>
      <c r="DT93" s="54">
        <f>+IF(AB93&gt;0,$K93*(1-$BE93)-SUM($DJ93:DL93),DD93)</f>
        <v>17523.440000000002</v>
      </c>
      <c r="DU93" s="54">
        <f>+IF(AC93&gt;0,$K93*(1-$BE93)-SUM($DJ93:DM93),DE93)</f>
        <v>35200</v>
      </c>
      <c r="DV93" s="54">
        <f>+IF(AD93&gt;0,$K93*(1-$BE93)-SUM($DJ93:DN93),DF93)</f>
        <v>33792</v>
      </c>
      <c r="DW93" s="54">
        <f>+IF(AE93&gt;0,$K93*(1-$BE93)-SUM($DJ93:DO93),DG93)</f>
        <v>32384</v>
      </c>
      <c r="DX93" s="54">
        <f>+IF(AF93&gt;0,$K93*(1-$BE93)-SUM($DJ93:DP93),DH93)</f>
        <v>30976</v>
      </c>
      <c r="DZ93" s="54">
        <f t="shared" si="228"/>
        <v>0</v>
      </c>
      <c r="EA93" s="54">
        <f t="shared" si="229"/>
        <v>0</v>
      </c>
      <c r="EB93" s="54">
        <f t="shared" si="230"/>
        <v>0</v>
      </c>
      <c r="EC93" s="54">
        <f t="shared" si="231"/>
        <v>1764.8219178082193</v>
      </c>
      <c r="ED93" s="54">
        <f t="shared" si="232"/>
        <v>3379.2000000000003</v>
      </c>
      <c r="EE93" s="54">
        <f t="shared" si="233"/>
        <v>3238.4</v>
      </c>
      <c r="EF93" s="54">
        <f t="shared" si="234"/>
        <v>0</v>
      </c>
      <c r="EH93" s="54">
        <f t="shared" si="235"/>
        <v>0</v>
      </c>
      <c r="EI93" s="54">
        <f t="shared" si="236"/>
        <v>0</v>
      </c>
      <c r="EJ93" s="54">
        <f t="shared" si="237"/>
        <v>0</v>
      </c>
      <c r="EK93" s="54">
        <f t="shared" si="238"/>
        <v>0</v>
      </c>
      <c r="EL93" s="54">
        <f t="shared" si="239"/>
        <v>0</v>
      </c>
      <c r="EM93" s="54">
        <f t="shared" si="240"/>
        <v>0</v>
      </c>
      <c r="EN93" s="54">
        <f t="shared" si="241"/>
        <v>0</v>
      </c>
      <c r="EP93" s="52">
        <f t="shared" ca="1" si="242"/>
        <v>0</v>
      </c>
      <c r="EQ93" s="52">
        <f t="shared" ca="1" si="243"/>
        <v>0</v>
      </c>
      <c r="ER93" s="52">
        <f t="shared" ca="1" si="244"/>
        <v>0</v>
      </c>
      <c r="ES93" s="52">
        <f t="shared" ca="1" si="245"/>
        <v>0</v>
      </c>
      <c r="ET93" s="52">
        <f t="shared" ca="1" si="246"/>
        <v>0</v>
      </c>
      <c r="EU93" s="52">
        <f t="shared" ca="1" si="247"/>
        <v>0</v>
      </c>
      <c r="EV93" s="52">
        <f t="shared" ca="1" si="248"/>
        <v>0</v>
      </c>
      <c r="EX93" s="52">
        <f t="shared" ca="1" si="249"/>
        <v>0</v>
      </c>
      <c r="EY93" s="52">
        <f t="shared" ca="1" si="250"/>
        <v>0</v>
      </c>
      <c r="EZ93" s="52">
        <f t="shared" ca="1" si="251"/>
        <v>0</v>
      </c>
      <c r="FA93" s="52">
        <f t="shared" ca="1" si="252"/>
        <v>3353.1616438356168</v>
      </c>
      <c r="FB93" s="52">
        <f t="shared" ca="1" si="253"/>
        <v>6547.2000000000007</v>
      </c>
      <c r="FC93" s="52">
        <f t="shared" ca="1" si="254"/>
        <v>6406.4</v>
      </c>
      <c r="FD93" s="52">
        <f t="shared" ca="1" si="255"/>
        <v>3168</v>
      </c>
      <c r="FF93" s="82">
        <f t="shared" si="256"/>
        <v>0</v>
      </c>
      <c r="FG93" s="82">
        <f t="shared" si="257"/>
        <v>0</v>
      </c>
      <c r="FH93" s="82">
        <f t="shared" si="258"/>
        <v>0</v>
      </c>
      <c r="FI93" s="82">
        <f t="shared" si="259"/>
        <v>44000</v>
      </c>
      <c r="FJ93" s="82">
        <f t="shared" si="260"/>
        <v>0</v>
      </c>
      <c r="FK93" s="82">
        <f t="shared" si="261"/>
        <v>0</v>
      </c>
      <c r="FL93" s="82">
        <f t="shared" si="262"/>
        <v>0</v>
      </c>
      <c r="FM93" s="51">
        <v>0</v>
      </c>
      <c r="FN93" s="82">
        <v>0</v>
      </c>
      <c r="FO93" s="82">
        <f t="shared" si="159"/>
        <v>4507.5167123287665</v>
      </c>
      <c r="FP93" s="82">
        <f t="shared" si="263"/>
        <v>26411.816712328771</v>
      </c>
      <c r="FQ93" s="82">
        <f t="shared" si="264"/>
        <v>0</v>
      </c>
      <c r="FR93" s="82">
        <f t="shared" si="265"/>
        <v>0</v>
      </c>
      <c r="FS93" s="82">
        <f t="shared" si="266"/>
        <v>0</v>
      </c>
      <c r="FT93" s="82">
        <f t="shared" si="267"/>
        <v>0</v>
      </c>
      <c r="FV93" s="82">
        <f t="shared" si="160"/>
        <v>4.6399999999999997</v>
      </c>
      <c r="FW93" s="82">
        <f t="shared" si="161"/>
        <v>4.6399999999999997</v>
      </c>
      <c r="FX93" s="82">
        <f t="shared" si="162"/>
        <v>4.6399999999999997</v>
      </c>
      <c r="FY93" s="82">
        <f t="shared" si="163"/>
        <v>4.6399999999999997</v>
      </c>
      <c r="FZ93" s="82">
        <f t="shared" si="164"/>
        <v>4.6399999999999997</v>
      </c>
      <c r="GA93" s="82">
        <f t="shared" si="165"/>
        <v>4.6399999999999997</v>
      </c>
      <c r="GB93" s="82">
        <f t="shared" si="166"/>
        <v>4.6399999999999997</v>
      </c>
    </row>
    <row r="94" spans="2:184" x14ac:dyDescent="0.2">
      <c r="B94" s="402" t="str">
        <f>Key_New!D42</f>
        <v>–</v>
      </c>
      <c r="C94" s="394" t="str">
        <f>Key_New!B42</f>
        <v>ACME Hybrid Urja Pvt Ltd</v>
      </c>
      <c r="D94" s="395" t="str">
        <f>Key_New!E42</f>
        <v>FDRE</v>
      </c>
      <c r="E94" s="395" t="str">
        <f>Key_New!C42</f>
        <v>Under Construction</v>
      </c>
      <c r="F94" s="397">
        <f>Key_New!F42</f>
        <v>280</v>
      </c>
      <c r="G94" s="399">
        <f t="shared" si="145"/>
        <v>45930</v>
      </c>
      <c r="H94" s="399">
        <f>Key_New!O42</f>
        <v>46660</v>
      </c>
      <c r="I94" s="369">
        <f t="shared" si="167"/>
        <v>2028</v>
      </c>
      <c r="J94" s="367">
        <v>110</v>
      </c>
      <c r="K94" s="370">
        <f t="shared" si="168"/>
        <v>30800</v>
      </c>
      <c r="L94" s="368">
        <v>0.12</v>
      </c>
      <c r="M94" s="368">
        <v>0.25</v>
      </c>
      <c r="N94" s="403">
        <f>Key_New!J42</f>
        <v>4.6399999999999997</v>
      </c>
      <c r="O94" s="462">
        <f t="shared" si="147"/>
        <v>0.10244356164383561</v>
      </c>
      <c r="P94" s="54">
        <f t="shared" si="169"/>
        <v>0</v>
      </c>
      <c r="Q94" s="54">
        <f t="shared" si="169"/>
        <v>0</v>
      </c>
      <c r="R94" s="54">
        <f t="shared" si="169"/>
        <v>0</v>
      </c>
      <c r="S94" s="54">
        <f t="shared" si="169"/>
        <v>0</v>
      </c>
      <c r="T94" s="54">
        <f t="shared" si="169"/>
        <v>183</v>
      </c>
      <c r="U94" s="54">
        <f t="shared" si="148"/>
        <v>365</v>
      </c>
      <c r="V94" s="54">
        <f t="shared" si="148"/>
        <v>365</v>
      </c>
      <c r="W94" s="54">
        <f t="shared" si="169"/>
        <v>365</v>
      </c>
      <c r="Y94" s="54">
        <f t="shared" si="170"/>
        <v>0</v>
      </c>
      <c r="Z94" s="54">
        <f t="shared" si="171"/>
        <v>0</v>
      </c>
      <c r="AA94" s="54">
        <f t="shared" si="172"/>
        <v>0</v>
      </c>
      <c r="AB94" s="54">
        <f t="shared" si="173"/>
        <v>0</v>
      </c>
      <c r="AC94" s="54">
        <f t="shared" si="174"/>
        <v>1</v>
      </c>
      <c r="AD94" s="54">
        <f t="shared" si="175"/>
        <v>2</v>
      </c>
      <c r="AE94" s="54">
        <f t="shared" si="176"/>
        <v>3</v>
      </c>
      <c r="AF94" s="54">
        <f t="shared" si="176"/>
        <v>4</v>
      </c>
      <c r="AG94" s="444"/>
      <c r="AH94" s="48">
        <f t="shared" si="177"/>
        <v>0</v>
      </c>
      <c r="AI94" s="48">
        <f t="shared" si="178"/>
        <v>0</v>
      </c>
      <c r="AJ94" s="48">
        <f t="shared" si="179"/>
        <v>0</v>
      </c>
      <c r="AK94" s="48">
        <f t="shared" si="180"/>
        <v>280</v>
      </c>
      <c r="AL94" s="48">
        <f t="shared" si="181"/>
        <v>280</v>
      </c>
      <c r="AM94" s="48">
        <f t="shared" si="182"/>
        <v>280</v>
      </c>
      <c r="AN94" s="48">
        <f t="shared" si="183"/>
        <v>280</v>
      </c>
      <c r="AP94" s="61">
        <v>0.4</v>
      </c>
      <c r="AQ94" s="61">
        <v>0.4</v>
      </c>
      <c r="AR94" s="61">
        <v>0.4</v>
      </c>
      <c r="AS94" s="61">
        <v>0.4</v>
      </c>
      <c r="AT94" s="61">
        <v>0.4</v>
      </c>
      <c r="AU94" s="61">
        <v>0.4</v>
      </c>
      <c r="AV94" s="61">
        <v>0.4</v>
      </c>
      <c r="AX94" s="52">
        <f t="shared" si="184"/>
        <v>0</v>
      </c>
      <c r="AY94" s="52">
        <f t="shared" si="185"/>
        <v>0</v>
      </c>
      <c r="AZ94" s="52">
        <f t="shared" si="186"/>
        <v>0</v>
      </c>
      <c r="BA94" s="52">
        <f t="shared" si="187"/>
        <v>492.24092054794528</v>
      </c>
      <c r="BB94" s="52">
        <f t="shared" si="188"/>
        <v>981.79200000000003</v>
      </c>
      <c r="BC94" s="52">
        <f t="shared" si="189"/>
        <v>981.79200000000003</v>
      </c>
      <c r="BD94" s="52">
        <f t="shared" si="190"/>
        <v>981.79200000000003</v>
      </c>
      <c r="BE94" s="57">
        <v>0.2</v>
      </c>
      <c r="BF94" s="52">
        <f t="shared" si="191"/>
        <v>0</v>
      </c>
      <c r="BG94" s="82">
        <f t="shared" si="192"/>
        <v>0</v>
      </c>
      <c r="BH94" s="82">
        <f t="shared" si="193"/>
        <v>0</v>
      </c>
      <c r="BI94" s="52">
        <f t="shared" si="194"/>
        <v>494.15013698630145</v>
      </c>
      <c r="BJ94" s="52">
        <f t="shared" si="195"/>
        <v>985.6</v>
      </c>
      <c r="BK94" s="52">
        <f t="shared" si="196"/>
        <v>985.6</v>
      </c>
      <c r="BL94" s="52">
        <f t="shared" si="197"/>
        <v>985.6</v>
      </c>
      <c r="BM94" s="297">
        <v>0.04</v>
      </c>
      <c r="BN94" s="69">
        <f t="shared" si="268"/>
        <v>0</v>
      </c>
      <c r="BO94" s="69">
        <f t="shared" si="269"/>
        <v>0</v>
      </c>
      <c r="BP94" s="69">
        <f t="shared" si="270"/>
        <v>0</v>
      </c>
      <c r="BQ94" s="69">
        <f t="shared" si="271"/>
        <v>617.68767123287682</v>
      </c>
      <c r="BR94" s="69">
        <f t="shared" si="272"/>
        <v>1232</v>
      </c>
      <c r="BS94" s="69">
        <f t="shared" si="203"/>
        <v>1232</v>
      </c>
      <c r="BT94" s="69">
        <f t="shared" si="204"/>
        <v>1232</v>
      </c>
      <c r="BV94" s="52">
        <f t="shared" ref="BV94:CB94" si="279">IF(AND($H94&gt;BU$49,$H94&lt;=BV$49),IF($G94&gt;BU$49,$H94-$G94,$H94-BU$49),IF($H94&lt;=BU$49,0,IF(AND($G94&gt;BU$49,$G94&lt;=BV$49),BV$49-$G94,IF($G94&gt;BV$49,0,BV$49-BU$49))))</f>
        <v>0</v>
      </c>
      <c r="BW94" s="52">
        <f t="shared" si="279"/>
        <v>182</v>
      </c>
      <c r="BX94" s="52">
        <f t="shared" si="279"/>
        <v>365</v>
      </c>
      <c r="BY94" s="52">
        <f t="shared" si="279"/>
        <v>183</v>
      </c>
      <c r="BZ94" s="52">
        <f t="shared" si="279"/>
        <v>0</v>
      </c>
      <c r="CA94" s="52">
        <f t="shared" si="279"/>
        <v>0</v>
      </c>
      <c r="CB94" s="52">
        <f t="shared" si="279"/>
        <v>0</v>
      </c>
      <c r="CC94" s="107">
        <v>0</v>
      </c>
      <c r="CD94" s="61">
        <v>0</v>
      </c>
      <c r="CE94" s="61">
        <f>IF(SUM($BX94:$CB94)=0,0,BX94/SUM($BX94:$CB94)*(1-$O94))-10%</f>
        <v>0.49782500000000007</v>
      </c>
      <c r="CF94" s="61">
        <f>IF(SUM($BX94:$CB94)=0,0,BY94/SUM($BX94:$CB94)*(1-$O94))+10%</f>
        <v>0.39973143835616443</v>
      </c>
      <c r="CG94" s="61">
        <f t="shared" si="206"/>
        <v>0</v>
      </c>
      <c r="CH94" s="61">
        <f t="shared" si="149"/>
        <v>0</v>
      </c>
      <c r="CI94" s="61">
        <f t="shared" si="150"/>
        <v>0</v>
      </c>
      <c r="CJ94" s="61">
        <f t="shared" si="151"/>
        <v>1</v>
      </c>
      <c r="CK94" s="4"/>
      <c r="CL94" s="54">
        <f t="shared" si="152"/>
        <v>0</v>
      </c>
      <c r="CM94" s="54">
        <f t="shared" si="153"/>
        <v>0</v>
      </c>
      <c r="CN94" s="54">
        <f t="shared" si="154"/>
        <v>15333.010000000002</v>
      </c>
      <c r="CO94" s="54">
        <f t="shared" si="155"/>
        <v>12311.728301369865</v>
      </c>
      <c r="CP94" s="54">
        <f t="shared" si="156"/>
        <v>0</v>
      </c>
      <c r="CQ94" s="54">
        <f t="shared" si="157"/>
        <v>0</v>
      </c>
      <c r="CR94" s="54">
        <f t="shared" si="158"/>
        <v>0</v>
      </c>
      <c r="CT94" s="54">
        <f t="shared" si="207"/>
        <v>0</v>
      </c>
      <c r="CU94" s="54">
        <f t="shared" si="208"/>
        <v>0</v>
      </c>
      <c r="CV94" s="54">
        <f t="shared" si="209"/>
        <v>3066.6020000000008</v>
      </c>
      <c r="CW94" s="54">
        <f t="shared" si="210"/>
        <v>2462.3456602739734</v>
      </c>
      <c r="CX94" s="54">
        <f t="shared" si="211"/>
        <v>0</v>
      </c>
      <c r="CY94" s="54">
        <f t="shared" si="212"/>
        <v>0</v>
      </c>
      <c r="CZ94" s="54">
        <f t="shared" si="213"/>
        <v>0</v>
      </c>
      <c r="DB94" s="54">
        <f t="shared" si="214"/>
        <v>0</v>
      </c>
      <c r="DC94" s="54">
        <f t="shared" si="215"/>
        <v>0</v>
      </c>
      <c r="DD94" s="54">
        <f t="shared" si="216"/>
        <v>12266.408000000001</v>
      </c>
      <c r="DE94" s="54">
        <f t="shared" si="217"/>
        <v>9849.3826410958918</v>
      </c>
      <c r="DF94" s="54">
        <f t="shared" si="218"/>
        <v>0</v>
      </c>
      <c r="DG94" s="54">
        <f t="shared" si="219"/>
        <v>0</v>
      </c>
      <c r="DH94" s="54">
        <f t="shared" si="220"/>
        <v>0</v>
      </c>
      <c r="DJ94" s="54">
        <f t="shared" si="221"/>
        <v>0</v>
      </c>
      <c r="DK94" s="54">
        <f t="shared" si="222"/>
        <v>0</v>
      </c>
      <c r="DL94" s="54">
        <f t="shared" si="223"/>
        <v>0</v>
      </c>
      <c r="DM94" s="54">
        <f t="shared" si="224"/>
        <v>0</v>
      </c>
      <c r="DN94" s="54">
        <f t="shared" si="225"/>
        <v>985.6</v>
      </c>
      <c r="DO94" s="54">
        <f t="shared" si="226"/>
        <v>985.6</v>
      </c>
      <c r="DP94" s="54">
        <f t="shared" si="227"/>
        <v>985.6</v>
      </c>
      <c r="DR94" s="54">
        <f>+IF(Z94&gt;0,$K94*(1-$BE94)-SUM($DJ94:DJ94),DB94)</f>
        <v>0</v>
      </c>
      <c r="DS94" s="54">
        <f>+IF(AA94&gt;0,$K94*(1-$BE94)-SUM($DJ94:DK94),DC94)</f>
        <v>0</v>
      </c>
      <c r="DT94" s="54">
        <f>+IF(AB94&gt;0,$K94*(1-$BE94)-SUM($DJ94:DL94),DD94)</f>
        <v>12266.408000000001</v>
      </c>
      <c r="DU94" s="54">
        <f>+IF(AC94&gt;0,$K94*(1-$BE94)-SUM($DJ94:DM94),DE94)</f>
        <v>24640</v>
      </c>
      <c r="DV94" s="54">
        <f>+IF(AD94&gt;0,$K94*(1-$BE94)-SUM($DJ94:DN94),DF94)</f>
        <v>23654.400000000001</v>
      </c>
      <c r="DW94" s="54">
        <f>+IF(AE94&gt;0,$K94*(1-$BE94)-SUM($DJ94:DO94),DG94)</f>
        <v>22668.799999999999</v>
      </c>
      <c r="DX94" s="54">
        <f>+IF(AF94&gt;0,$K94*(1-$BE94)-SUM($DJ94:DP94),DH94)</f>
        <v>21683.200000000001</v>
      </c>
      <c r="DZ94" s="54">
        <f t="shared" si="228"/>
        <v>0</v>
      </c>
      <c r="EA94" s="54">
        <f t="shared" si="229"/>
        <v>0</v>
      </c>
      <c r="EB94" s="54">
        <f t="shared" si="230"/>
        <v>0</v>
      </c>
      <c r="EC94" s="54">
        <f t="shared" si="231"/>
        <v>1235.3753424657536</v>
      </c>
      <c r="ED94" s="54">
        <f t="shared" si="232"/>
        <v>2365.44</v>
      </c>
      <c r="EE94" s="54">
        <f t="shared" si="233"/>
        <v>2266.88</v>
      </c>
      <c r="EF94" s="54">
        <f t="shared" si="234"/>
        <v>0</v>
      </c>
      <c r="EH94" s="54">
        <f t="shared" si="235"/>
        <v>0</v>
      </c>
      <c r="EI94" s="54">
        <f t="shared" si="236"/>
        <v>0</v>
      </c>
      <c r="EJ94" s="54">
        <f t="shared" si="237"/>
        <v>0</v>
      </c>
      <c r="EK94" s="54">
        <f t="shared" si="238"/>
        <v>0</v>
      </c>
      <c r="EL94" s="54">
        <f t="shared" si="239"/>
        <v>0</v>
      </c>
      <c r="EM94" s="54">
        <f t="shared" si="240"/>
        <v>0</v>
      </c>
      <c r="EN94" s="54">
        <f t="shared" si="241"/>
        <v>0</v>
      </c>
      <c r="EP94" s="52">
        <f t="shared" ca="1" si="242"/>
        <v>0</v>
      </c>
      <c r="EQ94" s="52">
        <f t="shared" ca="1" si="243"/>
        <v>0</v>
      </c>
      <c r="ER94" s="52">
        <f t="shared" ca="1" si="244"/>
        <v>0</v>
      </c>
      <c r="ES94" s="52">
        <f t="shared" ca="1" si="245"/>
        <v>0</v>
      </c>
      <c r="ET94" s="52">
        <f t="shared" ca="1" si="246"/>
        <v>0</v>
      </c>
      <c r="EU94" s="52">
        <f t="shared" ca="1" si="247"/>
        <v>0</v>
      </c>
      <c r="EV94" s="52">
        <f t="shared" ca="1" si="248"/>
        <v>0</v>
      </c>
      <c r="EX94" s="52">
        <f t="shared" ca="1" si="249"/>
        <v>0</v>
      </c>
      <c r="EY94" s="52">
        <f t="shared" ca="1" si="250"/>
        <v>0</v>
      </c>
      <c r="EZ94" s="52">
        <f t="shared" ca="1" si="251"/>
        <v>0</v>
      </c>
      <c r="FA94" s="52">
        <f t="shared" ca="1" si="252"/>
        <v>2347.2131506849319</v>
      </c>
      <c r="FB94" s="52">
        <f t="shared" ca="1" si="253"/>
        <v>4583.04</v>
      </c>
      <c r="FC94" s="52">
        <f t="shared" ca="1" si="254"/>
        <v>4484.4799999999996</v>
      </c>
      <c r="FD94" s="52">
        <f t="shared" ca="1" si="255"/>
        <v>2217.6</v>
      </c>
      <c r="FF94" s="82">
        <f t="shared" si="256"/>
        <v>0</v>
      </c>
      <c r="FG94" s="82">
        <f t="shared" si="257"/>
        <v>0</v>
      </c>
      <c r="FH94" s="82">
        <f t="shared" si="258"/>
        <v>0</v>
      </c>
      <c r="FI94" s="82">
        <f t="shared" si="259"/>
        <v>30800</v>
      </c>
      <c r="FJ94" s="82">
        <f t="shared" si="260"/>
        <v>0</v>
      </c>
      <c r="FK94" s="82">
        <f t="shared" si="261"/>
        <v>0</v>
      </c>
      <c r="FL94" s="82">
        <f t="shared" si="262"/>
        <v>0</v>
      </c>
      <c r="FM94" s="51">
        <v>0</v>
      </c>
      <c r="FN94" s="82">
        <v>0</v>
      </c>
      <c r="FO94" s="82">
        <f t="shared" si="159"/>
        <v>3155.2616986301368</v>
      </c>
      <c r="FP94" s="82">
        <f t="shared" si="263"/>
        <v>18488.271698630138</v>
      </c>
      <c r="FQ94" s="82">
        <f t="shared" si="264"/>
        <v>0</v>
      </c>
      <c r="FR94" s="82">
        <f t="shared" si="265"/>
        <v>0</v>
      </c>
      <c r="FS94" s="82">
        <f t="shared" si="266"/>
        <v>0</v>
      </c>
      <c r="FT94" s="82">
        <f t="shared" si="267"/>
        <v>0</v>
      </c>
      <c r="FV94" s="82">
        <f t="shared" si="160"/>
        <v>4.6399999999999997</v>
      </c>
      <c r="FW94" s="82">
        <f t="shared" si="161"/>
        <v>4.6399999999999997</v>
      </c>
      <c r="FX94" s="82">
        <f t="shared" si="162"/>
        <v>4.6399999999999997</v>
      </c>
      <c r="FY94" s="82">
        <f t="shared" si="163"/>
        <v>4.6399999999999997</v>
      </c>
      <c r="FZ94" s="82">
        <f t="shared" si="164"/>
        <v>4.6399999999999997</v>
      </c>
      <c r="GA94" s="82">
        <f t="shared" si="165"/>
        <v>4.6399999999999997</v>
      </c>
      <c r="GB94" s="82">
        <f t="shared" si="166"/>
        <v>4.6399999999999997</v>
      </c>
    </row>
    <row r="95" spans="2:184" x14ac:dyDescent="0.2">
      <c r="B95" s="402" t="str">
        <f>Key_New!D43</f>
        <v>Madhya Pradesh</v>
      </c>
      <c r="C95" s="394" t="str">
        <f>Key_New!B43</f>
        <v>ACME Sigma Urja Pvt Ltd (NHPC)</v>
      </c>
      <c r="D95" s="395" t="str">
        <f>Key_New!E43</f>
        <v>FDRE</v>
      </c>
      <c r="E95" s="395" t="str">
        <f>Key_New!C43</f>
        <v>Under Construction</v>
      </c>
      <c r="F95" s="397">
        <f>Key_New!F43</f>
        <v>250</v>
      </c>
      <c r="G95" s="399">
        <f t="shared" si="145"/>
        <v>45657</v>
      </c>
      <c r="H95" s="399">
        <f>Key_New!O43</f>
        <v>46387</v>
      </c>
      <c r="I95" s="369">
        <f t="shared" si="167"/>
        <v>2027</v>
      </c>
      <c r="J95" s="367">
        <v>110</v>
      </c>
      <c r="K95" s="370">
        <f t="shared" si="168"/>
        <v>27500</v>
      </c>
      <c r="L95" s="368">
        <v>0.12</v>
      </c>
      <c r="M95" s="368">
        <v>0.25</v>
      </c>
      <c r="N95" s="403">
        <f>Key_New!J43</f>
        <v>4.5599999999999996</v>
      </c>
      <c r="O95" s="462">
        <f t="shared" si="147"/>
        <v>0.25610890410958903</v>
      </c>
      <c r="P95" s="54">
        <f t="shared" si="169"/>
        <v>0</v>
      </c>
      <c r="Q95" s="54">
        <f t="shared" si="169"/>
        <v>0</v>
      </c>
      <c r="R95" s="54">
        <f t="shared" si="169"/>
        <v>0</v>
      </c>
      <c r="S95" s="54">
        <f t="shared" si="169"/>
        <v>90</v>
      </c>
      <c r="T95" s="54">
        <f t="shared" si="169"/>
        <v>365</v>
      </c>
      <c r="U95" s="54">
        <f t="shared" si="148"/>
        <v>365</v>
      </c>
      <c r="V95" s="54">
        <f t="shared" si="148"/>
        <v>365</v>
      </c>
      <c r="W95" s="54">
        <f t="shared" si="169"/>
        <v>365</v>
      </c>
      <c r="Y95" s="54">
        <f t="shared" si="170"/>
        <v>0</v>
      </c>
      <c r="Z95" s="54">
        <f t="shared" si="171"/>
        <v>0</v>
      </c>
      <c r="AA95" s="54">
        <f t="shared" si="172"/>
        <v>0</v>
      </c>
      <c r="AB95" s="54">
        <f t="shared" si="173"/>
        <v>1</v>
      </c>
      <c r="AC95" s="54">
        <f t="shared" si="174"/>
        <v>2</v>
      </c>
      <c r="AD95" s="54">
        <f t="shared" si="175"/>
        <v>3</v>
      </c>
      <c r="AE95" s="54">
        <f t="shared" si="176"/>
        <v>4</v>
      </c>
      <c r="AF95" s="54">
        <f t="shared" si="176"/>
        <v>5</v>
      </c>
      <c r="AG95" s="444"/>
      <c r="AH95" s="48">
        <f t="shared" si="177"/>
        <v>0</v>
      </c>
      <c r="AI95" s="48">
        <f t="shared" si="178"/>
        <v>0</v>
      </c>
      <c r="AJ95" s="48">
        <f t="shared" si="179"/>
        <v>250</v>
      </c>
      <c r="AK95" s="48">
        <f t="shared" si="180"/>
        <v>250</v>
      </c>
      <c r="AL95" s="48">
        <f t="shared" si="181"/>
        <v>250</v>
      </c>
      <c r="AM95" s="48">
        <f t="shared" si="182"/>
        <v>250</v>
      </c>
      <c r="AN95" s="48">
        <f t="shared" si="183"/>
        <v>250</v>
      </c>
      <c r="AP95" s="61">
        <v>0.4</v>
      </c>
      <c r="AQ95" s="61">
        <v>0.4</v>
      </c>
      <c r="AR95" s="61">
        <v>0.4</v>
      </c>
      <c r="AS95" s="61">
        <v>0.4</v>
      </c>
      <c r="AT95" s="61">
        <v>0.4</v>
      </c>
      <c r="AU95" s="61">
        <v>0.4</v>
      </c>
      <c r="AV95" s="61">
        <v>0.4</v>
      </c>
      <c r="AX95" s="52">
        <f t="shared" si="184"/>
        <v>0</v>
      </c>
      <c r="AY95" s="52">
        <f t="shared" si="185"/>
        <v>0</v>
      </c>
      <c r="AZ95" s="52">
        <f t="shared" si="186"/>
        <v>216.14794520547946</v>
      </c>
      <c r="BA95" s="52">
        <f t="shared" si="187"/>
        <v>876.6</v>
      </c>
      <c r="BB95" s="52">
        <f t="shared" si="188"/>
        <v>876.6</v>
      </c>
      <c r="BC95" s="52">
        <f t="shared" si="189"/>
        <v>876.6</v>
      </c>
      <c r="BD95" s="52">
        <f t="shared" si="190"/>
        <v>876.6</v>
      </c>
      <c r="BE95" s="57">
        <v>0.2</v>
      </c>
      <c r="BF95" s="52">
        <f t="shared" si="191"/>
        <v>0</v>
      </c>
      <c r="BG95" s="82">
        <f t="shared" si="192"/>
        <v>0</v>
      </c>
      <c r="BH95" s="82">
        <f t="shared" si="193"/>
        <v>216.98630136986299</v>
      </c>
      <c r="BI95" s="52">
        <f t="shared" si="194"/>
        <v>880</v>
      </c>
      <c r="BJ95" s="52">
        <f t="shared" si="195"/>
        <v>880</v>
      </c>
      <c r="BK95" s="52">
        <f t="shared" si="196"/>
        <v>880</v>
      </c>
      <c r="BL95" s="52">
        <f t="shared" si="197"/>
        <v>880</v>
      </c>
      <c r="BM95" s="297">
        <v>0.04</v>
      </c>
      <c r="BN95" s="69">
        <f t="shared" si="268"/>
        <v>0</v>
      </c>
      <c r="BO95" s="69">
        <f t="shared" si="269"/>
        <v>0</v>
      </c>
      <c r="BP95" s="69">
        <f t="shared" si="270"/>
        <v>271.23287671232873</v>
      </c>
      <c r="BQ95" s="69">
        <f t="shared" si="271"/>
        <v>1100</v>
      </c>
      <c r="BR95" s="69">
        <f t="shared" si="272"/>
        <v>1100</v>
      </c>
      <c r="BS95" s="69">
        <f t="shared" si="203"/>
        <v>1100</v>
      </c>
      <c r="BT95" s="69">
        <f t="shared" si="204"/>
        <v>1100</v>
      </c>
      <c r="BV95" s="52">
        <f t="shared" ref="BV95:CB95" si="280">IF(AND($H95&gt;BU$49,$H95&lt;=BV$49),IF($G95&gt;BU$49,$H95-$G95,$H95-BU$49),IF($H95&lt;=BU$49,0,IF(AND($G95&gt;BU$49,$G95&lt;=BV$49),BV$49-$G95,IF($G95&gt;BV$49,0,BV$49-BU$49))))</f>
        <v>90</v>
      </c>
      <c r="BW95" s="52">
        <f t="shared" si="280"/>
        <v>365</v>
      </c>
      <c r="BX95" s="52">
        <f t="shared" si="280"/>
        <v>275</v>
      </c>
      <c r="BY95" s="52">
        <f t="shared" si="280"/>
        <v>0</v>
      </c>
      <c r="BZ95" s="52">
        <f t="shared" si="280"/>
        <v>0</v>
      </c>
      <c r="CA95" s="52">
        <f t="shared" si="280"/>
        <v>0</v>
      </c>
      <c r="CB95" s="52">
        <f t="shared" si="280"/>
        <v>0</v>
      </c>
      <c r="CC95" s="107">
        <v>0</v>
      </c>
      <c r="CD95" s="61">
        <v>0</v>
      </c>
      <c r="CE95" s="61">
        <f>IF(SUM($BX95:$CB95)=0,0,BX95/SUM($BX95:$CB95)*(1-$O95))</f>
        <v>0.74389109589041102</v>
      </c>
      <c r="CF95" s="61">
        <f>IF(SUM($BX95:$CB95)=0,0,BY95/SUM($BX95:$CB95)*(1-$O95))</f>
        <v>0</v>
      </c>
      <c r="CG95" s="61">
        <f t="shared" si="206"/>
        <v>0</v>
      </c>
      <c r="CH95" s="61">
        <f t="shared" si="149"/>
        <v>0</v>
      </c>
      <c r="CI95" s="61">
        <f t="shared" si="150"/>
        <v>0</v>
      </c>
      <c r="CJ95" s="61">
        <f t="shared" si="151"/>
        <v>1</v>
      </c>
      <c r="CK95" s="4"/>
      <c r="CL95" s="54">
        <f t="shared" si="152"/>
        <v>0</v>
      </c>
      <c r="CM95" s="54">
        <f t="shared" si="153"/>
        <v>0</v>
      </c>
      <c r="CN95" s="54">
        <f t="shared" si="154"/>
        <v>20457.005136986303</v>
      </c>
      <c r="CO95" s="54">
        <f t="shared" si="155"/>
        <v>0</v>
      </c>
      <c r="CP95" s="54">
        <f t="shared" si="156"/>
        <v>0</v>
      </c>
      <c r="CQ95" s="54">
        <f t="shared" si="157"/>
        <v>0</v>
      </c>
      <c r="CR95" s="54">
        <f t="shared" si="158"/>
        <v>0</v>
      </c>
      <c r="CT95" s="54">
        <f t="shared" si="207"/>
        <v>0</v>
      </c>
      <c r="CU95" s="54">
        <f t="shared" si="208"/>
        <v>0</v>
      </c>
      <c r="CV95" s="54">
        <f t="shared" si="209"/>
        <v>4091.4010273972608</v>
      </c>
      <c r="CW95" s="54">
        <f t="shared" si="210"/>
        <v>0</v>
      </c>
      <c r="CX95" s="54">
        <f t="shared" si="211"/>
        <v>0</v>
      </c>
      <c r="CY95" s="54">
        <f t="shared" si="212"/>
        <v>0</v>
      </c>
      <c r="CZ95" s="54">
        <f t="shared" si="213"/>
        <v>0</v>
      </c>
      <c r="DB95" s="54">
        <f t="shared" si="214"/>
        <v>0</v>
      </c>
      <c r="DC95" s="54">
        <f t="shared" si="215"/>
        <v>0</v>
      </c>
      <c r="DD95" s="54">
        <f t="shared" si="216"/>
        <v>16365.604109589043</v>
      </c>
      <c r="DE95" s="54">
        <f t="shared" si="217"/>
        <v>0</v>
      </c>
      <c r="DF95" s="54">
        <f t="shared" si="218"/>
        <v>0</v>
      </c>
      <c r="DG95" s="54">
        <f t="shared" si="219"/>
        <v>0</v>
      </c>
      <c r="DH95" s="54">
        <f t="shared" si="220"/>
        <v>0</v>
      </c>
      <c r="DJ95" s="54">
        <f t="shared" si="221"/>
        <v>0</v>
      </c>
      <c r="DK95" s="54">
        <f t="shared" si="222"/>
        <v>0</v>
      </c>
      <c r="DL95" s="54">
        <f t="shared" si="223"/>
        <v>0</v>
      </c>
      <c r="DM95" s="54">
        <f t="shared" si="224"/>
        <v>880</v>
      </c>
      <c r="DN95" s="54">
        <f t="shared" si="225"/>
        <v>880</v>
      </c>
      <c r="DO95" s="54">
        <f t="shared" si="226"/>
        <v>880</v>
      </c>
      <c r="DP95" s="54">
        <f t="shared" si="227"/>
        <v>880</v>
      </c>
      <c r="DR95" s="54">
        <f>+IF(Z95&gt;0,$K95*(1-$BE95)-SUM($DJ95:DJ95),DB95)</f>
        <v>0</v>
      </c>
      <c r="DS95" s="54">
        <f>+IF(AA95&gt;0,$K95*(1-$BE95)-SUM($DJ95:DK95),DC95)</f>
        <v>0</v>
      </c>
      <c r="DT95" s="54">
        <f>+IF(AB95&gt;0,$K95*(1-$BE95)-SUM($DJ95:DL95),DD95)</f>
        <v>22000</v>
      </c>
      <c r="DU95" s="54">
        <f>+IF(AC95&gt;0,$K95*(1-$BE95)-SUM($DJ95:DM95),DE95)</f>
        <v>21120</v>
      </c>
      <c r="DV95" s="54">
        <f>+IF(AD95&gt;0,$K95*(1-$BE95)-SUM($DJ95:DN95),DF95)</f>
        <v>20240</v>
      </c>
      <c r="DW95" s="54">
        <f>+IF(AE95&gt;0,$K95*(1-$BE95)-SUM($DJ95:DO95),DG95)</f>
        <v>19360</v>
      </c>
      <c r="DX95" s="54">
        <f>+IF(AF95&gt;0,$K95*(1-$BE95)-SUM($DJ95:DP95),DH95)</f>
        <v>18480</v>
      </c>
      <c r="DZ95" s="54">
        <f t="shared" si="228"/>
        <v>0</v>
      </c>
      <c r="EA95" s="54">
        <f t="shared" si="229"/>
        <v>0</v>
      </c>
      <c r="EB95" s="54">
        <f t="shared" si="230"/>
        <v>542.46575342465746</v>
      </c>
      <c r="EC95" s="54">
        <f t="shared" si="231"/>
        <v>2112</v>
      </c>
      <c r="ED95" s="54">
        <f t="shared" si="232"/>
        <v>2024</v>
      </c>
      <c r="EE95" s="54">
        <f t="shared" si="233"/>
        <v>1936</v>
      </c>
      <c r="EF95" s="54">
        <f t="shared" si="234"/>
        <v>0</v>
      </c>
      <c r="EH95" s="54">
        <f t="shared" si="235"/>
        <v>0</v>
      </c>
      <c r="EI95" s="54">
        <f t="shared" si="236"/>
        <v>0</v>
      </c>
      <c r="EJ95" s="54">
        <f t="shared" si="237"/>
        <v>0</v>
      </c>
      <c r="EK95" s="54">
        <f t="shared" si="238"/>
        <v>0</v>
      </c>
      <c r="EL95" s="54">
        <f t="shared" si="239"/>
        <v>0</v>
      </c>
      <c r="EM95" s="54">
        <f t="shared" si="240"/>
        <v>0</v>
      </c>
      <c r="EN95" s="54">
        <f t="shared" si="241"/>
        <v>0</v>
      </c>
      <c r="EP95" s="52">
        <f t="shared" ca="1" si="242"/>
        <v>0</v>
      </c>
      <c r="EQ95" s="52">
        <f t="shared" ca="1" si="243"/>
        <v>0</v>
      </c>
      <c r="ER95" s="52">
        <f t="shared" ca="1" si="244"/>
        <v>0</v>
      </c>
      <c r="ES95" s="52">
        <f t="shared" ca="1" si="245"/>
        <v>0</v>
      </c>
      <c r="ET95" s="52">
        <f t="shared" ca="1" si="246"/>
        <v>0</v>
      </c>
      <c r="EU95" s="52">
        <f t="shared" ca="1" si="247"/>
        <v>0</v>
      </c>
      <c r="EV95" s="52">
        <f t="shared" ca="1" si="248"/>
        <v>0</v>
      </c>
      <c r="EX95" s="52">
        <f t="shared" ca="1" si="249"/>
        <v>0</v>
      </c>
      <c r="EY95" s="52">
        <f t="shared" ca="1" si="250"/>
        <v>0</v>
      </c>
      <c r="EZ95" s="52">
        <f t="shared" ca="1" si="251"/>
        <v>1030.6849315068491</v>
      </c>
      <c r="FA95" s="52">
        <f t="shared" ca="1" si="252"/>
        <v>4092</v>
      </c>
      <c r="FB95" s="52">
        <f t="shared" ca="1" si="253"/>
        <v>4004</v>
      </c>
      <c r="FC95" s="52">
        <f t="shared" ca="1" si="254"/>
        <v>3916</v>
      </c>
      <c r="FD95" s="52">
        <f t="shared" ca="1" si="255"/>
        <v>1980</v>
      </c>
      <c r="FF95" s="82">
        <f t="shared" si="256"/>
        <v>0</v>
      </c>
      <c r="FG95" s="82">
        <f t="shared" si="257"/>
        <v>0</v>
      </c>
      <c r="FH95" s="82">
        <f t="shared" si="258"/>
        <v>27500</v>
      </c>
      <c r="FI95" s="82">
        <f t="shared" si="259"/>
        <v>0</v>
      </c>
      <c r="FJ95" s="82">
        <f t="shared" si="260"/>
        <v>0</v>
      </c>
      <c r="FK95" s="82">
        <f t="shared" si="261"/>
        <v>0</v>
      </c>
      <c r="FL95" s="82">
        <f t="shared" si="262"/>
        <v>0</v>
      </c>
      <c r="FM95" s="51">
        <v>0</v>
      </c>
      <c r="FN95" s="82">
        <v>0</v>
      </c>
      <c r="FO95" s="82">
        <f t="shared" si="159"/>
        <v>7042.9948630136987</v>
      </c>
      <c r="FP95" s="82">
        <f t="shared" si="263"/>
        <v>0</v>
      </c>
      <c r="FQ95" s="82">
        <f t="shared" si="264"/>
        <v>0</v>
      </c>
      <c r="FR95" s="82">
        <f t="shared" si="265"/>
        <v>0</v>
      </c>
      <c r="FS95" s="82">
        <f t="shared" si="266"/>
        <v>0</v>
      </c>
      <c r="FT95" s="82">
        <f t="shared" si="267"/>
        <v>0</v>
      </c>
      <c r="FV95" s="82">
        <f t="shared" si="160"/>
        <v>4.5599999999999996</v>
      </c>
      <c r="FW95" s="82">
        <f t="shared" si="161"/>
        <v>4.5599999999999996</v>
      </c>
      <c r="FX95" s="82">
        <f t="shared" si="162"/>
        <v>4.5599999999999996</v>
      </c>
      <c r="FY95" s="82">
        <f t="shared" si="163"/>
        <v>4.5599999999999996</v>
      </c>
      <c r="FZ95" s="82">
        <f t="shared" si="164"/>
        <v>4.5599999999999996</v>
      </c>
      <c r="GA95" s="82">
        <f t="shared" si="165"/>
        <v>4.5599999999999996</v>
      </c>
      <c r="GB95" s="82">
        <f t="shared" si="166"/>
        <v>4.5599999999999996</v>
      </c>
    </row>
    <row r="96" spans="2:184" x14ac:dyDescent="0.2">
      <c r="B96" s="402" t="str">
        <f>Key_New!D44</f>
        <v>Madhya Pradesh</v>
      </c>
      <c r="C96" s="394" t="str">
        <f>Key_New!B44</f>
        <v>ACME Sigma Urja Pvt Ltd (Tata Power-DD)</v>
      </c>
      <c r="D96" s="395" t="str">
        <f>Key_New!E44</f>
        <v>FDRE</v>
      </c>
      <c r="E96" s="395" t="str">
        <f>Key_New!C44</f>
        <v>Under Construction</v>
      </c>
      <c r="F96" s="397">
        <f>Key_New!F44</f>
        <v>50</v>
      </c>
      <c r="G96" s="399">
        <f t="shared" si="145"/>
        <v>45657</v>
      </c>
      <c r="H96" s="399">
        <f>Key_New!O44</f>
        <v>46387</v>
      </c>
      <c r="I96" s="369">
        <f t="shared" si="167"/>
        <v>2027</v>
      </c>
      <c r="J96" s="367">
        <v>110</v>
      </c>
      <c r="K96" s="370">
        <f t="shared" si="168"/>
        <v>5500</v>
      </c>
      <c r="L96" s="368">
        <v>0.12</v>
      </c>
      <c r="M96" s="368">
        <v>0.25</v>
      </c>
      <c r="N96" s="403">
        <f>Key_New!J44</f>
        <v>4.43</v>
      </c>
      <c r="O96" s="462">
        <f t="shared" si="147"/>
        <v>0.25610890410958903</v>
      </c>
      <c r="P96" s="54">
        <f t="shared" si="169"/>
        <v>0</v>
      </c>
      <c r="Q96" s="54">
        <f t="shared" si="169"/>
        <v>0</v>
      </c>
      <c r="R96" s="54">
        <f t="shared" si="169"/>
        <v>0</v>
      </c>
      <c r="S96" s="54">
        <f t="shared" si="169"/>
        <v>90</v>
      </c>
      <c r="T96" s="54">
        <f t="shared" si="169"/>
        <v>365</v>
      </c>
      <c r="U96" s="54">
        <f t="shared" si="148"/>
        <v>365</v>
      </c>
      <c r="V96" s="54">
        <f t="shared" si="148"/>
        <v>365</v>
      </c>
      <c r="W96" s="54">
        <f t="shared" si="169"/>
        <v>365</v>
      </c>
      <c r="Y96" s="54">
        <f t="shared" si="170"/>
        <v>0</v>
      </c>
      <c r="Z96" s="54">
        <f t="shared" si="171"/>
        <v>0</v>
      </c>
      <c r="AA96" s="54">
        <f t="shared" si="172"/>
        <v>0</v>
      </c>
      <c r="AB96" s="54">
        <f t="shared" si="173"/>
        <v>1</v>
      </c>
      <c r="AC96" s="54">
        <f t="shared" si="174"/>
        <v>2</v>
      </c>
      <c r="AD96" s="54">
        <f t="shared" si="175"/>
        <v>3</v>
      </c>
      <c r="AE96" s="54">
        <f t="shared" si="176"/>
        <v>4</v>
      </c>
      <c r="AF96" s="54">
        <f t="shared" si="176"/>
        <v>5</v>
      </c>
      <c r="AG96" s="444"/>
      <c r="AH96" s="48">
        <f t="shared" si="177"/>
        <v>0</v>
      </c>
      <c r="AI96" s="48">
        <f t="shared" si="178"/>
        <v>0</v>
      </c>
      <c r="AJ96" s="48">
        <f t="shared" si="179"/>
        <v>50</v>
      </c>
      <c r="AK96" s="48">
        <f t="shared" si="180"/>
        <v>50</v>
      </c>
      <c r="AL96" s="48">
        <f t="shared" si="181"/>
        <v>50</v>
      </c>
      <c r="AM96" s="48">
        <f t="shared" si="182"/>
        <v>50</v>
      </c>
      <c r="AN96" s="48">
        <f t="shared" si="183"/>
        <v>50</v>
      </c>
      <c r="AP96" s="61">
        <v>0.4</v>
      </c>
      <c r="AQ96" s="61">
        <v>0.4</v>
      </c>
      <c r="AR96" s="61">
        <v>0.4</v>
      </c>
      <c r="AS96" s="61">
        <v>0.4</v>
      </c>
      <c r="AT96" s="61">
        <v>0.4</v>
      </c>
      <c r="AU96" s="61">
        <v>0.4</v>
      </c>
      <c r="AV96" s="61">
        <v>0.4</v>
      </c>
      <c r="AX96" s="52">
        <f t="shared" si="184"/>
        <v>0</v>
      </c>
      <c r="AY96" s="52">
        <f t="shared" si="185"/>
        <v>0</v>
      </c>
      <c r="AZ96" s="52">
        <f t="shared" si="186"/>
        <v>43.229589041095892</v>
      </c>
      <c r="BA96" s="52">
        <f t="shared" si="187"/>
        <v>175.32000000000002</v>
      </c>
      <c r="BB96" s="52">
        <f t="shared" si="188"/>
        <v>175.32000000000002</v>
      </c>
      <c r="BC96" s="52">
        <f t="shared" si="189"/>
        <v>175.32000000000002</v>
      </c>
      <c r="BD96" s="52">
        <f t="shared" si="190"/>
        <v>175.32000000000002</v>
      </c>
      <c r="BE96" s="57">
        <v>0.2</v>
      </c>
      <c r="BF96" s="52">
        <f t="shared" si="191"/>
        <v>0</v>
      </c>
      <c r="BG96" s="82">
        <f t="shared" si="192"/>
        <v>0</v>
      </c>
      <c r="BH96" s="82">
        <f t="shared" si="193"/>
        <v>43.397260273972599</v>
      </c>
      <c r="BI96" s="52">
        <f t="shared" si="194"/>
        <v>176</v>
      </c>
      <c r="BJ96" s="52">
        <f t="shared" si="195"/>
        <v>176</v>
      </c>
      <c r="BK96" s="52">
        <f t="shared" si="196"/>
        <v>176</v>
      </c>
      <c r="BL96" s="52">
        <f t="shared" si="197"/>
        <v>176</v>
      </c>
      <c r="BM96" s="297">
        <v>0.04</v>
      </c>
      <c r="BN96" s="69">
        <f t="shared" si="268"/>
        <v>0</v>
      </c>
      <c r="BO96" s="69">
        <f t="shared" si="269"/>
        <v>0</v>
      </c>
      <c r="BP96" s="69">
        <f t="shared" si="270"/>
        <v>54.246575342465754</v>
      </c>
      <c r="BQ96" s="69">
        <f t="shared" si="271"/>
        <v>220</v>
      </c>
      <c r="BR96" s="69">
        <f t="shared" si="272"/>
        <v>220</v>
      </c>
      <c r="BS96" s="69">
        <f t="shared" si="203"/>
        <v>220</v>
      </c>
      <c r="BT96" s="69">
        <f t="shared" si="204"/>
        <v>220</v>
      </c>
      <c r="BV96" s="52">
        <f t="shared" ref="BV96:CB96" si="281">IF(AND($H96&gt;BU$49,$H96&lt;=BV$49),IF($G96&gt;BU$49,$H96-$G96,$H96-BU$49),IF($H96&lt;=BU$49,0,IF(AND($G96&gt;BU$49,$G96&lt;=BV$49),BV$49-$G96,IF($G96&gt;BV$49,0,BV$49-BU$49))))</f>
        <v>90</v>
      </c>
      <c r="BW96" s="52">
        <f t="shared" si="281"/>
        <v>365</v>
      </c>
      <c r="BX96" s="52">
        <f t="shared" si="281"/>
        <v>275</v>
      </c>
      <c r="BY96" s="52">
        <f t="shared" si="281"/>
        <v>0</v>
      </c>
      <c r="BZ96" s="52">
        <f t="shared" si="281"/>
        <v>0</v>
      </c>
      <c r="CA96" s="52">
        <f t="shared" si="281"/>
        <v>0</v>
      </c>
      <c r="CB96" s="52">
        <f t="shared" si="281"/>
        <v>0</v>
      </c>
      <c r="CC96" s="107">
        <v>0</v>
      </c>
      <c r="CD96" s="61">
        <v>0</v>
      </c>
      <c r="CE96" s="61">
        <f>IF(SUM($BX96:$CB96)=0,0,BX96/SUM($BX96:$CB96)*(1-$O96))</f>
        <v>0.74389109589041102</v>
      </c>
      <c r="CF96" s="61">
        <f>IF(SUM($BX96:$CB96)=0,0,BY96/SUM($BX96:$CB96)*(1-$O96))</f>
        <v>0</v>
      </c>
      <c r="CG96" s="61">
        <f t="shared" si="206"/>
        <v>0</v>
      </c>
      <c r="CH96" s="61">
        <f t="shared" si="149"/>
        <v>0</v>
      </c>
      <c r="CI96" s="61">
        <f t="shared" si="150"/>
        <v>0</v>
      </c>
      <c r="CJ96" s="61">
        <f t="shared" si="151"/>
        <v>1</v>
      </c>
      <c r="CK96" s="4"/>
      <c r="CL96" s="54">
        <f t="shared" si="152"/>
        <v>0</v>
      </c>
      <c r="CM96" s="54">
        <f t="shared" si="153"/>
        <v>0</v>
      </c>
      <c r="CN96" s="54">
        <f t="shared" si="154"/>
        <v>4091.4010273972608</v>
      </c>
      <c r="CO96" s="54">
        <f t="shared" si="155"/>
        <v>0</v>
      </c>
      <c r="CP96" s="54">
        <f t="shared" si="156"/>
        <v>0</v>
      </c>
      <c r="CQ96" s="54">
        <f t="shared" si="157"/>
        <v>0</v>
      </c>
      <c r="CR96" s="54">
        <f t="shared" si="158"/>
        <v>0</v>
      </c>
      <c r="CT96" s="54">
        <f t="shared" si="207"/>
        <v>0</v>
      </c>
      <c r="CU96" s="54">
        <f t="shared" si="208"/>
        <v>0</v>
      </c>
      <c r="CV96" s="54">
        <f t="shared" si="209"/>
        <v>818.28020547945221</v>
      </c>
      <c r="CW96" s="54">
        <f t="shared" si="210"/>
        <v>0</v>
      </c>
      <c r="CX96" s="54">
        <f t="shared" si="211"/>
        <v>0</v>
      </c>
      <c r="CY96" s="54">
        <f t="shared" si="212"/>
        <v>0</v>
      </c>
      <c r="CZ96" s="54">
        <f t="shared" si="213"/>
        <v>0</v>
      </c>
      <c r="DB96" s="54">
        <f t="shared" si="214"/>
        <v>0</v>
      </c>
      <c r="DC96" s="54">
        <f t="shared" si="215"/>
        <v>0</v>
      </c>
      <c r="DD96" s="54">
        <f t="shared" si="216"/>
        <v>3273.1208219178088</v>
      </c>
      <c r="DE96" s="54">
        <f t="shared" si="217"/>
        <v>0</v>
      </c>
      <c r="DF96" s="54">
        <f t="shared" si="218"/>
        <v>0</v>
      </c>
      <c r="DG96" s="54">
        <f t="shared" si="219"/>
        <v>0</v>
      </c>
      <c r="DH96" s="54">
        <f t="shared" si="220"/>
        <v>0</v>
      </c>
      <c r="DJ96" s="54">
        <f t="shared" si="221"/>
        <v>0</v>
      </c>
      <c r="DK96" s="54">
        <f t="shared" si="222"/>
        <v>0</v>
      </c>
      <c r="DL96" s="54">
        <f t="shared" si="223"/>
        <v>0</v>
      </c>
      <c r="DM96" s="54">
        <f t="shared" si="224"/>
        <v>176</v>
      </c>
      <c r="DN96" s="54">
        <f t="shared" si="225"/>
        <v>176</v>
      </c>
      <c r="DO96" s="54">
        <f t="shared" si="226"/>
        <v>176</v>
      </c>
      <c r="DP96" s="54">
        <f t="shared" si="227"/>
        <v>176</v>
      </c>
      <c r="DR96" s="54">
        <f>+IF(Z96&gt;0,$K96*(1-$BE96)-SUM($DJ96:DJ96),DB96)</f>
        <v>0</v>
      </c>
      <c r="DS96" s="54">
        <f>+IF(AA96&gt;0,$K96*(1-$BE96)-SUM($DJ96:DK96),DC96)</f>
        <v>0</v>
      </c>
      <c r="DT96" s="54">
        <f>+IF(AB96&gt;0,$K96*(1-$BE96)-SUM($DJ96:DL96),DD96)</f>
        <v>4400</v>
      </c>
      <c r="DU96" s="54">
        <f>+IF(AC96&gt;0,$K96*(1-$BE96)-SUM($DJ96:DM96),DE96)</f>
        <v>4224</v>
      </c>
      <c r="DV96" s="54">
        <f>+IF(AD96&gt;0,$K96*(1-$BE96)-SUM($DJ96:DN96),DF96)</f>
        <v>4048</v>
      </c>
      <c r="DW96" s="54">
        <f>+IF(AE96&gt;0,$K96*(1-$BE96)-SUM($DJ96:DO96),DG96)</f>
        <v>3872</v>
      </c>
      <c r="DX96" s="54">
        <f>+IF(AF96&gt;0,$K96*(1-$BE96)-SUM($DJ96:DP96),DH96)</f>
        <v>3696</v>
      </c>
      <c r="DZ96" s="54">
        <f t="shared" si="228"/>
        <v>0</v>
      </c>
      <c r="EA96" s="54">
        <f t="shared" si="229"/>
        <v>0</v>
      </c>
      <c r="EB96" s="54">
        <f t="shared" si="230"/>
        <v>108.49315068493151</v>
      </c>
      <c r="EC96" s="54">
        <f t="shared" si="231"/>
        <v>422.40000000000003</v>
      </c>
      <c r="ED96" s="54">
        <f t="shared" si="232"/>
        <v>404.8</v>
      </c>
      <c r="EE96" s="54">
        <f t="shared" si="233"/>
        <v>387.20000000000005</v>
      </c>
      <c r="EF96" s="54">
        <f t="shared" si="234"/>
        <v>0</v>
      </c>
      <c r="EH96" s="54">
        <f t="shared" si="235"/>
        <v>0</v>
      </c>
      <c r="EI96" s="54">
        <f t="shared" si="236"/>
        <v>0</v>
      </c>
      <c r="EJ96" s="54">
        <f t="shared" si="237"/>
        <v>0</v>
      </c>
      <c r="EK96" s="54">
        <f t="shared" si="238"/>
        <v>0</v>
      </c>
      <c r="EL96" s="54">
        <f t="shared" si="239"/>
        <v>0</v>
      </c>
      <c r="EM96" s="54">
        <f t="shared" si="240"/>
        <v>0</v>
      </c>
      <c r="EN96" s="54">
        <f t="shared" si="241"/>
        <v>0</v>
      </c>
      <c r="EP96" s="52">
        <f t="shared" ca="1" si="242"/>
        <v>0</v>
      </c>
      <c r="EQ96" s="52">
        <f t="shared" ca="1" si="243"/>
        <v>0</v>
      </c>
      <c r="ER96" s="52">
        <f t="shared" ca="1" si="244"/>
        <v>0</v>
      </c>
      <c r="ES96" s="52">
        <f t="shared" ca="1" si="245"/>
        <v>0</v>
      </c>
      <c r="ET96" s="52">
        <f t="shared" ca="1" si="246"/>
        <v>0</v>
      </c>
      <c r="EU96" s="52">
        <f t="shared" ca="1" si="247"/>
        <v>0</v>
      </c>
      <c r="EV96" s="52">
        <f t="shared" ca="1" si="248"/>
        <v>0</v>
      </c>
      <c r="EX96" s="52">
        <f t="shared" ca="1" si="249"/>
        <v>0</v>
      </c>
      <c r="EY96" s="52">
        <f t="shared" ca="1" si="250"/>
        <v>0</v>
      </c>
      <c r="EZ96" s="52">
        <f t="shared" ca="1" si="251"/>
        <v>206.13698630136986</v>
      </c>
      <c r="FA96" s="52">
        <f t="shared" ca="1" si="252"/>
        <v>818.40000000000009</v>
      </c>
      <c r="FB96" s="52">
        <f t="shared" ca="1" si="253"/>
        <v>800.8</v>
      </c>
      <c r="FC96" s="52">
        <f t="shared" ca="1" si="254"/>
        <v>783.2</v>
      </c>
      <c r="FD96" s="52">
        <f t="shared" ca="1" si="255"/>
        <v>396</v>
      </c>
      <c r="FF96" s="82">
        <f t="shared" si="256"/>
        <v>0</v>
      </c>
      <c r="FG96" s="82">
        <f t="shared" si="257"/>
        <v>0</v>
      </c>
      <c r="FH96" s="82">
        <f t="shared" si="258"/>
        <v>5500</v>
      </c>
      <c r="FI96" s="82">
        <f t="shared" si="259"/>
        <v>0</v>
      </c>
      <c r="FJ96" s="82">
        <f t="shared" si="260"/>
        <v>0</v>
      </c>
      <c r="FK96" s="82">
        <f t="shared" si="261"/>
        <v>0</v>
      </c>
      <c r="FL96" s="82">
        <f t="shared" si="262"/>
        <v>0</v>
      </c>
      <c r="FM96" s="51">
        <v>0</v>
      </c>
      <c r="FN96" s="82">
        <v>0</v>
      </c>
      <c r="FO96" s="82">
        <f t="shared" si="159"/>
        <v>1408.5989726027397</v>
      </c>
      <c r="FP96" s="82">
        <f t="shared" si="263"/>
        <v>0</v>
      </c>
      <c r="FQ96" s="82">
        <f t="shared" si="264"/>
        <v>0</v>
      </c>
      <c r="FR96" s="82">
        <f t="shared" si="265"/>
        <v>0</v>
      </c>
      <c r="FS96" s="82">
        <f t="shared" si="266"/>
        <v>0</v>
      </c>
      <c r="FT96" s="82">
        <f t="shared" si="267"/>
        <v>0</v>
      </c>
      <c r="FV96" s="82">
        <f t="shared" si="160"/>
        <v>4.43</v>
      </c>
      <c r="FW96" s="82">
        <f t="shared" si="161"/>
        <v>4.43</v>
      </c>
      <c r="FX96" s="82">
        <f t="shared" si="162"/>
        <v>4.43</v>
      </c>
      <c r="FY96" s="82">
        <f t="shared" si="163"/>
        <v>4.43</v>
      </c>
      <c r="FZ96" s="82">
        <f t="shared" si="164"/>
        <v>4.43</v>
      </c>
      <c r="GA96" s="82">
        <f t="shared" si="165"/>
        <v>4.43</v>
      </c>
      <c r="GB96" s="82">
        <f t="shared" si="166"/>
        <v>4.43</v>
      </c>
    </row>
    <row r="97" spans="2:184" x14ac:dyDescent="0.2">
      <c r="B97" s="402" t="str">
        <f>Key_New!D45</f>
        <v>–</v>
      </c>
      <c r="C97" s="394" t="str">
        <f>Key_New!B45</f>
        <v>ACME Urja One Pvt Ltd (NHPC)</v>
      </c>
      <c r="D97" s="395" t="str">
        <f>Key_New!E45</f>
        <v>FDRE</v>
      </c>
      <c r="E97" s="395" t="str">
        <f>Key_New!C45</f>
        <v>Under Construction</v>
      </c>
      <c r="F97" s="397">
        <f>Key_New!F45</f>
        <v>250</v>
      </c>
      <c r="G97" s="399">
        <f t="shared" si="145"/>
        <v>46295</v>
      </c>
      <c r="H97" s="399">
        <f>Key_New!O45</f>
        <v>47026</v>
      </c>
      <c r="I97" s="369">
        <f t="shared" si="167"/>
        <v>2029</v>
      </c>
      <c r="J97" s="367">
        <v>110</v>
      </c>
      <c r="K97" s="370">
        <f t="shared" si="168"/>
        <v>27500</v>
      </c>
      <c r="L97" s="368">
        <v>0.12</v>
      </c>
      <c r="M97" s="368">
        <v>0.25</v>
      </c>
      <c r="N97" s="403">
        <f>Key_New!J45</f>
        <v>4.33</v>
      </c>
      <c r="O97" s="462">
        <f t="shared" si="147"/>
        <v>0</v>
      </c>
      <c r="P97" s="54">
        <f t="shared" si="169"/>
        <v>0</v>
      </c>
      <c r="Q97" s="54">
        <f t="shared" si="169"/>
        <v>0</v>
      </c>
      <c r="R97" s="54">
        <f t="shared" si="169"/>
        <v>0</v>
      </c>
      <c r="S97" s="54">
        <f t="shared" si="169"/>
        <v>0</v>
      </c>
      <c r="T97" s="54">
        <f t="shared" si="169"/>
        <v>0</v>
      </c>
      <c r="U97" s="54">
        <f t="shared" si="148"/>
        <v>182</v>
      </c>
      <c r="V97" s="54">
        <f t="shared" si="148"/>
        <v>365</v>
      </c>
      <c r="W97" s="54">
        <f t="shared" si="169"/>
        <v>365</v>
      </c>
      <c r="Y97" s="54">
        <f t="shared" si="170"/>
        <v>0</v>
      </c>
      <c r="Z97" s="54">
        <f t="shared" si="171"/>
        <v>0</v>
      </c>
      <c r="AA97" s="54">
        <f t="shared" si="172"/>
        <v>0</v>
      </c>
      <c r="AB97" s="54">
        <f t="shared" si="173"/>
        <v>0</v>
      </c>
      <c r="AC97" s="54">
        <f t="shared" si="174"/>
        <v>0</v>
      </c>
      <c r="AD97" s="54">
        <f t="shared" si="175"/>
        <v>1</v>
      </c>
      <c r="AE97" s="54">
        <f t="shared" si="176"/>
        <v>2</v>
      </c>
      <c r="AF97" s="54">
        <f t="shared" si="176"/>
        <v>3</v>
      </c>
      <c r="AG97" s="444"/>
      <c r="AH97" s="48">
        <f t="shared" si="177"/>
        <v>0</v>
      </c>
      <c r="AI97" s="48">
        <f t="shared" si="178"/>
        <v>0</v>
      </c>
      <c r="AJ97" s="48">
        <f t="shared" si="179"/>
        <v>0</v>
      </c>
      <c r="AK97" s="48">
        <f t="shared" si="180"/>
        <v>0</v>
      </c>
      <c r="AL97" s="48">
        <f t="shared" si="181"/>
        <v>250</v>
      </c>
      <c r="AM97" s="48">
        <f t="shared" si="182"/>
        <v>250</v>
      </c>
      <c r="AN97" s="48">
        <f t="shared" si="183"/>
        <v>250</v>
      </c>
      <c r="AP97" s="61">
        <v>0.4</v>
      </c>
      <c r="AQ97" s="61">
        <v>0.4</v>
      </c>
      <c r="AR97" s="61">
        <v>0.4</v>
      </c>
      <c r="AS97" s="61">
        <v>0.4</v>
      </c>
      <c r="AT97" s="61">
        <v>0.4</v>
      </c>
      <c r="AU97" s="61">
        <v>0.4</v>
      </c>
      <c r="AV97" s="61">
        <v>0.4</v>
      </c>
      <c r="AX97" s="52">
        <f t="shared" si="184"/>
        <v>0</v>
      </c>
      <c r="AY97" s="52">
        <f t="shared" si="185"/>
        <v>0</v>
      </c>
      <c r="AZ97" s="52">
        <f t="shared" si="186"/>
        <v>0</v>
      </c>
      <c r="BA97" s="52">
        <f t="shared" si="187"/>
        <v>0</v>
      </c>
      <c r="BB97" s="52">
        <f t="shared" si="188"/>
        <v>437.09917808219177</v>
      </c>
      <c r="BC97" s="52">
        <f t="shared" si="189"/>
        <v>876.6</v>
      </c>
      <c r="BD97" s="52">
        <f t="shared" si="190"/>
        <v>876.6</v>
      </c>
      <c r="BE97" s="57">
        <v>0.2</v>
      </c>
      <c r="BF97" s="52">
        <f t="shared" si="191"/>
        <v>0</v>
      </c>
      <c r="BG97" s="82">
        <f t="shared" si="192"/>
        <v>0</v>
      </c>
      <c r="BH97" s="82">
        <f t="shared" si="193"/>
        <v>0</v>
      </c>
      <c r="BI97" s="52">
        <f t="shared" si="194"/>
        <v>0</v>
      </c>
      <c r="BJ97" s="52">
        <f t="shared" si="195"/>
        <v>438.79452054794524</v>
      </c>
      <c r="BK97" s="52">
        <f t="shared" si="196"/>
        <v>880</v>
      </c>
      <c r="BL97" s="52">
        <f t="shared" si="197"/>
        <v>880</v>
      </c>
      <c r="BM97" s="297">
        <v>0.04</v>
      </c>
      <c r="BN97" s="69">
        <f t="shared" si="268"/>
        <v>0</v>
      </c>
      <c r="BO97" s="69">
        <f t="shared" si="269"/>
        <v>0</v>
      </c>
      <c r="BP97" s="69">
        <f t="shared" si="270"/>
        <v>0</v>
      </c>
      <c r="BQ97" s="69">
        <f t="shared" si="271"/>
        <v>0</v>
      </c>
      <c r="BR97" s="69">
        <f t="shared" si="272"/>
        <v>548.49315068493149</v>
      </c>
      <c r="BS97" s="69">
        <f t="shared" si="203"/>
        <v>1100</v>
      </c>
      <c r="BT97" s="69">
        <f t="shared" si="204"/>
        <v>1100</v>
      </c>
      <c r="BV97" s="52">
        <f t="shared" ref="BV97:CB97" si="282">IF(AND($H97&gt;BU$49,$H97&lt;=BV$49),IF($G97&gt;BU$49,$H97-$G97,$H97-BU$49),IF($H97&lt;=BU$49,0,IF(AND($G97&gt;BU$49,$G97&lt;=BV$49),BV$49-$G97,IF($G97&gt;BV$49,0,BV$49-BU$49))))</f>
        <v>0</v>
      </c>
      <c r="BW97" s="52">
        <f t="shared" si="282"/>
        <v>0</v>
      </c>
      <c r="BX97" s="52">
        <f t="shared" si="282"/>
        <v>182</v>
      </c>
      <c r="BY97" s="52">
        <f t="shared" si="282"/>
        <v>366</v>
      </c>
      <c r="BZ97" s="52">
        <f t="shared" si="282"/>
        <v>183</v>
      </c>
      <c r="CA97" s="52">
        <f t="shared" si="282"/>
        <v>0</v>
      </c>
      <c r="CB97" s="52">
        <f t="shared" si="282"/>
        <v>0</v>
      </c>
      <c r="CC97" s="107">
        <v>0</v>
      </c>
      <c r="CD97" s="61">
        <v>0</v>
      </c>
      <c r="CE97" s="61">
        <f>IF(SUM($BX97:$CB97)=0,0,BX97/SUM($BX97:$CB97)*(1-$O97))-20%</f>
        <v>4.8974008207934322E-2</v>
      </c>
      <c r="CF97" s="61">
        <f t="shared" ref="CF97:CG100" si="283">IF(SUM($BX97:$CB97)=0,0,BY97/SUM($BX97:$CB97)*(1-$O97))+10%</f>
        <v>0.60068399452804377</v>
      </c>
      <c r="CG97" s="61">
        <f t="shared" si="283"/>
        <v>0.35034199726402193</v>
      </c>
      <c r="CH97" s="61">
        <f t="shared" si="149"/>
        <v>0</v>
      </c>
      <c r="CI97" s="61">
        <f t="shared" si="150"/>
        <v>0</v>
      </c>
      <c r="CJ97" s="61">
        <f t="shared" si="151"/>
        <v>1</v>
      </c>
      <c r="CK97" s="4"/>
      <c r="CL97" s="54">
        <f t="shared" si="152"/>
        <v>0</v>
      </c>
      <c r="CM97" s="54">
        <f t="shared" si="153"/>
        <v>0</v>
      </c>
      <c r="CN97" s="54">
        <f t="shared" si="154"/>
        <v>1346.7852257181939</v>
      </c>
      <c r="CO97" s="54">
        <f t="shared" si="155"/>
        <v>16518.809849521203</v>
      </c>
      <c r="CP97" s="54">
        <f t="shared" si="156"/>
        <v>9634.4049247606035</v>
      </c>
      <c r="CQ97" s="54">
        <f t="shared" si="157"/>
        <v>0</v>
      </c>
      <c r="CR97" s="54">
        <f t="shared" si="158"/>
        <v>0</v>
      </c>
      <c r="CT97" s="54">
        <f t="shared" si="207"/>
        <v>0</v>
      </c>
      <c r="CU97" s="54">
        <f t="shared" si="208"/>
        <v>0</v>
      </c>
      <c r="CV97" s="54">
        <f t="shared" si="209"/>
        <v>269.3570451436388</v>
      </c>
      <c r="CW97" s="54">
        <f t="shared" si="210"/>
        <v>3303.7619699042407</v>
      </c>
      <c r="CX97" s="54">
        <f t="shared" si="211"/>
        <v>1926.8809849521208</v>
      </c>
      <c r="CY97" s="54">
        <f t="shared" si="212"/>
        <v>0</v>
      </c>
      <c r="CZ97" s="54">
        <f t="shared" si="213"/>
        <v>0</v>
      </c>
      <c r="DB97" s="54">
        <f t="shared" si="214"/>
        <v>0</v>
      </c>
      <c r="DC97" s="54">
        <f t="shared" si="215"/>
        <v>0</v>
      </c>
      <c r="DD97" s="54">
        <f t="shared" si="216"/>
        <v>1077.4281805745552</v>
      </c>
      <c r="DE97" s="54">
        <f t="shared" si="217"/>
        <v>13215.047879616963</v>
      </c>
      <c r="DF97" s="54">
        <f t="shared" si="218"/>
        <v>7707.5239398084832</v>
      </c>
      <c r="DG97" s="54">
        <f t="shared" si="219"/>
        <v>0</v>
      </c>
      <c r="DH97" s="54">
        <f t="shared" si="220"/>
        <v>0</v>
      </c>
      <c r="DJ97" s="54">
        <f t="shared" si="221"/>
        <v>0</v>
      </c>
      <c r="DK97" s="54">
        <f t="shared" si="222"/>
        <v>0</v>
      </c>
      <c r="DL97" s="54">
        <f t="shared" si="223"/>
        <v>0</v>
      </c>
      <c r="DM97" s="54">
        <f t="shared" si="224"/>
        <v>0</v>
      </c>
      <c r="DN97" s="54">
        <f t="shared" si="225"/>
        <v>0</v>
      </c>
      <c r="DO97" s="54">
        <f t="shared" si="226"/>
        <v>880</v>
      </c>
      <c r="DP97" s="54">
        <f t="shared" si="227"/>
        <v>880</v>
      </c>
      <c r="DR97" s="54">
        <f>+IF(Z97&gt;0,$K97*(1-$BE97)-SUM($DJ97:DJ97),DB97)</f>
        <v>0</v>
      </c>
      <c r="DS97" s="54">
        <f>+IF(AA97&gt;0,$K97*(1-$BE97)-SUM($DJ97:DK97),DC97)</f>
        <v>0</v>
      </c>
      <c r="DT97" s="54">
        <f>+IF(AB97&gt;0,$K97*(1-$BE97)-SUM($DJ97:DL97),DD97)</f>
        <v>1077.4281805745552</v>
      </c>
      <c r="DU97" s="54">
        <f>+IF(AC97&gt;0,$K97*(1-$BE97)-SUM($DJ97:DM97),DE97)</f>
        <v>13215.047879616963</v>
      </c>
      <c r="DV97" s="54">
        <f>+IF(AD97&gt;0,$K97*(1-$BE97)-SUM($DJ97:DN97),DF97)</f>
        <v>22000</v>
      </c>
      <c r="DW97" s="54">
        <f>+IF(AE97&gt;0,$K97*(1-$BE97)-SUM($DJ97:DO97),DG97)</f>
        <v>21120</v>
      </c>
      <c r="DX97" s="54">
        <f>+IF(AF97&gt;0,$K97*(1-$BE97)-SUM($DJ97:DP97),DH97)</f>
        <v>20240</v>
      </c>
      <c r="DZ97" s="54">
        <f t="shared" si="228"/>
        <v>0</v>
      </c>
      <c r="EA97" s="54">
        <f t="shared" si="229"/>
        <v>0</v>
      </c>
      <c r="EB97" s="54">
        <f t="shared" si="230"/>
        <v>0</v>
      </c>
      <c r="EC97" s="54">
        <f t="shared" si="231"/>
        <v>0</v>
      </c>
      <c r="ED97" s="54">
        <f t="shared" si="232"/>
        <v>1096.986301369863</v>
      </c>
      <c r="EE97" s="54">
        <f t="shared" si="233"/>
        <v>2112</v>
      </c>
      <c r="EF97" s="54">
        <f t="shared" si="234"/>
        <v>0</v>
      </c>
      <c r="EH97" s="54">
        <f t="shared" si="235"/>
        <v>0</v>
      </c>
      <c r="EI97" s="54">
        <f t="shared" si="236"/>
        <v>0</v>
      </c>
      <c r="EJ97" s="54">
        <f t="shared" si="237"/>
        <v>0</v>
      </c>
      <c r="EK97" s="54">
        <f t="shared" si="238"/>
        <v>0</v>
      </c>
      <c r="EL97" s="54">
        <f t="shared" si="239"/>
        <v>0</v>
      </c>
      <c r="EM97" s="54">
        <f t="shared" si="240"/>
        <v>0</v>
      </c>
      <c r="EN97" s="54">
        <f t="shared" si="241"/>
        <v>0</v>
      </c>
      <c r="EP97" s="52">
        <f t="shared" ca="1" si="242"/>
        <v>0</v>
      </c>
      <c r="EQ97" s="52">
        <f t="shared" ca="1" si="243"/>
        <v>0</v>
      </c>
      <c r="ER97" s="52">
        <f t="shared" ca="1" si="244"/>
        <v>0</v>
      </c>
      <c r="ES97" s="52">
        <f t="shared" ca="1" si="245"/>
        <v>0</v>
      </c>
      <c r="ET97" s="52">
        <f t="shared" ca="1" si="246"/>
        <v>0</v>
      </c>
      <c r="EU97" s="52">
        <f t="shared" ca="1" si="247"/>
        <v>0</v>
      </c>
      <c r="EV97" s="52">
        <f t="shared" ca="1" si="248"/>
        <v>0</v>
      </c>
      <c r="EX97" s="52">
        <f t="shared" ca="1" si="249"/>
        <v>0</v>
      </c>
      <c r="EY97" s="52">
        <f t="shared" ca="1" si="250"/>
        <v>0</v>
      </c>
      <c r="EZ97" s="52">
        <f t="shared" ca="1" si="251"/>
        <v>0</v>
      </c>
      <c r="FA97" s="52">
        <f t="shared" ca="1" si="252"/>
        <v>0</v>
      </c>
      <c r="FB97" s="52">
        <f t="shared" ca="1" si="253"/>
        <v>2084.2739726027398</v>
      </c>
      <c r="FC97" s="52">
        <f t="shared" ca="1" si="254"/>
        <v>4092</v>
      </c>
      <c r="FD97" s="52">
        <f t="shared" ca="1" si="255"/>
        <v>1980</v>
      </c>
      <c r="FF97" s="82">
        <f t="shared" si="256"/>
        <v>0</v>
      </c>
      <c r="FG97" s="82">
        <f t="shared" si="257"/>
        <v>0</v>
      </c>
      <c r="FH97" s="82">
        <f t="shared" si="258"/>
        <v>0</v>
      </c>
      <c r="FI97" s="82">
        <f t="shared" si="259"/>
        <v>0</v>
      </c>
      <c r="FJ97" s="82">
        <f t="shared" si="260"/>
        <v>27500</v>
      </c>
      <c r="FK97" s="82">
        <f t="shared" si="261"/>
        <v>0</v>
      </c>
      <c r="FL97" s="82">
        <f t="shared" si="262"/>
        <v>0</v>
      </c>
      <c r="FM97" s="51">
        <v>0</v>
      </c>
      <c r="FN97" s="82">
        <v>0</v>
      </c>
      <c r="FO97" s="82">
        <f t="shared" si="159"/>
        <v>0</v>
      </c>
      <c r="FP97" s="82">
        <f t="shared" si="263"/>
        <v>1346.7852257181939</v>
      </c>
      <c r="FQ97" s="82">
        <f t="shared" si="264"/>
        <v>17865.595075239398</v>
      </c>
      <c r="FR97" s="82">
        <f t="shared" si="265"/>
        <v>0</v>
      </c>
      <c r="FS97" s="82">
        <f t="shared" si="266"/>
        <v>0</v>
      </c>
      <c r="FT97" s="82">
        <f t="shared" si="267"/>
        <v>0</v>
      </c>
      <c r="FV97" s="82">
        <f t="shared" si="160"/>
        <v>4.33</v>
      </c>
      <c r="FW97" s="82">
        <f t="shared" si="161"/>
        <v>4.33</v>
      </c>
      <c r="FX97" s="82">
        <f t="shared" si="162"/>
        <v>4.33</v>
      </c>
      <c r="FY97" s="82">
        <f t="shared" si="163"/>
        <v>4.33</v>
      </c>
      <c r="FZ97" s="82">
        <f t="shared" si="164"/>
        <v>4.33</v>
      </c>
      <c r="GA97" s="82">
        <f t="shared" si="165"/>
        <v>4.33</v>
      </c>
      <c r="GB97" s="82">
        <f t="shared" si="166"/>
        <v>4.33</v>
      </c>
    </row>
    <row r="98" spans="2:184" x14ac:dyDescent="0.2">
      <c r="B98" s="402" t="str">
        <f>Key_New!D46</f>
        <v>–</v>
      </c>
      <c r="C98" s="394" t="str">
        <f>Key_New!B46</f>
        <v>ACME Greentech Seventh Pvt Ltd</v>
      </c>
      <c r="D98" s="395" t="str">
        <f>Key_New!E46</f>
        <v>FDRE</v>
      </c>
      <c r="E98" s="395" t="str">
        <f>Key_New!C46</f>
        <v>Under Construction</v>
      </c>
      <c r="F98" s="397">
        <f>Key_New!F46</f>
        <v>450</v>
      </c>
      <c r="G98" s="399">
        <f t="shared" si="145"/>
        <v>46387</v>
      </c>
      <c r="H98" s="399">
        <f>Key_New!O46</f>
        <v>47118</v>
      </c>
      <c r="I98" s="369">
        <f t="shared" si="167"/>
        <v>2029</v>
      </c>
      <c r="J98" s="367">
        <v>110</v>
      </c>
      <c r="K98" s="370">
        <f t="shared" si="168"/>
        <v>49500</v>
      </c>
      <c r="L98" s="368">
        <v>0.12</v>
      </c>
      <c r="M98" s="368">
        <v>0.25</v>
      </c>
      <c r="N98" s="403">
        <f>Key_New!J46</f>
        <v>6.74</v>
      </c>
      <c r="O98" s="462">
        <f t="shared" si="147"/>
        <v>0</v>
      </c>
      <c r="P98" s="54">
        <f t="shared" si="169"/>
        <v>0</v>
      </c>
      <c r="Q98" s="54">
        <f t="shared" si="169"/>
        <v>0</v>
      </c>
      <c r="R98" s="54">
        <f t="shared" si="169"/>
        <v>0</v>
      </c>
      <c r="S98" s="54">
        <f t="shared" si="169"/>
        <v>0</v>
      </c>
      <c r="T98" s="54">
        <f t="shared" si="169"/>
        <v>0</v>
      </c>
      <c r="U98" s="54">
        <f t="shared" si="148"/>
        <v>90</v>
      </c>
      <c r="V98" s="54">
        <f t="shared" si="148"/>
        <v>365</v>
      </c>
      <c r="W98" s="54">
        <f t="shared" si="169"/>
        <v>365</v>
      </c>
      <c r="Y98" s="54">
        <f t="shared" si="170"/>
        <v>0</v>
      </c>
      <c r="Z98" s="54">
        <f t="shared" si="171"/>
        <v>0</v>
      </c>
      <c r="AA98" s="54">
        <f t="shared" si="172"/>
        <v>0</v>
      </c>
      <c r="AB98" s="54">
        <f t="shared" si="173"/>
        <v>0</v>
      </c>
      <c r="AC98" s="54">
        <f t="shared" si="174"/>
        <v>0</v>
      </c>
      <c r="AD98" s="54">
        <f t="shared" si="175"/>
        <v>1</v>
      </c>
      <c r="AE98" s="54">
        <f t="shared" si="176"/>
        <v>2</v>
      </c>
      <c r="AF98" s="54">
        <f t="shared" si="176"/>
        <v>3</v>
      </c>
      <c r="AG98" s="444"/>
      <c r="AH98" s="48">
        <f t="shared" si="177"/>
        <v>0</v>
      </c>
      <c r="AI98" s="48">
        <f t="shared" si="178"/>
        <v>0</v>
      </c>
      <c r="AJ98" s="48">
        <f t="shared" si="179"/>
        <v>0</v>
      </c>
      <c r="AK98" s="48">
        <f t="shared" si="180"/>
        <v>0</v>
      </c>
      <c r="AL98" s="48">
        <f t="shared" si="181"/>
        <v>450</v>
      </c>
      <c r="AM98" s="48">
        <f t="shared" si="182"/>
        <v>450</v>
      </c>
      <c r="AN98" s="48">
        <f t="shared" si="183"/>
        <v>450</v>
      </c>
      <c r="AP98" s="61">
        <v>0.4</v>
      </c>
      <c r="AQ98" s="61">
        <v>0.4</v>
      </c>
      <c r="AR98" s="61">
        <v>0.4</v>
      </c>
      <c r="AS98" s="61">
        <v>0.4</v>
      </c>
      <c r="AT98" s="61">
        <v>0.4</v>
      </c>
      <c r="AU98" s="61">
        <v>0.4</v>
      </c>
      <c r="AV98" s="61">
        <v>0.4</v>
      </c>
      <c r="AX98" s="52">
        <f t="shared" si="184"/>
        <v>0</v>
      </c>
      <c r="AY98" s="52">
        <f t="shared" si="185"/>
        <v>0</v>
      </c>
      <c r="AZ98" s="52">
        <f t="shared" si="186"/>
        <v>0</v>
      </c>
      <c r="BA98" s="52">
        <f t="shared" si="187"/>
        <v>0</v>
      </c>
      <c r="BB98" s="52">
        <f t="shared" si="188"/>
        <v>389.06630136986303</v>
      </c>
      <c r="BC98" s="52">
        <f t="shared" si="189"/>
        <v>1577.88</v>
      </c>
      <c r="BD98" s="52">
        <f t="shared" si="190"/>
        <v>1577.88</v>
      </c>
      <c r="BE98" s="57">
        <v>0.2</v>
      </c>
      <c r="BF98" s="52">
        <f t="shared" si="191"/>
        <v>0</v>
      </c>
      <c r="BG98" s="82">
        <f t="shared" si="192"/>
        <v>0</v>
      </c>
      <c r="BH98" s="82">
        <f t="shared" si="193"/>
        <v>0</v>
      </c>
      <c r="BI98" s="52">
        <f t="shared" si="194"/>
        <v>0</v>
      </c>
      <c r="BJ98" s="52">
        <f t="shared" si="195"/>
        <v>390.57534246575341</v>
      </c>
      <c r="BK98" s="52">
        <f t="shared" si="196"/>
        <v>1584</v>
      </c>
      <c r="BL98" s="52">
        <f t="shared" si="197"/>
        <v>1584</v>
      </c>
      <c r="BM98" s="297">
        <v>0.04</v>
      </c>
      <c r="BN98" s="69">
        <f t="shared" si="268"/>
        <v>0</v>
      </c>
      <c r="BO98" s="69">
        <f t="shared" si="269"/>
        <v>0</v>
      </c>
      <c r="BP98" s="69">
        <f t="shared" si="270"/>
        <v>0</v>
      </c>
      <c r="BQ98" s="69">
        <f t="shared" si="271"/>
        <v>0</v>
      </c>
      <c r="BR98" s="69">
        <f t="shared" si="272"/>
        <v>488.21917808219177</v>
      </c>
      <c r="BS98" s="69">
        <f t="shared" si="203"/>
        <v>1980</v>
      </c>
      <c r="BT98" s="69">
        <f t="shared" si="204"/>
        <v>1980</v>
      </c>
      <c r="BV98" s="52">
        <f t="shared" ref="BV98:CB98" si="284">IF(AND($H98&gt;BU$49,$H98&lt;=BV$49),IF($G98&gt;BU$49,$H98-$G98,$H98-BU$49),IF($H98&lt;=BU$49,0,IF(AND($G98&gt;BU$49,$G98&lt;=BV$49),BV$49-$G98,IF($G98&gt;BV$49,0,BV$49-BU$49))))</f>
        <v>0</v>
      </c>
      <c r="BW98" s="52">
        <f t="shared" si="284"/>
        <v>0</v>
      </c>
      <c r="BX98" s="52">
        <f t="shared" si="284"/>
        <v>90</v>
      </c>
      <c r="BY98" s="52">
        <f t="shared" si="284"/>
        <v>366</v>
      </c>
      <c r="BZ98" s="52">
        <f t="shared" si="284"/>
        <v>275</v>
      </c>
      <c r="CA98" s="52">
        <f t="shared" si="284"/>
        <v>0</v>
      </c>
      <c r="CB98" s="52">
        <f t="shared" si="284"/>
        <v>0</v>
      </c>
      <c r="CC98" s="107">
        <v>0</v>
      </c>
      <c r="CD98" s="61">
        <v>0</v>
      </c>
      <c r="CE98" s="61">
        <f>IF(SUM($BX98:$CB98)=0,0,BX98/SUM($BX98:$CB98)*(1-$O98))-20%</f>
        <v>-7.6880984952120396E-2</v>
      </c>
      <c r="CF98" s="61">
        <f t="shared" si="283"/>
        <v>0.60068399452804377</v>
      </c>
      <c r="CG98" s="61">
        <f t="shared" si="283"/>
        <v>0.47619699042407659</v>
      </c>
      <c r="CH98" s="61">
        <f t="shared" si="149"/>
        <v>0</v>
      </c>
      <c r="CI98" s="61">
        <f t="shared" si="150"/>
        <v>0</v>
      </c>
      <c r="CJ98" s="61">
        <f t="shared" si="151"/>
        <v>1</v>
      </c>
      <c r="CK98" s="4"/>
      <c r="CL98" s="54">
        <f t="shared" si="152"/>
        <v>0</v>
      </c>
      <c r="CM98" s="54">
        <f t="shared" si="153"/>
        <v>0</v>
      </c>
      <c r="CN98" s="54">
        <f t="shared" si="154"/>
        <v>0</v>
      </c>
      <c r="CO98" s="54">
        <f t="shared" si="155"/>
        <v>29733.857729138166</v>
      </c>
      <c r="CP98" s="54">
        <f t="shared" si="156"/>
        <v>23571.751025991791</v>
      </c>
      <c r="CQ98" s="54">
        <f t="shared" si="157"/>
        <v>0</v>
      </c>
      <c r="CR98" s="54">
        <f t="shared" si="158"/>
        <v>0</v>
      </c>
      <c r="CT98" s="54">
        <f t="shared" si="207"/>
        <v>0</v>
      </c>
      <c r="CU98" s="54">
        <f t="shared" si="208"/>
        <v>0</v>
      </c>
      <c r="CV98" s="54">
        <f t="shared" si="209"/>
        <v>0</v>
      </c>
      <c r="CW98" s="54">
        <f t="shared" si="210"/>
        <v>5946.7715458276334</v>
      </c>
      <c r="CX98" s="54">
        <f t="shared" si="211"/>
        <v>4714.3502051983587</v>
      </c>
      <c r="CY98" s="54">
        <f t="shared" si="212"/>
        <v>0</v>
      </c>
      <c r="CZ98" s="54">
        <f t="shared" si="213"/>
        <v>0</v>
      </c>
      <c r="DB98" s="54">
        <f t="shared" si="214"/>
        <v>0</v>
      </c>
      <c r="DC98" s="54">
        <f t="shared" si="215"/>
        <v>0</v>
      </c>
      <c r="DD98" s="54">
        <f t="shared" si="216"/>
        <v>0</v>
      </c>
      <c r="DE98" s="54">
        <f t="shared" si="217"/>
        <v>23787.086183310534</v>
      </c>
      <c r="DF98" s="54">
        <f t="shared" si="218"/>
        <v>18857.400820793431</v>
      </c>
      <c r="DG98" s="54">
        <f t="shared" si="219"/>
        <v>0</v>
      </c>
      <c r="DH98" s="54">
        <f t="shared" si="220"/>
        <v>0</v>
      </c>
      <c r="DJ98" s="54">
        <f t="shared" si="221"/>
        <v>0</v>
      </c>
      <c r="DK98" s="54">
        <f t="shared" si="222"/>
        <v>0</v>
      </c>
      <c r="DL98" s="54">
        <f t="shared" si="223"/>
        <v>0</v>
      </c>
      <c r="DM98" s="54">
        <f t="shared" si="224"/>
        <v>0</v>
      </c>
      <c r="DN98" s="54">
        <f t="shared" si="225"/>
        <v>0</v>
      </c>
      <c r="DO98" s="54">
        <f t="shared" si="226"/>
        <v>1584</v>
      </c>
      <c r="DP98" s="54">
        <f t="shared" si="227"/>
        <v>1584</v>
      </c>
      <c r="DR98" s="54">
        <f>+IF(Z98&gt;0,$K98*(1-$BE98)-SUM($DJ98:DJ98),DB98)</f>
        <v>0</v>
      </c>
      <c r="DS98" s="54">
        <f>+IF(AA98&gt;0,$K98*(1-$BE98)-SUM($DJ98:DK98),DC98)</f>
        <v>0</v>
      </c>
      <c r="DT98" s="54">
        <f>+IF(AB98&gt;0,$K98*(1-$BE98)-SUM($DJ98:DL98),DD98)</f>
        <v>0</v>
      </c>
      <c r="DU98" s="54">
        <f>+IF(AC98&gt;0,$K98*(1-$BE98)-SUM($DJ98:DM98),DE98)</f>
        <v>23787.086183310534</v>
      </c>
      <c r="DV98" s="54">
        <f>+IF(AD98&gt;0,$K98*(1-$BE98)-SUM($DJ98:DN98),DF98)</f>
        <v>39600</v>
      </c>
      <c r="DW98" s="54">
        <f>+IF(AE98&gt;0,$K98*(1-$BE98)-SUM($DJ98:DO98),DG98)</f>
        <v>38016</v>
      </c>
      <c r="DX98" s="54">
        <f>+IF(AF98&gt;0,$K98*(1-$BE98)-SUM($DJ98:DP98),DH98)</f>
        <v>36432</v>
      </c>
      <c r="DZ98" s="54">
        <f t="shared" si="228"/>
        <v>0</v>
      </c>
      <c r="EA98" s="54">
        <f t="shared" si="229"/>
        <v>0</v>
      </c>
      <c r="EB98" s="54">
        <f t="shared" si="230"/>
        <v>0</v>
      </c>
      <c r="EC98" s="54">
        <f t="shared" si="231"/>
        <v>0</v>
      </c>
      <c r="ED98" s="54">
        <f t="shared" si="232"/>
        <v>976.43835616438355</v>
      </c>
      <c r="EE98" s="54">
        <f t="shared" si="233"/>
        <v>3801.6000000000004</v>
      </c>
      <c r="EF98" s="54">
        <f t="shared" si="234"/>
        <v>0</v>
      </c>
      <c r="EH98" s="54">
        <f t="shared" si="235"/>
        <v>0</v>
      </c>
      <c r="EI98" s="54">
        <f t="shared" si="236"/>
        <v>0</v>
      </c>
      <c r="EJ98" s="54">
        <f t="shared" si="237"/>
        <v>0</v>
      </c>
      <c r="EK98" s="54">
        <f t="shared" si="238"/>
        <v>0</v>
      </c>
      <c r="EL98" s="54">
        <f t="shared" si="239"/>
        <v>0</v>
      </c>
      <c r="EM98" s="54">
        <f t="shared" si="240"/>
        <v>0</v>
      </c>
      <c r="EN98" s="54">
        <f t="shared" si="241"/>
        <v>0</v>
      </c>
      <c r="EP98" s="52">
        <f t="shared" ca="1" si="242"/>
        <v>0</v>
      </c>
      <c r="EQ98" s="52">
        <f t="shared" ca="1" si="243"/>
        <v>0</v>
      </c>
      <c r="ER98" s="52">
        <f t="shared" ca="1" si="244"/>
        <v>0</v>
      </c>
      <c r="ES98" s="52">
        <f t="shared" ca="1" si="245"/>
        <v>0</v>
      </c>
      <c r="ET98" s="52">
        <f t="shared" ca="1" si="246"/>
        <v>0</v>
      </c>
      <c r="EU98" s="52">
        <f t="shared" ca="1" si="247"/>
        <v>0</v>
      </c>
      <c r="EV98" s="52">
        <f t="shared" ca="1" si="248"/>
        <v>0</v>
      </c>
      <c r="EX98" s="52">
        <f t="shared" ca="1" si="249"/>
        <v>0</v>
      </c>
      <c r="EY98" s="52">
        <f t="shared" ca="1" si="250"/>
        <v>0</v>
      </c>
      <c r="EZ98" s="52">
        <f t="shared" ca="1" si="251"/>
        <v>0</v>
      </c>
      <c r="FA98" s="52">
        <f t="shared" ca="1" si="252"/>
        <v>0</v>
      </c>
      <c r="FB98" s="52">
        <f t="shared" ca="1" si="253"/>
        <v>1855.2328767123288</v>
      </c>
      <c r="FC98" s="52">
        <f t="shared" ca="1" si="254"/>
        <v>7365.6</v>
      </c>
      <c r="FD98" s="52">
        <f t="shared" ca="1" si="255"/>
        <v>3564</v>
      </c>
      <c r="FF98" s="82">
        <f t="shared" si="256"/>
        <v>0</v>
      </c>
      <c r="FG98" s="82">
        <f t="shared" si="257"/>
        <v>0</v>
      </c>
      <c r="FH98" s="82">
        <f t="shared" si="258"/>
        <v>0</v>
      </c>
      <c r="FI98" s="82">
        <f t="shared" si="259"/>
        <v>0</v>
      </c>
      <c r="FJ98" s="82">
        <f t="shared" si="260"/>
        <v>49500</v>
      </c>
      <c r="FK98" s="82">
        <f t="shared" si="261"/>
        <v>0</v>
      </c>
      <c r="FL98" s="82">
        <f t="shared" si="262"/>
        <v>0</v>
      </c>
      <c r="FM98" s="51">
        <v>0</v>
      </c>
      <c r="FN98" s="82">
        <v>0</v>
      </c>
      <c r="FO98" s="82">
        <f t="shared" si="159"/>
        <v>0</v>
      </c>
      <c r="FP98" s="82">
        <f t="shared" si="263"/>
        <v>0</v>
      </c>
      <c r="FQ98" s="82">
        <f t="shared" si="264"/>
        <v>29733.857729138166</v>
      </c>
      <c r="FR98" s="82">
        <f t="shared" si="265"/>
        <v>0</v>
      </c>
      <c r="FS98" s="82">
        <f t="shared" si="266"/>
        <v>0</v>
      </c>
      <c r="FT98" s="82">
        <f t="shared" si="267"/>
        <v>0</v>
      </c>
      <c r="FV98" s="82">
        <f t="shared" si="160"/>
        <v>6.74</v>
      </c>
      <c r="FW98" s="82">
        <f t="shared" si="161"/>
        <v>6.74</v>
      </c>
      <c r="FX98" s="82">
        <f t="shared" si="162"/>
        <v>6.74</v>
      </c>
      <c r="FY98" s="82">
        <f t="shared" si="163"/>
        <v>6.74</v>
      </c>
      <c r="FZ98" s="82">
        <f t="shared" si="164"/>
        <v>6.74</v>
      </c>
      <c r="GA98" s="82">
        <f t="shared" si="165"/>
        <v>6.74</v>
      </c>
      <c r="GB98" s="82">
        <f t="shared" si="166"/>
        <v>6.74</v>
      </c>
    </row>
    <row r="99" spans="2:184" x14ac:dyDescent="0.2">
      <c r="B99" s="402" t="str">
        <f>Key_New!D47</f>
        <v>–</v>
      </c>
      <c r="C99" s="394" t="str">
        <f>Key_New!B47</f>
        <v>ACME Renewtech Sixth Pvt Ltd</v>
      </c>
      <c r="D99" s="395" t="str">
        <f>Key_New!E47</f>
        <v>FDRE</v>
      </c>
      <c r="E99" s="395" t="str">
        <f>Key_New!C47</f>
        <v>Under Construction</v>
      </c>
      <c r="F99" s="397">
        <f>Key_New!F47</f>
        <v>300</v>
      </c>
      <c r="G99" s="399">
        <f t="shared" si="145"/>
        <v>46295</v>
      </c>
      <c r="H99" s="399">
        <f>Key_New!O47</f>
        <v>47026</v>
      </c>
      <c r="I99" s="369">
        <f t="shared" si="167"/>
        <v>2029</v>
      </c>
      <c r="J99" s="367">
        <v>110</v>
      </c>
      <c r="K99" s="370">
        <f t="shared" si="168"/>
        <v>33000</v>
      </c>
      <c r="L99" s="368">
        <v>0.12</v>
      </c>
      <c r="M99" s="368">
        <v>0.25</v>
      </c>
      <c r="N99" s="403">
        <f>Key_New!J47</f>
        <v>6.28</v>
      </c>
      <c r="O99" s="462">
        <f t="shared" si="147"/>
        <v>0</v>
      </c>
      <c r="P99" s="54">
        <f t="shared" si="169"/>
        <v>0</v>
      </c>
      <c r="Q99" s="54">
        <f t="shared" si="169"/>
        <v>0</v>
      </c>
      <c r="R99" s="54">
        <f t="shared" si="169"/>
        <v>0</v>
      </c>
      <c r="S99" s="54">
        <f t="shared" si="169"/>
        <v>0</v>
      </c>
      <c r="T99" s="54">
        <f t="shared" si="169"/>
        <v>0</v>
      </c>
      <c r="U99" s="54">
        <f t="shared" si="148"/>
        <v>182</v>
      </c>
      <c r="V99" s="54">
        <f t="shared" si="148"/>
        <v>365</v>
      </c>
      <c r="W99" s="54">
        <f t="shared" si="169"/>
        <v>365</v>
      </c>
      <c r="Y99" s="54">
        <f t="shared" si="170"/>
        <v>0</v>
      </c>
      <c r="Z99" s="54">
        <f t="shared" si="171"/>
        <v>0</v>
      </c>
      <c r="AA99" s="54">
        <f t="shared" si="172"/>
        <v>0</v>
      </c>
      <c r="AB99" s="54">
        <f t="shared" si="173"/>
        <v>0</v>
      </c>
      <c r="AC99" s="54">
        <f t="shared" si="174"/>
        <v>0</v>
      </c>
      <c r="AD99" s="54">
        <f t="shared" si="175"/>
        <v>1</v>
      </c>
      <c r="AE99" s="54">
        <f t="shared" si="176"/>
        <v>2</v>
      </c>
      <c r="AF99" s="54">
        <f t="shared" si="176"/>
        <v>3</v>
      </c>
      <c r="AG99" s="444"/>
      <c r="AH99" s="48">
        <f t="shared" si="177"/>
        <v>0</v>
      </c>
      <c r="AI99" s="48">
        <f t="shared" si="178"/>
        <v>0</v>
      </c>
      <c r="AJ99" s="48">
        <f t="shared" si="179"/>
        <v>0</v>
      </c>
      <c r="AK99" s="48">
        <f t="shared" si="180"/>
        <v>0</v>
      </c>
      <c r="AL99" s="48">
        <f t="shared" si="181"/>
        <v>300</v>
      </c>
      <c r="AM99" s="48">
        <f t="shared" si="182"/>
        <v>300</v>
      </c>
      <c r="AN99" s="48">
        <f t="shared" si="183"/>
        <v>300</v>
      </c>
      <c r="AP99" s="61">
        <v>0.4</v>
      </c>
      <c r="AQ99" s="61">
        <v>0.4</v>
      </c>
      <c r="AR99" s="61">
        <v>0.4</v>
      </c>
      <c r="AS99" s="61">
        <v>0.4</v>
      </c>
      <c r="AT99" s="61">
        <v>0.4</v>
      </c>
      <c r="AU99" s="61">
        <v>0.4</v>
      </c>
      <c r="AV99" s="61">
        <v>0.4</v>
      </c>
      <c r="AX99" s="52">
        <f t="shared" si="184"/>
        <v>0</v>
      </c>
      <c r="AY99" s="52">
        <f t="shared" si="185"/>
        <v>0</v>
      </c>
      <c r="AZ99" s="52">
        <f t="shared" si="186"/>
        <v>0</v>
      </c>
      <c r="BA99" s="52">
        <f t="shared" si="187"/>
        <v>0</v>
      </c>
      <c r="BB99" s="52">
        <f t="shared" si="188"/>
        <v>524.51901369863015</v>
      </c>
      <c r="BC99" s="52">
        <f t="shared" si="189"/>
        <v>1051.92</v>
      </c>
      <c r="BD99" s="52">
        <f t="shared" si="190"/>
        <v>1051.92</v>
      </c>
      <c r="BE99" s="57">
        <v>0.2</v>
      </c>
      <c r="BF99" s="52">
        <f t="shared" si="191"/>
        <v>0</v>
      </c>
      <c r="BG99" s="82">
        <f t="shared" si="192"/>
        <v>0</v>
      </c>
      <c r="BH99" s="82">
        <f t="shared" si="193"/>
        <v>0</v>
      </c>
      <c r="BI99" s="52">
        <f t="shared" si="194"/>
        <v>0</v>
      </c>
      <c r="BJ99" s="52">
        <f t="shared" si="195"/>
        <v>526.55342465753426</v>
      </c>
      <c r="BK99" s="52">
        <f t="shared" si="196"/>
        <v>1056</v>
      </c>
      <c r="BL99" s="52">
        <f t="shared" si="197"/>
        <v>1056</v>
      </c>
      <c r="BM99" s="297">
        <v>0.04</v>
      </c>
      <c r="BN99" s="69">
        <f t="shared" si="268"/>
        <v>0</v>
      </c>
      <c r="BO99" s="69">
        <f t="shared" si="269"/>
        <v>0</v>
      </c>
      <c r="BP99" s="69">
        <f t="shared" si="270"/>
        <v>0</v>
      </c>
      <c r="BQ99" s="69">
        <f t="shared" si="271"/>
        <v>0</v>
      </c>
      <c r="BR99" s="69">
        <f t="shared" si="272"/>
        <v>658.19178082191786</v>
      </c>
      <c r="BS99" s="69">
        <f t="shared" si="203"/>
        <v>1320</v>
      </c>
      <c r="BT99" s="69">
        <f t="shared" si="204"/>
        <v>1320</v>
      </c>
      <c r="BV99" s="52">
        <f t="shared" ref="BV99:CB99" si="285">IF(AND($H99&gt;BU$49,$H99&lt;=BV$49),IF($G99&gt;BU$49,$H99-$G99,$H99-BU$49),IF($H99&lt;=BU$49,0,IF(AND($G99&gt;BU$49,$G99&lt;=BV$49),BV$49-$G99,IF($G99&gt;BV$49,0,BV$49-BU$49))))</f>
        <v>0</v>
      </c>
      <c r="BW99" s="52">
        <f t="shared" si="285"/>
        <v>0</v>
      </c>
      <c r="BX99" s="52">
        <f t="shared" si="285"/>
        <v>182</v>
      </c>
      <c r="BY99" s="52">
        <f t="shared" si="285"/>
        <v>366</v>
      </c>
      <c r="BZ99" s="52">
        <f t="shared" si="285"/>
        <v>183</v>
      </c>
      <c r="CA99" s="52">
        <f t="shared" si="285"/>
        <v>0</v>
      </c>
      <c r="CB99" s="52">
        <f t="shared" si="285"/>
        <v>0</v>
      </c>
      <c r="CC99" s="107">
        <v>0</v>
      </c>
      <c r="CD99" s="61">
        <v>0</v>
      </c>
      <c r="CE99" s="61">
        <f>IF(SUM($BX99:$CB99)=0,0,BX99/SUM($BX99:$CB99)*(1-$O99))-20%</f>
        <v>4.8974008207934322E-2</v>
      </c>
      <c r="CF99" s="61">
        <f t="shared" si="283"/>
        <v>0.60068399452804377</v>
      </c>
      <c r="CG99" s="61">
        <f t="shared" si="283"/>
        <v>0.35034199726402193</v>
      </c>
      <c r="CH99" s="61">
        <f t="shared" si="149"/>
        <v>0</v>
      </c>
      <c r="CI99" s="61">
        <f t="shared" si="150"/>
        <v>0</v>
      </c>
      <c r="CJ99" s="61">
        <f t="shared" si="151"/>
        <v>1</v>
      </c>
      <c r="CK99" s="4"/>
      <c r="CL99" s="54">
        <f t="shared" si="152"/>
        <v>0</v>
      </c>
      <c r="CM99" s="54">
        <f t="shared" si="153"/>
        <v>0</v>
      </c>
      <c r="CN99" s="54">
        <f t="shared" si="154"/>
        <v>1616.1422708618327</v>
      </c>
      <c r="CO99" s="54">
        <f t="shared" si="155"/>
        <v>19822.571819425444</v>
      </c>
      <c r="CP99" s="54">
        <f t="shared" si="156"/>
        <v>11561.285909712724</v>
      </c>
      <c r="CQ99" s="54">
        <f t="shared" si="157"/>
        <v>0</v>
      </c>
      <c r="CR99" s="54">
        <f t="shared" si="158"/>
        <v>0</v>
      </c>
      <c r="CT99" s="54">
        <f t="shared" si="207"/>
        <v>0</v>
      </c>
      <c r="CU99" s="54">
        <f t="shared" si="208"/>
        <v>0</v>
      </c>
      <c r="CV99" s="54">
        <f t="shared" si="209"/>
        <v>323.22845417236658</v>
      </c>
      <c r="CW99" s="54">
        <f t="shared" si="210"/>
        <v>3964.5143638850891</v>
      </c>
      <c r="CX99" s="54">
        <f t="shared" si="211"/>
        <v>2312.2571819425448</v>
      </c>
      <c r="CY99" s="54">
        <f t="shared" si="212"/>
        <v>0</v>
      </c>
      <c r="CZ99" s="54">
        <f t="shared" si="213"/>
        <v>0</v>
      </c>
      <c r="DB99" s="54">
        <f t="shared" si="214"/>
        <v>0</v>
      </c>
      <c r="DC99" s="54">
        <f t="shared" si="215"/>
        <v>0</v>
      </c>
      <c r="DD99" s="54">
        <f t="shared" si="216"/>
        <v>1292.9138166894661</v>
      </c>
      <c r="DE99" s="54">
        <f t="shared" si="217"/>
        <v>15858.057455540355</v>
      </c>
      <c r="DF99" s="54">
        <f t="shared" si="218"/>
        <v>9249.0287277701791</v>
      </c>
      <c r="DG99" s="54">
        <f t="shared" si="219"/>
        <v>0</v>
      </c>
      <c r="DH99" s="54">
        <f t="shared" si="220"/>
        <v>0</v>
      </c>
      <c r="DJ99" s="54">
        <f t="shared" si="221"/>
        <v>0</v>
      </c>
      <c r="DK99" s="54">
        <f t="shared" si="222"/>
        <v>0</v>
      </c>
      <c r="DL99" s="54">
        <f t="shared" si="223"/>
        <v>0</v>
      </c>
      <c r="DM99" s="54">
        <f t="shared" si="224"/>
        <v>0</v>
      </c>
      <c r="DN99" s="54">
        <f t="shared" si="225"/>
        <v>0</v>
      </c>
      <c r="DO99" s="54">
        <f t="shared" si="226"/>
        <v>1056</v>
      </c>
      <c r="DP99" s="54">
        <f t="shared" si="227"/>
        <v>1056</v>
      </c>
      <c r="DR99" s="54">
        <f>+IF(Z99&gt;0,$K99*(1-$BE99)-SUM($DJ99:DJ99),DB99)</f>
        <v>0</v>
      </c>
      <c r="DS99" s="54">
        <f>+IF(AA99&gt;0,$K99*(1-$BE99)-SUM($DJ99:DK99),DC99)</f>
        <v>0</v>
      </c>
      <c r="DT99" s="54">
        <f>+IF(AB99&gt;0,$K99*(1-$BE99)-SUM($DJ99:DL99),DD99)</f>
        <v>1292.9138166894661</v>
      </c>
      <c r="DU99" s="54">
        <f>+IF(AC99&gt;0,$K99*(1-$BE99)-SUM($DJ99:DM99),DE99)</f>
        <v>15858.057455540355</v>
      </c>
      <c r="DV99" s="54">
        <f>+IF(AD99&gt;0,$K99*(1-$BE99)-SUM($DJ99:DN99),DF99)</f>
        <v>26400</v>
      </c>
      <c r="DW99" s="54">
        <f>+IF(AE99&gt;0,$K99*(1-$BE99)-SUM($DJ99:DO99),DG99)</f>
        <v>25344</v>
      </c>
      <c r="DX99" s="54">
        <f>+IF(AF99&gt;0,$K99*(1-$BE99)-SUM($DJ99:DP99),DH99)</f>
        <v>24288</v>
      </c>
      <c r="DZ99" s="54">
        <f t="shared" si="228"/>
        <v>0</v>
      </c>
      <c r="EA99" s="54">
        <f t="shared" si="229"/>
        <v>0</v>
      </c>
      <c r="EB99" s="54">
        <f t="shared" si="230"/>
        <v>0</v>
      </c>
      <c r="EC99" s="54">
        <f t="shared" si="231"/>
        <v>0</v>
      </c>
      <c r="ED99" s="54">
        <f t="shared" si="232"/>
        <v>1316.3835616438357</v>
      </c>
      <c r="EE99" s="54">
        <f t="shared" si="233"/>
        <v>2534.4</v>
      </c>
      <c r="EF99" s="54">
        <f t="shared" si="234"/>
        <v>0</v>
      </c>
      <c r="EH99" s="54">
        <f t="shared" si="235"/>
        <v>0</v>
      </c>
      <c r="EI99" s="54">
        <f t="shared" si="236"/>
        <v>0</v>
      </c>
      <c r="EJ99" s="54">
        <f t="shared" si="237"/>
        <v>0</v>
      </c>
      <c r="EK99" s="54">
        <f t="shared" si="238"/>
        <v>0</v>
      </c>
      <c r="EL99" s="54">
        <f t="shared" si="239"/>
        <v>0</v>
      </c>
      <c r="EM99" s="54">
        <f t="shared" si="240"/>
        <v>0</v>
      </c>
      <c r="EN99" s="54">
        <f t="shared" si="241"/>
        <v>0</v>
      </c>
      <c r="EP99" s="52">
        <f t="shared" ca="1" si="242"/>
        <v>0</v>
      </c>
      <c r="EQ99" s="52">
        <f t="shared" ca="1" si="243"/>
        <v>0</v>
      </c>
      <c r="ER99" s="52">
        <f t="shared" ca="1" si="244"/>
        <v>0</v>
      </c>
      <c r="ES99" s="52">
        <f t="shared" ca="1" si="245"/>
        <v>0</v>
      </c>
      <c r="ET99" s="52">
        <f t="shared" ca="1" si="246"/>
        <v>0</v>
      </c>
      <c r="EU99" s="52">
        <f t="shared" ca="1" si="247"/>
        <v>0</v>
      </c>
      <c r="EV99" s="52">
        <f t="shared" ca="1" si="248"/>
        <v>0</v>
      </c>
      <c r="EX99" s="52">
        <f t="shared" ca="1" si="249"/>
        <v>0</v>
      </c>
      <c r="EY99" s="52">
        <f t="shared" ca="1" si="250"/>
        <v>0</v>
      </c>
      <c r="EZ99" s="52">
        <f t="shared" ca="1" si="251"/>
        <v>0</v>
      </c>
      <c r="FA99" s="52">
        <f t="shared" ca="1" si="252"/>
        <v>0</v>
      </c>
      <c r="FB99" s="52">
        <f t="shared" ca="1" si="253"/>
        <v>2501.1287671232876</v>
      </c>
      <c r="FC99" s="52">
        <f t="shared" ca="1" si="254"/>
        <v>4910.3999999999996</v>
      </c>
      <c r="FD99" s="52">
        <f t="shared" ca="1" si="255"/>
        <v>2376</v>
      </c>
      <c r="FF99" s="82">
        <f t="shared" si="256"/>
        <v>0</v>
      </c>
      <c r="FG99" s="82">
        <f t="shared" si="257"/>
        <v>0</v>
      </c>
      <c r="FH99" s="82">
        <f t="shared" si="258"/>
        <v>0</v>
      </c>
      <c r="FI99" s="82">
        <f t="shared" si="259"/>
        <v>0</v>
      </c>
      <c r="FJ99" s="82">
        <f t="shared" si="260"/>
        <v>33000</v>
      </c>
      <c r="FK99" s="82">
        <f t="shared" si="261"/>
        <v>0</v>
      </c>
      <c r="FL99" s="82">
        <f t="shared" si="262"/>
        <v>0</v>
      </c>
      <c r="FM99" s="51">
        <v>0</v>
      </c>
      <c r="FN99" s="82">
        <v>0</v>
      </c>
      <c r="FO99" s="82">
        <f t="shared" si="159"/>
        <v>0</v>
      </c>
      <c r="FP99" s="82">
        <f t="shared" si="263"/>
        <v>1616.1422708618327</v>
      </c>
      <c r="FQ99" s="82">
        <f t="shared" si="264"/>
        <v>21438.714090287278</v>
      </c>
      <c r="FR99" s="82">
        <f t="shared" si="265"/>
        <v>0</v>
      </c>
      <c r="FS99" s="82">
        <f t="shared" si="266"/>
        <v>0</v>
      </c>
      <c r="FT99" s="82">
        <f t="shared" si="267"/>
        <v>0</v>
      </c>
      <c r="FV99" s="82">
        <f t="shared" si="160"/>
        <v>6.28</v>
      </c>
      <c r="FW99" s="82">
        <f t="shared" si="161"/>
        <v>6.28</v>
      </c>
      <c r="FX99" s="82">
        <f t="shared" si="162"/>
        <v>6.28</v>
      </c>
      <c r="FY99" s="82">
        <f t="shared" si="163"/>
        <v>6.28</v>
      </c>
      <c r="FZ99" s="82">
        <f t="shared" si="164"/>
        <v>6.28</v>
      </c>
      <c r="GA99" s="82">
        <f t="shared" si="165"/>
        <v>6.28</v>
      </c>
      <c r="GB99" s="82">
        <f t="shared" si="166"/>
        <v>6.28</v>
      </c>
    </row>
    <row r="100" spans="2:184" x14ac:dyDescent="0.2">
      <c r="B100" s="402" t="str">
        <f>Key_New!D48</f>
        <v>–</v>
      </c>
      <c r="C100" s="394" t="str">
        <f>Key_New!B48</f>
        <v>ACME Renewtech Fifth Pvt Ltd</v>
      </c>
      <c r="D100" s="395" t="str">
        <f>Key_New!E48</f>
        <v>Hybrid</v>
      </c>
      <c r="E100" s="395" t="str">
        <f>Key_New!C48</f>
        <v>Under Construction</v>
      </c>
      <c r="F100" s="397">
        <f>Key_New!F48</f>
        <v>300</v>
      </c>
      <c r="G100" s="399">
        <f t="shared" si="145"/>
        <v>46295</v>
      </c>
      <c r="H100" s="399">
        <f>Key_New!O48</f>
        <v>47026</v>
      </c>
      <c r="I100" s="369">
        <f t="shared" si="167"/>
        <v>2029</v>
      </c>
      <c r="J100" s="367">
        <v>80</v>
      </c>
      <c r="K100" s="370">
        <f t="shared" si="168"/>
        <v>24000</v>
      </c>
      <c r="L100" s="368">
        <v>0.12</v>
      </c>
      <c r="M100" s="368">
        <v>0.25</v>
      </c>
      <c r="N100" s="403">
        <f>Key_New!J48</f>
        <v>3.25</v>
      </c>
      <c r="O100" s="462">
        <f t="shared" si="147"/>
        <v>0</v>
      </c>
      <c r="P100" s="54">
        <f t="shared" si="169"/>
        <v>0</v>
      </c>
      <c r="Q100" s="54">
        <f t="shared" si="169"/>
        <v>0</v>
      </c>
      <c r="R100" s="54">
        <f t="shared" si="169"/>
        <v>0</v>
      </c>
      <c r="S100" s="54">
        <f t="shared" si="169"/>
        <v>0</v>
      </c>
      <c r="T100" s="54">
        <f t="shared" si="169"/>
        <v>0</v>
      </c>
      <c r="U100" s="54">
        <f t="shared" si="148"/>
        <v>182</v>
      </c>
      <c r="V100" s="54">
        <f t="shared" si="148"/>
        <v>365</v>
      </c>
      <c r="W100" s="54">
        <f t="shared" si="169"/>
        <v>365</v>
      </c>
      <c r="Y100" s="54">
        <f t="shared" si="170"/>
        <v>0</v>
      </c>
      <c r="Z100" s="54">
        <f t="shared" si="171"/>
        <v>0</v>
      </c>
      <c r="AA100" s="54">
        <f t="shared" si="172"/>
        <v>0</v>
      </c>
      <c r="AB100" s="54">
        <f t="shared" si="173"/>
        <v>0</v>
      </c>
      <c r="AC100" s="54">
        <f t="shared" si="174"/>
        <v>0</v>
      </c>
      <c r="AD100" s="54">
        <f t="shared" si="175"/>
        <v>1</v>
      </c>
      <c r="AE100" s="54">
        <f t="shared" si="176"/>
        <v>2</v>
      </c>
      <c r="AF100" s="54">
        <f t="shared" si="176"/>
        <v>3</v>
      </c>
      <c r="AG100" s="444"/>
      <c r="AH100" s="48">
        <f t="shared" si="177"/>
        <v>0</v>
      </c>
      <c r="AI100" s="48">
        <f t="shared" si="178"/>
        <v>0</v>
      </c>
      <c r="AJ100" s="48">
        <f t="shared" si="179"/>
        <v>0</v>
      </c>
      <c r="AK100" s="48">
        <f t="shared" si="180"/>
        <v>0</v>
      </c>
      <c r="AL100" s="48">
        <f t="shared" si="181"/>
        <v>300</v>
      </c>
      <c r="AM100" s="48">
        <f t="shared" si="182"/>
        <v>300</v>
      </c>
      <c r="AN100" s="48">
        <f t="shared" si="183"/>
        <v>300</v>
      </c>
      <c r="AP100" s="61">
        <v>0.3</v>
      </c>
      <c r="AQ100" s="61">
        <v>0.3</v>
      </c>
      <c r="AR100" s="61">
        <v>0.3</v>
      </c>
      <c r="AS100" s="61">
        <v>0.3</v>
      </c>
      <c r="AT100" s="61">
        <v>0.3</v>
      </c>
      <c r="AU100" s="61">
        <v>0.3</v>
      </c>
      <c r="AV100" s="61">
        <v>0.3</v>
      </c>
      <c r="AX100" s="52">
        <f t="shared" si="184"/>
        <v>0</v>
      </c>
      <c r="AY100" s="52">
        <f t="shared" si="185"/>
        <v>0</v>
      </c>
      <c r="AZ100" s="52">
        <f t="shared" si="186"/>
        <v>0</v>
      </c>
      <c r="BA100" s="52">
        <f t="shared" si="187"/>
        <v>0</v>
      </c>
      <c r="BB100" s="52">
        <f t="shared" si="188"/>
        <v>393.38926027397264</v>
      </c>
      <c r="BC100" s="52">
        <f t="shared" si="189"/>
        <v>788.94</v>
      </c>
      <c r="BD100" s="52">
        <f t="shared" si="190"/>
        <v>788.94</v>
      </c>
      <c r="BE100" s="57">
        <v>0.2</v>
      </c>
      <c r="BF100" s="52">
        <f t="shared" si="191"/>
        <v>0</v>
      </c>
      <c r="BG100" s="82">
        <f t="shared" si="192"/>
        <v>0</v>
      </c>
      <c r="BH100" s="82">
        <f t="shared" si="193"/>
        <v>0</v>
      </c>
      <c r="BI100" s="52">
        <f t="shared" si="194"/>
        <v>0</v>
      </c>
      <c r="BJ100" s="52">
        <f t="shared" si="195"/>
        <v>382.94794520547947</v>
      </c>
      <c r="BK100" s="52">
        <f t="shared" si="196"/>
        <v>768</v>
      </c>
      <c r="BL100" s="52">
        <f t="shared" si="197"/>
        <v>768</v>
      </c>
      <c r="BM100" s="297">
        <v>0.04</v>
      </c>
      <c r="BN100" s="69">
        <f t="shared" si="268"/>
        <v>0</v>
      </c>
      <c r="BO100" s="69">
        <f t="shared" si="269"/>
        <v>0</v>
      </c>
      <c r="BP100" s="69">
        <f t="shared" si="270"/>
        <v>0</v>
      </c>
      <c r="BQ100" s="69">
        <f t="shared" si="271"/>
        <v>0</v>
      </c>
      <c r="BR100" s="69">
        <f t="shared" si="272"/>
        <v>478.6849315068493</v>
      </c>
      <c r="BS100" s="69">
        <f t="shared" si="203"/>
        <v>960</v>
      </c>
      <c r="BT100" s="69">
        <f t="shared" si="204"/>
        <v>960</v>
      </c>
      <c r="BV100" s="52">
        <f t="shared" ref="BV100:CB100" si="286">IF(AND($H100&gt;BU$49,$H100&lt;=BV$49),IF($G100&gt;BU$49,$H100-$G100,$H100-BU$49),IF($H100&lt;=BU$49,0,IF(AND($G100&gt;BU$49,$G100&lt;=BV$49),BV$49-$G100,IF($G100&gt;BV$49,0,BV$49-BU$49))))</f>
        <v>0</v>
      </c>
      <c r="BW100" s="52">
        <f t="shared" si="286"/>
        <v>0</v>
      </c>
      <c r="BX100" s="52">
        <f t="shared" si="286"/>
        <v>182</v>
      </c>
      <c r="BY100" s="52">
        <f t="shared" si="286"/>
        <v>366</v>
      </c>
      <c r="BZ100" s="52">
        <f t="shared" si="286"/>
        <v>183</v>
      </c>
      <c r="CA100" s="52">
        <f t="shared" si="286"/>
        <v>0</v>
      </c>
      <c r="CB100" s="52">
        <f t="shared" si="286"/>
        <v>0</v>
      </c>
      <c r="CC100" s="107">
        <v>0</v>
      </c>
      <c r="CD100" s="61">
        <v>0</v>
      </c>
      <c r="CE100" s="61">
        <f>IF(SUM($BX100:$CB100)=0,0,BX100/SUM($BX100:$CB100)*(1-$O100))-20%</f>
        <v>4.8974008207934322E-2</v>
      </c>
      <c r="CF100" s="61">
        <f t="shared" si="283"/>
        <v>0.60068399452804377</v>
      </c>
      <c r="CG100" s="61">
        <f t="shared" si="283"/>
        <v>0.35034199726402193</v>
      </c>
      <c r="CH100" s="61">
        <f t="shared" si="149"/>
        <v>0</v>
      </c>
      <c r="CI100" s="61">
        <f t="shared" si="150"/>
        <v>0</v>
      </c>
      <c r="CJ100" s="61">
        <f t="shared" si="151"/>
        <v>1</v>
      </c>
      <c r="CK100" s="4"/>
      <c r="CL100" s="54">
        <f t="shared" si="152"/>
        <v>0</v>
      </c>
      <c r="CM100" s="54">
        <f t="shared" si="153"/>
        <v>0</v>
      </c>
      <c r="CN100" s="54">
        <f t="shared" si="154"/>
        <v>1175.3761969904238</v>
      </c>
      <c r="CO100" s="54">
        <f t="shared" si="155"/>
        <v>14416.41586867305</v>
      </c>
      <c r="CP100" s="54">
        <f t="shared" si="156"/>
        <v>8408.2079343365258</v>
      </c>
      <c r="CQ100" s="54">
        <f t="shared" si="157"/>
        <v>0</v>
      </c>
      <c r="CR100" s="54">
        <f t="shared" si="158"/>
        <v>0</v>
      </c>
      <c r="CT100" s="54">
        <f t="shared" si="207"/>
        <v>0</v>
      </c>
      <c r="CU100" s="54">
        <f t="shared" si="208"/>
        <v>0</v>
      </c>
      <c r="CV100" s="54">
        <f t="shared" si="209"/>
        <v>235.07523939808476</v>
      </c>
      <c r="CW100" s="54">
        <f t="shared" si="210"/>
        <v>2883.28317373461</v>
      </c>
      <c r="CX100" s="54">
        <f t="shared" si="211"/>
        <v>1681.6415868673053</v>
      </c>
      <c r="CY100" s="54">
        <f t="shared" si="212"/>
        <v>0</v>
      </c>
      <c r="CZ100" s="54">
        <f t="shared" si="213"/>
        <v>0</v>
      </c>
      <c r="DB100" s="54">
        <f t="shared" si="214"/>
        <v>0</v>
      </c>
      <c r="DC100" s="54">
        <f t="shared" si="215"/>
        <v>0</v>
      </c>
      <c r="DD100" s="54">
        <f t="shared" si="216"/>
        <v>940.30095759233905</v>
      </c>
      <c r="DE100" s="54">
        <f t="shared" si="217"/>
        <v>11533.13269493844</v>
      </c>
      <c r="DF100" s="54">
        <f t="shared" si="218"/>
        <v>6726.566347469221</v>
      </c>
      <c r="DG100" s="54">
        <f t="shared" si="219"/>
        <v>0</v>
      </c>
      <c r="DH100" s="54">
        <f t="shared" si="220"/>
        <v>0</v>
      </c>
      <c r="DJ100" s="54">
        <f t="shared" si="221"/>
        <v>0</v>
      </c>
      <c r="DK100" s="54">
        <f t="shared" si="222"/>
        <v>0</v>
      </c>
      <c r="DL100" s="54">
        <f t="shared" si="223"/>
        <v>0</v>
      </c>
      <c r="DM100" s="54">
        <f t="shared" si="224"/>
        <v>0</v>
      </c>
      <c r="DN100" s="54">
        <f t="shared" si="225"/>
        <v>0</v>
      </c>
      <c r="DO100" s="54">
        <f t="shared" si="226"/>
        <v>768</v>
      </c>
      <c r="DP100" s="54">
        <f t="shared" si="227"/>
        <v>768</v>
      </c>
      <c r="DR100" s="54">
        <f>+IF(Z100&gt;0,$K100*(1-$BE100)-SUM($DJ100:DJ100),DB100)</f>
        <v>0</v>
      </c>
      <c r="DS100" s="54">
        <f>+IF(AA100&gt;0,$K100*(1-$BE100)-SUM($DJ100:DK100),DC100)</f>
        <v>0</v>
      </c>
      <c r="DT100" s="54">
        <f>+IF(AB100&gt;0,$K100*(1-$BE100)-SUM($DJ100:DL100),DD100)</f>
        <v>940.30095759233905</v>
      </c>
      <c r="DU100" s="54">
        <f>+IF(AC100&gt;0,$K100*(1-$BE100)-SUM($DJ100:DM100),DE100)</f>
        <v>11533.13269493844</v>
      </c>
      <c r="DV100" s="54">
        <f>+IF(AD100&gt;0,$K100*(1-$BE100)-SUM($DJ100:DN100),DF100)</f>
        <v>19200</v>
      </c>
      <c r="DW100" s="54">
        <f>+IF(AE100&gt;0,$K100*(1-$BE100)-SUM($DJ100:DO100),DG100)</f>
        <v>18432</v>
      </c>
      <c r="DX100" s="54">
        <f>+IF(AF100&gt;0,$K100*(1-$BE100)-SUM($DJ100:DP100),DH100)</f>
        <v>17664</v>
      </c>
      <c r="DZ100" s="54">
        <f t="shared" si="228"/>
        <v>0</v>
      </c>
      <c r="EA100" s="54">
        <f t="shared" si="229"/>
        <v>0</v>
      </c>
      <c r="EB100" s="54">
        <f t="shared" si="230"/>
        <v>0</v>
      </c>
      <c r="EC100" s="54">
        <f t="shared" si="231"/>
        <v>0</v>
      </c>
      <c r="ED100" s="54">
        <f t="shared" si="232"/>
        <v>957.36986301369859</v>
      </c>
      <c r="EE100" s="54">
        <f t="shared" si="233"/>
        <v>1843.2</v>
      </c>
      <c r="EF100" s="54">
        <f t="shared" si="234"/>
        <v>0</v>
      </c>
      <c r="EH100" s="54">
        <f t="shared" si="235"/>
        <v>0</v>
      </c>
      <c r="EI100" s="54">
        <f t="shared" si="236"/>
        <v>0</v>
      </c>
      <c r="EJ100" s="54">
        <f t="shared" si="237"/>
        <v>0</v>
      </c>
      <c r="EK100" s="54">
        <f t="shared" si="238"/>
        <v>0</v>
      </c>
      <c r="EL100" s="54">
        <f t="shared" si="239"/>
        <v>0</v>
      </c>
      <c r="EM100" s="54">
        <f t="shared" si="240"/>
        <v>0</v>
      </c>
      <c r="EN100" s="54">
        <f t="shared" si="241"/>
        <v>0</v>
      </c>
      <c r="EP100" s="52">
        <f t="shared" ca="1" si="242"/>
        <v>0</v>
      </c>
      <c r="EQ100" s="52">
        <f t="shared" ca="1" si="243"/>
        <v>0</v>
      </c>
      <c r="ER100" s="52">
        <f t="shared" ca="1" si="244"/>
        <v>0</v>
      </c>
      <c r="ES100" s="52">
        <f t="shared" ca="1" si="245"/>
        <v>0</v>
      </c>
      <c r="ET100" s="52">
        <f t="shared" ca="1" si="246"/>
        <v>0</v>
      </c>
      <c r="EU100" s="52">
        <f t="shared" ca="1" si="247"/>
        <v>0</v>
      </c>
      <c r="EV100" s="52">
        <f t="shared" ca="1" si="248"/>
        <v>0</v>
      </c>
      <c r="EX100" s="52">
        <f t="shared" ca="1" si="249"/>
        <v>0</v>
      </c>
      <c r="EY100" s="52">
        <f t="shared" ca="1" si="250"/>
        <v>0</v>
      </c>
      <c r="EZ100" s="52">
        <f t="shared" ca="1" si="251"/>
        <v>0</v>
      </c>
      <c r="FA100" s="52">
        <f t="shared" ca="1" si="252"/>
        <v>0</v>
      </c>
      <c r="FB100" s="52">
        <f t="shared" ca="1" si="253"/>
        <v>1819.0027397260274</v>
      </c>
      <c r="FC100" s="52">
        <f t="shared" ca="1" si="254"/>
        <v>3571.2</v>
      </c>
      <c r="FD100" s="52">
        <f t="shared" ca="1" si="255"/>
        <v>1728</v>
      </c>
      <c r="FF100" s="82">
        <f t="shared" si="256"/>
        <v>0</v>
      </c>
      <c r="FG100" s="82">
        <f t="shared" si="257"/>
        <v>0</v>
      </c>
      <c r="FH100" s="82">
        <f t="shared" si="258"/>
        <v>0</v>
      </c>
      <c r="FI100" s="82">
        <f t="shared" si="259"/>
        <v>0</v>
      </c>
      <c r="FJ100" s="82">
        <f t="shared" si="260"/>
        <v>24000</v>
      </c>
      <c r="FK100" s="82">
        <f t="shared" si="261"/>
        <v>0</v>
      </c>
      <c r="FL100" s="82">
        <f t="shared" si="262"/>
        <v>0</v>
      </c>
      <c r="FM100" s="51">
        <v>0</v>
      </c>
      <c r="FN100" s="82">
        <v>0</v>
      </c>
      <c r="FO100" s="82">
        <f t="shared" si="159"/>
        <v>0</v>
      </c>
      <c r="FP100" s="82">
        <f t="shared" si="263"/>
        <v>1175.3761969904238</v>
      </c>
      <c r="FQ100" s="82">
        <f t="shared" si="264"/>
        <v>15591.792065663474</v>
      </c>
      <c r="FR100" s="82">
        <f t="shared" si="265"/>
        <v>0</v>
      </c>
      <c r="FS100" s="82">
        <f t="shared" si="266"/>
        <v>0</v>
      </c>
      <c r="FT100" s="82">
        <f t="shared" si="267"/>
        <v>0</v>
      </c>
      <c r="FV100" s="82">
        <f t="shared" si="160"/>
        <v>3.25</v>
      </c>
      <c r="FW100" s="82">
        <f t="shared" si="161"/>
        <v>3.25</v>
      </c>
      <c r="FX100" s="82">
        <f t="shared" si="162"/>
        <v>3.25</v>
      </c>
      <c r="FY100" s="82">
        <f t="shared" si="163"/>
        <v>3.25</v>
      </c>
      <c r="FZ100" s="82">
        <f t="shared" si="164"/>
        <v>3.25</v>
      </c>
      <c r="GA100" s="82">
        <f t="shared" si="165"/>
        <v>3.25</v>
      </c>
      <c r="GB100" s="82">
        <f t="shared" si="166"/>
        <v>3.25</v>
      </c>
    </row>
    <row r="101" spans="2:184" x14ac:dyDescent="0.2">
      <c r="B101" s="402" t="str">
        <f>Key_New!D49</f>
        <v>–</v>
      </c>
      <c r="C101" s="394" t="str">
        <f>Key_New!B49</f>
        <v>ACME Greentech Nineth Pvt Ltd</v>
      </c>
      <c r="D101" s="395" t="str">
        <f>Key_New!E49</f>
        <v>BESS</v>
      </c>
      <c r="E101" s="395" t="str">
        <f>Key_New!C49</f>
        <v>Under Construction</v>
      </c>
      <c r="F101" s="397">
        <f>Key_New!G49</f>
        <v>450</v>
      </c>
      <c r="G101" s="399">
        <f t="shared" si="145"/>
        <v>46157</v>
      </c>
      <c r="H101" s="399">
        <f>Key_New!O49</f>
        <v>46433</v>
      </c>
      <c r="I101" s="369">
        <f t="shared" si="167"/>
        <v>2027</v>
      </c>
      <c r="J101" s="367">
        <v>9.3000000000000007</v>
      </c>
      <c r="K101" s="370">
        <f t="shared" si="168"/>
        <v>4185</v>
      </c>
      <c r="L101" s="368">
        <v>0.12</v>
      </c>
      <c r="M101" s="368">
        <v>0.25</v>
      </c>
      <c r="N101" s="403">
        <v>2.2200000000000002</v>
      </c>
      <c r="O101" s="462">
        <f t="shared" si="147"/>
        <v>0</v>
      </c>
      <c r="P101" s="54">
        <f t="shared" si="169"/>
        <v>0</v>
      </c>
      <c r="Q101" s="54">
        <f t="shared" si="169"/>
        <v>0</v>
      </c>
      <c r="R101" s="54">
        <f t="shared" si="169"/>
        <v>0</v>
      </c>
      <c r="S101" s="54">
        <f t="shared" si="169"/>
        <v>44</v>
      </c>
      <c r="T101" s="54">
        <f t="shared" si="169"/>
        <v>365</v>
      </c>
      <c r="U101" s="54">
        <f t="shared" si="148"/>
        <v>365</v>
      </c>
      <c r="V101" s="54">
        <f t="shared" si="148"/>
        <v>365</v>
      </c>
      <c r="W101" s="54">
        <f t="shared" si="169"/>
        <v>365</v>
      </c>
      <c r="Y101" s="54">
        <f t="shared" si="170"/>
        <v>0</v>
      </c>
      <c r="Z101" s="54">
        <f t="shared" si="171"/>
        <v>0</v>
      </c>
      <c r="AA101" s="54">
        <f t="shared" si="172"/>
        <v>0</v>
      </c>
      <c r="AB101" s="54">
        <f t="shared" si="173"/>
        <v>1</v>
      </c>
      <c r="AC101" s="54">
        <f t="shared" si="174"/>
        <v>2</v>
      </c>
      <c r="AD101" s="54">
        <f t="shared" si="175"/>
        <v>3</v>
      </c>
      <c r="AE101" s="54">
        <f t="shared" si="176"/>
        <v>4</v>
      </c>
      <c r="AF101" s="54">
        <f t="shared" si="176"/>
        <v>5</v>
      </c>
      <c r="AG101" s="444"/>
      <c r="AH101" s="48">
        <f t="shared" si="177"/>
        <v>0</v>
      </c>
      <c r="AI101" s="48">
        <f t="shared" si="178"/>
        <v>0</v>
      </c>
      <c r="AJ101" s="48">
        <f t="shared" si="179"/>
        <v>450</v>
      </c>
      <c r="AK101" s="48">
        <f t="shared" si="180"/>
        <v>450</v>
      </c>
      <c r="AL101" s="48">
        <f t="shared" si="181"/>
        <v>450</v>
      </c>
      <c r="AM101" s="48">
        <f t="shared" si="182"/>
        <v>450</v>
      </c>
      <c r="AN101" s="48">
        <f t="shared" si="183"/>
        <v>450</v>
      </c>
      <c r="AP101" s="61">
        <v>3.8362500000000008E-2</v>
      </c>
      <c r="AQ101" s="61">
        <v>3.8362500000000008E-2</v>
      </c>
      <c r="AR101" s="61">
        <v>3.8362500000000008E-2</v>
      </c>
      <c r="AS101" s="61">
        <v>3.8362500000000008E-2</v>
      </c>
      <c r="AT101" s="61">
        <v>3.8362500000000008E-2</v>
      </c>
      <c r="AU101" s="61">
        <v>3.8362500000000008E-2</v>
      </c>
      <c r="AV101" s="61">
        <v>3.8362500000000008E-2</v>
      </c>
      <c r="AX101" s="52">
        <f t="shared" si="184"/>
        <v>0</v>
      </c>
      <c r="AY101" s="52">
        <f t="shared" si="185"/>
        <v>0</v>
      </c>
      <c r="AZ101" s="52">
        <f t="shared" si="186"/>
        <v>18.242346205479457</v>
      </c>
      <c r="BA101" s="52">
        <f t="shared" si="187"/>
        <v>151.32855375000003</v>
      </c>
      <c r="BB101" s="52">
        <f t="shared" si="188"/>
        <v>151.32855375000003</v>
      </c>
      <c r="BC101" s="52">
        <f t="shared" si="189"/>
        <v>151.32855375000003</v>
      </c>
      <c r="BD101" s="52">
        <f t="shared" si="190"/>
        <v>151.32855375000003</v>
      </c>
      <c r="BE101" s="57">
        <v>0.2</v>
      </c>
      <c r="BF101" s="52">
        <f t="shared" si="191"/>
        <v>0</v>
      </c>
      <c r="BG101" s="82">
        <f t="shared" si="192"/>
        <v>0</v>
      </c>
      <c r="BH101" s="82">
        <f t="shared" si="193"/>
        <v>16.143780821917808</v>
      </c>
      <c r="BI101" s="52">
        <f t="shared" si="194"/>
        <v>133.92000000000002</v>
      </c>
      <c r="BJ101" s="52">
        <f t="shared" si="195"/>
        <v>133.92000000000002</v>
      </c>
      <c r="BK101" s="52">
        <f t="shared" si="196"/>
        <v>133.92000000000002</v>
      </c>
      <c r="BL101" s="52">
        <f t="shared" si="197"/>
        <v>133.92000000000002</v>
      </c>
      <c r="BM101" s="297">
        <v>0.04</v>
      </c>
      <c r="BN101" s="69">
        <f t="shared" si="268"/>
        <v>0</v>
      </c>
      <c r="BO101" s="69">
        <f t="shared" si="269"/>
        <v>0</v>
      </c>
      <c r="BP101" s="69">
        <f t="shared" si="270"/>
        <v>20.179726027397262</v>
      </c>
      <c r="BQ101" s="69">
        <f t="shared" si="271"/>
        <v>167.4</v>
      </c>
      <c r="BR101" s="69">
        <f t="shared" si="272"/>
        <v>167.4</v>
      </c>
      <c r="BS101" s="69">
        <f t="shared" si="203"/>
        <v>167.4</v>
      </c>
      <c r="BT101" s="69">
        <f t="shared" si="204"/>
        <v>167.4</v>
      </c>
      <c r="BV101" s="52">
        <f t="shared" ref="BV101:CB101" si="287">IF(AND($H101&gt;BU$49,$H101&lt;=BV$49),IF($G101&gt;BU$49,$H101-$G101,$H101-BU$49),IF($H101&lt;=BU$49,0,IF(AND($G101&gt;BU$49,$G101&lt;=BV$49),BV$49-$G101,IF($G101&gt;BV$49,0,BV$49-BU$49))))</f>
        <v>0</v>
      </c>
      <c r="BW101" s="52">
        <f t="shared" si="287"/>
        <v>0</v>
      </c>
      <c r="BX101" s="52">
        <f t="shared" si="287"/>
        <v>276</v>
      </c>
      <c r="BY101" s="52">
        <f t="shared" si="287"/>
        <v>0</v>
      </c>
      <c r="BZ101" s="52">
        <f t="shared" si="287"/>
        <v>0</v>
      </c>
      <c r="CA101" s="52">
        <f t="shared" si="287"/>
        <v>0</v>
      </c>
      <c r="CB101" s="52">
        <f t="shared" si="287"/>
        <v>0</v>
      </c>
      <c r="CC101" s="107">
        <v>0</v>
      </c>
      <c r="CD101" s="61">
        <v>0</v>
      </c>
      <c r="CE101" s="61">
        <f t="shared" ref="CE101:CG102" si="288">IF(SUM($BX101:$CB101)=0,0,BX101/SUM($BX101:$CB101)*(1-$O101))</f>
        <v>1</v>
      </c>
      <c r="CF101" s="61">
        <f t="shared" si="288"/>
        <v>0</v>
      </c>
      <c r="CG101" s="61">
        <f t="shared" si="288"/>
        <v>0</v>
      </c>
      <c r="CH101" s="61">
        <f t="shared" si="149"/>
        <v>0</v>
      </c>
      <c r="CI101" s="61">
        <f t="shared" si="150"/>
        <v>0</v>
      </c>
      <c r="CJ101" s="61">
        <f t="shared" si="151"/>
        <v>1</v>
      </c>
      <c r="CK101" s="4"/>
      <c r="CL101" s="54">
        <f t="shared" si="152"/>
        <v>0</v>
      </c>
      <c r="CM101" s="54">
        <f t="shared" si="153"/>
        <v>0</v>
      </c>
      <c r="CN101" s="54">
        <f t="shared" si="154"/>
        <v>4185</v>
      </c>
      <c r="CO101" s="54">
        <f t="shared" si="155"/>
        <v>0</v>
      </c>
      <c r="CP101" s="54">
        <f t="shared" si="156"/>
        <v>0</v>
      </c>
      <c r="CQ101" s="54">
        <f t="shared" si="157"/>
        <v>0</v>
      </c>
      <c r="CR101" s="54">
        <f t="shared" si="158"/>
        <v>0</v>
      </c>
      <c r="CT101" s="54">
        <f t="shared" si="207"/>
        <v>0</v>
      </c>
      <c r="CU101" s="54">
        <f t="shared" si="208"/>
        <v>0</v>
      </c>
      <c r="CV101" s="54">
        <f t="shared" si="209"/>
        <v>837</v>
      </c>
      <c r="CW101" s="54">
        <f t="shared" si="210"/>
        <v>0</v>
      </c>
      <c r="CX101" s="54">
        <f t="shared" si="211"/>
        <v>0</v>
      </c>
      <c r="CY101" s="54">
        <f t="shared" si="212"/>
        <v>0</v>
      </c>
      <c r="CZ101" s="54">
        <f t="shared" si="213"/>
        <v>0</v>
      </c>
      <c r="DB101" s="54">
        <f t="shared" si="214"/>
        <v>0</v>
      </c>
      <c r="DC101" s="54">
        <f t="shared" si="215"/>
        <v>0</v>
      </c>
      <c r="DD101" s="54">
        <f t="shared" si="216"/>
        <v>3348</v>
      </c>
      <c r="DE101" s="54">
        <f t="shared" si="217"/>
        <v>0</v>
      </c>
      <c r="DF101" s="54">
        <f t="shared" si="218"/>
        <v>0</v>
      </c>
      <c r="DG101" s="54">
        <f t="shared" si="219"/>
        <v>0</v>
      </c>
      <c r="DH101" s="54">
        <f t="shared" si="220"/>
        <v>0</v>
      </c>
      <c r="DJ101" s="54">
        <f t="shared" si="221"/>
        <v>0</v>
      </c>
      <c r="DK101" s="54">
        <f t="shared" si="222"/>
        <v>0</v>
      </c>
      <c r="DL101" s="54">
        <f t="shared" si="223"/>
        <v>0</v>
      </c>
      <c r="DM101" s="54">
        <f t="shared" si="224"/>
        <v>133.91999999999999</v>
      </c>
      <c r="DN101" s="54">
        <f t="shared" si="225"/>
        <v>133.91999999999999</v>
      </c>
      <c r="DO101" s="54">
        <f t="shared" si="226"/>
        <v>133.91999999999999</v>
      </c>
      <c r="DP101" s="54">
        <f t="shared" si="227"/>
        <v>133.91999999999999</v>
      </c>
      <c r="DR101" s="54">
        <f>+IF(Z101&gt;0,$K101*(1-$BE101)-SUM($DJ101:DJ101),DB101)</f>
        <v>0</v>
      </c>
      <c r="DS101" s="54">
        <f>+IF(AA101&gt;0,$K101*(1-$BE101)-SUM($DJ101:DK101),DC101)</f>
        <v>0</v>
      </c>
      <c r="DT101" s="54">
        <f>+IF(AB101&gt;0,$K101*(1-$BE101)-SUM($DJ101:DL101),DD101)</f>
        <v>3348</v>
      </c>
      <c r="DU101" s="54">
        <f>+IF(AC101&gt;0,$K101*(1-$BE101)-SUM($DJ101:DM101),DE101)</f>
        <v>3214.08</v>
      </c>
      <c r="DV101" s="54">
        <f>+IF(AD101&gt;0,$K101*(1-$BE101)-SUM($DJ101:DN101),DF101)</f>
        <v>3080.16</v>
      </c>
      <c r="DW101" s="54">
        <f>+IF(AE101&gt;0,$K101*(1-$BE101)-SUM($DJ101:DO101),DG101)</f>
        <v>2946.24</v>
      </c>
      <c r="DX101" s="54">
        <f>+IF(AF101&gt;0,$K101*(1-$BE101)-SUM($DJ101:DP101),DH101)</f>
        <v>2812.32</v>
      </c>
      <c r="DZ101" s="54">
        <f t="shared" si="228"/>
        <v>0</v>
      </c>
      <c r="EA101" s="54">
        <f t="shared" si="229"/>
        <v>0</v>
      </c>
      <c r="EB101" s="54">
        <f t="shared" si="230"/>
        <v>40.359452054794524</v>
      </c>
      <c r="EC101" s="54">
        <f t="shared" si="231"/>
        <v>321.40800000000002</v>
      </c>
      <c r="ED101" s="54">
        <f t="shared" si="232"/>
        <v>308.01600000000002</v>
      </c>
      <c r="EE101" s="54">
        <f t="shared" si="233"/>
        <v>294.62399999999997</v>
      </c>
      <c r="EF101" s="54">
        <f t="shared" si="234"/>
        <v>0</v>
      </c>
      <c r="EH101" s="54">
        <f t="shared" si="235"/>
        <v>0</v>
      </c>
      <c r="EI101" s="54">
        <f t="shared" si="236"/>
        <v>0</v>
      </c>
      <c r="EJ101" s="54">
        <f t="shared" si="237"/>
        <v>0</v>
      </c>
      <c r="EK101" s="54">
        <f t="shared" si="238"/>
        <v>0</v>
      </c>
      <c r="EL101" s="54">
        <f t="shared" si="239"/>
        <v>0</v>
      </c>
      <c r="EM101" s="54">
        <f t="shared" si="240"/>
        <v>0</v>
      </c>
      <c r="EN101" s="54">
        <f t="shared" si="241"/>
        <v>0</v>
      </c>
      <c r="EP101" s="52">
        <f t="shared" ca="1" si="242"/>
        <v>0</v>
      </c>
      <c r="EQ101" s="52">
        <f t="shared" ca="1" si="243"/>
        <v>0</v>
      </c>
      <c r="ER101" s="52">
        <f t="shared" ca="1" si="244"/>
        <v>0</v>
      </c>
      <c r="ES101" s="52">
        <f t="shared" ca="1" si="245"/>
        <v>0</v>
      </c>
      <c r="ET101" s="52">
        <f t="shared" ca="1" si="246"/>
        <v>0</v>
      </c>
      <c r="EU101" s="52">
        <f t="shared" ca="1" si="247"/>
        <v>0</v>
      </c>
      <c r="EV101" s="52">
        <f t="shared" ca="1" si="248"/>
        <v>0</v>
      </c>
      <c r="EX101" s="52">
        <f t="shared" ca="1" si="249"/>
        <v>0</v>
      </c>
      <c r="EY101" s="52">
        <f t="shared" ca="1" si="250"/>
        <v>0</v>
      </c>
      <c r="EZ101" s="52">
        <f t="shared" ca="1" si="251"/>
        <v>76.682958904109597</v>
      </c>
      <c r="FA101" s="52">
        <f t="shared" ca="1" si="252"/>
        <v>622.72800000000007</v>
      </c>
      <c r="FB101" s="52">
        <f t="shared" ca="1" si="253"/>
        <v>609.33600000000001</v>
      </c>
      <c r="FC101" s="52">
        <f t="shared" ca="1" si="254"/>
        <v>595.94399999999996</v>
      </c>
      <c r="FD101" s="52">
        <f t="shared" ca="1" si="255"/>
        <v>301.32000000000005</v>
      </c>
      <c r="FF101" s="82">
        <f t="shared" si="256"/>
        <v>0</v>
      </c>
      <c r="FG101" s="82">
        <f t="shared" si="257"/>
        <v>0</v>
      </c>
      <c r="FH101" s="82">
        <f t="shared" si="258"/>
        <v>4185</v>
      </c>
      <c r="FI101" s="82">
        <f t="shared" si="259"/>
        <v>0</v>
      </c>
      <c r="FJ101" s="82">
        <f t="shared" si="260"/>
        <v>0</v>
      </c>
      <c r="FK101" s="82">
        <f t="shared" si="261"/>
        <v>0</v>
      </c>
      <c r="FL101" s="82">
        <f t="shared" si="262"/>
        <v>0</v>
      </c>
      <c r="FM101" s="51">
        <v>0</v>
      </c>
      <c r="FN101" s="82">
        <v>0</v>
      </c>
      <c r="FO101" s="82">
        <f t="shared" si="159"/>
        <v>0</v>
      </c>
      <c r="FP101" s="82">
        <f t="shared" si="263"/>
        <v>0</v>
      </c>
      <c r="FQ101" s="82">
        <f t="shared" si="264"/>
        <v>0</v>
      </c>
      <c r="FR101" s="82">
        <f t="shared" si="265"/>
        <v>0</v>
      </c>
      <c r="FS101" s="82">
        <f t="shared" si="266"/>
        <v>0</v>
      </c>
      <c r="FT101" s="82">
        <f t="shared" si="267"/>
        <v>0</v>
      </c>
      <c r="FV101" s="82">
        <f t="shared" si="160"/>
        <v>9</v>
      </c>
      <c r="FW101" s="82">
        <f t="shared" si="161"/>
        <v>9</v>
      </c>
      <c r="FX101" s="82">
        <f t="shared" si="162"/>
        <v>9</v>
      </c>
      <c r="FY101" s="82">
        <f t="shared" si="163"/>
        <v>1.9804590249049414</v>
      </c>
      <c r="FZ101" s="82">
        <f t="shared" si="164"/>
        <v>1.9804590249049414</v>
      </c>
      <c r="GA101" s="82">
        <f t="shared" si="165"/>
        <v>1.9804590249049414</v>
      </c>
      <c r="GB101" s="82">
        <f t="shared" si="166"/>
        <v>1.9804590249049414</v>
      </c>
    </row>
    <row r="102" spans="2:184" x14ac:dyDescent="0.2">
      <c r="B102" s="402" t="str">
        <f>Key_New!D50</f>
        <v>–</v>
      </c>
      <c r="C102" s="394" t="str">
        <f>Key_New!B50</f>
        <v>ACME Greentech Tenth Pvt Ltd</v>
      </c>
      <c r="D102" s="395" t="str">
        <f>Key_New!E50</f>
        <v>BESS</v>
      </c>
      <c r="E102" s="395" t="str">
        <f>Key_New!C50</f>
        <v>Under Construction</v>
      </c>
      <c r="F102" s="397">
        <f>Key_New!G50</f>
        <v>100</v>
      </c>
      <c r="G102" s="399">
        <f t="shared" si="145"/>
        <v>46157</v>
      </c>
      <c r="H102" s="399">
        <f>Key_New!O50</f>
        <v>46433</v>
      </c>
      <c r="I102" s="369">
        <f t="shared" si="167"/>
        <v>2027</v>
      </c>
      <c r="J102" s="367">
        <v>9.3000000000000007</v>
      </c>
      <c r="K102" s="370">
        <f t="shared" si="168"/>
        <v>930.00000000000011</v>
      </c>
      <c r="L102" s="368">
        <v>0.12</v>
      </c>
      <c r="M102" s="368">
        <v>0.25</v>
      </c>
      <c r="N102" s="403">
        <v>2.1</v>
      </c>
      <c r="O102" s="462">
        <f t="shared" si="147"/>
        <v>0</v>
      </c>
      <c r="P102" s="54">
        <f t="shared" si="169"/>
        <v>0</v>
      </c>
      <c r="Q102" s="54">
        <f t="shared" si="169"/>
        <v>0</v>
      </c>
      <c r="R102" s="54">
        <f t="shared" si="169"/>
        <v>0</v>
      </c>
      <c r="S102" s="54">
        <f t="shared" si="169"/>
        <v>44</v>
      </c>
      <c r="T102" s="54">
        <f t="shared" si="169"/>
        <v>365</v>
      </c>
      <c r="U102" s="54">
        <f t="shared" si="148"/>
        <v>365</v>
      </c>
      <c r="V102" s="54">
        <f t="shared" si="148"/>
        <v>365</v>
      </c>
      <c r="W102" s="54">
        <f t="shared" si="169"/>
        <v>365</v>
      </c>
      <c r="Y102" s="54">
        <f t="shared" si="170"/>
        <v>0</v>
      </c>
      <c r="Z102" s="54">
        <f t="shared" si="171"/>
        <v>0</v>
      </c>
      <c r="AA102" s="54">
        <f t="shared" si="172"/>
        <v>0</v>
      </c>
      <c r="AB102" s="54">
        <f t="shared" si="173"/>
        <v>1</v>
      </c>
      <c r="AC102" s="54">
        <f t="shared" si="174"/>
        <v>2</v>
      </c>
      <c r="AD102" s="54">
        <f t="shared" si="175"/>
        <v>3</v>
      </c>
      <c r="AE102" s="54">
        <f t="shared" si="176"/>
        <v>4</v>
      </c>
      <c r="AF102" s="54">
        <f t="shared" si="176"/>
        <v>5</v>
      </c>
      <c r="AG102" s="444"/>
      <c r="AH102" s="48">
        <f t="shared" si="177"/>
        <v>0</v>
      </c>
      <c r="AI102" s="48">
        <f t="shared" si="178"/>
        <v>0</v>
      </c>
      <c r="AJ102" s="48">
        <f t="shared" si="179"/>
        <v>100</v>
      </c>
      <c r="AK102" s="48">
        <f t="shared" si="180"/>
        <v>100</v>
      </c>
      <c r="AL102" s="48">
        <f t="shared" si="181"/>
        <v>100</v>
      </c>
      <c r="AM102" s="48">
        <f t="shared" si="182"/>
        <v>100</v>
      </c>
      <c r="AN102" s="48">
        <f t="shared" si="183"/>
        <v>100</v>
      </c>
      <c r="AP102" s="61">
        <v>3.8362500000000008E-2</v>
      </c>
      <c r="AQ102" s="61">
        <v>3.8362500000000008E-2</v>
      </c>
      <c r="AR102" s="61">
        <v>3.8362500000000008E-2</v>
      </c>
      <c r="AS102" s="61">
        <v>3.8362500000000008E-2</v>
      </c>
      <c r="AT102" s="61">
        <v>3.8362500000000008E-2</v>
      </c>
      <c r="AU102" s="61">
        <v>3.8362500000000008E-2</v>
      </c>
      <c r="AV102" s="61">
        <v>3.8362500000000008E-2</v>
      </c>
      <c r="AX102" s="52">
        <f t="shared" si="184"/>
        <v>0</v>
      </c>
      <c r="AY102" s="52">
        <f t="shared" si="185"/>
        <v>0</v>
      </c>
      <c r="AZ102" s="52">
        <f t="shared" si="186"/>
        <v>4.0538547123287687</v>
      </c>
      <c r="BA102" s="52">
        <f t="shared" si="187"/>
        <v>33.62856750000001</v>
      </c>
      <c r="BB102" s="52">
        <f t="shared" si="188"/>
        <v>33.62856750000001</v>
      </c>
      <c r="BC102" s="52">
        <f t="shared" si="189"/>
        <v>33.62856750000001</v>
      </c>
      <c r="BD102" s="52">
        <f t="shared" si="190"/>
        <v>33.62856750000001</v>
      </c>
      <c r="BE102" s="57">
        <v>0.2</v>
      </c>
      <c r="BF102" s="52">
        <f t="shared" si="191"/>
        <v>0</v>
      </c>
      <c r="BG102" s="82">
        <f t="shared" si="192"/>
        <v>0</v>
      </c>
      <c r="BH102" s="82">
        <f t="shared" si="193"/>
        <v>3.5875068493150692</v>
      </c>
      <c r="BI102" s="52">
        <f t="shared" si="194"/>
        <v>29.760000000000005</v>
      </c>
      <c r="BJ102" s="52">
        <f t="shared" si="195"/>
        <v>29.760000000000005</v>
      </c>
      <c r="BK102" s="52">
        <f t="shared" si="196"/>
        <v>29.760000000000005</v>
      </c>
      <c r="BL102" s="52">
        <f t="shared" si="197"/>
        <v>29.760000000000005</v>
      </c>
      <c r="BM102" s="297">
        <v>0.04</v>
      </c>
      <c r="BN102" s="69">
        <f t="shared" si="268"/>
        <v>0</v>
      </c>
      <c r="BO102" s="69">
        <f t="shared" si="269"/>
        <v>0</v>
      </c>
      <c r="BP102" s="69">
        <f t="shared" si="270"/>
        <v>4.4843835616438366</v>
      </c>
      <c r="BQ102" s="69">
        <f t="shared" si="271"/>
        <v>37.200000000000003</v>
      </c>
      <c r="BR102" s="69">
        <f t="shared" si="272"/>
        <v>37.200000000000003</v>
      </c>
      <c r="BS102" s="69">
        <f t="shared" si="203"/>
        <v>37.200000000000003</v>
      </c>
      <c r="BT102" s="69">
        <f t="shared" si="204"/>
        <v>37.200000000000003</v>
      </c>
      <c r="BV102" s="52">
        <f t="shared" ref="BV102:CB102" si="289">IF(AND($H102&gt;BU$49,$H102&lt;=BV$49),IF($G102&gt;BU$49,$H102-$G102,$H102-BU$49),IF($H102&lt;=BU$49,0,IF(AND($G102&gt;BU$49,$G102&lt;=BV$49),BV$49-$G102,IF($G102&gt;BV$49,0,BV$49-BU$49))))</f>
        <v>0</v>
      </c>
      <c r="BW102" s="52">
        <f t="shared" si="289"/>
        <v>0</v>
      </c>
      <c r="BX102" s="52">
        <f t="shared" si="289"/>
        <v>276</v>
      </c>
      <c r="BY102" s="52">
        <f t="shared" si="289"/>
        <v>0</v>
      </c>
      <c r="BZ102" s="52">
        <f t="shared" si="289"/>
        <v>0</v>
      </c>
      <c r="CA102" s="52">
        <f t="shared" si="289"/>
        <v>0</v>
      </c>
      <c r="CB102" s="52">
        <f t="shared" si="289"/>
        <v>0</v>
      </c>
      <c r="CC102" s="107">
        <v>0</v>
      </c>
      <c r="CD102" s="61">
        <v>0</v>
      </c>
      <c r="CE102" s="61">
        <f t="shared" si="288"/>
        <v>1</v>
      </c>
      <c r="CF102" s="61">
        <f t="shared" si="288"/>
        <v>0</v>
      </c>
      <c r="CG102" s="61">
        <f t="shared" si="288"/>
        <v>0</v>
      </c>
      <c r="CH102" s="61">
        <f t="shared" si="149"/>
        <v>0</v>
      </c>
      <c r="CI102" s="61">
        <f t="shared" si="150"/>
        <v>0</v>
      </c>
      <c r="CJ102" s="61">
        <f t="shared" si="151"/>
        <v>1</v>
      </c>
      <c r="CK102" s="4"/>
      <c r="CL102" s="54">
        <f t="shared" si="152"/>
        <v>0</v>
      </c>
      <c r="CM102" s="54">
        <f t="shared" si="153"/>
        <v>0</v>
      </c>
      <c r="CN102" s="54">
        <f t="shared" si="154"/>
        <v>930.00000000000011</v>
      </c>
      <c r="CO102" s="54">
        <f t="shared" si="155"/>
        <v>0</v>
      </c>
      <c r="CP102" s="54">
        <f t="shared" si="156"/>
        <v>0</v>
      </c>
      <c r="CQ102" s="54">
        <f t="shared" si="157"/>
        <v>0</v>
      </c>
      <c r="CR102" s="54">
        <f t="shared" si="158"/>
        <v>0</v>
      </c>
      <c r="CT102" s="54">
        <f t="shared" si="207"/>
        <v>0</v>
      </c>
      <c r="CU102" s="54">
        <f t="shared" si="208"/>
        <v>0</v>
      </c>
      <c r="CV102" s="54">
        <f t="shared" si="209"/>
        <v>186.00000000000003</v>
      </c>
      <c r="CW102" s="54">
        <f t="shared" si="210"/>
        <v>0</v>
      </c>
      <c r="CX102" s="54">
        <f t="shared" si="211"/>
        <v>0</v>
      </c>
      <c r="CY102" s="54">
        <f t="shared" si="212"/>
        <v>0</v>
      </c>
      <c r="CZ102" s="54">
        <f t="shared" si="213"/>
        <v>0</v>
      </c>
      <c r="DB102" s="54">
        <f t="shared" si="214"/>
        <v>0</v>
      </c>
      <c r="DC102" s="54">
        <f t="shared" si="215"/>
        <v>0</v>
      </c>
      <c r="DD102" s="54">
        <f t="shared" si="216"/>
        <v>744.00000000000011</v>
      </c>
      <c r="DE102" s="54">
        <f t="shared" si="217"/>
        <v>0</v>
      </c>
      <c r="DF102" s="54">
        <f t="shared" si="218"/>
        <v>0</v>
      </c>
      <c r="DG102" s="54">
        <f t="shared" si="219"/>
        <v>0</v>
      </c>
      <c r="DH102" s="54">
        <f t="shared" si="220"/>
        <v>0</v>
      </c>
      <c r="DJ102" s="54">
        <f t="shared" si="221"/>
        <v>0</v>
      </c>
      <c r="DK102" s="54">
        <f t="shared" si="222"/>
        <v>0</v>
      </c>
      <c r="DL102" s="54">
        <f t="shared" si="223"/>
        <v>0</v>
      </c>
      <c r="DM102" s="54">
        <f t="shared" si="224"/>
        <v>29.760000000000005</v>
      </c>
      <c r="DN102" s="54">
        <f t="shared" si="225"/>
        <v>29.760000000000005</v>
      </c>
      <c r="DO102" s="54">
        <f t="shared" si="226"/>
        <v>29.760000000000005</v>
      </c>
      <c r="DP102" s="54">
        <f t="shared" si="227"/>
        <v>29.760000000000005</v>
      </c>
      <c r="DR102" s="54">
        <f>+IF(Z102&gt;0,$K102*(1-$BE102)-SUM($DJ102:DJ102),DB102)</f>
        <v>0</v>
      </c>
      <c r="DS102" s="54">
        <f>+IF(AA102&gt;0,$K102*(1-$BE102)-SUM($DJ102:DK102),DC102)</f>
        <v>0</v>
      </c>
      <c r="DT102" s="54">
        <f>+IF(AB102&gt;0,$K102*(1-$BE102)-SUM($DJ102:DL102),DD102)</f>
        <v>744.00000000000011</v>
      </c>
      <c r="DU102" s="54">
        <f>+IF(AC102&gt;0,$K102*(1-$BE102)-SUM($DJ102:DM102),DE102)</f>
        <v>714.24000000000012</v>
      </c>
      <c r="DV102" s="54">
        <f>+IF(AD102&gt;0,$K102*(1-$BE102)-SUM($DJ102:DN102),DF102)</f>
        <v>684.48000000000013</v>
      </c>
      <c r="DW102" s="54">
        <f>+IF(AE102&gt;0,$K102*(1-$BE102)-SUM($DJ102:DO102),DG102)</f>
        <v>654.72000000000014</v>
      </c>
      <c r="DX102" s="54">
        <f>+IF(AF102&gt;0,$K102*(1-$BE102)-SUM($DJ102:DP102),DH102)</f>
        <v>624.96</v>
      </c>
      <c r="DZ102" s="54">
        <f t="shared" si="228"/>
        <v>0</v>
      </c>
      <c r="EA102" s="54">
        <f t="shared" si="229"/>
        <v>0</v>
      </c>
      <c r="EB102" s="54">
        <f t="shared" si="230"/>
        <v>8.9687671232876731</v>
      </c>
      <c r="EC102" s="54">
        <f t="shared" si="231"/>
        <v>71.424000000000021</v>
      </c>
      <c r="ED102" s="54">
        <f t="shared" si="232"/>
        <v>68.448000000000022</v>
      </c>
      <c r="EE102" s="54">
        <f t="shared" si="233"/>
        <v>65.472000000000023</v>
      </c>
      <c r="EF102" s="54">
        <f t="shared" si="234"/>
        <v>0</v>
      </c>
      <c r="EH102" s="54">
        <f t="shared" si="235"/>
        <v>0</v>
      </c>
      <c r="EI102" s="54">
        <f t="shared" si="236"/>
        <v>0</v>
      </c>
      <c r="EJ102" s="54">
        <f t="shared" si="237"/>
        <v>0</v>
      </c>
      <c r="EK102" s="54">
        <f t="shared" si="238"/>
        <v>0</v>
      </c>
      <c r="EL102" s="54">
        <f t="shared" si="239"/>
        <v>0</v>
      </c>
      <c r="EM102" s="54">
        <f t="shared" si="240"/>
        <v>0</v>
      </c>
      <c r="EN102" s="54">
        <f t="shared" si="241"/>
        <v>0</v>
      </c>
      <c r="EP102" s="52">
        <f t="shared" ca="1" si="242"/>
        <v>0</v>
      </c>
      <c r="EQ102" s="52">
        <f t="shared" ca="1" si="243"/>
        <v>0</v>
      </c>
      <c r="ER102" s="52">
        <f t="shared" ca="1" si="244"/>
        <v>0</v>
      </c>
      <c r="ES102" s="52">
        <f t="shared" ca="1" si="245"/>
        <v>0</v>
      </c>
      <c r="ET102" s="52">
        <f t="shared" ca="1" si="246"/>
        <v>0</v>
      </c>
      <c r="EU102" s="52">
        <f t="shared" ca="1" si="247"/>
        <v>0</v>
      </c>
      <c r="EV102" s="52">
        <f t="shared" ca="1" si="248"/>
        <v>0</v>
      </c>
      <c r="EX102" s="52">
        <f t="shared" ca="1" si="249"/>
        <v>0</v>
      </c>
      <c r="EY102" s="52">
        <f t="shared" ca="1" si="250"/>
        <v>0</v>
      </c>
      <c r="EZ102" s="52">
        <f t="shared" ca="1" si="251"/>
        <v>17.040657534246577</v>
      </c>
      <c r="FA102" s="52">
        <f t="shared" ca="1" si="252"/>
        <v>138.38400000000001</v>
      </c>
      <c r="FB102" s="52">
        <f t="shared" ca="1" si="253"/>
        <v>135.40800000000002</v>
      </c>
      <c r="FC102" s="52">
        <f t="shared" ca="1" si="254"/>
        <v>132.43200000000002</v>
      </c>
      <c r="FD102" s="52">
        <f t="shared" ca="1" si="255"/>
        <v>66.960000000000008</v>
      </c>
      <c r="FF102" s="82">
        <f t="shared" si="256"/>
        <v>0</v>
      </c>
      <c r="FG102" s="82">
        <f t="shared" si="257"/>
        <v>0</v>
      </c>
      <c r="FH102" s="82">
        <f t="shared" si="258"/>
        <v>930.00000000000011</v>
      </c>
      <c r="FI102" s="82">
        <f t="shared" si="259"/>
        <v>0</v>
      </c>
      <c r="FJ102" s="82">
        <f t="shared" si="260"/>
        <v>0</v>
      </c>
      <c r="FK102" s="82">
        <f t="shared" si="261"/>
        <v>0</v>
      </c>
      <c r="FL102" s="82">
        <f t="shared" si="262"/>
        <v>0</v>
      </c>
      <c r="FM102" s="51">
        <v>0</v>
      </c>
      <c r="FN102" s="82">
        <v>0</v>
      </c>
      <c r="FO102" s="82">
        <f t="shared" si="159"/>
        <v>0</v>
      </c>
      <c r="FP102" s="82">
        <f t="shared" si="263"/>
        <v>0</v>
      </c>
      <c r="FQ102" s="82">
        <f t="shared" si="264"/>
        <v>0</v>
      </c>
      <c r="FR102" s="82">
        <f t="shared" si="265"/>
        <v>0</v>
      </c>
      <c r="FS102" s="82">
        <f t="shared" si="266"/>
        <v>0</v>
      </c>
      <c r="FT102" s="82">
        <f t="shared" si="267"/>
        <v>0</v>
      </c>
      <c r="FV102" s="82">
        <f t="shared" si="160"/>
        <v>9</v>
      </c>
      <c r="FW102" s="82">
        <f t="shared" si="161"/>
        <v>9</v>
      </c>
      <c r="FX102" s="82">
        <f t="shared" si="162"/>
        <v>9</v>
      </c>
      <c r="FY102" s="82">
        <f t="shared" si="163"/>
        <v>1.9804590249049414</v>
      </c>
      <c r="FZ102" s="82">
        <f t="shared" si="164"/>
        <v>1.9804590249049414</v>
      </c>
      <c r="GA102" s="82">
        <f t="shared" si="165"/>
        <v>1.9804590249049414</v>
      </c>
      <c r="GB102" s="82">
        <f t="shared" si="166"/>
        <v>1.9804590249049414</v>
      </c>
    </row>
    <row r="103" spans="2:184" x14ac:dyDescent="0.2">
      <c r="B103" s="402" t="str">
        <f>Key_New!D51</f>
        <v>–</v>
      </c>
      <c r="C103" s="394" t="str">
        <f>Key_New!B51</f>
        <v>ACME Alpha Renewables Pvt Ltd</v>
      </c>
      <c r="D103" s="395" t="str">
        <f>Key_New!E51</f>
        <v>Hybrid</v>
      </c>
      <c r="E103" s="395" t="str">
        <f>Key_New!C51</f>
        <v>LoA Awarded</v>
      </c>
      <c r="F103" s="397">
        <f>Key_New!F51</f>
        <v>150</v>
      </c>
      <c r="G103" s="399">
        <f t="shared" si="145"/>
        <v>46295</v>
      </c>
      <c r="H103" s="399">
        <f>Key_New!O51</f>
        <v>47026</v>
      </c>
      <c r="I103" s="369">
        <f t="shared" si="167"/>
        <v>2029</v>
      </c>
      <c r="J103" s="367">
        <v>80</v>
      </c>
      <c r="K103" s="370">
        <f t="shared" si="168"/>
        <v>12000</v>
      </c>
      <c r="L103" s="368">
        <v>0.12</v>
      </c>
      <c r="M103" s="368">
        <v>0.25</v>
      </c>
      <c r="N103" s="403">
        <f>Key_New!J51</f>
        <v>3.32</v>
      </c>
      <c r="O103" s="462">
        <f t="shared" si="147"/>
        <v>0</v>
      </c>
      <c r="P103" s="54">
        <f t="shared" si="169"/>
        <v>0</v>
      </c>
      <c r="Q103" s="54">
        <f t="shared" si="169"/>
        <v>0</v>
      </c>
      <c r="R103" s="54">
        <f t="shared" si="169"/>
        <v>0</v>
      </c>
      <c r="S103" s="54">
        <f t="shared" si="169"/>
        <v>0</v>
      </c>
      <c r="T103" s="54">
        <f t="shared" si="169"/>
        <v>0</v>
      </c>
      <c r="U103" s="54">
        <f t="shared" si="148"/>
        <v>182</v>
      </c>
      <c r="V103" s="54">
        <f t="shared" si="148"/>
        <v>365</v>
      </c>
      <c r="W103" s="54">
        <f t="shared" si="169"/>
        <v>365</v>
      </c>
      <c r="Y103" s="54">
        <f t="shared" si="170"/>
        <v>0</v>
      </c>
      <c r="Z103" s="54">
        <f t="shared" si="171"/>
        <v>0</v>
      </c>
      <c r="AA103" s="54">
        <f t="shared" si="172"/>
        <v>0</v>
      </c>
      <c r="AB103" s="54">
        <f t="shared" si="173"/>
        <v>0</v>
      </c>
      <c r="AC103" s="54">
        <f t="shared" si="174"/>
        <v>0</v>
      </c>
      <c r="AD103" s="54">
        <f t="shared" si="175"/>
        <v>1</v>
      </c>
      <c r="AE103" s="54">
        <f t="shared" si="176"/>
        <v>2</v>
      </c>
      <c r="AF103" s="54">
        <f t="shared" si="176"/>
        <v>3</v>
      </c>
      <c r="AG103" s="444"/>
      <c r="AH103" s="48">
        <f t="shared" si="177"/>
        <v>0</v>
      </c>
      <c r="AI103" s="48">
        <f t="shared" si="178"/>
        <v>0</v>
      </c>
      <c r="AJ103" s="48">
        <f t="shared" si="179"/>
        <v>0</v>
      </c>
      <c r="AK103" s="48">
        <f t="shared" si="180"/>
        <v>0</v>
      </c>
      <c r="AL103" s="48">
        <f t="shared" si="181"/>
        <v>150</v>
      </c>
      <c r="AM103" s="48">
        <f t="shared" si="182"/>
        <v>150</v>
      </c>
      <c r="AN103" s="48">
        <f t="shared" si="183"/>
        <v>150</v>
      </c>
      <c r="AP103" s="61">
        <v>0.3</v>
      </c>
      <c r="AQ103" s="61">
        <v>0.3</v>
      </c>
      <c r="AR103" s="61">
        <v>0.3</v>
      </c>
      <c r="AS103" s="61">
        <v>0.3</v>
      </c>
      <c r="AT103" s="61">
        <v>0.3</v>
      </c>
      <c r="AU103" s="61">
        <v>0.3</v>
      </c>
      <c r="AV103" s="61">
        <v>0.3</v>
      </c>
      <c r="AX103" s="52">
        <f t="shared" si="184"/>
        <v>0</v>
      </c>
      <c r="AY103" s="52">
        <f t="shared" si="185"/>
        <v>0</v>
      </c>
      <c r="AZ103" s="52">
        <f t="shared" si="186"/>
        <v>0</v>
      </c>
      <c r="BA103" s="52">
        <f t="shared" si="187"/>
        <v>0</v>
      </c>
      <c r="BB103" s="52">
        <f t="shared" si="188"/>
        <v>196.69463013698632</v>
      </c>
      <c r="BC103" s="52">
        <f t="shared" si="189"/>
        <v>394.47</v>
      </c>
      <c r="BD103" s="52">
        <f t="shared" si="190"/>
        <v>394.47</v>
      </c>
      <c r="BE103" s="57">
        <v>0.2</v>
      </c>
      <c r="BF103" s="52">
        <f t="shared" si="191"/>
        <v>0</v>
      </c>
      <c r="BG103" s="82">
        <f t="shared" si="192"/>
        <v>0</v>
      </c>
      <c r="BH103" s="82">
        <f t="shared" si="193"/>
        <v>0</v>
      </c>
      <c r="BI103" s="52">
        <f t="shared" si="194"/>
        <v>0</v>
      </c>
      <c r="BJ103" s="52">
        <f t="shared" si="195"/>
        <v>191.47397260273974</v>
      </c>
      <c r="BK103" s="52">
        <f t="shared" si="196"/>
        <v>384</v>
      </c>
      <c r="BL103" s="52">
        <f t="shared" si="197"/>
        <v>384</v>
      </c>
      <c r="BM103" s="297">
        <v>0.04</v>
      </c>
      <c r="BN103" s="69">
        <f t="shared" si="268"/>
        <v>0</v>
      </c>
      <c r="BO103" s="69">
        <f t="shared" si="269"/>
        <v>0</v>
      </c>
      <c r="BP103" s="69">
        <f t="shared" si="270"/>
        <v>0</v>
      </c>
      <c r="BQ103" s="69">
        <f t="shared" si="271"/>
        <v>0</v>
      </c>
      <c r="BR103" s="69">
        <f t="shared" si="272"/>
        <v>239.34246575342465</v>
      </c>
      <c r="BS103" s="69">
        <f t="shared" si="203"/>
        <v>480</v>
      </c>
      <c r="BT103" s="69">
        <f t="shared" si="204"/>
        <v>480</v>
      </c>
      <c r="BV103" s="52">
        <f t="shared" ref="BV103:CB103" si="290">IF(AND($H103&gt;BU$49,$H103&lt;=BV$49),IF($G103&gt;BU$49,$H103-$G103,$H103-BU$49),IF($H103&lt;=BU$49,0,IF(AND($G103&gt;BU$49,$G103&lt;=BV$49),BV$49-$G103,IF($G103&gt;BV$49,0,BV$49-BU$49))))</f>
        <v>0</v>
      </c>
      <c r="BW103" s="52">
        <f t="shared" si="290"/>
        <v>0</v>
      </c>
      <c r="BX103" s="52">
        <f t="shared" si="290"/>
        <v>182</v>
      </c>
      <c r="BY103" s="52">
        <f t="shared" si="290"/>
        <v>366</v>
      </c>
      <c r="BZ103" s="52">
        <f t="shared" si="290"/>
        <v>183</v>
      </c>
      <c r="CA103" s="52">
        <f t="shared" si="290"/>
        <v>0</v>
      </c>
      <c r="CB103" s="52">
        <f t="shared" si="290"/>
        <v>0</v>
      </c>
      <c r="CC103" s="107">
        <v>0</v>
      </c>
      <c r="CD103" s="61">
        <v>0</v>
      </c>
      <c r="CE103" s="61">
        <f>IF(SUM($BX103:$CB103)=0,0,BX103/SUM($BX103:$CB103)*(1-$O103))-20%</f>
        <v>4.8974008207934322E-2</v>
      </c>
      <c r="CF103" s="61">
        <f>IF(SUM($BX103:$CB103)=0,0,BY103/SUM($BX103:$CB103)*(1-$O103))+10%</f>
        <v>0.60068399452804377</v>
      </c>
      <c r="CG103" s="61">
        <f>IF(SUM($BX103:$CB103)=0,0,BZ103/SUM($BX103:$CB103)*(1-$O103))+10%</f>
        <v>0.35034199726402193</v>
      </c>
      <c r="CH103" s="61">
        <f t="shared" si="149"/>
        <v>0</v>
      </c>
      <c r="CI103" s="61">
        <f t="shared" si="150"/>
        <v>0</v>
      </c>
      <c r="CJ103" s="61">
        <f t="shared" si="151"/>
        <v>1</v>
      </c>
      <c r="CK103" s="4"/>
      <c r="CL103" s="54">
        <f t="shared" si="152"/>
        <v>0</v>
      </c>
      <c r="CM103" s="54">
        <f t="shared" si="153"/>
        <v>0</v>
      </c>
      <c r="CN103" s="54">
        <f t="shared" si="154"/>
        <v>587.68809849521188</v>
      </c>
      <c r="CO103" s="54">
        <f t="shared" si="155"/>
        <v>7208.2079343365249</v>
      </c>
      <c r="CP103" s="54">
        <f t="shared" si="156"/>
        <v>4204.1039671682629</v>
      </c>
      <c r="CQ103" s="54">
        <f t="shared" si="157"/>
        <v>0</v>
      </c>
      <c r="CR103" s="54">
        <f t="shared" si="158"/>
        <v>0</v>
      </c>
      <c r="CT103" s="54">
        <f t="shared" si="207"/>
        <v>0</v>
      </c>
      <c r="CU103" s="54">
        <f t="shared" si="208"/>
        <v>0</v>
      </c>
      <c r="CV103" s="54">
        <f t="shared" si="209"/>
        <v>117.53761969904238</v>
      </c>
      <c r="CW103" s="54">
        <f t="shared" si="210"/>
        <v>1441.641586867305</v>
      </c>
      <c r="CX103" s="54">
        <f t="shared" si="211"/>
        <v>840.82079343365263</v>
      </c>
      <c r="CY103" s="54">
        <f t="shared" si="212"/>
        <v>0</v>
      </c>
      <c r="CZ103" s="54">
        <f t="shared" si="213"/>
        <v>0</v>
      </c>
      <c r="DB103" s="54">
        <f t="shared" si="214"/>
        <v>0</v>
      </c>
      <c r="DC103" s="54">
        <f t="shared" si="215"/>
        <v>0</v>
      </c>
      <c r="DD103" s="54">
        <f t="shared" si="216"/>
        <v>470.15047879616952</v>
      </c>
      <c r="DE103" s="54">
        <f t="shared" si="217"/>
        <v>5766.5663474692201</v>
      </c>
      <c r="DF103" s="54">
        <f t="shared" si="218"/>
        <v>3363.2831737346105</v>
      </c>
      <c r="DG103" s="54">
        <f t="shared" si="219"/>
        <v>0</v>
      </c>
      <c r="DH103" s="54">
        <f t="shared" si="220"/>
        <v>0</v>
      </c>
      <c r="DJ103" s="54">
        <f t="shared" si="221"/>
        <v>0</v>
      </c>
      <c r="DK103" s="54">
        <f t="shared" si="222"/>
        <v>0</v>
      </c>
      <c r="DL103" s="54">
        <f t="shared" si="223"/>
        <v>0</v>
      </c>
      <c r="DM103" s="54">
        <f t="shared" si="224"/>
        <v>0</v>
      </c>
      <c r="DN103" s="54">
        <f t="shared" si="225"/>
        <v>0</v>
      </c>
      <c r="DO103" s="54">
        <f t="shared" si="226"/>
        <v>384</v>
      </c>
      <c r="DP103" s="54">
        <f t="shared" si="227"/>
        <v>384</v>
      </c>
      <c r="DR103" s="54">
        <f>+IF(Z103&gt;0,$K103*(1-$BE103)-SUM($DJ103:DJ103),DB103)</f>
        <v>0</v>
      </c>
      <c r="DS103" s="54">
        <f>+IF(AA103&gt;0,$K103*(1-$BE103)-SUM($DJ103:DK103),DC103)</f>
        <v>0</v>
      </c>
      <c r="DT103" s="54">
        <f>+IF(AB103&gt;0,$K103*(1-$BE103)-SUM($DJ103:DL103),DD103)</f>
        <v>470.15047879616952</v>
      </c>
      <c r="DU103" s="54">
        <f>+IF(AC103&gt;0,$K103*(1-$BE103)-SUM($DJ103:DM103),DE103)</f>
        <v>5766.5663474692201</v>
      </c>
      <c r="DV103" s="54">
        <f>+IF(AD103&gt;0,$K103*(1-$BE103)-SUM($DJ103:DN103),DF103)</f>
        <v>9600</v>
      </c>
      <c r="DW103" s="54">
        <f>+IF(AE103&gt;0,$K103*(1-$BE103)-SUM($DJ103:DO103),DG103)</f>
        <v>9216</v>
      </c>
      <c r="DX103" s="54">
        <f>+IF(AF103&gt;0,$K103*(1-$BE103)-SUM($DJ103:DP103),DH103)</f>
        <v>8832</v>
      </c>
      <c r="DZ103" s="54">
        <f t="shared" si="228"/>
        <v>0</v>
      </c>
      <c r="EA103" s="54">
        <f t="shared" si="229"/>
        <v>0</v>
      </c>
      <c r="EB103" s="54">
        <f t="shared" si="230"/>
        <v>0</v>
      </c>
      <c r="EC103" s="54">
        <f t="shared" si="231"/>
        <v>0</v>
      </c>
      <c r="ED103" s="54">
        <f t="shared" si="232"/>
        <v>478.6849315068493</v>
      </c>
      <c r="EE103" s="54">
        <f t="shared" si="233"/>
        <v>921.6</v>
      </c>
      <c r="EF103" s="54">
        <f t="shared" si="234"/>
        <v>0</v>
      </c>
      <c r="EH103" s="54">
        <f t="shared" si="235"/>
        <v>0</v>
      </c>
      <c r="EI103" s="54">
        <f t="shared" si="236"/>
        <v>0</v>
      </c>
      <c r="EJ103" s="54">
        <f t="shared" si="237"/>
        <v>0</v>
      </c>
      <c r="EK103" s="54">
        <f t="shared" si="238"/>
        <v>0</v>
      </c>
      <c r="EL103" s="54">
        <f t="shared" si="239"/>
        <v>0</v>
      </c>
      <c r="EM103" s="54">
        <f t="shared" si="240"/>
        <v>0</v>
      </c>
      <c r="EN103" s="54">
        <f t="shared" si="241"/>
        <v>0</v>
      </c>
      <c r="EP103" s="52">
        <f t="shared" ca="1" si="242"/>
        <v>0</v>
      </c>
      <c r="EQ103" s="52">
        <f t="shared" ca="1" si="243"/>
        <v>0</v>
      </c>
      <c r="ER103" s="52">
        <f t="shared" ca="1" si="244"/>
        <v>0</v>
      </c>
      <c r="ES103" s="52">
        <f t="shared" ca="1" si="245"/>
        <v>0</v>
      </c>
      <c r="ET103" s="52">
        <f t="shared" ca="1" si="246"/>
        <v>0</v>
      </c>
      <c r="EU103" s="52">
        <f t="shared" ca="1" si="247"/>
        <v>0</v>
      </c>
      <c r="EV103" s="52">
        <f t="shared" ca="1" si="248"/>
        <v>0</v>
      </c>
      <c r="EX103" s="52">
        <f t="shared" ca="1" si="249"/>
        <v>0</v>
      </c>
      <c r="EY103" s="52">
        <f t="shared" ca="1" si="250"/>
        <v>0</v>
      </c>
      <c r="EZ103" s="52">
        <f t="shared" ca="1" si="251"/>
        <v>0</v>
      </c>
      <c r="FA103" s="52">
        <f t="shared" ca="1" si="252"/>
        <v>0</v>
      </c>
      <c r="FB103" s="52">
        <f t="shared" ca="1" si="253"/>
        <v>909.50136986301368</v>
      </c>
      <c r="FC103" s="52">
        <f t="shared" ca="1" si="254"/>
        <v>1785.6</v>
      </c>
      <c r="FD103" s="52">
        <f t="shared" ca="1" si="255"/>
        <v>864</v>
      </c>
      <c r="FF103" s="82">
        <f t="shared" si="256"/>
        <v>0</v>
      </c>
      <c r="FG103" s="82">
        <f t="shared" si="257"/>
        <v>0</v>
      </c>
      <c r="FH103" s="82">
        <f t="shared" si="258"/>
        <v>0</v>
      </c>
      <c r="FI103" s="82">
        <f t="shared" si="259"/>
        <v>0</v>
      </c>
      <c r="FJ103" s="82">
        <f t="shared" si="260"/>
        <v>12000</v>
      </c>
      <c r="FK103" s="82">
        <f t="shared" si="261"/>
        <v>0</v>
      </c>
      <c r="FL103" s="82">
        <f t="shared" si="262"/>
        <v>0</v>
      </c>
      <c r="FM103" s="51">
        <v>0</v>
      </c>
      <c r="FN103" s="82">
        <v>0</v>
      </c>
      <c r="FO103" s="82">
        <f t="shared" si="159"/>
        <v>0</v>
      </c>
      <c r="FP103" s="82">
        <f t="shared" si="263"/>
        <v>587.68809849521188</v>
      </c>
      <c r="FQ103" s="82">
        <f t="shared" si="264"/>
        <v>7795.8960328317371</v>
      </c>
      <c r="FR103" s="82">
        <f t="shared" si="265"/>
        <v>0</v>
      </c>
      <c r="FS103" s="82">
        <f t="shared" si="266"/>
        <v>0</v>
      </c>
      <c r="FT103" s="82">
        <f t="shared" si="267"/>
        <v>0</v>
      </c>
      <c r="FV103" s="82">
        <f t="shared" si="160"/>
        <v>3.32</v>
      </c>
      <c r="FW103" s="82">
        <f t="shared" si="161"/>
        <v>3.32</v>
      </c>
      <c r="FX103" s="82">
        <f t="shared" si="162"/>
        <v>3.32</v>
      </c>
      <c r="FY103" s="82">
        <f t="shared" si="163"/>
        <v>3.32</v>
      </c>
      <c r="FZ103" s="82">
        <f t="shared" si="164"/>
        <v>3.32</v>
      </c>
      <c r="GA103" s="82">
        <f t="shared" si="165"/>
        <v>3.32</v>
      </c>
      <c r="GB103" s="82">
        <f t="shared" si="166"/>
        <v>3.32</v>
      </c>
    </row>
    <row r="104" spans="2:184" x14ac:dyDescent="0.2">
      <c r="B104" s="402" t="str">
        <f>Key_New!D52</f>
        <v>–</v>
      </c>
      <c r="C104" s="394" t="str">
        <f>Key_New!B52</f>
        <v>ACME Omega Urja Pvt Ltd</v>
      </c>
      <c r="D104" s="395" t="str">
        <f>Key_New!E52</f>
        <v>Solar</v>
      </c>
      <c r="E104" s="395" t="str">
        <f>Key_New!C52</f>
        <v>LoA Awarded</v>
      </c>
      <c r="F104" s="397">
        <f>Key_New!F52</f>
        <v>300</v>
      </c>
      <c r="G104" s="399">
        <f t="shared" si="145"/>
        <v>45930</v>
      </c>
      <c r="H104" s="399">
        <f>Key_New!O52</f>
        <v>46660</v>
      </c>
      <c r="I104" s="369">
        <f t="shared" si="167"/>
        <v>2028</v>
      </c>
      <c r="J104" s="367">
        <v>45</v>
      </c>
      <c r="K104" s="370">
        <f t="shared" si="168"/>
        <v>13500</v>
      </c>
      <c r="L104" s="368">
        <v>0.12</v>
      </c>
      <c r="M104" s="368">
        <v>0.25</v>
      </c>
      <c r="N104" s="403">
        <f>Key_New!J52</f>
        <v>2.52</v>
      </c>
      <c r="O104" s="462">
        <f t="shared" si="147"/>
        <v>0.10244356164383561</v>
      </c>
      <c r="P104" s="54">
        <f t="shared" si="169"/>
        <v>0</v>
      </c>
      <c r="Q104" s="54">
        <f t="shared" si="169"/>
        <v>0</v>
      </c>
      <c r="R104" s="54">
        <f t="shared" si="169"/>
        <v>0</v>
      </c>
      <c r="S104" s="54">
        <f t="shared" si="169"/>
        <v>0</v>
      </c>
      <c r="T104" s="54">
        <f t="shared" si="169"/>
        <v>183</v>
      </c>
      <c r="U104" s="54">
        <f t="shared" si="148"/>
        <v>365</v>
      </c>
      <c r="V104" s="54">
        <f t="shared" si="148"/>
        <v>365</v>
      </c>
      <c r="W104" s="54">
        <f t="shared" si="169"/>
        <v>365</v>
      </c>
      <c r="Y104" s="54">
        <f t="shared" si="170"/>
        <v>0</v>
      </c>
      <c r="Z104" s="54">
        <f t="shared" si="171"/>
        <v>0</v>
      </c>
      <c r="AA104" s="54">
        <f t="shared" si="172"/>
        <v>0</v>
      </c>
      <c r="AB104" s="54">
        <f t="shared" si="173"/>
        <v>0</v>
      </c>
      <c r="AC104" s="54">
        <f t="shared" si="174"/>
        <v>1</v>
      </c>
      <c r="AD104" s="54">
        <f t="shared" si="175"/>
        <v>2</v>
      </c>
      <c r="AE104" s="54">
        <f t="shared" si="176"/>
        <v>3</v>
      </c>
      <c r="AF104" s="54">
        <f t="shared" si="176"/>
        <v>4</v>
      </c>
      <c r="AG104" s="444"/>
      <c r="AH104" s="48">
        <f t="shared" si="177"/>
        <v>0</v>
      </c>
      <c r="AI104" s="48">
        <f t="shared" si="178"/>
        <v>0</v>
      </c>
      <c r="AJ104" s="48">
        <f t="shared" si="179"/>
        <v>0</v>
      </c>
      <c r="AK104" s="48">
        <f t="shared" si="180"/>
        <v>300</v>
      </c>
      <c r="AL104" s="48">
        <f t="shared" si="181"/>
        <v>300</v>
      </c>
      <c r="AM104" s="48">
        <f t="shared" si="182"/>
        <v>300</v>
      </c>
      <c r="AN104" s="48">
        <f t="shared" si="183"/>
        <v>300</v>
      </c>
      <c r="AP104" s="61">
        <v>0.25</v>
      </c>
      <c r="AQ104" s="61">
        <v>0.25</v>
      </c>
      <c r="AR104" s="61">
        <v>0.25</v>
      </c>
      <c r="AS104" s="61">
        <v>0.25</v>
      </c>
      <c r="AT104" s="61">
        <v>0.25</v>
      </c>
      <c r="AU104" s="61">
        <v>0.25</v>
      </c>
      <c r="AV104" s="61">
        <v>0.25</v>
      </c>
      <c r="AX104" s="52">
        <f t="shared" si="184"/>
        <v>0</v>
      </c>
      <c r="AY104" s="52">
        <f t="shared" si="185"/>
        <v>0</v>
      </c>
      <c r="AZ104" s="52">
        <f t="shared" si="186"/>
        <v>0</v>
      </c>
      <c r="BA104" s="52">
        <f t="shared" si="187"/>
        <v>329.62561643835625</v>
      </c>
      <c r="BB104" s="52">
        <f t="shared" si="188"/>
        <v>657.45</v>
      </c>
      <c r="BC104" s="52">
        <f t="shared" si="189"/>
        <v>657.45</v>
      </c>
      <c r="BD104" s="52">
        <f t="shared" si="190"/>
        <v>657.45</v>
      </c>
      <c r="BE104" s="57">
        <v>0.2</v>
      </c>
      <c r="BF104" s="52">
        <f t="shared" si="191"/>
        <v>0</v>
      </c>
      <c r="BG104" s="82">
        <f t="shared" si="192"/>
        <v>0</v>
      </c>
      <c r="BH104" s="82">
        <f t="shared" si="193"/>
        <v>0</v>
      </c>
      <c r="BI104" s="52">
        <f t="shared" si="194"/>
        <v>216.59178082191784</v>
      </c>
      <c r="BJ104" s="52">
        <f t="shared" si="195"/>
        <v>432</v>
      </c>
      <c r="BK104" s="52">
        <f t="shared" si="196"/>
        <v>432</v>
      </c>
      <c r="BL104" s="52">
        <f t="shared" si="197"/>
        <v>432</v>
      </c>
      <c r="BM104" s="297">
        <v>0.04</v>
      </c>
      <c r="BN104" s="69">
        <f t="shared" si="268"/>
        <v>0</v>
      </c>
      <c r="BO104" s="69">
        <f t="shared" si="269"/>
        <v>0</v>
      </c>
      <c r="BP104" s="69">
        <f t="shared" si="270"/>
        <v>0</v>
      </c>
      <c r="BQ104" s="69">
        <f t="shared" si="271"/>
        <v>270.7397260273973</v>
      </c>
      <c r="BR104" s="69">
        <f t="shared" si="272"/>
        <v>540</v>
      </c>
      <c r="BS104" s="69">
        <f t="shared" si="203"/>
        <v>540</v>
      </c>
      <c r="BT104" s="69">
        <f t="shared" si="204"/>
        <v>540</v>
      </c>
      <c r="BV104" s="52">
        <f t="shared" ref="BV104:CB104" si="291">IF(AND($H104&gt;BU$49,$H104&lt;=BV$49),IF($G104&gt;BU$49,$H104-$G104,$H104-BU$49),IF($H104&lt;=BU$49,0,IF(AND($G104&gt;BU$49,$G104&lt;=BV$49),BV$49-$G104,IF($G104&gt;BV$49,0,BV$49-BU$49))))</f>
        <v>0</v>
      </c>
      <c r="BW104" s="52">
        <f t="shared" si="291"/>
        <v>182</v>
      </c>
      <c r="BX104" s="52">
        <f t="shared" si="291"/>
        <v>365</v>
      </c>
      <c r="BY104" s="52">
        <f t="shared" si="291"/>
        <v>183</v>
      </c>
      <c r="BZ104" s="52">
        <f t="shared" si="291"/>
        <v>0</v>
      </c>
      <c r="CA104" s="52">
        <f t="shared" si="291"/>
        <v>0</v>
      </c>
      <c r="CB104" s="52">
        <f t="shared" si="291"/>
        <v>0</v>
      </c>
      <c r="CC104" s="107">
        <v>0</v>
      </c>
      <c r="CD104" s="61">
        <v>0</v>
      </c>
      <c r="CE104" s="61">
        <f>IF(SUM($BX104:$CB104)=0,0,BX104/SUM($BX104:$CB104)*(1-$O104))-10%</f>
        <v>0.49782500000000007</v>
      </c>
      <c r="CF104" s="61">
        <f>IF(SUM($BX104:$CB104)=0,0,BY104/SUM($BX104:$CB104)*(1-$O104))+10%</f>
        <v>0.39973143835616443</v>
      </c>
      <c r="CG104" s="61">
        <f>IF(SUM($BX104:$CB104)=0,0,BZ104/SUM($BX104:$CB104)*(1-$O104))</f>
        <v>0</v>
      </c>
      <c r="CH104" s="61">
        <f t="shared" si="149"/>
        <v>0</v>
      </c>
      <c r="CI104" s="61">
        <f t="shared" si="150"/>
        <v>0</v>
      </c>
      <c r="CJ104" s="61">
        <f t="shared" si="151"/>
        <v>1</v>
      </c>
      <c r="CK104" s="4"/>
      <c r="CL104" s="54">
        <f t="shared" si="152"/>
        <v>0</v>
      </c>
      <c r="CM104" s="54">
        <f t="shared" si="153"/>
        <v>0</v>
      </c>
      <c r="CN104" s="54">
        <f t="shared" si="154"/>
        <v>6720.6375000000007</v>
      </c>
      <c r="CO104" s="54">
        <f t="shared" si="155"/>
        <v>5396.3744178082197</v>
      </c>
      <c r="CP104" s="54">
        <f t="shared" si="156"/>
        <v>0</v>
      </c>
      <c r="CQ104" s="54">
        <f t="shared" si="157"/>
        <v>0</v>
      </c>
      <c r="CR104" s="54">
        <f t="shared" si="158"/>
        <v>0</v>
      </c>
      <c r="CT104" s="54">
        <f t="shared" si="207"/>
        <v>0</v>
      </c>
      <c r="CU104" s="54">
        <f t="shared" si="208"/>
        <v>0</v>
      </c>
      <c r="CV104" s="54">
        <f t="shared" si="209"/>
        <v>1344.1275000000003</v>
      </c>
      <c r="CW104" s="54">
        <f t="shared" si="210"/>
        <v>1079.2748835616439</v>
      </c>
      <c r="CX104" s="54">
        <f t="shared" si="211"/>
        <v>0</v>
      </c>
      <c r="CY104" s="54">
        <f t="shared" si="212"/>
        <v>0</v>
      </c>
      <c r="CZ104" s="54">
        <f t="shared" si="213"/>
        <v>0</v>
      </c>
      <c r="DB104" s="54">
        <f t="shared" si="214"/>
        <v>0</v>
      </c>
      <c r="DC104" s="54">
        <f t="shared" si="215"/>
        <v>0</v>
      </c>
      <c r="DD104" s="54">
        <f t="shared" si="216"/>
        <v>5376.51</v>
      </c>
      <c r="DE104" s="54">
        <f t="shared" si="217"/>
        <v>4317.0995342465758</v>
      </c>
      <c r="DF104" s="54">
        <f t="shared" si="218"/>
        <v>0</v>
      </c>
      <c r="DG104" s="54">
        <f t="shared" si="219"/>
        <v>0</v>
      </c>
      <c r="DH104" s="54">
        <f t="shared" si="220"/>
        <v>0</v>
      </c>
      <c r="DJ104" s="54">
        <f t="shared" si="221"/>
        <v>0</v>
      </c>
      <c r="DK104" s="54">
        <f t="shared" si="222"/>
        <v>0</v>
      </c>
      <c r="DL104" s="54">
        <f t="shared" si="223"/>
        <v>0</v>
      </c>
      <c r="DM104" s="54">
        <f t="shared" si="224"/>
        <v>0</v>
      </c>
      <c r="DN104" s="54">
        <f t="shared" si="225"/>
        <v>432</v>
      </c>
      <c r="DO104" s="54">
        <f t="shared" si="226"/>
        <v>432</v>
      </c>
      <c r="DP104" s="54">
        <f t="shared" si="227"/>
        <v>432</v>
      </c>
      <c r="DR104" s="54">
        <f>+IF(Z104&gt;0,$K104*(1-$BE104)-SUM($DJ104:DJ104),DB104)</f>
        <v>0</v>
      </c>
      <c r="DS104" s="54">
        <f>+IF(AA104&gt;0,$K104*(1-$BE104)-SUM($DJ104:DK104),DC104)</f>
        <v>0</v>
      </c>
      <c r="DT104" s="54">
        <f>+IF(AB104&gt;0,$K104*(1-$BE104)-SUM($DJ104:DL104),DD104)</f>
        <v>5376.51</v>
      </c>
      <c r="DU104" s="54">
        <f>+IF(AC104&gt;0,$K104*(1-$BE104)-SUM($DJ104:DM104),DE104)</f>
        <v>10800</v>
      </c>
      <c r="DV104" s="54">
        <f>+IF(AD104&gt;0,$K104*(1-$BE104)-SUM($DJ104:DN104),DF104)</f>
        <v>10368</v>
      </c>
      <c r="DW104" s="54">
        <f>+IF(AE104&gt;0,$K104*(1-$BE104)-SUM($DJ104:DO104),DG104)</f>
        <v>9936</v>
      </c>
      <c r="DX104" s="54">
        <f>+IF(AF104&gt;0,$K104*(1-$BE104)-SUM($DJ104:DP104),DH104)</f>
        <v>9504</v>
      </c>
      <c r="DZ104" s="54">
        <f t="shared" si="228"/>
        <v>0</v>
      </c>
      <c r="EA104" s="54">
        <f t="shared" si="229"/>
        <v>0</v>
      </c>
      <c r="EB104" s="54">
        <f t="shared" si="230"/>
        <v>0</v>
      </c>
      <c r="EC104" s="54">
        <f t="shared" si="231"/>
        <v>541.47945205479459</v>
      </c>
      <c r="ED104" s="54">
        <f t="shared" si="232"/>
        <v>1036.8</v>
      </c>
      <c r="EE104" s="54">
        <f t="shared" si="233"/>
        <v>993.6</v>
      </c>
      <c r="EF104" s="54">
        <f t="shared" si="234"/>
        <v>0</v>
      </c>
      <c r="EH104" s="54">
        <f t="shared" si="235"/>
        <v>0</v>
      </c>
      <c r="EI104" s="54">
        <f t="shared" si="236"/>
        <v>0</v>
      </c>
      <c r="EJ104" s="54">
        <f t="shared" si="237"/>
        <v>0</v>
      </c>
      <c r="EK104" s="54">
        <f t="shared" si="238"/>
        <v>0</v>
      </c>
      <c r="EL104" s="54">
        <f t="shared" si="239"/>
        <v>0</v>
      </c>
      <c r="EM104" s="54">
        <f t="shared" si="240"/>
        <v>0</v>
      </c>
      <c r="EN104" s="54">
        <f t="shared" si="241"/>
        <v>0</v>
      </c>
      <c r="EP104" s="52">
        <f t="shared" ca="1" si="242"/>
        <v>0</v>
      </c>
      <c r="EQ104" s="52">
        <f t="shared" ca="1" si="243"/>
        <v>0</v>
      </c>
      <c r="ER104" s="52">
        <f t="shared" ca="1" si="244"/>
        <v>0</v>
      </c>
      <c r="ES104" s="52">
        <f t="shared" ca="1" si="245"/>
        <v>0</v>
      </c>
      <c r="ET104" s="52">
        <f t="shared" ca="1" si="246"/>
        <v>0</v>
      </c>
      <c r="EU104" s="52">
        <f t="shared" ca="1" si="247"/>
        <v>0</v>
      </c>
      <c r="EV104" s="52">
        <f t="shared" ca="1" si="248"/>
        <v>0</v>
      </c>
      <c r="EX104" s="52">
        <f t="shared" ca="1" si="249"/>
        <v>0</v>
      </c>
      <c r="EY104" s="52">
        <f t="shared" ca="1" si="250"/>
        <v>0</v>
      </c>
      <c r="EZ104" s="52">
        <f t="shared" ca="1" si="251"/>
        <v>0</v>
      </c>
      <c r="FA104" s="52">
        <f t="shared" ca="1" si="252"/>
        <v>1028.8109589041096</v>
      </c>
      <c r="FB104" s="52">
        <f t="shared" ca="1" si="253"/>
        <v>2008.8</v>
      </c>
      <c r="FC104" s="52">
        <f t="shared" ca="1" si="254"/>
        <v>1965.6</v>
      </c>
      <c r="FD104" s="52">
        <f t="shared" ca="1" si="255"/>
        <v>972</v>
      </c>
      <c r="FF104" s="82">
        <f t="shared" si="256"/>
        <v>0</v>
      </c>
      <c r="FG104" s="82">
        <f t="shared" si="257"/>
        <v>0</v>
      </c>
      <c r="FH104" s="82">
        <f t="shared" si="258"/>
        <v>0</v>
      </c>
      <c r="FI104" s="82">
        <f t="shared" si="259"/>
        <v>13500</v>
      </c>
      <c r="FJ104" s="82">
        <f t="shared" si="260"/>
        <v>0</v>
      </c>
      <c r="FK104" s="82">
        <f t="shared" si="261"/>
        <v>0</v>
      </c>
      <c r="FL104" s="82">
        <f t="shared" si="262"/>
        <v>0</v>
      </c>
      <c r="FM104" s="51">
        <v>0</v>
      </c>
      <c r="FN104" s="82">
        <v>0</v>
      </c>
      <c r="FO104" s="82">
        <f t="shared" si="159"/>
        <v>1382.9880821917807</v>
      </c>
      <c r="FP104" s="82">
        <f t="shared" si="263"/>
        <v>8103.6255821917812</v>
      </c>
      <c r="FQ104" s="82">
        <f t="shared" si="264"/>
        <v>0</v>
      </c>
      <c r="FR104" s="82">
        <f t="shared" si="265"/>
        <v>0</v>
      </c>
      <c r="FS104" s="82">
        <f t="shared" si="266"/>
        <v>0</v>
      </c>
      <c r="FT104" s="82">
        <f t="shared" si="267"/>
        <v>0</v>
      </c>
      <c r="FV104" s="82">
        <f t="shared" si="160"/>
        <v>2.52</v>
      </c>
      <c r="FW104" s="82">
        <f t="shared" si="161"/>
        <v>2.52</v>
      </c>
      <c r="FX104" s="82">
        <f t="shared" si="162"/>
        <v>2.52</v>
      </c>
      <c r="FY104" s="82">
        <f t="shared" si="163"/>
        <v>2.52</v>
      </c>
      <c r="FZ104" s="82">
        <f t="shared" si="164"/>
        <v>2.52</v>
      </c>
      <c r="GA104" s="82">
        <f t="shared" si="165"/>
        <v>2.52</v>
      </c>
      <c r="GB104" s="82">
        <f t="shared" si="166"/>
        <v>2.52</v>
      </c>
    </row>
    <row r="105" spans="2:184" x14ac:dyDescent="0.2">
      <c r="B105" s="402" t="str">
        <f>Key_New!D53</f>
        <v>–</v>
      </c>
      <c r="C105" s="394" t="str">
        <f>Key_New!B53</f>
        <v>ACME Marigold Urja Pvt Ltd (NTPC)</v>
      </c>
      <c r="D105" s="395" t="str">
        <f>Key_New!E53</f>
        <v>FDRE</v>
      </c>
      <c r="E105" s="395" t="str">
        <f>Key_New!C53</f>
        <v>LoA Awarded</v>
      </c>
      <c r="F105" s="397">
        <f>Key_New!F53</f>
        <v>400</v>
      </c>
      <c r="G105" s="399">
        <f t="shared" si="145"/>
        <v>46387</v>
      </c>
      <c r="H105" s="399">
        <f>Key_New!O53</f>
        <v>47118</v>
      </c>
      <c r="I105" s="369">
        <f t="shared" si="167"/>
        <v>2029</v>
      </c>
      <c r="J105" s="367">
        <v>110</v>
      </c>
      <c r="K105" s="370">
        <f t="shared" si="168"/>
        <v>44000</v>
      </c>
      <c r="L105" s="368">
        <v>0.12</v>
      </c>
      <c r="M105" s="368">
        <v>0.25</v>
      </c>
      <c r="N105" s="404">
        <f>Key_New!J53</f>
        <v>4.7</v>
      </c>
      <c r="O105" s="462">
        <f t="shared" si="147"/>
        <v>0</v>
      </c>
      <c r="P105" s="54">
        <f t="shared" ref="P105:T107" si="292">IF(OR(ISERROR(P$49-$H105),(P$49-$H105)&gt;=365),365,IF((P$49-$H105)&lt;=0,0,P$49-$H105))</f>
        <v>0</v>
      </c>
      <c r="Q105" s="54">
        <f t="shared" si="292"/>
        <v>0</v>
      </c>
      <c r="R105" s="54">
        <f t="shared" si="292"/>
        <v>0</v>
      </c>
      <c r="S105" s="54">
        <f t="shared" si="292"/>
        <v>0</v>
      </c>
      <c r="T105" s="54">
        <f t="shared" si="292"/>
        <v>0</v>
      </c>
      <c r="U105" s="54">
        <f t="shared" ref="U105:V124" si="293">IF(OR(ISERROR(U$49-$H105),(U$49-$H105)&gt;=365),365,IF((U$49-$H105)&lt;=0,0,U$49-$H105))</f>
        <v>90</v>
      </c>
      <c r="V105" s="54">
        <f t="shared" si="293"/>
        <v>365</v>
      </c>
      <c r="W105" s="54">
        <f>IF(OR(ISERROR(W$49-$H105),(W$49-$H105)&gt;=365),365,IF((W$49-$H105)&lt;=0,0,W$49-$H105))</f>
        <v>365</v>
      </c>
      <c r="Y105" s="54">
        <f t="shared" si="170"/>
        <v>0</v>
      </c>
      <c r="Z105" s="54">
        <f t="shared" si="171"/>
        <v>0</v>
      </c>
      <c r="AA105" s="54">
        <f t="shared" si="172"/>
        <v>0</v>
      </c>
      <c r="AB105" s="54">
        <f t="shared" ref="AB105:AB107" si="294">IF(AND(R105=0,S105&gt;0),1,IF(AA105=0,0,AA105+1))</f>
        <v>0</v>
      </c>
      <c r="AC105" s="54">
        <f t="shared" ref="AC105:AC107" si="295">IF(AND(S105=0,T105&gt;0),1,IF(AB105=0,0,AB105+1))</f>
        <v>0</v>
      </c>
      <c r="AD105" s="54">
        <f t="shared" ref="AD105:AD107" si="296">IF(AND(T105=0,U105&gt;0),1,IF(AC105=0,0,AC105+1))</f>
        <v>1</v>
      </c>
      <c r="AE105" s="54">
        <f t="shared" ref="AE105:AF107" si="297">IF(AND(U105=0,V105&gt;0),1,IF(AD105=0,0,AD105+1))</f>
        <v>2</v>
      </c>
      <c r="AF105" s="54">
        <f t="shared" si="297"/>
        <v>3</v>
      </c>
      <c r="AG105" s="444"/>
      <c r="AH105" s="48">
        <f t="shared" ref="AH105:AH107" si="298">IF(AND(P105&lt;=0,Q105&gt;0),$F105,IF(P105&gt;0,$F105,0))</f>
        <v>0</v>
      </c>
      <c r="AI105" s="48">
        <f t="shared" ref="AI105:AI107" si="299">IF(AND(Q105&lt;=0,R105&gt;0),$F105,IF(Q105&gt;0,$F105,0))</f>
        <v>0</v>
      </c>
      <c r="AJ105" s="48">
        <f t="shared" ref="AJ105:AJ107" si="300">IF(AND(R105&lt;=0,S105&gt;0),$F105,IF(R105&gt;0,$F105,0))</f>
        <v>0</v>
      </c>
      <c r="AK105" s="48">
        <f t="shared" ref="AK105:AK107" si="301">IF(AND(S105&lt;=0,T105&gt;0),$F105,IF(S105&gt;0,$F105,0))</f>
        <v>0</v>
      </c>
      <c r="AL105" s="48">
        <f t="shared" ref="AL105:AL107" si="302">IF(AND(T105&lt;=0,U105&gt;0),$F105,IF(T105&gt;0,$F105,0))</f>
        <v>400</v>
      </c>
      <c r="AM105" s="48">
        <f t="shared" si="182"/>
        <v>400</v>
      </c>
      <c r="AN105" s="48">
        <f t="shared" si="183"/>
        <v>400</v>
      </c>
      <c r="AP105" s="61">
        <v>0.4</v>
      </c>
      <c r="AQ105" s="61">
        <v>0.4</v>
      </c>
      <c r="AR105" s="61">
        <v>0.4</v>
      </c>
      <c r="AS105" s="61">
        <v>0.4</v>
      </c>
      <c r="AT105" s="61">
        <v>0.4</v>
      </c>
      <c r="AU105" s="61">
        <v>0.4</v>
      </c>
      <c r="AV105" s="61">
        <v>0.4</v>
      </c>
      <c r="AX105" s="52">
        <f t="shared" ref="AX105:AX107" si="303">$F105*8.766*AP105*(Q105/365)</f>
        <v>0</v>
      </c>
      <c r="AY105" s="52">
        <f t="shared" ref="AY105:AY107" si="304">$F105*8.766*AQ105*(R105/365)</f>
        <v>0</v>
      </c>
      <c r="AZ105" s="52">
        <f t="shared" ref="AZ105:AZ107" si="305">$F105*8.766*AR105*(S105/365)</f>
        <v>0</v>
      </c>
      <c r="BA105" s="52">
        <f t="shared" ref="BA105:BA107" si="306">$F105*8.766*AS105*(T105/365)</f>
        <v>0</v>
      </c>
      <c r="BB105" s="52">
        <f t="shared" ref="BB105:BB107" si="307">$F105*8.766*AT105*(U105/365)</f>
        <v>345.83671232876713</v>
      </c>
      <c r="BC105" s="52">
        <f t="shared" si="189"/>
        <v>1402.5600000000002</v>
      </c>
      <c r="BD105" s="52">
        <f t="shared" si="190"/>
        <v>1402.5600000000002</v>
      </c>
      <c r="BE105" s="57">
        <v>0.2</v>
      </c>
      <c r="BF105" s="52">
        <f t="shared" ref="BF105:BF107" si="308">$BE105*$K105*(Q105/365)*($L105/(1-$M105))</f>
        <v>0</v>
      </c>
      <c r="BG105" s="82">
        <f t="shared" ref="BG105:BG107" si="309">$BE105*$K105*(R105/365)*($L105/(1-$M105))</f>
        <v>0</v>
      </c>
      <c r="BH105" s="82">
        <f t="shared" ref="BH105:BH107" si="310">$BE105*$K105*(S105/365)*($L105/(1-$M105))</f>
        <v>0</v>
      </c>
      <c r="BI105" s="52">
        <f t="shared" ref="BI105:BI107" si="311">$BE105*$K105*(T105/365)*($L105/(1-$M105))</f>
        <v>0</v>
      </c>
      <c r="BJ105" s="52">
        <f t="shared" ref="BJ105:BJ107" si="312">$BE105*$K105*(U105/365)*($L105/(1-$M105))</f>
        <v>347.17808219178079</v>
      </c>
      <c r="BK105" s="52">
        <f t="shared" si="196"/>
        <v>1408</v>
      </c>
      <c r="BL105" s="52">
        <f t="shared" si="197"/>
        <v>1408</v>
      </c>
      <c r="BM105" s="297">
        <v>0.04</v>
      </c>
      <c r="BN105" s="69">
        <f t="shared" si="268"/>
        <v>0</v>
      </c>
      <c r="BO105" s="69">
        <f t="shared" si="269"/>
        <v>0</v>
      </c>
      <c r="BP105" s="69">
        <f t="shared" si="270"/>
        <v>0</v>
      </c>
      <c r="BQ105" s="69">
        <f t="shared" si="271"/>
        <v>0</v>
      </c>
      <c r="BR105" s="69">
        <f t="shared" si="272"/>
        <v>433.97260273972603</v>
      </c>
      <c r="BS105" s="69">
        <f t="shared" si="203"/>
        <v>1760</v>
      </c>
      <c r="BT105" s="69">
        <f t="shared" si="204"/>
        <v>1760</v>
      </c>
      <c r="BV105" s="52">
        <f t="shared" ref="BV105:CB105" si="313">IF(AND($H105&gt;BU$49,$H105&lt;=BV$49),IF($G105&gt;BU$49,$H105-$G105,$H105-BU$49),IF($H105&lt;=BU$49,0,IF(AND($G105&gt;BU$49,$G105&lt;=BV$49),BV$49-$G105,IF($G105&gt;BV$49,0,BV$49-BU$49))))</f>
        <v>0</v>
      </c>
      <c r="BW105" s="52">
        <f t="shared" si="313"/>
        <v>0</v>
      </c>
      <c r="BX105" s="52">
        <f t="shared" si="313"/>
        <v>90</v>
      </c>
      <c r="BY105" s="52">
        <f t="shared" si="313"/>
        <v>366</v>
      </c>
      <c r="BZ105" s="52">
        <f t="shared" si="313"/>
        <v>275</v>
      </c>
      <c r="CA105" s="52">
        <f t="shared" si="313"/>
        <v>0</v>
      </c>
      <c r="CB105" s="52">
        <f t="shared" si="313"/>
        <v>0</v>
      </c>
      <c r="CC105" s="107">
        <v>0</v>
      </c>
      <c r="CD105" s="61">
        <v>0</v>
      </c>
      <c r="CE105" s="61">
        <f>IF(SUM($BX105:$CB105)=0,0,BX105/SUM($BX105:$CB105)*(1-$O105))-20%</f>
        <v>-7.6880984952120396E-2</v>
      </c>
      <c r="CF105" s="61">
        <f>IF(SUM($BX105:$CB105)=0,0,BY105/SUM($BX105:$CB105)*(1-$O105))+10%</f>
        <v>0.60068399452804377</v>
      </c>
      <c r="CG105" s="61">
        <f>IF(SUM($BX105:$CB105)=0,0,BZ105/SUM($BX105:$CB105)*(1-$O105))+10%</f>
        <v>0.47619699042407659</v>
      </c>
      <c r="CH105" s="61">
        <f t="shared" si="149"/>
        <v>0</v>
      </c>
      <c r="CI105" s="61">
        <f t="shared" si="150"/>
        <v>0</v>
      </c>
      <c r="CJ105" s="61">
        <f t="shared" si="151"/>
        <v>1</v>
      </c>
      <c r="CK105" s="4"/>
      <c r="CL105" s="54">
        <f t="shared" si="152"/>
        <v>0</v>
      </c>
      <c r="CM105" s="54">
        <f t="shared" si="153"/>
        <v>0</v>
      </c>
      <c r="CN105" s="54">
        <f t="shared" si="154"/>
        <v>0</v>
      </c>
      <c r="CO105" s="54">
        <f t="shared" si="155"/>
        <v>26430.095759233925</v>
      </c>
      <c r="CP105" s="54">
        <f t="shared" si="156"/>
        <v>20952.66757865937</v>
      </c>
      <c r="CQ105" s="54">
        <f t="shared" si="157"/>
        <v>0</v>
      </c>
      <c r="CR105" s="54">
        <f t="shared" si="158"/>
        <v>0</v>
      </c>
      <c r="CT105" s="54">
        <f t="shared" ref="CT105:CT107" si="314">$BE105*CL105</f>
        <v>0</v>
      </c>
      <c r="CU105" s="54">
        <f t="shared" ref="CU105:CU107" si="315">$BE105*CM105</f>
        <v>0</v>
      </c>
      <c r="CV105" s="54">
        <f t="shared" ref="CV105:CV107" si="316">$BE105*CN105</f>
        <v>0</v>
      </c>
      <c r="CW105" s="54">
        <f t="shared" ref="CW105:CW107" si="317">$BE105*CO105</f>
        <v>5286.0191518467855</v>
      </c>
      <c r="CX105" s="54">
        <f t="shared" ref="CX105:CX107" si="318">$BE105*CP105</f>
        <v>4190.5335157318741</v>
      </c>
      <c r="CY105" s="54">
        <f t="shared" si="212"/>
        <v>0</v>
      </c>
      <c r="CZ105" s="54">
        <f t="shared" si="213"/>
        <v>0</v>
      </c>
      <c r="DB105" s="54">
        <f t="shared" ref="DB105:DB107" si="319">CL105-CT105</f>
        <v>0</v>
      </c>
      <c r="DC105" s="54">
        <f t="shared" ref="DC105:DC107" si="320">CM105-CU105</f>
        <v>0</v>
      </c>
      <c r="DD105" s="54">
        <f t="shared" ref="DD105:DD107" si="321">CN105-CV105</f>
        <v>0</v>
      </c>
      <c r="DE105" s="54">
        <f t="shared" ref="DE105:DE107" si="322">CO105-CW105</f>
        <v>21144.076607387142</v>
      </c>
      <c r="DF105" s="54">
        <f t="shared" ref="DF105:DF107" si="323">CP105-CX105</f>
        <v>16762.134062927496</v>
      </c>
      <c r="DG105" s="54">
        <f t="shared" si="219"/>
        <v>0</v>
      </c>
      <c r="DH105" s="54">
        <f t="shared" si="220"/>
        <v>0</v>
      </c>
      <c r="DJ105" s="54">
        <f t="shared" ref="DJ105:DJ107" si="324">IF(Z105&lt;=26,IF(AND(P105=0,Q105&gt;0),0,IF(Q105&gt;0,($K105*(1-$BE105))/25,0)),0)</f>
        <v>0</v>
      </c>
      <c r="DK105" s="54">
        <f t="shared" ref="DK105:DK107" si="325">IF(AA105&lt;=26,IF(AND(Q105=0,R105&gt;0),0,IF(R105&gt;0,($K105*(1-$BE105))/25,0)),0)</f>
        <v>0</v>
      </c>
      <c r="DL105" s="54">
        <f t="shared" ref="DL105:DL107" si="326">IF(AB105&lt;=26,IF(AND(R105=0,S105&gt;0),0,IF(S105&gt;0,($K105*(1-$BE105))/25,0)),0)</f>
        <v>0</v>
      </c>
      <c r="DM105" s="54">
        <f t="shared" ref="DM105:DM107" si="327">IF(AC105&lt;=26,IF(AND(S105=0,T105&gt;0),0,IF(T105&gt;0,($K105*(1-$BE105))/25,0)),0)</f>
        <v>0</v>
      </c>
      <c r="DN105" s="54">
        <f t="shared" ref="DN105:DN107" si="328">IF(AD105&lt;=26,IF(AND(T105=0,U105&gt;0),0,IF(U105&gt;0,($K105*(1-$BE105))/25,0)),0)</f>
        <v>0</v>
      </c>
      <c r="DO105" s="54">
        <f t="shared" si="226"/>
        <v>1408</v>
      </c>
      <c r="DP105" s="54">
        <f t="shared" si="227"/>
        <v>1408</v>
      </c>
      <c r="DR105" s="54">
        <f>+IF(Z105&gt;0,$K105*(1-$BE105)-SUM($DJ105:DJ105),DB105)</f>
        <v>0</v>
      </c>
      <c r="DS105" s="54">
        <f>+IF(AA105&gt;0,$K105*(1-$BE105)-SUM($DJ105:DK105),DC105)</f>
        <v>0</v>
      </c>
      <c r="DT105" s="54">
        <f>+IF(AB105&gt;0,$K105*(1-$BE105)-SUM($DJ105:DL105),DD105)</f>
        <v>0</v>
      </c>
      <c r="DU105" s="54">
        <f>+IF(AC105&gt;0,$K105*(1-$BE105)-SUM($DJ105:DM105),DE105)</f>
        <v>21144.076607387142</v>
      </c>
      <c r="DV105" s="54">
        <f>+IF(AD105&gt;0,$K105*(1-$BE105)-SUM($DJ105:DN105),DF105)</f>
        <v>35200</v>
      </c>
      <c r="DW105" s="54">
        <f>+IF(AE105&gt;0,$K105*(1-$BE105)-SUM($DJ105:DO105),DG105)</f>
        <v>33792</v>
      </c>
      <c r="DX105" s="54">
        <f>+IF(AF105&gt;0,$K105*(1-$BE105)-SUM($DJ105:DP105),DH105)</f>
        <v>32384</v>
      </c>
      <c r="DZ105" s="54">
        <f t="shared" ref="DZ105:DZ107" si="329">DR105*(DZ$51)*(Q105/365)</f>
        <v>0</v>
      </c>
      <c r="EA105" s="54">
        <f t="shared" ref="EA105:EA107" si="330">DS105*(EA$51)*(R105/365)</f>
        <v>0</v>
      </c>
      <c r="EB105" s="54">
        <f t="shared" ref="EB105:EB107" si="331">DT105*(EB$51)*(S105/365)</f>
        <v>0</v>
      </c>
      <c r="EC105" s="54">
        <f t="shared" ref="EC105:EC107" si="332">DU105*(EC$51)*(T105/365)</f>
        <v>0</v>
      </c>
      <c r="ED105" s="54">
        <f t="shared" ref="ED105:ED107" si="333">DV105*(ED$51)*(U105/365)</f>
        <v>867.94520547945206</v>
      </c>
      <c r="EE105" s="54">
        <f t="shared" si="233"/>
        <v>3379.2000000000003</v>
      </c>
      <c r="EF105" s="54">
        <f t="shared" si="234"/>
        <v>0</v>
      </c>
      <c r="EH105" s="54">
        <f t="shared" si="235"/>
        <v>0</v>
      </c>
      <c r="EI105" s="54">
        <f t="shared" si="236"/>
        <v>0</v>
      </c>
      <c r="EJ105" s="54">
        <f t="shared" si="237"/>
        <v>0</v>
      </c>
      <c r="EK105" s="54">
        <f t="shared" si="238"/>
        <v>0</v>
      </c>
      <c r="EL105" s="54">
        <f t="shared" si="239"/>
        <v>0</v>
      </c>
      <c r="EM105" s="54">
        <f t="shared" si="240"/>
        <v>0</v>
      </c>
      <c r="EN105" s="54">
        <f t="shared" si="241"/>
        <v>0</v>
      </c>
      <c r="EP105" s="52">
        <f t="shared" ca="1" si="242"/>
        <v>0</v>
      </c>
      <c r="EQ105" s="52">
        <f t="shared" ca="1" si="243"/>
        <v>0</v>
      </c>
      <c r="ER105" s="52">
        <f t="shared" ca="1" si="244"/>
        <v>0</v>
      </c>
      <c r="ES105" s="52">
        <f t="shared" ca="1" si="245"/>
        <v>0</v>
      </c>
      <c r="ET105" s="52">
        <f t="shared" ca="1" si="246"/>
        <v>0</v>
      </c>
      <c r="EU105" s="52">
        <f t="shared" ca="1" si="247"/>
        <v>0</v>
      </c>
      <c r="EV105" s="52">
        <f t="shared" ca="1" si="248"/>
        <v>0</v>
      </c>
      <c r="EX105" s="52">
        <f t="shared" ca="1" si="249"/>
        <v>0</v>
      </c>
      <c r="EY105" s="52">
        <f t="shared" ca="1" si="250"/>
        <v>0</v>
      </c>
      <c r="EZ105" s="52">
        <f t="shared" ca="1" si="251"/>
        <v>0</v>
      </c>
      <c r="FA105" s="52">
        <f t="shared" ca="1" si="252"/>
        <v>0</v>
      </c>
      <c r="FB105" s="52">
        <f t="shared" ca="1" si="253"/>
        <v>1649.0958904109589</v>
      </c>
      <c r="FC105" s="52">
        <f t="shared" ca="1" si="254"/>
        <v>6547.2000000000007</v>
      </c>
      <c r="FD105" s="52">
        <f t="shared" ca="1" si="255"/>
        <v>3168</v>
      </c>
      <c r="FF105" s="82">
        <f t="shared" si="256"/>
        <v>0</v>
      </c>
      <c r="FG105" s="82">
        <f t="shared" si="257"/>
        <v>0</v>
      </c>
      <c r="FH105" s="82">
        <f t="shared" si="258"/>
        <v>0</v>
      </c>
      <c r="FI105" s="82">
        <f t="shared" si="259"/>
        <v>0</v>
      </c>
      <c r="FJ105" s="82">
        <f t="shared" si="260"/>
        <v>44000</v>
      </c>
      <c r="FK105" s="82">
        <f t="shared" si="261"/>
        <v>0</v>
      </c>
      <c r="FL105" s="82">
        <f t="shared" si="262"/>
        <v>0</v>
      </c>
      <c r="FM105" s="51">
        <v>0</v>
      </c>
      <c r="FN105" s="82">
        <v>0</v>
      </c>
      <c r="FO105" s="82">
        <f t="shared" si="159"/>
        <v>0</v>
      </c>
      <c r="FP105" s="82">
        <f t="shared" si="263"/>
        <v>0</v>
      </c>
      <c r="FQ105" s="82">
        <f t="shared" si="264"/>
        <v>26430.095759233925</v>
      </c>
      <c r="FR105" s="82">
        <f t="shared" si="265"/>
        <v>0</v>
      </c>
      <c r="FS105" s="82">
        <f t="shared" si="266"/>
        <v>0</v>
      </c>
      <c r="FT105" s="82">
        <f t="shared" si="267"/>
        <v>0</v>
      </c>
      <c r="FV105" s="82">
        <f t="shared" si="160"/>
        <v>4.7</v>
      </c>
      <c r="FW105" s="82">
        <f t="shared" si="161"/>
        <v>4.7</v>
      </c>
      <c r="FX105" s="82">
        <f t="shared" si="162"/>
        <v>4.7</v>
      </c>
      <c r="FY105" s="82">
        <f t="shared" si="163"/>
        <v>4.7</v>
      </c>
      <c r="FZ105" s="82">
        <f t="shared" si="164"/>
        <v>4.7</v>
      </c>
      <c r="GA105" s="82">
        <f t="shared" si="165"/>
        <v>4.7</v>
      </c>
      <c r="GB105" s="82">
        <f t="shared" si="166"/>
        <v>4.7</v>
      </c>
    </row>
    <row r="106" spans="2:184" x14ac:dyDescent="0.2">
      <c r="B106" s="402" t="str">
        <f>Key_New!D54</f>
        <v>Madhya Pradesh</v>
      </c>
      <c r="C106" s="394" t="str">
        <f>Key_New!B54</f>
        <v>ACME Greentech Sixteen Pvt Ltd</v>
      </c>
      <c r="D106" s="395" t="str">
        <f>Key_New!E54</f>
        <v>FDRE</v>
      </c>
      <c r="E106" s="395" t="str">
        <f>Key_New!C54</f>
        <v>LoA Awarded</v>
      </c>
      <c r="F106" s="397">
        <f>Key_New!F54</f>
        <v>220</v>
      </c>
      <c r="G106" s="399">
        <f t="shared" si="145"/>
        <v>46295</v>
      </c>
      <c r="H106" s="399">
        <f>Key_New!O54</f>
        <v>47026</v>
      </c>
      <c r="I106" s="369">
        <f t="shared" si="167"/>
        <v>2029</v>
      </c>
      <c r="J106" s="367">
        <v>110</v>
      </c>
      <c r="K106" s="370">
        <f t="shared" si="168"/>
        <v>24200</v>
      </c>
      <c r="L106" s="368">
        <v>0.12</v>
      </c>
      <c r="M106" s="368">
        <v>0.25</v>
      </c>
      <c r="N106" s="404">
        <f>Key_New!J54</f>
        <v>2.7639999999999998</v>
      </c>
      <c r="O106" s="462">
        <f t="shared" si="147"/>
        <v>0</v>
      </c>
      <c r="P106" s="54">
        <f t="shared" si="292"/>
        <v>0</v>
      </c>
      <c r="Q106" s="54">
        <f t="shared" si="292"/>
        <v>0</v>
      </c>
      <c r="R106" s="54">
        <f t="shared" si="292"/>
        <v>0</v>
      </c>
      <c r="S106" s="54">
        <f t="shared" si="292"/>
        <v>0</v>
      </c>
      <c r="T106" s="54">
        <f t="shared" si="292"/>
        <v>0</v>
      </c>
      <c r="U106" s="54">
        <f t="shared" si="293"/>
        <v>182</v>
      </c>
      <c r="V106" s="54">
        <f t="shared" si="293"/>
        <v>365</v>
      </c>
      <c r="W106" s="54">
        <f>IF(OR(ISERROR(W$49-$H106),(W$49-$H106)&gt;=365),365,IF((W$49-$H106)&lt;=0,0,W$49-$H106))</f>
        <v>365</v>
      </c>
      <c r="Y106" s="54">
        <f t="shared" si="170"/>
        <v>0</v>
      </c>
      <c r="Z106" s="54">
        <f t="shared" si="171"/>
        <v>0</v>
      </c>
      <c r="AA106" s="54">
        <f t="shared" si="172"/>
        <v>0</v>
      </c>
      <c r="AB106" s="54">
        <f t="shared" si="294"/>
        <v>0</v>
      </c>
      <c r="AC106" s="54">
        <f t="shared" si="295"/>
        <v>0</v>
      </c>
      <c r="AD106" s="54">
        <f t="shared" si="296"/>
        <v>1</v>
      </c>
      <c r="AE106" s="54">
        <f t="shared" si="297"/>
        <v>2</v>
      </c>
      <c r="AF106" s="54">
        <f t="shared" si="297"/>
        <v>3</v>
      </c>
      <c r="AG106" s="444"/>
      <c r="AH106" s="48">
        <f t="shared" si="298"/>
        <v>0</v>
      </c>
      <c r="AI106" s="48">
        <f t="shared" si="299"/>
        <v>0</v>
      </c>
      <c r="AJ106" s="48">
        <f t="shared" si="300"/>
        <v>0</v>
      </c>
      <c r="AK106" s="48">
        <f t="shared" si="301"/>
        <v>0</v>
      </c>
      <c r="AL106" s="48">
        <f t="shared" si="302"/>
        <v>220</v>
      </c>
      <c r="AM106" s="48">
        <f t="shared" si="182"/>
        <v>220</v>
      </c>
      <c r="AN106" s="48">
        <f t="shared" si="183"/>
        <v>220</v>
      </c>
      <c r="AP106" s="61">
        <v>0.4</v>
      </c>
      <c r="AQ106" s="61">
        <v>0.4</v>
      </c>
      <c r="AR106" s="61">
        <v>0.4</v>
      </c>
      <c r="AS106" s="61">
        <v>0.4</v>
      </c>
      <c r="AT106" s="61">
        <v>0.4</v>
      </c>
      <c r="AU106" s="61">
        <v>0.4</v>
      </c>
      <c r="AV106" s="61">
        <v>0.4</v>
      </c>
      <c r="AX106" s="52">
        <f t="shared" si="303"/>
        <v>0</v>
      </c>
      <c r="AY106" s="52">
        <f t="shared" si="304"/>
        <v>0</v>
      </c>
      <c r="AZ106" s="52">
        <f t="shared" si="305"/>
        <v>0</v>
      </c>
      <c r="BA106" s="52">
        <f t="shared" si="306"/>
        <v>0</v>
      </c>
      <c r="BB106" s="52">
        <f t="shared" si="307"/>
        <v>384.64727671232879</v>
      </c>
      <c r="BC106" s="52">
        <f t="shared" si="189"/>
        <v>771.40800000000002</v>
      </c>
      <c r="BD106" s="52">
        <f t="shared" si="190"/>
        <v>771.40800000000002</v>
      </c>
      <c r="BE106" s="57">
        <v>0.2</v>
      </c>
      <c r="BF106" s="52">
        <f t="shared" si="308"/>
        <v>0</v>
      </c>
      <c r="BG106" s="82">
        <f t="shared" si="309"/>
        <v>0</v>
      </c>
      <c r="BH106" s="82">
        <f t="shared" si="310"/>
        <v>0</v>
      </c>
      <c r="BI106" s="52">
        <f t="shared" si="311"/>
        <v>0</v>
      </c>
      <c r="BJ106" s="52">
        <f t="shared" si="312"/>
        <v>386.13917808219179</v>
      </c>
      <c r="BK106" s="52">
        <f t="shared" si="196"/>
        <v>774.4</v>
      </c>
      <c r="BL106" s="52">
        <f t="shared" si="197"/>
        <v>774.4</v>
      </c>
      <c r="BM106" s="297">
        <v>0.04</v>
      </c>
      <c r="BN106" s="69">
        <f t="shared" si="268"/>
        <v>0</v>
      </c>
      <c r="BO106" s="69">
        <f t="shared" si="269"/>
        <v>0</v>
      </c>
      <c r="BP106" s="69">
        <f t="shared" si="270"/>
        <v>0</v>
      </c>
      <c r="BQ106" s="69">
        <f t="shared" si="271"/>
        <v>0</v>
      </c>
      <c r="BR106" s="69">
        <f t="shared" si="272"/>
        <v>482.67397260273975</v>
      </c>
      <c r="BS106" s="69">
        <f t="shared" si="203"/>
        <v>968</v>
      </c>
      <c r="BT106" s="69">
        <f t="shared" si="204"/>
        <v>968</v>
      </c>
      <c r="BV106" s="52">
        <f t="shared" ref="BV106:CB106" si="334">IF(AND($H106&gt;BU$49,$H106&lt;=BV$49),IF($G106&gt;BU$49,$H106-$G106,$H106-BU$49),IF($H106&lt;=BU$49,0,IF(AND($G106&gt;BU$49,$G106&lt;=BV$49),BV$49-$G106,IF($G106&gt;BV$49,0,BV$49-BU$49))))</f>
        <v>0</v>
      </c>
      <c r="BW106" s="52">
        <f t="shared" si="334"/>
        <v>0</v>
      </c>
      <c r="BX106" s="52">
        <f t="shared" si="334"/>
        <v>182</v>
      </c>
      <c r="BY106" s="52">
        <f t="shared" si="334"/>
        <v>366</v>
      </c>
      <c r="BZ106" s="52">
        <f t="shared" si="334"/>
        <v>183</v>
      </c>
      <c r="CA106" s="52">
        <f t="shared" si="334"/>
        <v>0</v>
      </c>
      <c r="CB106" s="52">
        <f t="shared" si="334"/>
        <v>0</v>
      </c>
      <c r="CC106" s="107">
        <v>0</v>
      </c>
      <c r="CD106" s="61">
        <v>0</v>
      </c>
      <c r="CE106" s="61">
        <f>IF(SUM($BX106:$CB106)=0,0,BX106/SUM($BX106:$CB106)*(1-$O106))-20%</f>
        <v>4.8974008207934322E-2</v>
      </c>
      <c r="CF106" s="61">
        <f>IF(SUM($BX106:$CB106)=0,0,BY106/SUM($BX106:$CB106)*(1-$O106))+10%</f>
        <v>0.60068399452804377</v>
      </c>
      <c r="CG106" s="61">
        <f>IF(SUM($BX106:$CB106)=0,0,BZ106/SUM($BX106:$CB106)*(1-$O106))+10%</f>
        <v>0.35034199726402193</v>
      </c>
      <c r="CH106" s="61">
        <f t="shared" si="149"/>
        <v>0</v>
      </c>
      <c r="CI106" s="61">
        <f t="shared" si="150"/>
        <v>0</v>
      </c>
      <c r="CJ106" s="61">
        <f t="shared" si="151"/>
        <v>1</v>
      </c>
      <c r="CK106" s="4"/>
      <c r="CL106" s="54">
        <f t="shared" si="152"/>
        <v>0</v>
      </c>
      <c r="CM106" s="54">
        <f t="shared" si="153"/>
        <v>0</v>
      </c>
      <c r="CN106" s="54">
        <f t="shared" si="154"/>
        <v>1185.1709986320107</v>
      </c>
      <c r="CO106" s="54">
        <f t="shared" si="155"/>
        <v>14536.552667578659</v>
      </c>
      <c r="CP106" s="54">
        <f t="shared" si="156"/>
        <v>8478.2763337893302</v>
      </c>
      <c r="CQ106" s="54">
        <f t="shared" si="157"/>
        <v>0</v>
      </c>
      <c r="CR106" s="54">
        <f t="shared" si="158"/>
        <v>0</v>
      </c>
      <c r="CT106" s="54">
        <f t="shared" si="314"/>
        <v>0</v>
      </c>
      <c r="CU106" s="54">
        <f t="shared" si="315"/>
        <v>0</v>
      </c>
      <c r="CV106" s="54">
        <f t="shared" si="316"/>
        <v>237.03419972640214</v>
      </c>
      <c r="CW106" s="54">
        <f t="shared" si="317"/>
        <v>2907.310533515732</v>
      </c>
      <c r="CX106" s="54">
        <f t="shared" si="318"/>
        <v>1695.6552667578662</v>
      </c>
      <c r="CY106" s="54">
        <f t="shared" si="212"/>
        <v>0</v>
      </c>
      <c r="CZ106" s="54">
        <f t="shared" si="213"/>
        <v>0</v>
      </c>
      <c r="DB106" s="54">
        <f t="shared" si="319"/>
        <v>0</v>
      </c>
      <c r="DC106" s="54">
        <f t="shared" si="320"/>
        <v>0</v>
      </c>
      <c r="DD106" s="54">
        <f t="shared" si="321"/>
        <v>948.13679890560854</v>
      </c>
      <c r="DE106" s="54">
        <f t="shared" si="322"/>
        <v>11629.242134062926</v>
      </c>
      <c r="DF106" s="54">
        <f t="shared" si="323"/>
        <v>6782.621067031464</v>
      </c>
      <c r="DG106" s="54">
        <f t="shared" si="219"/>
        <v>0</v>
      </c>
      <c r="DH106" s="54">
        <f t="shared" si="220"/>
        <v>0</v>
      </c>
      <c r="DJ106" s="54">
        <f t="shared" si="324"/>
        <v>0</v>
      </c>
      <c r="DK106" s="54">
        <f t="shared" si="325"/>
        <v>0</v>
      </c>
      <c r="DL106" s="54">
        <f t="shared" si="326"/>
        <v>0</v>
      </c>
      <c r="DM106" s="54">
        <f t="shared" si="327"/>
        <v>0</v>
      </c>
      <c r="DN106" s="54">
        <f t="shared" si="328"/>
        <v>0</v>
      </c>
      <c r="DO106" s="54">
        <f t="shared" si="226"/>
        <v>774.4</v>
      </c>
      <c r="DP106" s="54">
        <f t="shared" si="227"/>
        <v>774.4</v>
      </c>
      <c r="DR106" s="54">
        <f>+IF(Z106&gt;0,$K106*(1-$BE106)-SUM($DJ106:DJ106),DB106)</f>
        <v>0</v>
      </c>
      <c r="DS106" s="54">
        <f>+IF(AA106&gt;0,$K106*(1-$BE106)-SUM($DJ106:DK106),DC106)</f>
        <v>0</v>
      </c>
      <c r="DT106" s="54">
        <f>+IF(AB106&gt;0,$K106*(1-$BE106)-SUM($DJ106:DL106),DD106)</f>
        <v>948.13679890560854</v>
      </c>
      <c r="DU106" s="54">
        <f>+IF(AC106&gt;0,$K106*(1-$BE106)-SUM($DJ106:DM106),DE106)</f>
        <v>11629.242134062926</v>
      </c>
      <c r="DV106" s="54">
        <f>+IF(AD106&gt;0,$K106*(1-$BE106)-SUM($DJ106:DN106),DF106)</f>
        <v>19360</v>
      </c>
      <c r="DW106" s="54">
        <f>+IF(AE106&gt;0,$K106*(1-$BE106)-SUM($DJ106:DO106),DG106)</f>
        <v>18585.599999999999</v>
      </c>
      <c r="DX106" s="54">
        <f>+IF(AF106&gt;0,$K106*(1-$BE106)-SUM($DJ106:DP106),DH106)</f>
        <v>17811.2</v>
      </c>
      <c r="DZ106" s="54">
        <f t="shared" si="329"/>
        <v>0</v>
      </c>
      <c r="EA106" s="54">
        <f t="shared" si="330"/>
        <v>0</v>
      </c>
      <c r="EB106" s="54">
        <f t="shared" si="331"/>
        <v>0</v>
      </c>
      <c r="EC106" s="54">
        <f t="shared" si="332"/>
        <v>0</v>
      </c>
      <c r="ED106" s="54">
        <f t="shared" si="333"/>
        <v>965.3479452054795</v>
      </c>
      <c r="EE106" s="54">
        <f t="shared" si="233"/>
        <v>1858.56</v>
      </c>
      <c r="EF106" s="54">
        <f t="shared" si="234"/>
        <v>0</v>
      </c>
      <c r="EH106" s="54">
        <f t="shared" si="235"/>
        <v>0</v>
      </c>
      <c r="EI106" s="54">
        <f t="shared" si="236"/>
        <v>0</v>
      </c>
      <c r="EJ106" s="54">
        <f t="shared" si="237"/>
        <v>0</v>
      </c>
      <c r="EK106" s="54">
        <f t="shared" si="238"/>
        <v>0</v>
      </c>
      <c r="EL106" s="54">
        <f t="shared" si="239"/>
        <v>0</v>
      </c>
      <c r="EM106" s="54">
        <f t="shared" si="240"/>
        <v>0</v>
      </c>
      <c r="EN106" s="54">
        <f t="shared" si="241"/>
        <v>0</v>
      </c>
      <c r="EP106" s="52">
        <f t="shared" ca="1" si="242"/>
        <v>0</v>
      </c>
      <c r="EQ106" s="52">
        <f t="shared" ca="1" si="243"/>
        <v>0</v>
      </c>
      <c r="ER106" s="52">
        <f t="shared" ca="1" si="244"/>
        <v>0</v>
      </c>
      <c r="ES106" s="52">
        <f t="shared" ca="1" si="245"/>
        <v>0</v>
      </c>
      <c r="ET106" s="52">
        <f t="shared" ca="1" si="246"/>
        <v>0</v>
      </c>
      <c r="EU106" s="52">
        <f t="shared" ca="1" si="247"/>
        <v>0</v>
      </c>
      <c r="EV106" s="52">
        <f t="shared" ca="1" si="248"/>
        <v>0</v>
      </c>
      <c r="EX106" s="52">
        <f t="shared" ca="1" si="249"/>
        <v>0</v>
      </c>
      <c r="EY106" s="52">
        <f t="shared" ca="1" si="250"/>
        <v>0</v>
      </c>
      <c r="EZ106" s="52">
        <f t="shared" ca="1" si="251"/>
        <v>0</v>
      </c>
      <c r="FA106" s="52">
        <f t="shared" ca="1" si="252"/>
        <v>0</v>
      </c>
      <c r="FB106" s="52">
        <f t="shared" ca="1" si="253"/>
        <v>1834.1610958904112</v>
      </c>
      <c r="FC106" s="52">
        <f t="shared" ca="1" si="254"/>
        <v>3600.96</v>
      </c>
      <c r="FD106" s="52">
        <f t="shared" ca="1" si="255"/>
        <v>1742.4</v>
      </c>
      <c r="FF106" s="82">
        <f t="shared" si="256"/>
        <v>0</v>
      </c>
      <c r="FG106" s="82">
        <f t="shared" si="257"/>
        <v>0</v>
      </c>
      <c r="FH106" s="82">
        <f t="shared" si="258"/>
        <v>0</v>
      </c>
      <c r="FI106" s="82">
        <f t="shared" si="259"/>
        <v>0</v>
      </c>
      <c r="FJ106" s="82">
        <f t="shared" si="260"/>
        <v>24200</v>
      </c>
      <c r="FK106" s="82">
        <f t="shared" si="261"/>
        <v>0</v>
      </c>
      <c r="FL106" s="82">
        <f t="shared" si="262"/>
        <v>0</v>
      </c>
      <c r="FM106" s="51">
        <v>0</v>
      </c>
      <c r="FN106" s="82">
        <v>0</v>
      </c>
      <c r="FO106" s="82">
        <f t="shared" si="159"/>
        <v>0</v>
      </c>
      <c r="FP106" s="82">
        <f t="shared" si="263"/>
        <v>1185.1709986320107</v>
      </c>
      <c r="FQ106" s="82">
        <f t="shared" si="264"/>
        <v>15721.72366621067</v>
      </c>
      <c r="FR106" s="82">
        <f t="shared" si="265"/>
        <v>0</v>
      </c>
      <c r="FS106" s="82">
        <f t="shared" si="266"/>
        <v>0</v>
      </c>
      <c r="FT106" s="82">
        <f t="shared" si="267"/>
        <v>0</v>
      </c>
      <c r="FV106" s="82">
        <f t="shared" si="160"/>
        <v>2.7639999999999998</v>
      </c>
      <c r="FW106" s="82">
        <f t="shared" si="161"/>
        <v>2.7639999999999998</v>
      </c>
      <c r="FX106" s="82">
        <f t="shared" si="162"/>
        <v>2.7639999999999998</v>
      </c>
      <c r="FY106" s="82">
        <f t="shared" si="163"/>
        <v>2.7639999999999998</v>
      </c>
      <c r="FZ106" s="82">
        <f t="shared" si="164"/>
        <v>2.7639999999999998</v>
      </c>
      <c r="GA106" s="82">
        <f t="shared" si="165"/>
        <v>2.7639999999999998</v>
      </c>
      <c r="GB106" s="82">
        <f t="shared" si="166"/>
        <v>2.7639999999999998</v>
      </c>
    </row>
    <row r="107" spans="2:184" x14ac:dyDescent="0.2">
      <c r="B107" s="402" t="str">
        <f>Key_New!D55</f>
        <v>–</v>
      </c>
      <c r="C107" s="394" t="str">
        <f>Key_New!B55</f>
        <v>ACME Marigold Urja Pvt Ltd (REMC)</v>
      </c>
      <c r="D107" s="395" t="str">
        <f>Key_New!E55</f>
        <v>FDRE</v>
      </c>
      <c r="E107" s="395" t="str">
        <f>Key_New!C55</f>
        <v>LoA Awarded</v>
      </c>
      <c r="F107" s="397">
        <f>Key_New!F55</f>
        <v>130</v>
      </c>
      <c r="G107" s="399">
        <f t="shared" si="145"/>
        <v>46295</v>
      </c>
      <c r="H107" s="399">
        <f>Key_New!O55</f>
        <v>47026</v>
      </c>
      <c r="I107" s="369">
        <f t="shared" si="167"/>
        <v>2029</v>
      </c>
      <c r="J107" s="367">
        <v>110</v>
      </c>
      <c r="K107" s="370">
        <f t="shared" si="168"/>
        <v>14300</v>
      </c>
      <c r="L107" s="368">
        <v>0.12</v>
      </c>
      <c r="M107" s="368">
        <v>0.25</v>
      </c>
      <c r="N107" s="404">
        <f>Key_New!J55</f>
        <v>4.3499999999999996</v>
      </c>
      <c r="O107" s="462">
        <f t="shared" si="147"/>
        <v>0</v>
      </c>
      <c r="P107" s="54">
        <f t="shared" si="292"/>
        <v>0</v>
      </c>
      <c r="Q107" s="54">
        <f t="shared" si="292"/>
        <v>0</v>
      </c>
      <c r="R107" s="54">
        <f t="shared" si="292"/>
        <v>0</v>
      </c>
      <c r="S107" s="54">
        <f t="shared" si="292"/>
        <v>0</v>
      </c>
      <c r="T107" s="54">
        <f t="shared" si="292"/>
        <v>0</v>
      </c>
      <c r="U107" s="54">
        <f t="shared" si="293"/>
        <v>182</v>
      </c>
      <c r="V107" s="54">
        <f t="shared" si="293"/>
        <v>365</v>
      </c>
      <c r="W107" s="54">
        <f>IF(OR(ISERROR(W$49-$H107),(W$49-$H107)&gt;=365),365,IF((W$49-$H107)&lt;=0,0,W$49-$H107))</f>
        <v>365</v>
      </c>
      <c r="Y107" s="54">
        <f t="shared" si="170"/>
        <v>0</v>
      </c>
      <c r="Z107" s="54">
        <f t="shared" si="171"/>
        <v>0</v>
      </c>
      <c r="AA107" s="54">
        <f t="shared" si="172"/>
        <v>0</v>
      </c>
      <c r="AB107" s="54">
        <f t="shared" si="294"/>
        <v>0</v>
      </c>
      <c r="AC107" s="54">
        <f t="shared" si="295"/>
        <v>0</v>
      </c>
      <c r="AD107" s="54">
        <f t="shared" si="296"/>
        <v>1</v>
      </c>
      <c r="AE107" s="54">
        <f t="shared" si="297"/>
        <v>2</v>
      </c>
      <c r="AF107" s="54">
        <f t="shared" si="297"/>
        <v>3</v>
      </c>
      <c r="AG107" s="444"/>
      <c r="AH107" s="48">
        <f t="shared" si="298"/>
        <v>0</v>
      </c>
      <c r="AI107" s="48">
        <f t="shared" si="299"/>
        <v>0</v>
      </c>
      <c r="AJ107" s="48">
        <f t="shared" si="300"/>
        <v>0</v>
      </c>
      <c r="AK107" s="48">
        <f t="shared" si="301"/>
        <v>0</v>
      </c>
      <c r="AL107" s="48">
        <f t="shared" si="302"/>
        <v>130</v>
      </c>
      <c r="AM107" s="48">
        <f t="shared" si="182"/>
        <v>130</v>
      </c>
      <c r="AN107" s="48">
        <f t="shared" si="183"/>
        <v>130</v>
      </c>
      <c r="AP107" s="61">
        <v>0.4</v>
      </c>
      <c r="AQ107" s="61">
        <v>0.4</v>
      </c>
      <c r="AR107" s="61">
        <v>0.4</v>
      </c>
      <c r="AS107" s="61">
        <v>0.4</v>
      </c>
      <c r="AT107" s="61">
        <v>0.4</v>
      </c>
      <c r="AU107" s="61">
        <v>0.4</v>
      </c>
      <c r="AV107" s="61">
        <v>0.4</v>
      </c>
      <c r="AX107" s="52">
        <f t="shared" si="303"/>
        <v>0</v>
      </c>
      <c r="AY107" s="52">
        <f t="shared" si="304"/>
        <v>0</v>
      </c>
      <c r="AZ107" s="52">
        <f t="shared" si="305"/>
        <v>0</v>
      </c>
      <c r="BA107" s="52">
        <f t="shared" si="306"/>
        <v>0</v>
      </c>
      <c r="BB107" s="52">
        <f t="shared" si="307"/>
        <v>227.29157260273973</v>
      </c>
      <c r="BC107" s="52">
        <f t="shared" si="189"/>
        <v>455.83199999999999</v>
      </c>
      <c r="BD107" s="52">
        <f t="shared" si="190"/>
        <v>455.83199999999999</v>
      </c>
      <c r="BE107" s="57">
        <v>0.2</v>
      </c>
      <c r="BF107" s="52">
        <f t="shared" si="308"/>
        <v>0</v>
      </c>
      <c r="BG107" s="82">
        <f t="shared" si="309"/>
        <v>0</v>
      </c>
      <c r="BH107" s="82">
        <f t="shared" si="310"/>
        <v>0</v>
      </c>
      <c r="BI107" s="52">
        <f t="shared" si="311"/>
        <v>0</v>
      </c>
      <c r="BJ107" s="52">
        <f t="shared" si="312"/>
        <v>228.1731506849315</v>
      </c>
      <c r="BK107" s="52">
        <f t="shared" si="196"/>
        <v>457.6</v>
      </c>
      <c r="BL107" s="52">
        <f t="shared" si="197"/>
        <v>457.6</v>
      </c>
      <c r="BM107" s="297">
        <v>0.04</v>
      </c>
      <c r="BN107" s="69">
        <f t="shared" si="268"/>
        <v>0</v>
      </c>
      <c r="BO107" s="69">
        <f t="shared" si="269"/>
        <v>0</v>
      </c>
      <c r="BP107" s="69">
        <f t="shared" si="270"/>
        <v>0</v>
      </c>
      <c r="BQ107" s="69">
        <f t="shared" si="271"/>
        <v>0</v>
      </c>
      <c r="BR107" s="69">
        <f t="shared" si="272"/>
        <v>285.21643835616436</v>
      </c>
      <c r="BS107" s="69">
        <f t="shared" si="203"/>
        <v>572</v>
      </c>
      <c r="BT107" s="69">
        <f t="shared" si="204"/>
        <v>572</v>
      </c>
      <c r="BV107" s="52">
        <f t="shared" ref="BV107:CB107" si="335">IF(AND($H107&gt;BU$49,$H107&lt;=BV$49),IF($G107&gt;BU$49,$H107-$G107,$H107-BU$49),IF($H107&lt;=BU$49,0,IF(AND($G107&gt;BU$49,$G107&lt;=BV$49),BV$49-$G107,IF($G107&gt;BV$49,0,BV$49-BU$49))))</f>
        <v>0</v>
      </c>
      <c r="BW107" s="52">
        <f t="shared" si="335"/>
        <v>0</v>
      </c>
      <c r="BX107" s="52">
        <f t="shared" si="335"/>
        <v>182</v>
      </c>
      <c r="BY107" s="52">
        <f t="shared" si="335"/>
        <v>366</v>
      </c>
      <c r="BZ107" s="52">
        <f t="shared" si="335"/>
        <v>183</v>
      </c>
      <c r="CA107" s="52">
        <f t="shared" si="335"/>
        <v>0</v>
      </c>
      <c r="CB107" s="52">
        <f t="shared" si="335"/>
        <v>0</v>
      </c>
      <c r="CC107" s="107">
        <v>0</v>
      </c>
      <c r="CD107" s="61">
        <v>0</v>
      </c>
      <c r="CE107" s="61">
        <f>IF(SUM($BX107:$CB107)=0,0,BX107/SUM($BX107:$CB107)*(1-$O107))-20%</f>
        <v>4.8974008207934322E-2</v>
      </c>
      <c r="CF107" s="61">
        <f>IF(SUM($BX107:$CB107)=0,0,BY107/SUM($BX107:$CB107)*(1-$O107))+10%</f>
        <v>0.60068399452804377</v>
      </c>
      <c r="CG107" s="61">
        <f>IF(SUM($BX107:$CB107)=0,0,BZ107/SUM($BX107:$CB107)*(1-$O107))+10%</f>
        <v>0.35034199726402193</v>
      </c>
      <c r="CH107" s="61">
        <f t="shared" si="149"/>
        <v>0</v>
      </c>
      <c r="CI107" s="61">
        <f t="shared" si="150"/>
        <v>0</v>
      </c>
      <c r="CJ107" s="61">
        <f t="shared" si="151"/>
        <v>1</v>
      </c>
      <c r="CK107" s="4"/>
      <c r="CL107" s="54">
        <f t="shared" si="152"/>
        <v>0</v>
      </c>
      <c r="CM107" s="54">
        <f t="shared" si="153"/>
        <v>0</v>
      </c>
      <c r="CN107" s="54">
        <f t="shared" si="154"/>
        <v>700.32831737346078</v>
      </c>
      <c r="CO107" s="54">
        <f t="shared" si="155"/>
        <v>8589.7811217510261</v>
      </c>
      <c r="CP107" s="54">
        <f t="shared" si="156"/>
        <v>5009.890560875514</v>
      </c>
      <c r="CQ107" s="54">
        <f t="shared" si="157"/>
        <v>0</v>
      </c>
      <c r="CR107" s="54">
        <f t="shared" si="158"/>
        <v>0</v>
      </c>
      <c r="CT107" s="54">
        <f t="shared" si="314"/>
        <v>0</v>
      </c>
      <c r="CU107" s="54">
        <f t="shared" si="315"/>
        <v>0</v>
      </c>
      <c r="CV107" s="54">
        <f t="shared" si="316"/>
        <v>140.06566347469217</v>
      </c>
      <c r="CW107" s="54">
        <f t="shared" si="317"/>
        <v>1717.9562243502053</v>
      </c>
      <c r="CX107" s="54">
        <f t="shared" si="318"/>
        <v>1001.9781121751029</v>
      </c>
      <c r="CY107" s="54">
        <f t="shared" si="212"/>
        <v>0</v>
      </c>
      <c r="CZ107" s="54">
        <f t="shared" si="213"/>
        <v>0</v>
      </c>
      <c r="DB107" s="54">
        <f t="shared" si="319"/>
        <v>0</v>
      </c>
      <c r="DC107" s="54">
        <f t="shared" si="320"/>
        <v>0</v>
      </c>
      <c r="DD107" s="54">
        <f t="shared" si="321"/>
        <v>560.26265389876858</v>
      </c>
      <c r="DE107" s="54">
        <f t="shared" si="322"/>
        <v>6871.8248974008211</v>
      </c>
      <c r="DF107" s="54">
        <f t="shared" si="323"/>
        <v>4007.912448700411</v>
      </c>
      <c r="DG107" s="54">
        <f t="shared" si="219"/>
        <v>0</v>
      </c>
      <c r="DH107" s="54">
        <f t="shared" si="220"/>
        <v>0</v>
      </c>
      <c r="DJ107" s="54">
        <f t="shared" si="324"/>
        <v>0</v>
      </c>
      <c r="DK107" s="54">
        <f t="shared" si="325"/>
        <v>0</v>
      </c>
      <c r="DL107" s="54">
        <f t="shared" si="326"/>
        <v>0</v>
      </c>
      <c r="DM107" s="54">
        <f t="shared" si="327"/>
        <v>0</v>
      </c>
      <c r="DN107" s="54">
        <f t="shared" si="328"/>
        <v>0</v>
      </c>
      <c r="DO107" s="54">
        <f t="shared" si="226"/>
        <v>457.6</v>
      </c>
      <c r="DP107" s="54">
        <f t="shared" si="227"/>
        <v>457.6</v>
      </c>
      <c r="DR107" s="54">
        <f>+IF(Z107&gt;0,$K107*(1-$BE107)-SUM($DJ107:DJ107),DB107)</f>
        <v>0</v>
      </c>
      <c r="DS107" s="54">
        <f>+IF(AA107&gt;0,$K107*(1-$BE107)-SUM($DJ107:DK107),DC107)</f>
        <v>0</v>
      </c>
      <c r="DT107" s="54">
        <f>+IF(AB107&gt;0,$K107*(1-$BE107)-SUM($DJ107:DL107),DD107)</f>
        <v>560.26265389876858</v>
      </c>
      <c r="DU107" s="54">
        <f>+IF(AC107&gt;0,$K107*(1-$BE107)-SUM($DJ107:DM107),DE107)</f>
        <v>6871.8248974008211</v>
      </c>
      <c r="DV107" s="54">
        <f>+IF(AD107&gt;0,$K107*(1-$BE107)-SUM($DJ107:DN107),DF107)</f>
        <v>11440</v>
      </c>
      <c r="DW107" s="54">
        <f>+IF(AE107&gt;0,$K107*(1-$BE107)-SUM($DJ107:DO107),DG107)</f>
        <v>10982.4</v>
      </c>
      <c r="DX107" s="54">
        <f>+IF(AF107&gt;0,$K107*(1-$BE107)-SUM($DJ107:DP107),DH107)</f>
        <v>10524.8</v>
      </c>
      <c r="DZ107" s="54">
        <f t="shared" si="329"/>
        <v>0</v>
      </c>
      <c r="EA107" s="54">
        <f t="shared" si="330"/>
        <v>0</v>
      </c>
      <c r="EB107" s="54">
        <f t="shared" si="331"/>
        <v>0</v>
      </c>
      <c r="EC107" s="54">
        <f t="shared" si="332"/>
        <v>0</v>
      </c>
      <c r="ED107" s="54">
        <f t="shared" si="333"/>
        <v>570.43287671232872</v>
      </c>
      <c r="EE107" s="54">
        <f t="shared" si="233"/>
        <v>1098.24</v>
      </c>
      <c r="EF107" s="54">
        <f t="shared" si="234"/>
        <v>0</v>
      </c>
      <c r="EH107" s="54">
        <f t="shared" si="235"/>
        <v>0</v>
      </c>
      <c r="EI107" s="54">
        <f t="shared" si="236"/>
        <v>0</v>
      </c>
      <c r="EJ107" s="54">
        <f t="shared" si="237"/>
        <v>0</v>
      </c>
      <c r="EK107" s="54">
        <f t="shared" si="238"/>
        <v>0</v>
      </c>
      <c r="EL107" s="54">
        <f t="shared" si="239"/>
        <v>0</v>
      </c>
      <c r="EM107" s="54">
        <f t="shared" si="240"/>
        <v>0</v>
      </c>
      <c r="EN107" s="54">
        <f t="shared" si="241"/>
        <v>0</v>
      </c>
      <c r="EP107" s="52">
        <f t="shared" ca="1" si="242"/>
        <v>0</v>
      </c>
      <c r="EQ107" s="52">
        <f t="shared" ca="1" si="243"/>
        <v>0</v>
      </c>
      <c r="ER107" s="52">
        <f t="shared" ca="1" si="244"/>
        <v>0</v>
      </c>
      <c r="ES107" s="52">
        <f t="shared" ca="1" si="245"/>
        <v>0</v>
      </c>
      <c r="ET107" s="52">
        <f t="shared" ca="1" si="246"/>
        <v>0</v>
      </c>
      <c r="EU107" s="52">
        <f t="shared" ca="1" si="247"/>
        <v>0</v>
      </c>
      <c r="EV107" s="52">
        <f t="shared" ca="1" si="248"/>
        <v>0</v>
      </c>
      <c r="EX107" s="52">
        <f t="shared" ca="1" si="249"/>
        <v>0</v>
      </c>
      <c r="EY107" s="52">
        <f t="shared" ca="1" si="250"/>
        <v>0</v>
      </c>
      <c r="EZ107" s="52">
        <f t="shared" ca="1" si="251"/>
        <v>0</v>
      </c>
      <c r="FA107" s="52">
        <f t="shared" ca="1" si="252"/>
        <v>0</v>
      </c>
      <c r="FB107" s="52">
        <f t="shared" ca="1" si="253"/>
        <v>1083.8224657534247</v>
      </c>
      <c r="FC107" s="52">
        <f t="shared" ca="1" si="254"/>
        <v>2127.84</v>
      </c>
      <c r="FD107" s="52">
        <f t="shared" ca="1" si="255"/>
        <v>1029.5999999999999</v>
      </c>
      <c r="FF107" s="82">
        <f t="shared" si="256"/>
        <v>0</v>
      </c>
      <c r="FG107" s="82">
        <f t="shared" si="257"/>
        <v>0</v>
      </c>
      <c r="FH107" s="82">
        <f t="shared" si="258"/>
        <v>0</v>
      </c>
      <c r="FI107" s="82">
        <f t="shared" si="259"/>
        <v>0</v>
      </c>
      <c r="FJ107" s="82">
        <f t="shared" si="260"/>
        <v>14300</v>
      </c>
      <c r="FK107" s="82">
        <f t="shared" si="261"/>
        <v>0</v>
      </c>
      <c r="FL107" s="82">
        <f t="shared" si="262"/>
        <v>0</v>
      </c>
      <c r="FM107" s="51">
        <v>0</v>
      </c>
      <c r="FN107" s="82">
        <v>0</v>
      </c>
      <c r="FO107" s="82">
        <f t="shared" si="159"/>
        <v>0</v>
      </c>
      <c r="FP107" s="82">
        <f t="shared" si="263"/>
        <v>700.32831737346078</v>
      </c>
      <c r="FQ107" s="82">
        <f t="shared" si="264"/>
        <v>9290.1094391244878</v>
      </c>
      <c r="FR107" s="82">
        <f t="shared" si="265"/>
        <v>0</v>
      </c>
      <c r="FS107" s="82">
        <f t="shared" si="266"/>
        <v>0</v>
      </c>
      <c r="FT107" s="82">
        <f t="shared" si="267"/>
        <v>0</v>
      </c>
      <c r="FV107" s="82">
        <f t="shared" si="160"/>
        <v>4.3499999999999996</v>
      </c>
      <c r="FW107" s="82">
        <f t="shared" si="161"/>
        <v>4.3499999999999996</v>
      </c>
      <c r="FX107" s="82">
        <f t="shared" si="162"/>
        <v>4.3499999999999996</v>
      </c>
      <c r="FY107" s="82">
        <f t="shared" si="163"/>
        <v>4.3499999999999996</v>
      </c>
      <c r="FZ107" s="82">
        <f t="shared" si="164"/>
        <v>4.3499999999999996</v>
      </c>
      <c r="GA107" s="82">
        <f t="shared" si="165"/>
        <v>4.3499999999999996</v>
      </c>
      <c r="GB107" s="82">
        <f t="shared" si="166"/>
        <v>4.3499999999999996</v>
      </c>
    </row>
    <row r="108" spans="2:184" x14ac:dyDescent="0.2">
      <c r="B108" s="402" t="str">
        <f>Key_New!D56</f>
        <v>Rajasthan</v>
      </c>
      <c r="C108" s="394" t="str">
        <f>Key_New!B56</f>
        <v>BESS — Bhadla-II (Ph I)</v>
      </c>
      <c r="D108" s="395" t="str">
        <f>Key_New!E56</f>
        <v>BESS</v>
      </c>
      <c r="E108" s="395" t="str">
        <f>Key_New!C56</f>
        <v>Operational</v>
      </c>
      <c r="F108" s="397">
        <f>Key_New!G56</f>
        <v>1324</v>
      </c>
      <c r="G108" s="399">
        <f t="shared" si="145"/>
        <v>46112</v>
      </c>
      <c r="H108" s="399">
        <f>Key_New!O56</f>
        <v>46112</v>
      </c>
      <c r="I108" s="369">
        <f t="shared" si="167"/>
        <v>2026</v>
      </c>
      <c r="J108" s="367">
        <v>0</v>
      </c>
      <c r="K108" s="370">
        <f t="shared" si="168"/>
        <v>0</v>
      </c>
      <c r="L108" s="368">
        <v>0.12</v>
      </c>
      <c r="M108" s="368">
        <v>0.25</v>
      </c>
      <c r="N108" s="404"/>
      <c r="O108" s="462">
        <f t="shared" si="147"/>
        <v>0</v>
      </c>
      <c r="P108" s="54">
        <f t="shared" ref="P108:W123" si="336">IF(OR(ISERROR(P$49-$H108),(P$49-$H108)&gt;=365),365,IF((P$49-$H108)&lt;=0,0,P$49-$H108))</f>
        <v>0</v>
      </c>
      <c r="Q108" s="54">
        <f t="shared" si="336"/>
        <v>0</v>
      </c>
      <c r="R108" s="54">
        <f t="shared" si="336"/>
        <v>0</v>
      </c>
      <c r="S108" s="54">
        <f t="shared" si="336"/>
        <v>365</v>
      </c>
      <c r="T108" s="54">
        <f t="shared" si="336"/>
        <v>365</v>
      </c>
      <c r="U108" s="54">
        <f t="shared" si="293"/>
        <v>365</v>
      </c>
      <c r="V108" s="54">
        <f t="shared" si="293"/>
        <v>365</v>
      </c>
      <c r="W108" s="54">
        <f t="shared" si="336"/>
        <v>365</v>
      </c>
      <c r="Y108" s="54">
        <f t="shared" ref="Y108:Y119" si="337">IF(AND(O108=0,P108&gt;0),1,IF(X108=0,0,X108+1))</f>
        <v>0</v>
      </c>
      <c r="Z108" s="54">
        <f t="shared" ref="Z108:Z119" si="338">IF(AND(P108=0,Q108&gt;0),1,IF(Y108=0,0,Y108+1))</f>
        <v>0</v>
      </c>
      <c r="AA108" s="54">
        <f t="shared" ref="AA108:AA119" si="339">IF(AND(Q108=0,R108&gt;0),1,IF(Z108=0,0,Z108+1))</f>
        <v>0</v>
      </c>
      <c r="AB108" s="54">
        <f t="shared" ref="AB108:AB119" si="340">IF(AND(R108=0,S108&gt;0),1,IF(AA108=0,0,AA108+1))</f>
        <v>1</v>
      </c>
      <c r="AC108" s="54">
        <f t="shared" ref="AC108:AC119" si="341">IF(AND(S108=0,T108&gt;0),1,IF(AB108=0,0,AB108+1))</f>
        <v>2</v>
      </c>
      <c r="AD108" s="54">
        <f t="shared" ref="AD108:AD119" si="342">IF(AND(T108=0,U108&gt;0),1,IF(AC108=0,0,AC108+1))</f>
        <v>3</v>
      </c>
      <c r="AE108" s="54">
        <f t="shared" ref="AE108:AE119" si="343">IF(AND(U108=0,V108&gt;0),1,IF(AD108=0,0,AD108+1))</f>
        <v>4</v>
      </c>
      <c r="AF108" s="54">
        <f t="shared" ref="AF108:AF119" si="344">IF(AND(V108=0,W108&gt;0),1,IF(AE108=0,0,AE108+1))</f>
        <v>5</v>
      </c>
      <c r="AG108" s="444"/>
      <c r="AH108" s="48">
        <f t="shared" ref="AH108:AH119" si="345">IF(AND(P108&lt;=0,Q108&gt;0),$F108,IF(P108&gt;0,$F108,0))</f>
        <v>0</v>
      </c>
      <c r="AI108" s="48">
        <f t="shared" ref="AI108:AI119" si="346">IF(AND(Q108&lt;=0,R108&gt;0),$F108,IF(Q108&gt;0,$F108,0))</f>
        <v>0</v>
      </c>
      <c r="AJ108" s="48">
        <f t="shared" ref="AJ108:AJ119" si="347">IF(AND(R108&lt;=0,S108&gt;0),$F108,IF(R108&gt;0,$F108,0))</f>
        <v>1324</v>
      </c>
      <c r="AK108" s="48">
        <f t="shared" ref="AK108:AK119" si="348">IF(AND(S108&lt;=0,T108&gt;0),$F108,IF(S108&gt;0,$F108,0))</f>
        <v>1324</v>
      </c>
      <c r="AL108" s="48">
        <f t="shared" ref="AL108:AL119" si="349">IF(AND(T108&lt;=0,U108&gt;0),$F108,IF(T108&gt;0,$F108,0))</f>
        <v>1324</v>
      </c>
      <c r="AM108" s="48">
        <f t="shared" ref="AM108:AM119" si="350">IF(AND(U108&lt;=0,V108&gt;0),$F108,IF(U108&gt;0,$F108,0))</f>
        <v>1324</v>
      </c>
      <c r="AN108" s="48">
        <f t="shared" ref="AN108:AN119" si="351">IF(AND(V108&lt;=0,W108&gt;0),$F108,IF(V108&gt;0,$F108,0))</f>
        <v>1324</v>
      </c>
      <c r="AP108" s="61">
        <v>3.8362500000000008E-2</v>
      </c>
      <c r="AQ108" s="61">
        <v>3.8362500000000008E-2</v>
      </c>
      <c r="AR108" s="61">
        <v>3.8362500000000008E-2</v>
      </c>
      <c r="AS108" s="61">
        <v>3.8362500000000008E-2</v>
      </c>
      <c r="AT108" s="61">
        <v>3.8362500000000008E-2</v>
      </c>
      <c r="AU108" s="61">
        <v>3.8362500000000008E-2</v>
      </c>
      <c r="AV108" s="61">
        <v>3.8362500000000008E-2</v>
      </c>
      <c r="AX108" s="52">
        <f t="shared" ref="AX108:AX119" si="352">$F108*8.766*AP108*(Q108/365)</f>
        <v>0</v>
      </c>
      <c r="AY108" s="52">
        <f t="shared" ref="AY108:AY119" si="353">$F108*8.766*AQ108*(R108/365)</f>
        <v>0</v>
      </c>
      <c r="AZ108" s="52">
        <f t="shared" ref="AZ108:AZ119" si="354">$F108*8.766*AR108*(S108/365)</f>
        <v>445.24223370000004</v>
      </c>
      <c r="BA108" s="52">
        <f t="shared" ref="BA108:BA119" si="355">$F108*8.766*AS108*(T108/365)</f>
        <v>445.24223370000004</v>
      </c>
      <c r="BB108" s="52">
        <f t="shared" ref="BB108:BB119" si="356">$F108*8.766*AT108*(U108/365)</f>
        <v>445.24223370000004</v>
      </c>
      <c r="BC108" s="52">
        <f t="shared" ref="BC108:BC119" si="357">$F108*8.766*AU108*(V108/365)</f>
        <v>445.24223370000004</v>
      </c>
      <c r="BD108" s="52">
        <f t="shared" ref="BD108:BD119" si="358">$F108*8.766*AV108*(W108/365)</f>
        <v>445.24223370000004</v>
      </c>
      <c r="BE108" s="57">
        <v>0.2</v>
      </c>
      <c r="BF108" s="52">
        <f t="shared" ref="BF108:BF119" si="359">$BE108*$K108*(Q108/365)*($L108/(1-$M108))</f>
        <v>0</v>
      </c>
      <c r="BG108" s="82">
        <f t="shared" ref="BG108:BG119" si="360">$BE108*$K108*(R108/365)*($L108/(1-$M108))</f>
        <v>0</v>
      </c>
      <c r="BH108" s="82">
        <f t="shared" ref="BH108:BH119" si="361">$BE108*$K108*(S108/365)*($L108/(1-$M108))</f>
        <v>0</v>
      </c>
      <c r="BI108" s="52">
        <f t="shared" ref="BI108:BI119" si="362">$BE108*$K108*(T108/365)*($L108/(1-$M108))</f>
        <v>0</v>
      </c>
      <c r="BJ108" s="52">
        <f t="shared" ref="BJ108:BJ119" si="363">$BE108*$K108*(U108/365)*($L108/(1-$M108))</f>
        <v>0</v>
      </c>
      <c r="BK108" s="52">
        <f t="shared" ref="BK108:BK119" si="364">$BE108*$K108*(V108/365)*($L108/(1-$M108))</f>
        <v>0</v>
      </c>
      <c r="BL108" s="52">
        <f t="shared" ref="BL108:BL119" si="365">$BE108*$K108*(W108/365)*($L108/(1-$M108))</f>
        <v>0</v>
      </c>
      <c r="BM108" s="297">
        <f t="shared" ref="BM108:BM133" si="366">1/$S$17</f>
        <v>0.05</v>
      </c>
      <c r="BN108" s="69">
        <f t="shared" ref="BN108:BN119" si="367">$BM108*$K108*(Q108/365)</f>
        <v>0</v>
      </c>
      <c r="BO108" s="69">
        <f t="shared" ref="BO108:BO119" si="368">($BM108*$K108*(R108/365))</f>
        <v>0</v>
      </c>
      <c r="BP108" s="69">
        <f t="shared" ref="BP108:BP119" si="369">$BM108*$K108*(S108/365)</f>
        <v>0</v>
      </c>
      <c r="BQ108" s="69">
        <f t="shared" ref="BQ108:BQ119" si="370">$BM108*$K108*(T108/365)</f>
        <v>0</v>
      </c>
      <c r="BR108" s="69">
        <f t="shared" ref="BR108:BR119" si="371">$BM108*$K108*(U108/365)</f>
        <v>0</v>
      </c>
      <c r="BS108" s="69">
        <f t="shared" ref="BS108:BS119" si="372">$BM108*$K108*(V108/365)</f>
        <v>0</v>
      </c>
      <c r="BT108" s="69">
        <f t="shared" ref="BT108:BT119" si="373">$BM108*$K108*(W108/365)</f>
        <v>0</v>
      </c>
      <c r="BV108" s="52">
        <f t="shared" ref="BV108:BV119" si="374">IF(AND($H108&gt;BU$49,$H108&lt;=BV$49),IF($G108&gt;BU$49,$H108-$G108,$H108-BU$49),IF($H108&lt;=BU$49,0,IF(AND($G108&gt;BU$49,$G108&lt;=BV$49),BV$49-$G108,IF($G108&gt;BV$49,0,BV$49-BU$49))))</f>
        <v>0</v>
      </c>
      <c r="BW108" s="52">
        <f t="shared" ref="BW108:BW119" si="375">IF(AND($H108&gt;BV$49,$H108&lt;=BW$49),IF($G108&gt;BV$49,$H108-$G108,$H108-BV$49),IF($H108&lt;=BV$49,0,IF(AND($G108&gt;BV$49,$G108&lt;=BW$49),BW$49-$G108,IF($G108&gt;BW$49,0,BW$49-BV$49))))</f>
        <v>0</v>
      </c>
      <c r="BX108" s="52">
        <f t="shared" ref="BX108:BX119" si="376">IF(AND($H108&gt;BW$49,$H108&lt;=BX$49),IF($G108&gt;BW$49,$H108-$G108,$H108-BW$49),IF($H108&lt;=BW$49,0,IF(AND($G108&gt;BW$49,$G108&lt;=BX$49),BX$49-$G108,IF($G108&gt;BX$49,0,BX$49-BW$49))))</f>
        <v>0</v>
      </c>
      <c r="BY108" s="52">
        <f t="shared" ref="BY108:BY119" si="377">IF(AND($H108&gt;BX$49,$H108&lt;=BY$49),IF($G108&gt;BX$49,$H108-$G108,$H108-BX$49),IF($H108&lt;=BX$49,0,IF(AND($G108&gt;BX$49,$G108&lt;=BY$49),BY$49-$G108,IF($G108&gt;BY$49,0,BY$49-BX$49))))</f>
        <v>0</v>
      </c>
      <c r="BZ108" s="52">
        <f t="shared" ref="BZ108:BZ119" si="378">IF(AND($H108&gt;BY$49,$H108&lt;=BZ$49),IF($G108&gt;BY$49,$H108-$G108,$H108-BY$49),IF($H108&lt;=BY$49,0,IF(AND($G108&gt;BY$49,$G108&lt;=BZ$49),BZ$49-$G108,IF($G108&gt;BZ$49,0,BZ$49-BY$49))))</f>
        <v>0</v>
      </c>
      <c r="CA108" s="52">
        <f t="shared" ref="CA108:CA119" si="379">IF(AND($H108&gt;BZ$49,$H108&lt;=CA$49),IF($G108&gt;BZ$49,$H108-$G108,$H108-BZ$49),IF($H108&lt;=BZ$49,0,IF(AND($G108&gt;BZ$49,$G108&lt;=CA$49),CA$49-$G108,IF($G108&gt;CA$49,0,CA$49-BZ$49))))</f>
        <v>0</v>
      </c>
      <c r="CB108" s="52">
        <f t="shared" ref="CB108:CB119" si="380">IF(AND($H108&gt;CA$49,$H108&lt;=CB$49),IF($G108&gt;CA$49,$H108-$G108,$H108-CA$49),IF($H108&lt;=CA$49,0,IF(AND($G108&gt;CA$49,$G108&lt;=CB$49),CB$49-$G108,IF($G108&gt;CB$49,0,CB$49-CA$49))))</f>
        <v>0</v>
      </c>
      <c r="CC108" s="107">
        <v>0</v>
      </c>
      <c r="CD108" s="61">
        <v>0</v>
      </c>
      <c r="CE108" s="61">
        <f t="shared" ref="CE108:CE119" si="381">IF(SUM($BX108:$CB108)=0,0,BX108/SUM($BX108:$CB108)*(1-$O108))</f>
        <v>0</v>
      </c>
      <c r="CF108" s="61">
        <f t="shared" ref="CF108:CF119" si="382">IF(SUM($BX108:$CB108)=0,0,BY108/SUM($BX108:$CB108)*(1-$O108))</f>
        <v>0</v>
      </c>
      <c r="CG108" s="61">
        <f t="shared" ref="CG108:CG119" si="383">IF(SUM($BX108:$CB108)=0,0,BZ108/SUM($BX108:$CB108)*(1-$O108))</f>
        <v>0</v>
      </c>
      <c r="CH108" s="61">
        <f t="shared" si="149"/>
        <v>0</v>
      </c>
      <c r="CI108" s="61">
        <f t="shared" si="150"/>
        <v>0</v>
      </c>
      <c r="CJ108" s="61">
        <f t="shared" si="151"/>
        <v>0</v>
      </c>
      <c r="CK108" s="4"/>
      <c r="CL108" s="54">
        <f t="shared" si="152"/>
        <v>0</v>
      </c>
      <c r="CM108" s="54">
        <f t="shared" si="153"/>
        <v>0</v>
      </c>
      <c r="CN108" s="54">
        <f t="shared" si="154"/>
        <v>0</v>
      </c>
      <c r="CO108" s="54">
        <f t="shared" si="155"/>
        <v>0</v>
      </c>
      <c r="CP108" s="54">
        <f t="shared" si="156"/>
        <v>0</v>
      </c>
      <c r="CQ108" s="54">
        <f t="shared" si="157"/>
        <v>0</v>
      </c>
      <c r="CR108" s="54">
        <f t="shared" si="158"/>
        <v>0</v>
      </c>
      <c r="CT108" s="54">
        <f t="shared" ref="CT108:CT119" si="384">$BE108*CL108</f>
        <v>0</v>
      </c>
      <c r="CU108" s="54">
        <f t="shared" ref="CU108:CU119" si="385">$BE108*CM108</f>
        <v>0</v>
      </c>
      <c r="CV108" s="54">
        <f t="shared" ref="CV108:CV119" si="386">$BE108*CN108</f>
        <v>0</v>
      </c>
      <c r="CW108" s="54">
        <f t="shared" ref="CW108:CW119" si="387">$BE108*CO108</f>
        <v>0</v>
      </c>
      <c r="CX108" s="54">
        <f t="shared" ref="CX108:CX119" si="388">$BE108*CP108</f>
        <v>0</v>
      </c>
      <c r="CY108" s="54">
        <f t="shared" ref="CY108:CY119" si="389">$BE108*CQ108</f>
        <v>0</v>
      </c>
      <c r="CZ108" s="54">
        <f t="shared" si="213"/>
        <v>0</v>
      </c>
      <c r="DB108" s="54">
        <f t="shared" ref="DB108:DB119" si="390">CL108-CT108</f>
        <v>0</v>
      </c>
      <c r="DC108" s="54">
        <f t="shared" ref="DC108:DC119" si="391">CM108-CU108</f>
        <v>0</v>
      </c>
      <c r="DD108" s="54">
        <f t="shared" ref="DD108:DD119" si="392">CN108-CV108</f>
        <v>0</v>
      </c>
      <c r="DE108" s="54">
        <f t="shared" ref="DE108:DE119" si="393">CO108-CW108</f>
        <v>0</v>
      </c>
      <c r="DF108" s="54">
        <f t="shared" ref="DF108:DF119" si="394">CP108-CX108</f>
        <v>0</v>
      </c>
      <c r="DG108" s="54">
        <f t="shared" ref="DG108:DG119" si="395">CQ108-CY108</f>
        <v>0</v>
      </c>
      <c r="DH108" s="54">
        <f t="shared" si="220"/>
        <v>0</v>
      </c>
      <c r="DJ108" s="54">
        <f t="shared" ref="DJ108:DJ119" si="396">IF(Z108&lt;=26,IF(AND(P108=0,Q108&gt;0),0,IF(Q108&gt;0,($K108*(1-$BE108))/25,0)),0)</f>
        <v>0</v>
      </c>
      <c r="DK108" s="54">
        <f t="shared" ref="DK108:DK119" si="397">IF(AA108&lt;=26,IF(AND(Q108=0,R108&gt;0),0,IF(R108&gt;0,($K108*(1-$BE108))/25,0)),0)</f>
        <v>0</v>
      </c>
      <c r="DL108" s="54">
        <f t="shared" ref="DL108:DL119" si="398">IF(AB108&lt;=26,IF(AND(R108=0,S108&gt;0),0,IF(S108&gt;0,($K108*(1-$BE108))/25,0)),0)</f>
        <v>0</v>
      </c>
      <c r="DM108" s="54">
        <f t="shared" ref="DM108:DM119" si="399">IF(AC108&lt;=26,IF(AND(S108=0,T108&gt;0),0,IF(T108&gt;0,($K108*(1-$BE108))/25,0)),0)</f>
        <v>0</v>
      </c>
      <c r="DN108" s="54">
        <f t="shared" ref="DN108:DN119" si="400">IF(AD108&lt;=26,IF(AND(T108=0,U108&gt;0),0,IF(U108&gt;0,($K108*(1-$BE108))/25,0)),0)</f>
        <v>0</v>
      </c>
      <c r="DO108" s="54">
        <f t="shared" ref="DO108:DO119" si="401">IF(AE108&lt;=26,IF(AND(U108=0,V108&gt;0),0,IF(V108&gt;0,($K108*(1-$BE108))/25,0)),0)</f>
        <v>0</v>
      </c>
      <c r="DP108" s="54">
        <f t="shared" ref="DP108:DP119" si="402">IF(AF108&lt;=26,IF(AND(V108=0,W108&gt;0),0,IF(W108&gt;0,($K108*(1-$BE108))/25,0)),0)</f>
        <v>0</v>
      </c>
      <c r="DR108" s="54">
        <f>+IF(Z108&gt;0,$K108*(1-$BE108)-SUM($DJ108:DJ108),DB108)</f>
        <v>0</v>
      </c>
      <c r="DS108" s="54">
        <f>+IF(AA108&gt;0,$K108*(1-$BE108)-SUM($DJ108:DK108),DC108)</f>
        <v>0</v>
      </c>
      <c r="DT108" s="54">
        <f>+IF(AB108&gt;0,$K108*(1-$BE108)-SUM($DJ108:DL108),DD108)</f>
        <v>0</v>
      </c>
      <c r="DU108" s="54">
        <f>+IF(AC108&gt;0,$K108*(1-$BE108)-SUM($DJ108:DM108),DE108)</f>
        <v>0</v>
      </c>
      <c r="DV108" s="54">
        <f>+IF(AD108&gt;0,$K108*(1-$BE108)-SUM($DJ108:DN108),DF108)</f>
        <v>0</v>
      </c>
      <c r="DW108" s="54">
        <f>+IF(AE108&gt;0,$K108*(1-$BE108)-SUM($DJ108:DO108),DG108)</f>
        <v>0</v>
      </c>
      <c r="DX108" s="54">
        <f>+IF(AF108&gt;0,$K108*(1-$BE108)-SUM($DJ108:DP108),DH108)</f>
        <v>0</v>
      </c>
      <c r="DZ108" s="54">
        <f t="shared" ref="DZ108:DZ119" si="403">DR108*(DZ$51)*(Q108/365)</f>
        <v>0</v>
      </c>
      <c r="EA108" s="54">
        <f t="shared" ref="EA108:EA119" si="404">DS108*(EA$51)*(R108/365)</f>
        <v>0</v>
      </c>
      <c r="EB108" s="54">
        <f t="shared" ref="EB108:EB119" si="405">DT108*(EB$51)*(S108/365)</f>
        <v>0</v>
      </c>
      <c r="EC108" s="54">
        <f t="shared" ref="EC108:EC119" si="406">DU108*(EC$51)*(T108/365)</f>
        <v>0</v>
      </c>
      <c r="ED108" s="54">
        <f t="shared" ref="ED108:ED119" si="407">DV108*(ED$51)*(U108/365)</f>
        <v>0</v>
      </c>
      <c r="EE108" s="54">
        <f t="shared" ref="EE108:EE119" si="408">DW108*(EE$51)*(V108/365)</f>
        <v>0</v>
      </c>
      <c r="EF108" s="54">
        <f t="shared" ref="EF108:EF119" si="409">DY108*(EF$51)*(W108/365)</f>
        <v>0</v>
      </c>
      <c r="EH108" s="54">
        <f t="shared" ref="EH108:EH119" si="410">$F108*EH$24*(Q108/365)</f>
        <v>0</v>
      </c>
      <c r="EI108" s="54">
        <f t="shared" ref="EI108:EI119" si="411">$F108*EI$24*(R108/365)</f>
        <v>0</v>
      </c>
      <c r="EJ108" s="54">
        <f t="shared" ref="EJ108:EJ119" si="412">$F108*EJ$24*(S108/365)</f>
        <v>0</v>
      </c>
      <c r="EK108" s="54">
        <f t="shared" ref="EK108:EK119" si="413">$F108*EK$24*(T108/365)</f>
        <v>0</v>
      </c>
      <c r="EL108" s="54">
        <f t="shared" ref="EL108:EL119" si="414">$F108*EL$24*(U108/365)</f>
        <v>0</v>
      </c>
      <c r="EM108" s="54">
        <f t="shared" ref="EM108:EM119" si="415">$F108*EM$24*(V108/365)</f>
        <v>0</v>
      </c>
      <c r="EN108" s="54">
        <f t="shared" ref="EN108:EN119" si="416">$F108*EN$24*(W108/365)</f>
        <v>0</v>
      </c>
      <c r="EP108" s="52">
        <f t="shared" ca="1" si="242"/>
        <v>0</v>
      </c>
      <c r="EQ108" s="52">
        <f t="shared" ca="1" si="243"/>
        <v>0</v>
      </c>
      <c r="ER108" s="52">
        <f t="shared" ca="1" si="244"/>
        <v>0</v>
      </c>
      <c r="ES108" s="52">
        <f t="shared" ca="1" si="245"/>
        <v>0</v>
      </c>
      <c r="ET108" s="52">
        <f t="shared" ca="1" si="246"/>
        <v>0</v>
      </c>
      <c r="EU108" s="52">
        <f t="shared" ca="1" si="247"/>
        <v>0</v>
      </c>
      <c r="EV108" s="52">
        <f t="shared" ref="EV108:EV119" ca="1" si="417">(((1/12)+15%)*EO108+(45/365)*FD108)*EV$24</f>
        <v>0</v>
      </c>
      <c r="EX108" s="52">
        <f t="shared" ca="1" si="249"/>
        <v>0</v>
      </c>
      <c r="EY108" s="52">
        <f t="shared" ca="1" si="250"/>
        <v>0</v>
      </c>
      <c r="EZ108" s="52">
        <f t="shared" ca="1" si="251"/>
        <v>0</v>
      </c>
      <c r="FA108" s="52">
        <f t="shared" ca="1" si="252"/>
        <v>0</v>
      </c>
      <c r="FB108" s="52">
        <f t="shared" ca="1" si="253"/>
        <v>0</v>
      </c>
      <c r="FC108" s="52">
        <f t="shared" ca="1" si="254"/>
        <v>0</v>
      </c>
      <c r="FD108" s="52">
        <f t="shared" ca="1" si="255"/>
        <v>0</v>
      </c>
      <c r="FF108" s="82">
        <f t="shared" ref="FF108:FF119" si="418">IF(Z108=1,$K108,)</f>
        <v>0</v>
      </c>
      <c r="FG108" s="82">
        <f t="shared" ref="FG108:FG119" si="419">IF(AA108=1,$K108,)</f>
        <v>0</v>
      </c>
      <c r="FH108" s="82">
        <f t="shared" ref="FH108:FH119" si="420">IF(AB108=1,$K108,)</f>
        <v>0</v>
      </c>
      <c r="FI108" s="82">
        <f t="shared" ref="FI108:FI119" si="421">IF(AC108=1,$K108,)</f>
        <v>0</v>
      </c>
      <c r="FJ108" s="82">
        <f t="shared" ref="FJ108:FJ119" si="422">IF(AD108=1,$K108,)</f>
        <v>0</v>
      </c>
      <c r="FK108" s="82">
        <f t="shared" ref="FK108:FK119" si="423">IF(AE108=1,$K108,)</f>
        <v>0</v>
      </c>
      <c r="FL108" s="82">
        <f t="shared" ref="FL108:FL119" si="424">IF(AF108=1,$K108,)</f>
        <v>0</v>
      </c>
      <c r="FM108" s="51">
        <v>0</v>
      </c>
      <c r="FN108" s="82">
        <v>0</v>
      </c>
      <c r="FO108" s="82">
        <f t="shared" si="159"/>
        <v>0</v>
      </c>
      <c r="FP108" s="82">
        <f t="shared" ref="FP108:FP119" si="425">IF(AB108&lt;1,FO108+CN108,)</f>
        <v>0</v>
      </c>
      <c r="FQ108" s="82">
        <f t="shared" ref="FQ108:FQ119" si="426">IF(AC108&lt;1,FP108+CO108,)</f>
        <v>0</v>
      </c>
      <c r="FR108" s="82">
        <f t="shared" ref="FR108:FR119" si="427">IF(AD108&lt;1,FQ108+CP108,)</f>
        <v>0</v>
      </c>
      <c r="FS108" s="82">
        <f t="shared" ref="FS108:FS119" si="428">IF(AE108&lt;1,FR108+CQ108,)</f>
        <v>0</v>
      </c>
      <c r="FT108" s="82">
        <f t="shared" ref="FT108:FT119" si="429">IF(AF108&lt;1,FS108+CR108,)</f>
        <v>0</v>
      </c>
      <c r="FV108" s="82">
        <f t="shared" si="160"/>
        <v>9</v>
      </c>
      <c r="FW108" s="82">
        <f t="shared" si="161"/>
        <v>9</v>
      </c>
      <c r="FX108" s="82">
        <f t="shared" si="162"/>
        <v>9</v>
      </c>
      <c r="FY108" s="82">
        <f t="shared" si="163"/>
        <v>1.9804590249049414</v>
      </c>
      <c r="FZ108" s="82">
        <f t="shared" si="164"/>
        <v>1.9804590249049414</v>
      </c>
      <c r="GA108" s="82">
        <f t="shared" si="165"/>
        <v>1.9804590249049414</v>
      </c>
      <c r="GB108" s="82">
        <f t="shared" si="166"/>
        <v>1.9804590249049414</v>
      </c>
    </row>
    <row r="109" spans="2:184" x14ac:dyDescent="0.2">
      <c r="B109" s="402" t="str">
        <f>Key_New!D57</f>
        <v>Rajasthan</v>
      </c>
      <c r="C109" s="394" t="str">
        <f>Key_New!B57</f>
        <v>BESS — Bhadla-II (Ph II)</v>
      </c>
      <c r="D109" s="395" t="str">
        <f>Key_New!E57</f>
        <v>BESS</v>
      </c>
      <c r="E109" s="395" t="str">
        <f>Key_New!C57</f>
        <v>Operational</v>
      </c>
      <c r="F109" s="397">
        <f>Key_New!G57</f>
        <v>80</v>
      </c>
      <c r="G109" s="399">
        <f t="shared" si="145"/>
        <v>45930</v>
      </c>
      <c r="H109" s="399">
        <f>Key_New!O57</f>
        <v>46203</v>
      </c>
      <c r="I109" s="369">
        <f t="shared" si="167"/>
        <v>2027</v>
      </c>
      <c r="J109" s="367">
        <v>0</v>
      </c>
      <c r="K109" s="370">
        <f t="shared" si="168"/>
        <v>0</v>
      </c>
      <c r="L109" s="368">
        <v>0.12</v>
      </c>
      <c r="M109" s="368">
        <v>0.25</v>
      </c>
      <c r="N109" s="404"/>
      <c r="O109" s="462">
        <f t="shared" si="147"/>
        <v>0.27393333333333331</v>
      </c>
      <c r="P109" s="54">
        <f t="shared" si="336"/>
        <v>0</v>
      </c>
      <c r="Q109" s="54">
        <f t="shared" si="336"/>
        <v>0</v>
      </c>
      <c r="R109" s="54">
        <f t="shared" si="336"/>
        <v>0</v>
      </c>
      <c r="S109" s="54">
        <f t="shared" si="336"/>
        <v>274</v>
      </c>
      <c r="T109" s="54">
        <f t="shared" si="336"/>
        <v>365</v>
      </c>
      <c r="U109" s="54">
        <f t="shared" si="293"/>
        <v>365</v>
      </c>
      <c r="V109" s="54">
        <f t="shared" si="293"/>
        <v>365</v>
      </c>
      <c r="W109" s="54">
        <f t="shared" si="336"/>
        <v>365</v>
      </c>
      <c r="Y109" s="54">
        <f t="shared" si="337"/>
        <v>0</v>
      </c>
      <c r="Z109" s="54">
        <f t="shared" si="338"/>
        <v>0</v>
      </c>
      <c r="AA109" s="54">
        <f t="shared" si="339"/>
        <v>0</v>
      </c>
      <c r="AB109" s="54">
        <f t="shared" si="340"/>
        <v>1</v>
      </c>
      <c r="AC109" s="54">
        <f t="shared" si="341"/>
        <v>2</v>
      </c>
      <c r="AD109" s="54">
        <f t="shared" si="342"/>
        <v>3</v>
      </c>
      <c r="AE109" s="54">
        <f t="shared" si="343"/>
        <v>4</v>
      </c>
      <c r="AF109" s="54">
        <f t="shared" si="344"/>
        <v>5</v>
      </c>
      <c r="AG109" s="444"/>
      <c r="AH109" s="48">
        <f t="shared" si="345"/>
        <v>0</v>
      </c>
      <c r="AI109" s="48">
        <f t="shared" si="346"/>
        <v>0</v>
      </c>
      <c r="AJ109" s="48">
        <f t="shared" si="347"/>
        <v>80</v>
      </c>
      <c r="AK109" s="48">
        <f t="shared" si="348"/>
        <v>80</v>
      </c>
      <c r="AL109" s="48">
        <f t="shared" si="349"/>
        <v>80</v>
      </c>
      <c r="AM109" s="48">
        <f t="shared" si="350"/>
        <v>80</v>
      </c>
      <c r="AN109" s="48">
        <f t="shared" si="351"/>
        <v>80</v>
      </c>
      <c r="AP109" s="61">
        <v>3.8362500000000008E-2</v>
      </c>
      <c r="AQ109" s="61">
        <v>3.8362500000000008E-2</v>
      </c>
      <c r="AR109" s="61">
        <v>3.8362500000000008E-2</v>
      </c>
      <c r="AS109" s="61">
        <v>3.8362500000000008E-2</v>
      </c>
      <c r="AT109" s="61">
        <v>3.8362500000000008E-2</v>
      </c>
      <c r="AU109" s="61">
        <v>3.8362500000000008E-2</v>
      </c>
      <c r="AV109" s="61">
        <v>3.8362500000000008E-2</v>
      </c>
      <c r="AX109" s="52">
        <f t="shared" si="352"/>
        <v>0</v>
      </c>
      <c r="AY109" s="52">
        <f t="shared" si="353"/>
        <v>0</v>
      </c>
      <c r="AZ109" s="52">
        <f t="shared" si="354"/>
        <v>20.195567112328771</v>
      </c>
      <c r="BA109" s="52">
        <f t="shared" si="355"/>
        <v>26.902854000000005</v>
      </c>
      <c r="BB109" s="52">
        <f t="shared" si="356"/>
        <v>26.902854000000005</v>
      </c>
      <c r="BC109" s="52">
        <f t="shared" si="357"/>
        <v>26.902854000000005</v>
      </c>
      <c r="BD109" s="52">
        <f t="shared" si="358"/>
        <v>26.902854000000005</v>
      </c>
      <c r="BE109" s="57">
        <v>0.2</v>
      </c>
      <c r="BF109" s="52">
        <f t="shared" si="359"/>
        <v>0</v>
      </c>
      <c r="BG109" s="82">
        <f t="shared" si="360"/>
        <v>0</v>
      </c>
      <c r="BH109" s="82">
        <f t="shared" si="361"/>
        <v>0</v>
      </c>
      <c r="BI109" s="52">
        <f t="shared" si="362"/>
        <v>0</v>
      </c>
      <c r="BJ109" s="52">
        <f t="shared" si="363"/>
        <v>0</v>
      </c>
      <c r="BK109" s="52">
        <f t="shared" si="364"/>
        <v>0</v>
      </c>
      <c r="BL109" s="52">
        <f t="shared" si="365"/>
        <v>0</v>
      </c>
      <c r="BM109" s="297">
        <f t="shared" si="366"/>
        <v>0.05</v>
      </c>
      <c r="BN109" s="69">
        <f t="shared" si="367"/>
        <v>0</v>
      </c>
      <c r="BO109" s="69">
        <f t="shared" si="368"/>
        <v>0</v>
      </c>
      <c r="BP109" s="69">
        <f t="shared" si="369"/>
        <v>0</v>
      </c>
      <c r="BQ109" s="69">
        <f t="shared" si="370"/>
        <v>0</v>
      </c>
      <c r="BR109" s="69">
        <f t="shared" si="371"/>
        <v>0</v>
      </c>
      <c r="BS109" s="69">
        <f t="shared" si="372"/>
        <v>0</v>
      </c>
      <c r="BT109" s="69">
        <f t="shared" si="373"/>
        <v>0</v>
      </c>
      <c r="BV109" s="52">
        <f t="shared" si="374"/>
        <v>0</v>
      </c>
      <c r="BW109" s="52">
        <f t="shared" si="375"/>
        <v>182</v>
      </c>
      <c r="BX109" s="52">
        <f t="shared" si="376"/>
        <v>91</v>
      </c>
      <c r="BY109" s="52">
        <f t="shared" si="377"/>
        <v>0</v>
      </c>
      <c r="BZ109" s="52">
        <f t="shared" si="378"/>
        <v>0</v>
      </c>
      <c r="CA109" s="52">
        <f t="shared" si="379"/>
        <v>0</v>
      </c>
      <c r="CB109" s="52">
        <f t="shared" si="380"/>
        <v>0</v>
      </c>
      <c r="CC109" s="107">
        <v>0</v>
      </c>
      <c r="CD109" s="61">
        <v>0</v>
      </c>
      <c r="CE109" s="61">
        <f t="shared" si="381"/>
        <v>0.72606666666666664</v>
      </c>
      <c r="CF109" s="61">
        <f t="shared" si="382"/>
        <v>0</v>
      </c>
      <c r="CG109" s="61">
        <f t="shared" si="383"/>
        <v>0</v>
      </c>
      <c r="CH109" s="61">
        <f t="shared" si="149"/>
        <v>0</v>
      </c>
      <c r="CI109" s="61">
        <f t="shared" si="150"/>
        <v>0</v>
      </c>
      <c r="CJ109" s="61">
        <f t="shared" si="151"/>
        <v>1</v>
      </c>
      <c r="CK109" s="4"/>
      <c r="CL109" s="54">
        <f t="shared" si="152"/>
        <v>0</v>
      </c>
      <c r="CM109" s="54">
        <f t="shared" si="153"/>
        <v>0</v>
      </c>
      <c r="CN109" s="54">
        <f t="shared" si="154"/>
        <v>0</v>
      </c>
      <c r="CO109" s="54">
        <f t="shared" si="155"/>
        <v>0</v>
      </c>
      <c r="CP109" s="54">
        <f t="shared" si="156"/>
        <v>0</v>
      </c>
      <c r="CQ109" s="54">
        <f t="shared" si="157"/>
        <v>0</v>
      </c>
      <c r="CR109" s="54">
        <f t="shared" si="158"/>
        <v>0</v>
      </c>
      <c r="CT109" s="54">
        <f t="shared" si="384"/>
        <v>0</v>
      </c>
      <c r="CU109" s="54">
        <f t="shared" si="385"/>
        <v>0</v>
      </c>
      <c r="CV109" s="54">
        <f t="shared" si="386"/>
        <v>0</v>
      </c>
      <c r="CW109" s="54">
        <f t="shared" si="387"/>
        <v>0</v>
      </c>
      <c r="CX109" s="54">
        <f t="shared" si="388"/>
        <v>0</v>
      </c>
      <c r="CY109" s="54">
        <f t="shared" si="389"/>
        <v>0</v>
      </c>
      <c r="CZ109" s="54">
        <f t="shared" si="213"/>
        <v>0</v>
      </c>
      <c r="DB109" s="54">
        <f t="shared" si="390"/>
        <v>0</v>
      </c>
      <c r="DC109" s="54">
        <f t="shared" si="391"/>
        <v>0</v>
      </c>
      <c r="DD109" s="54">
        <f t="shared" si="392"/>
        <v>0</v>
      </c>
      <c r="DE109" s="54">
        <f t="shared" si="393"/>
        <v>0</v>
      </c>
      <c r="DF109" s="54">
        <f t="shared" si="394"/>
        <v>0</v>
      </c>
      <c r="DG109" s="54">
        <f t="shared" si="395"/>
        <v>0</v>
      </c>
      <c r="DH109" s="54">
        <f t="shared" si="220"/>
        <v>0</v>
      </c>
      <c r="DJ109" s="54">
        <f t="shared" si="396"/>
        <v>0</v>
      </c>
      <c r="DK109" s="54">
        <f t="shared" si="397"/>
        <v>0</v>
      </c>
      <c r="DL109" s="54">
        <f t="shared" si="398"/>
        <v>0</v>
      </c>
      <c r="DM109" s="54">
        <f t="shared" si="399"/>
        <v>0</v>
      </c>
      <c r="DN109" s="54">
        <f t="shared" si="400"/>
        <v>0</v>
      </c>
      <c r="DO109" s="54">
        <f t="shared" si="401"/>
        <v>0</v>
      </c>
      <c r="DP109" s="54">
        <f t="shared" si="402"/>
        <v>0</v>
      </c>
      <c r="DR109" s="54">
        <f>+IF(Z109&gt;0,$K109*(1-$BE109)-SUM($DJ109:DJ109),DB109)</f>
        <v>0</v>
      </c>
      <c r="DS109" s="54">
        <f>+IF(AA109&gt;0,$K109*(1-$BE109)-SUM($DJ109:DK109),DC109)</f>
        <v>0</v>
      </c>
      <c r="DT109" s="54">
        <f>+IF(AB109&gt;0,$K109*(1-$BE109)-SUM($DJ109:DL109),DD109)</f>
        <v>0</v>
      </c>
      <c r="DU109" s="54">
        <f>+IF(AC109&gt;0,$K109*(1-$BE109)-SUM($DJ109:DM109),DE109)</f>
        <v>0</v>
      </c>
      <c r="DV109" s="54">
        <f>+IF(AD109&gt;0,$K109*(1-$BE109)-SUM($DJ109:DN109),DF109)</f>
        <v>0</v>
      </c>
      <c r="DW109" s="54">
        <f>+IF(AE109&gt;0,$K109*(1-$BE109)-SUM($DJ109:DO109),DG109)</f>
        <v>0</v>
      </c>
      <c r="DX109" s="54">
        <f>+IF(AF109&gt;0,$K109*(1-$BE109)-SUM($DJ109:DP109),DH109)</f>
        <v>0</v>
      </c>
      <c r="DZ109" s="54">
        <f t="shared" si="403"/>
        <v>0</v>
      </c>
      <c r="EA109" s="54">
        <f t="shared" si="404"/>
        <v>0</v>
      </c>
      <c r="EB109" s="54">
        <f t="shared" si="405"/>
        <v>0</v>
      </c>
      <c r="EC109" s="54">
        <f t="shared" si="406"/>
        <v>0</v>
      </c>
      <c r="ED109" s="54">
        <f t="shared" si="407"/>
        <v>0</v>
      </c>
      <c r="EE109" s="54">
        <f t="shared" si="408"/>
        <v>0</v>
      </c>
      <c r="EF109" s="54">
        <f t="shared" si="409"/>
        <v>0</v>
      </c>
      <c r="EH109" s="54">
        <f t="shared" si="410"/>
        <v>0</v>
      </c>
      <c r="EI109" s="54">
        <f t="shared" si="411"/>
        <v>0</v>
      </c>
      <c r="EJ109" s="54">
        <f t="shared" si="412"/>
        <v>0</v>
      </c>
      <c r="EK109" s="54">
        <f t="shared" si="413"/>
        <v>0</v>
      </c>
      <c r="EL109" s="54">
        <f t="shared" si="414"/>
        <v>0</v>
      </c>
      <c r="EM109" s="54">
        <f t="shared" si="415"/>
        <v>0</v>
      </c>
      <c r="EN109" s="54">
        <f t="shared" si="416"/>
        <v>0</v>
      </c>
      <c r="EP109" s="52">
        <f t="shared" ca="1" si="242"/>
        <v>0</v>
      </c>
      <c r="EQ109" s="52">
        <f t="shared" ca="1" si="243"/>
        <v>0</v>
      </c>
      <c r="ER109" s="52">
        <f t="shared" ca="1" si="244"/>
        <v>0</v>
      </c>
      <c r="ES109" s="52">
        <f t="shared" ca="1" si="245"/>
        <v>0</v>
      </c>
      <c r="ET109" s="52">
        <f t="shared" ca="1" si="246"/>
        <v>0</v>
      </c>
      <c r="EU109" s="52">
        <f t="shared" ca="1" si="247"/>
        <v>0</v>
      </c>
      <c r="EV109" s="52">
        <f t="shared" ca="1" si="417"/>
        <v>0</v>
      </c>
      <c r="EX109" s="52">
        <f t="shared" ca="1" si="249"/>
        <v>0</v>
      </c>
      <c r="EY109" s="52">
        <f t="shared" ca="1" si="250"/>
        <v>0</v>
      </c>
      <c r="EZ109" s="52">
        <f t="shared" ca="1" si="251"/>
        <v>0</v>
      </c>
      <c r="FA109" s="52">
        <f t="shared" ca="1" si="252"/>
        <v>0</v>
      </c>
      <c r="FB109" s="52">
        <f t="shared" ca="1" si="253"/>
        <v>0</v>
      </c>
      <c r="FC109" s="52">
        <f t="shared" ca="1" si="254"/>
        <v>0</v>
      </c>
      <c r="FD109" s="52">
        <f t="shared" ca="1" si="255"/>
        <v>0</v>
      </c>
      <c r="FF109" s="82">
        <f t="shared" si="418"/>
        <v>0</v>
      </c>
      <c r="FG109" s="82">
        <f t="shared" si="419"/>
        <v>0</v>
      </c>
      <c r="FH109" s="82">
        <f t="shared" si="420"/>
        <v>0</v>
      </c>
      <c r="FI109" s="82">
        <f t="shared" si="421"/>
        <v>0</v>
      </c>
      <c r="FJ109" s="82">
        <f t="shared" si="422"/>
        <v>0</v>
      </c>
      <c r="FK109" s="82">
        <f t="shared" si="423"/>
        <v>0</v>
      </c>
      <c r="FL109" s="82">
        <f t="shared" si="424"/>
        <v>0</v>
      </c>
      <c r="FM109" s="51">
        <v>0</v>
      </c>
      <c r="FN109" s="82">
        <v>0</v>
      </c>
      <c r="FO109" s="82">
        <f t="shared" si="159"/>
        <v>0</v>
      </c>
      <c r="FP109" s="82">
        <f t="shared" si="425"/>
        <v>0</v>
      </c>
      <c r="FQ109" s="82">
        <f t="shared" si="426"/>
        <v>0</v>
      </c>
      <c r="FR109" s="82">
        <f t="shared" si="427"/>
        <v>0</v>
      </c>
      <c r="FS109" s="82">
        <f t="shared" si="428"/>
        <v>0</v>
      </c>
      <c r="FT109" s="82">
        <f t="shared" si="429"/>
        <v>0</v>
      </c>
      <c r="FV109" s="82">
        <f t="shared" si="160"/>
        <v>9</v>
      </c>
      <c r="FW109" s="82">
        <f t="shared" si="161"/>
        <v>9</v>
      </c>
      <c r="FX109" s="82">
        <f t="shared" si="162"/>
        <v>9</v>
      </c>
      <c r="FY109" s="82">
        <f t="shared" si="163"/>
        <v>1.9804590249049414</v>
      </c>
      <c r="FZ109" s="82">
        <f t="shared" si="164"/>
        <v>1.9804590249049414</v>
      </c>
      <c r="GA109" s="82">
        <f t="shared" si="165"/>
        <v>1.9804590249049414</v>
      </c>
      <c r="GB109" s="82">
        <f t="shared" si="166"/>
        <v>1.9804590249049414</v>
      </c>
    </row>
    <row r="110" spans="2:184" x14ac:dyDescent="0.2">
      <c r="B110" s="402" t="str">
        <f>Key_New!D58</f>
        <v>Rajasthan</v>
      </c>
      <c r="C110" s="394" t="str">
        <f>Key_New!B58</f>
        <v>BESS — Bikaner-II (Ph I)</v>
      </c>
      <c r="D110" s="395" t="str">
        <f>Key_New!E58</f>
        <v>BESS</v>
      </c>
      <c r="E110" s="395" t="str">
        <f>Key_New!C58</f>
        <v>Operational</v>
      </c>
      <c r="F110" s="397">
        <f>Key_New!G58</f>
        <v>1103</v>
      </c>
      <c r="G110" s="399">
        <f t="shared" si="145"/>
        <v>45930</v>
      </c>
      <c r="H110" s="399">
        <f>Key_New!O58</f>
        <v>46203</v>
      </c>
      <c r="I110" s="369">
        <f t="shared" si="167"/>
        <v>2027</v>
      </c>
      <c r="J110" s="367">
        <v>0</v>
      </c>
      <c r="K110" s="370">
        <f t="shared" si="168"/>
        <v>0</v>
      </c>
      <c r="L110" s="368">
        <v>0.12</v>
      </c>
      <c r="M110" s="368">
        <v>0.25</v>
      </c>
      <c r="N110" s="404"/>
      <c r="O110" s="462">
        <f t="shared" si="147"/>
        <v>0.27393333333333331</v>
      </c>
      <c r="P110" s="54">
        <f t="shared" si="336"/>
        <v>0</v>
      </c>
      <c r="Q110" s="54">
        <f t="shared" si="336"/>
        <v>0</v>
      </c>
      <c r="R110" s="54">
        <f t="shared" si="336"/>
        <v>0</v>
      </c>
      <c r="S110" s="54">
        <f t="shared" si="336"/>
        <v>274</v>
      </c>
      <c r="T110" s="54">
        <f t="shared" si="336"/>
        <v>365</v>
      </c>
      <c r="U110" s="54">
        <f t="shared" si="293"/>
        <v>365</v>
      </c>
      <c r="V110" s="54">
        <f t="shared" si="293"/>
        <v>365</v>
      </c>
      <c r="W110" s="54">
        <f t="shared" si="336"/>
        <v>365</v>
      </c>
      <c r="Y110" s="54">
        <f t="shared" si="337"/>
        <v>0</v>
      </c>
      <c r="Z110" s="54">
        <f t="shared" si="338"/>
        <v>0</v>
      </c>
      <c r="AA110" s="54">
        <f t="shared" si="339"/>
        <v>0</v>
      </c>
      <c r="AB110" s="54">
        <f t="shared" si="340"/>
        <v>1</v>
      </c>
      <c r="AC110" s="54">
        <f t="shared" si="341"/>
        <v>2</v>
      </c>
      <c r="AD110" s="54">
        <f t="shared" si="342"/>
        <v>3</v>
      </c>
      <c r="AE110" s="54">
        <f t="shared" si="343"/>
        <v>4</v>
      </c>
      <c r="AF110" s="54">
        <f t="shared" si="344"/>
        <v>5</v>
      </c>
      <c r="AG110" s="444"/>
      <c r="AH110" s="48">
        <f t="shared" si="345"/>
        <v>0</v>
      </c>
      <c r="AI110" s="48">
        <f t="shared" si="346"/>
        <v>0</v>
      </c>
      <c r="AJ110" s="48">
        <f t="shared" si="347"/>
        <v>1103</v>
      </c>
      <c r="AK110" s="48">
        <f t="shared" si="348"/>
        <v>1103</v>
      </c>
      <c r="AL110" s="48">
        <f t="shared" si="349"/>
        <v>1103</v>
      </c>
      <c r="AM110" s="48">
        <f t="shared" si="350"/>
        <v>1103</v>
      </c>
      <c r="AN110" s="48">
        <f t="shared" si="351"/>
        <v>1103</v>
      </c>
      <c r="AP110" s="61">
        <v>3.8362500000000008E-2</v>
      </c>
      <c r="AQ110" s="61">
        <v>3.8362500000000008E-2</v>
      </c>
      <c r="AR110" s="61">
        <v>3.8362500000000008E-2</v>
      </c>
      <c r="AS110" s="61">
        <v>3.8362500000000008E-2</v>
      </c>
      <c r="AT110" s="61">
        <v>3.8362500000000008E-2</v>
      </c>
      <c r="AU110" s="61">
        <v>3.8362500000000008E-2</v>
      </c>
      <c r="AV110" s="61">
        <v>3.8362500000000008E-2</v>
      </c>
      <c r="AX110" s="52">
        <f t="shared" si="352"/>
        <v>0</v>
      </c>
      <c r="AY110" s="52">
        <f t="shared" si="353"/>
        <v>0</v>
      </c>
      <c r="AZ110" s="52">
        <f t="shared" si="354"/>
        <v>278.44638156123295</v>
      </c>
      <c r="BA110" s="52">
        <f t="shared" si="355"/>
        <v>370.92309952500005</v>
      </c>
      <c r="BB110" s="52">
        <f t="shared" si="356"/>
        <v>370.92309952500005</v>
      </c>
      <c r="BC110" s="52">
        <f t="shared" si="357"/>
        <v>370.92309952500005</v>
      </c>
      <c r="BD110" s="52">
        <f t="shared" si="358"/>
        <v>370.92309952500005</v>
      </c>
      <c r="BE110" s="57">
        <v>0.2</v>
      </c>
      <c r="BF110" s="52">
        <f t="shared" si="359"/>
        <v>0</v>
      </c>
      <c r="BG110" s="82">
        <f t="shared" si="360"/>
        <v>0</v>
      </c>
      <c r="BH110" s="82">
        <f t="shared" si="361"/>
        <v>0</v>
      </c>
      <c r="BI110" s="52">
        <f t="shared" si="362"/>
        <v>0</v>
      </c>
      <c r="BJ110" s="52">
        <f t="shared" si="363"/>
        <v>0</v>
      </c>
      <c r="BK110" s="52">
        <f t="shared" si="364"/>
        <v>0</v>
      </c>
      <c r="BL110" s="52">
        <f t="shared" si="365"/>
        <v>0</v>
      </c>
      <c r="BM110" s="297">
        <f t="shared" si="366"/>
        <v>0.05</v>
      </c>
      <c r="BN110" s="69">
        <f t="shared" si="367"/>
        <v>0</v>
      </c>
      <c r="BO110" s="69">
        <f t="shared" si="368"/>
        <v>0</v>
      </c>
      <c r="BP110" s="69">
        <f t="shared" si="369"/>
        <v>0</v>
      </c>
      <c r="BQ110" s="69">
        <f t="shared" si="370"/>
        <v>0</v>
      </c>
      <c r="BR110" s="69">
        <f t="shared" si="371"/>
        <v>0</v>
      </c>
      <c r="BS110" s="69">
        <f t="shared" si="372"/>
        <v>0</v>
      </c>
      <c r="BT110" s="69">
        <f t="shared" si="373"/>
        <v>0</v>
      </c>
      <c r="BV110" s="52">
        <f t="shared" si="374"/>
        <v>0</v>
      </c>
      <c r="BW110" s="52">
        <f t="shared" si="375"/>
        <v>182</v>
      </c>
      <c r="BX110" s="52">
        <f t="shared" si="376"/>
        <v>91</v>
      </c>
      <c r="BY110" s="52">
        <f t="shared" si="377"/>
        <v>0</v>
      </c>
      <c r="BZ110" s="52">
        <f t="shared" si="378"/>
        <v>0</v>
      </c>
      <c r="CA110" s="52">
        <f t="shared" si="379"/>
        <v>0</v>
      </c>
      <c r="CB110" s="52">
        <f t="shared" si="380"/>
        <v>0</v>
      </c>
      <c r="CC110" s="107">
        <v>0</v>
      </c>
      <c r="CD110" s="61">
        <v>0</v>
      </c>
      <c r="CE110" s="61">
        <f t="shared" si="381"/>
        <v>0.72606666666666664</v>
      </c>
      <c r="CF110" s="61">
        <f t="shared" si="382"/>
        <v>0</v>
      </c>
      <c r="CG110" s="61">
        <f t="shared" si="383"/>
        <v>0</v>
      </c>
      <c r="CH110" s="61">
        <f t="shared" si="149"/>
        <v>0</v>
      </c>
      <c r="CI110" s="61">
        <f t="shared" si="150"/>
        <v>0</v>
      </c>
      <c r="CJ110" s="61">
        <f t="shared" si="151"/>
        <v>1</v>
      </c>
      <c r="CK110" s="4"/>
      <c r="CL110" s="54">
        <f t="shared" si="152"/>
        <v>0</v>
      </c>
      <c r="CM110" s="54">
        <f t="shared" si="153"/>
        <v>0</v>
      </c>
      <c r="CN110" s="54">
        <f t="shared" si="154"/>
        <v>0</v>
      </c>
      <c r="CO110" s="54">
        <f t="shared" si="155"/>
        <v>0</v>
      </c>
      <c r="CP110" s="54">
        <f t="shared" si="156"/>
        <v>0</v>
      </c>
      <c r="CQ110" s="54">
        <f t="shared" si="157"/>
        <v>0</v>
      </c>
      <c r="CR110" s="54">
        <f t="shared" si="158"/>
        <v>0</v>
      </c>
      <c r="CT110" s="54">
        <f t="shared" si="384"/>
        <v>0</v>
      </c>
      <c r="CU110" s="54">
        <f t="shared" si="385"/>
        <v>0</v>
      </c>
      <c r="CV110" s="54">
        <f t="shared" si="386"/>
        <v>0</v>
      </c>
      <c r="CW110" s="54">
        <f t="shared" si="387"/>
        <v>0</v>
      </c>
      <c r="CX110" s="54">
        <f t="shared" si="388"/>
        <v>0</v>
      </c>
      <c r="CY110" s="54">
        <f t="shared" si="389"/>
        <v>0</v>
      </c>
      <c r="CZ110" s="54">
        <f t="shared" si="213"/>
        <v>0</v>
      </c>
      <c r="DB110" s="54">
        <f t="shared" si="390"/>
        <v>0</v>
      </c>
      <c r="DC110" s="54">
        <f t="shared" si="391"/>
        <v>0</v>
      </c>
      <c r="DD110" s="54">
        <f t="shared" si="392"/>
        <v>0</v>
      </c>
      <c r="DE110" s="54">
        <f t="shared" si="393"/>
        <v>0</v>
      </c>
      <c r="DF110" s="54">
        <f t="shared" si="394"/>
        <v>0</v>
      </c>
      <c r="DG110" s="54">
        <f t="shared" si="395"/>
        <v>0</v>
      </c>
      <c r="DH110" s="54">
        <f t="shared" si="220"/>
        <v>0</v>
      </c>
      <c r="DJ110" s="54">
        <f t="shared" si="396"/>
        <v>0</v>
      </c>
      <c r="DK110" s="54">
        <f t="shared" si="397"/>
        <v>0</v>
      </c>
      <c r="DL110" s="54">
        <f t="shared" si="398"/>
        <v>0</v>
      </c>
      <c r="DM110" s="54">
        <f t="shared" si="399"/>
        <v>0</v>
      </c>
      <c r="DN110" s="54">
        <f t="shared" si="400"/>
        <v>0</v>
      </c>
      <c r="DO110" s="54">
        <f t="shared" si="401"/>
        <v>0</v>
      </c>
      <c r="DP110" s="54">
        <f t="shared" si="402"/>
        <v>0</v>
      </c>
      <c r="DR110" s="54">
        <f>+IF(Z110&gt;0,$K110*(1-$BE110)-SUM($DJ110:DJ110),DB110)</f>
        <v>0</v>
      </c>
      <c r="DS110" s="54">
        <f>+IF(AA110&gt;0,$K110*(1-$BE110)-SUM($DJ110:DK110),DC110)</f>
        <v>0</v>
      </c>
      <c r="DT110" s="54">
        <f>+IF(AB110&gt;0,$K110*(1-$BE110)-SUM($DJ110:DL110),DD110)</f>
        <v>0</v>
      </c>
      <c r="DU110" s="54">
        <f>+IF(AC110&gt;0,$K110*(1-$BE110)-SUM($DJ110:DM110),DE110)</f>
        <v>0</v>
      </c>
      <c r="DV110" s="54">
        <f>+IF(AD110&gt;0,$K110*(1-$BE110)-SUM($DJ110:DN110),DF110)</f>
        <v>0</v>
      </c>
      <c r="DW110" s="54">
        <f>+IF(AE110&gt;0,$K110*(1-$BE110)-SUM($DJ110:DO110),DG110)</f>
        <v>0</v>
      </c>
      <c r="DX110" s="54">
        <f>+IF(AF110&gt;0,$K110*(1-$BE110)-SUM($DJ110:DP110),DH110)</f>
        <v>0</v>
      </c>
      <c r="DZ110" s="54">
        <f t="shared" si="403"/>
        <v>0</v>
      </c>
      <c r="EA110" s="54">
        <f t="shared" si="404"/>
        <v>0</v>
      </c>
      <c r="EB110" s="54">
        <f t="shared" si="405"/>
        <v>0</v>
      </c>
      <c r="EC110" s="54">
        <f t="shared" si="406"/>
        <v>0</v>
      </c>
      <c r="ED110" s="54">
        <f t="shared" si="407"/>
        <v>0</v>
      </c>
      <c r="EE110" s="54">
        <f t="shared" si="408"/>
        <v>0</v>
      </c>
      <c r="EF110" s="54">
        <f t="shared" si="409"/>
        <v>0</v>
      </c>
      <c r="EH110" s="54">
        <f t="shared" si="410"/>
        <v>0</v>
      </c>
      <c r="EI110" s="54">
        <f t="shared" si="411"/>
        <v>0</v>
      </c>
      <c r="EJ110" s="54">
        <f t="shared" si="412"/>
        <v>0</v>
      </c>
      <c r="EK110" s="54">
        <f t="shared" si="413"/>
        <v>0</v>
      </c>
      <c r="EL110" s="54">
        <f t="shared" si="414"/>
        <v>0</v>
      </c>
      <c r="EM110" s="54">
        <f t="shared" si="415"/>
        <v>0</v>
      </c>
      <c r="EN110" s="54">
        <f t="shared" si="416"/>
        <v>0</v>
      </c>
      <c r="EP110" s="52">
        <f t="shared" ca="1" si="242"/>
        <v>0</v>
      </c>
      <c r="EQ110" s="52">
        <f t="shared" ca="1" si="243"/>
        <v>0</v>
      </c>
      <c r="ER110" s="52">
        <f t="shared" ca="1" si="244"/>
        <v>0</v>
      </c>
      <c r="ES110" s="52">
        <f t="shared" ca="1" si="245"/>
        <v>0</v>
      </c>
      <c r="ET110" s="52">
        <f t="shared" ca="1" si="246"/>
        <v>0</v>
      </c>
      <c r="EU110" s="52">
        <f t="shared" ca="1" si="247"/>
        <v>0</v>
      </c>
      <c r="EV110" s="52">
        <f t="shared" ca="1" si="417"/>
        <v>0</v>
      </c>
      <c r="EX110" s="52">
        <f t="shared" ca="1" si="249"/>
        <v>0</v>
      </c>
      <c r="EY110" s="52">
        <f t="shared" ca="1" si="250"/>
        <v>0</v>
      </c>
      <c r="EZ110" s="52">
        <f t="shared" ca="1" si="251"/>
        <v>0</v>
      </c>
      <c r="FA110" s="52">
        <f t="shared" ca="1" si="252"/>
        <v>0</v>
      </c>
      <c r="FB110" s="52">
        <f t="shared" ca="1" si="253"/>
        <v>0</v>
      </c>
      <c r="FC110" s="52">
        <f t="shared" ca="1" si="254"/>
        <v>0</v>
      </c>
      <c r="FD110" s="52">
        <f t="shared" ca="1" si="255"/>
        <v>0</v>
      </c>
      <c r="FF110" s="82">
        <f t="shared" si="418"/>
        <v>0</v>
      </c>
      <c r="FG110" s="82">
        <f t="shared" si="419"/>
        <v>0</v>
      </c>
      <c r="FH110" s="82">
        <f t="shared" si="420"/>
        <v>0</v>
      </c>
      <c r="FI110" s="82">
        <f t="shared" si="421"/>
        <v>0</v>
      </c>
      <c r="FJ110" s="82">
        <f t="shared" si="422"/>
        <v>0</v>
      </c>
      <c r="FK110" s="82">
        <f t="shared" si="423"/>
        <v>0</v>
      </c>
      <c r="FL110" s="82">
        <f t="shared" si="424"/>
        <v>0</v>
      </c>
      <c r="FM110" s="51">
        <v>0</v>
      </c>
      <c r="FN110" s="82">
        <v>0</v>
      </c>
      <c r="FO110" s="82">
        <f t="shared" si="159"/>
        <v>0</v>
      </c>
      <c r="FP110" s="82">
        <f t="shared" si="425"/>
        <v>0</v>
      </c>
      <c r="FQ110" s="82">
        <f t="shared" si="426"/>
        <v>0</v>
      </c>
      <c r="FR110" s="82">
        <f t="shared" si="427"/>
        <v>0</v>
      </c>
      <c r="FS110" s="82">
        <f t="shared" si="428"/>
        <v>0</v>
      </c>
      <c r="FT110" s="82">
        <f t="shared" si="429"/>
        <v>0</v>
      </c>
      <c r="FV110" s="82">
        <f t="shared" si="160"/>
        <v>9</v>
      </c>
      <c r="FW110" s="82">
        <f t="shared" si="161"/>
        <v>9</v>
      </c>
      <c r="FX110" s="82">
        <f t="shared" si="162"/>
        <v>9</v>
      </c>
      <c r="FY110" s="82">
        <f t="shared" si="163"/>
        <v>1.9804590249049414</v>
      </c>
      <c r="FZ110" s="82">
        <f t="shared" si="164"/>
        <v>1.9804590249049414</v>
      </c>
      <c r="GA110" s="82">
        <f t="shared" si="165"/>
        <v>1.9804590249049414</v>
      </c>
      <c r="GB110" s="82">
        <f t="shared" si="166"/>
        <v>1.9804590249049414</v>
      </c>
    </row>
    <row r="111" spans="2:184" x14ac:dyDescent="0.2">
      <c r="B111" s="402" t="str">
        <f>Key_New!D59</f>
        <v>Rajasthan</v>
      </c>
      <c r="C111" s="394" t="str">
        <f>Key_New!B59</f>
        <v>BESS — Bikaner-II (Ph II)</v>
      </c>
      <c r="D111" s="395" t="str">
        <f>Key_New!E59</f>
        <v>BESS</v>
      </c>
      <c r="E111" s="395" t="str">
        <f>Key_New!C59</f>
        <v>Under Construction</v>
      </c>
      <c r="F111" s="397">
        <f>Key_New!G59</f>
        <v>200</v>
      </c>
      <c r="G111" s="399">
        <f t="shared" si="145"/>
        <v>46112</v>
      </c>
      <c r="H111" s="399">
        <f>Key_New!O59</f>
        <v>46387</v>
      </c>
      <c r="I111" s="369">
        <f t="shared" si="167"/>
        <v>2027</v>
      </c>
      <c r="J111" s="367">
        <v>0</v>
      </c>
      <c r="K111" s="370">
        <f t="shared" si="168"/>
        <v>0</v>
      </c>
      <c r="L111" s="368">
        <v>0.12</v>
      </c>
      <c r="M111" s="368">
        <v>0.25</v>
      </c>
      <c r="N111" s="404"/>
      <c r="O111" s="462">
        <f t="shared" si="147"/>
        <v>0</v>
      </c>
      <c r="P111" s="54">
        <f t="shared" si="336"/>
        <v>0</v>
      </c>
      <c r="Q111" s="54">
        <f t="shared" si="336"/>
        <v>0</v>
      </c>
      <c r="R111" s="54">
        <f t="shared" si="336"/>
        <v>0</v>
      </c>
      <c r="S111" s="54">
        <f t="shared" si="336"/>
        <v>90</v>
      </c>
      <c r="T111" s="54">
        <f t="shared" si="336"/>
        <v>365</v>
      </c>
      <c r="U111" s="54">
        <f t="shared" si="293"/>
        <v>365</v>
      </c>
      <c r="V111" s="54">
        <f t="shared" si="293"/>
        <v>365</v>
      </c>
      <c r="W111" s="54">
        <f t="shared" si="336"/>
        <v>365</v>
      </c>
      <c r="Y111" s="54">
        <f t="shared" si="337"/>
        <v>0</v>
      </c>
      <c r="Z111" s="54">
        <f t="shared" si="338"/>
        <v>0</v>
      </c>
      <c r="AA111" s="54">
        <f t="shared" si="339"/>
        <v>0</v>
      </c>
      <c r="AB111" s="54">
        <f t="shared" si="340"/>
        <v>1</v>
      </c>
      <c r="AC111" s="54">
        <f t="shared" si="341"/>
        <v>2</v>
      </c>
      <c r="AD111" s="54">
        <f t="shared" si="342"/>
        <v>3</v>
      </c>
      <c r="AE111" s="54">
        <f t="shared" si="343"/>
        <v>4</v>
      </c>
      <c r="AF111" s="54">
        <f t="shared" si="344"/>
        <v>5</v>
      </c>
      <c r="AG111" s="444"/>
      <c r="AH111" s="48">
        <f t="shared" si="345"/>
        <v>0</v>
      </c>
      <c r="AI111" s="48">
        <f t="shared" si="346"/>
        <v>0</v>
      </c>
      <c r="AJ111" s="48">
        <f t="shared" si="347"/>
        <v>200</v>
      </c>
      <c r="AK111" s="48">
        <f t="shared" si="348"/>
        <v>200</v>
      </c>
      <c r="AL111" s="48">
        <f t="shared" si="349"/>
        <v>200</v>
      </c>
      <c r="AM111" s="48">
        <f t="shared" si="350"/>
        <v>200</v>
      </c>
      <c r="AN111" s="48">
        <f t="shared" si="351"/>
        <v>200</v>
      </c>
      <c r="AP111" s="61">
        <v>3.8362500000000008E-2</v>
      </c>
      <c r="AQ111" s="61">
        <v>3.8362500000000008E-2</v>
      </c>
      <c r="AR111" s="61">
        <v>3.8362500000000008E-2</v>
      </c>
      <c r="AS111" s="61">
        <v>3.8362500000000008E-2</v>
      </c>
      <c r="AT111" s="61">
        <v>3.8362500000000008E-2</v>
      </c>
      <c r="AU111" s="61">
        <v>3.8362500000000008E-2</v>
      </c>
      <c r="AV111" s="61">
        <v>3.8362500000000008E-2</v>
      </c>
      <c r="AX111" s="52">
        <f t="shared" si="352"/>
        <v>0</v>
      </c>
      <c r="AY111" s="52">
        <f t="shared" si="353"/>
        <v>0</v>
      </c>
      <c r="AZ111" s="52">
        <f t="shared" si="354"/>
        <v>16.583951095890416</v>
      </c>
      <c r="BA111" s="52">
        <f t="shared" si="355"/>
        <v>67.257135000000019</v>
      </c>
      <c r="BB111" s="52">
        <f t="shared" si="356"/>
        <v>67.257135000000019</v>
      </c>
      <c r="BC111" s="52">
        <f t="shared" si="357"/>
        <v>67.257135000000019</v>
      </c>
      <c r="BD111" s="52">
        <f t="shared" si="358"/>
        <v>67.257135000000019</v>
      </c>
      <c r="BE111" s="57">
        <v>0.2</v>
      </c>
      <c r="BF111" s="52">
        <f t="shared" si="359"/>
        <v>0</v>
      </c>
      <c r="BG111" s="82">
        <f t="shared" si="360"/>
        <v>0</v>
      </c>
      <c r="BH111" s="82">
        <f t="shared" si="361"/>
        <v>0</v>
      </c>
      <c r="BI111" s="52">
        <f t="shared" si="362"/>
        <v>0</v>
      </c>
      <c r="BJ111" s="52">
        <f t="shared" si="363"/>
        <v>0</v>
      </c>
      <c r="BK111" s="52">
        <f t="shared" si="364"/>
        <v>0</v>
      </c>
      <c r="BL111" s="52">
        <f t="shared" si="365"/>
        <v>0</v>
      </c>
      <c r="BM111" s="297">
        <f t="shared" si="366"/>
        <v>0.05</v>
      </c>
      <c r="BN111" s="69">
        <f t="shared" si="367"/>
        <v>0</v>
      </c>
      <c r="BO111" s="69">
        <f t="shared" si="368"/>
        <v>0</v>
      </c>
      <c r="BP111" s="69">
        <f t="shared" si="369"/>
        <v>0</v>
      </c>
      <c r="BQ111" s="69">
        <f t="shared" si="370"/>
        <v>0</v>
      </c>
      <c r="BR111" s="69">
        <f t="shared" si="371"/>
        <v>0</v>
      </c>
      <c r="BS111" s="69">
        <f t="shared" si="372"/>
        <v>0</v>
      </c>
      <c r="BT111" s="69">
        <f t="shared" si="373"/>
        <v>0</v>
      </c>
      <c r="BV111" s="52">
        <f t="shared" si="374"/>
        <v>0</v>
      </c>
      <c r="BW111" s="52">
        <f t="shared" si="375"/>
        <v>0</v>
      </c>
      <c r="BX111" s="52">
        <f t="shared" si="376"/>
        <v>275</v>
      </c>
      <c r="BY111" s="52">
        <f t="shared" si="377"/>
        <v>0</v>
      </c>
      <c r="BZ111" s="52">
        <f t="shared" si="378"/>
        <v>0</v>
      </c>
      <c r="CA111" s="52">
        <f t="shared" si="379"/>
        <v>0</v>
      </c>
      <c r="CB111" s="52">
        <f t="shared" si="380"/>
        <v>0</v>
      </c>
      <c r="CC111" s="107">
        <v>0</v>
      </c>
      <c r="CD111" s="61">
        <v>0</v>
      </c>
      <c r="CE111" s="61">
        <f t="shared" si="381"/>
        <v>1</v>
      </c>
      <c r="CF111" s="61">
        <f t="shared" si="382"/>
        <v>0</v>
      </c>
      <c r="CG111" s="61">
        <f t="shared" si="383"/>
        <v>0</v>
      </c>
      <c r="CH111" s="61">
        <f t="shared" si="149"/>
        <v>0</v>
      </c>
      <c r="CI111" s="61">
        <f t="shared" si="150"/>
        <v>0</v>
      </c>
      <c r="CJ111" s="61">
        <f t="shared" si="151"/>
        <v>1</v>
      </c>
      <c r="CK111" s="4"/>
      <c r="CL111" s="54">
        <f t="shared" si="152"/>
        <v>0</v>
      </c>
      <c r="CM111" s="54">
        <f t="shared" si="153"/>
        <v>0</v>
      </c>
      <c r="CN111" s="54">
        <f t="shared" si="154"/>
        <v>0</v>
      </c>
      <c r="CO111" s="54">
        <f t="shared" si="155"/>
        <v>0</v>
      </c>
      <c r="CP111" s="54">
        <f t="shared" si="156"/>
        <v>0</v>
      </c>
      <c r="CQ111" s="54">
        <f t="shared" si="157"/>
        <v>0</v>
      </c>
      <c r="CR111" s="54">
        <f t="shared" si="158"/>
        <v>0</v>
      </c>
      <c r="CT111" s="54">
        <f t="shared" si="384"/>
        <v>0</v>
      </c>
      <c r="CU111" s="54">
        <f t="shared" si="385"/>
        <v>0</v>
      </c>
      <c r="CV111" s="54">
        <f t="shared" si="386"/>
        <v>0</v>
      </c>
      <c r="CW111" s="54">
        <f t="shared" si="387"/>
        <v>0</v>
      </c>
      <c r="CX111" s="54">
        <f t="shared" si="388"/>
        <v>0</v>
      </c>
      <c r="CY111" s="54">
        <f t="shared" si="389"/>
        <v>0</v>
      </c>
      <c r="CZ111" s="54">
        <f t="shared" si="213"/>
        <v>0</v>
      </c>
      <c r="DB111" s="54">
        <f t="shared" si="390"/>
        <v>0</v>
      </c>
      <c r="DC111" s="54">
        <f t="shared" si="391"/>
        <v>0</v>
      </c>
      <c r="DD111" s="54">
        <f t="shared" si="392"/>
        <v>0</v>
      </c>
      <c r="DE111" s="54">
        <f t="shared" si="393"/>
        <v>0</v>
      </c>
      <c r="DF111" s="54">
        <f t="shared" si="394"/>
        <v>0</v>
      </c>
      <c r="DG111" s="54">
        <f t="shared" si="395"/>
        <v>0</v>
      </c>
      <c r="DH111" s="54">
        <f t="shared" si="220"/>
        <v>0</v>
      </c>
      <c r="DJ111" s="54">
        <f t="shared" si="396"/>
        <v>0</v>
      </c>
      <c r="DK111" s="54">
        <f t="shared" si="397"/>
        <v>0</v>
      </c>
      <c r="DL111" s="54">
        <f t="shared" si="398"/>
        <v>0</v>
      </c>
      <c r="DM111" s="54">
        <f t="shared" si="399"/>
        <v>0</v>
      </c>
      <c r="DN111" s="54">
        <f t="shared" si="400"/>
        <v>0</v>
      </c>
      <c r="DO111" s="54">
        <f t="shared" si="401"/>
        <v>0</v>
      </c>
      <c r="DP111" s="54">
        <f t="shared" si="402"/>
        <v>0</v>
      </c>
      <c r="DR111" s="54">
        <f>+IF(Z111&gt;0,$K111*(1-$BE111)-SUM($DJ111:DJ111),DB111)</f>
        <v>0</v>
      </c>
      <c r="DS111" s="54">
        <f>+IF(AA111&gt;0,$K111*(1-$BE111)-SUM($DJ111:DK111),DC111)</f>
        <v>0</v>
      </c>
      <c r="DT111" s="54">
        <f>+IF(AB111&gt;0,$K111*(1-$BE111)-SUM($DJ111:DL111),DD111)</f>
        <v>0</v>
      </c>
      <c r="DU111" s="54">
        <f>+IF(AC111&gt;0,$K111*(1-$BE111)-SUM($DJ111:DM111),DE111)</f>
        <v>0</v>
      </c>
      <c r="DV111" s="54">
        <f>+IF(AD111&gt;0,$K111*(1-$BE111)-SUM($DJ111:DN111),DF111)</f>
        <v>0</v>
      </c>
      <c r="DW111" s="54">
        <f>+IF(AE111&gt;0,$K111*(1-$BE111)-SUM($DJ111:DO111),DG111)</f>
        <v>0</v>
      </c>
      <c r="DX111" s="54">
        <f>+IF(AF111&gt;0,$K111*(1-$BE111)-SUM($DJ111:DP111),DH111)</f>
        <v>0</v>
      </c>
      <c r="DZ111" s="54">
        <f t="shared" si="403"/>
        <v>0</v>
      </c>
      <c r="EA111" s="54">
        <f t="shared" si="404"/>
        <v>0</v>
      </c>
      <c r="EB111" s="54">
        <f t="shared" si="405"/>
        <v>0</v>
      </c>
      <c r="EC111" s="54">
        <f t="shared" si="406"/>
        <v>0</v>
      </c>
      <c r="ED111" s="54">
        <f t="shared" si="407"/>
        <v>0</v>
      </c>
      <c r="EE111" s="54">
        <f t="shared" si="408"/>
        <v>0</v>
      </c>
      <c r="EF111" s="54">
        <f t="shared" si="409"/>
        <v>0</v>
      </c>
      <c r="EH111" s="54">
        <f t="shared" si="410"/>
        <v>0</v>
      </c>
      <c r="EI111" s="54">
        <f t="shared" si="411"/>
        <v>0</v>
      </c>
      <c r="EJ111" s="54">
        <f t="shared" si="412"/>
        <v>0</v>
      </c>
      <c r="EK111" s="54">
        <f t="shared" si="413"/>
        <v>0</v>
      </c>
      <c r="EL111" s="54">
        <f t="shared" si="414"/>
        <v>0</v>
      </c>
      <c r="EM111" s="54">
        <f t="shared" si="415"/>
        <v>0</v>
      </c>
      <c r="EN111" s="54">
        <f t="shared" si="416"/>
        <v>0</v>
      </c>
      <c r="EP111" s="52">
        <f t="shared" ca="1" si="242"/>
        <v>0</v>
      </c>
      <c r="EQ111" s="52">
        <f t="shared" ca="1" si="243"/>
        <v>0</v>
      </c>
      <c r="ER111" s="52">
        <f t="shared" ca="1" si="244"/>
        <v>0</v>
      </c>
      <c r="ES111" s="52">
        <f t="shared" ca="1" si="245"/>
        <v>0</v>
      </c>
      <c r="ET111" s="52">
        <f t="shared" ca="1" si="246"/>
        <v>0</v>
      </c>
      <c r="EU111" s="52">
        <f t="shared" ca="1" si="247"/>
        <v>0</v>
      </c>
      <c r="EV111" s="52">
        <f t="shared" ca="1" si="417"/>
        <v>0</v>
      </c>
      <c r="EX111" s="52">
        <f t="shared" ca="1" si="249"/>
        <v>0</v>
      </c>
      <c r="EY111" s="52">
        <f t="shared" ca="1" si="250"/>
        <v>0</v>
      </c>
      <c r="EZ111" s="52">
        <f t="shared" ca="1" si="251"/>
        <v>0</v>
      </c>
      <c r="FA111" s="52">
        <f t="shared" ca="1" si="252"/>
        <v>0</v>
      </c>
      <c r="FB111" s="52">
        <f t="shared" ca="1" si="253"/>
        <v>0</v>
      </c>
      <c r="FC111" s="52">
        <f t="shared" ca="1" si="254"/>
        <v>0</v>
      </c>
      <c r="FD111" s="52">
        <f t="shared" ca="1" si="255"/>
        <v>0</v>
      </c>
      <c r="FF111" s="82">
        <f t="shared" si="418"/>
        <v>0</v>
      </c>
      <c r="FG111" s="82">
        <f t="shared" si="419"/>
        <v>0</v>
      </c>
      <c r="FH111" s="82">
        <f t="shared" si="420"/>
        <v>0</v>
      </c>
      <c r="FI111" s="82">
        <f t="shared" si="421"/>
        <v>0</v>
      </c>
      <c r="FJ111" s="82">
        <f t="shared" si="422"/>
        <v>0</v>
      </c>
      <c r="FK111" s="82">
        <f t="shared" si="423"/>
        <v>0</v>
      </c>
      <c r="FL111" s="82">
        <f t="shared" si="424"/>
        <v>0</v>
      </c>
      <c r="FM111" s="51">
        <v>0</v>
      </c>
      <c r="FN111" s="82">
        <v>0</v>
      </c>
      <c r="FO111" s="82">
        <f t="shared" si="159"/>
        <v>0</v>
      </c>
      <c r="FP111" s="82">
        <f t="shared" si="425"/>
        <v>0</v>
      </c>
      <c r="FQ111" s="82">
        <f t="shared" si="426"/>
        <v>0</v>
      </c>
      <c r="FR111" s="82">
        <f t="shared" si="427"/>
        <v>0</v>
      </c>
      <c r="FS111" s="82">
        <f t="shared" si="428"/>
        <v>0</v>
      </c>
      <c r="FT111" s="82">
        <f t="shared" si="429"/>
        <v>0</v>
      </c>
      <c r="FV111" s="82">
        <f t="shared" si="160"/>
        <v>9</v>
      </c>
      <c r="FW111" s="82">
        <f t="shared" si="161"/>
        <v>9</v>
      </c>
      <c r="FX111" s="82">
        <f t="shared" si="162"/>
        <v>9</v>
      </c>
      <c r="FY111" s="82">
        <f t="shared" si="163"/>
        <v>1.9804590249049414</v>
      </c>
      <c r="FZ111" s="82">
        <f t="shared" si="164"/>
        <v>1.9804590249049414</v>
      </c>
      <c r="GA111" s="82">
        <f t="shared" si="165"/>
        <v>1.9804590249049414</v>
      </c>
      <c r="GB111" s="82">
        <f t="shared" si="166"/>
        <v>1.9804590249049414</v>
      </c>
    </row>
    <row r="112" spans="2:184" x14ac:dyDescent="0.2">
      <c r="B112" s="402" t="str">
        <f>Key_New!D60</f>
        <v>Rajasthan</v>
      </c>
      <c r="C112" s="394" t="str">
        <f>Key_New!B60</f>
        <v>BESS — Bikaner-III (Ph I)</v>
      </c>
      <c r="D112" s="395" t="str">
        <f>Key_New!E60</f>
        <v>BESS</v>
      </c>
      <c r="E112" s="395" t="str">
        <f>Key_New!C60</f>
        <v>Under Construction</v>
      </c>
      <c r="F112" s="397">
        <f>Key_New!G60</f>
        <v>550</v>
      </c>
      <c r="G112" s="399">
        <f t="shared" si="145"/>
        <v>46021</v>
      </c>
      <c r="H112" s="399">
        <f>Key_New!O60</f>
        <v>46295</v>
      </c>
      <c r="I112" s="369">
        <f t="shared" si="167"/>
        <v>2027</v>
      </c>
      <c r="J112" s="367">
        <v>0</v>
      </c>
      <c r="K112" s="370">
        <f t="shared" si="168"/>
        <v>0</v>
      </c>
      <c r="L112" s="368">
        <v>0.12</v>
      </c>
      <c r="M112" s="368">
        <v>0.25</v>
      </c>
      <c r="N112" s="404"/>
      <c r="O112" s="462">
        <f t="shared" si="147"/>
        <v>0.13646678832116788</v>
      </c>
      <c r="P112" s="54">
        <f t="shared" si="336"/>
        <v>0</v>
      </c>
      <c r="Q112" s="54">
        <f t="shared" si="336"/>
        <v>0</v>
      </c>
      <c r="R112" s="54">
        <f t="shared" si="336"/>
        <v>0</v>
      </c>
      <c r="S112" s="54">
        <f t="shared" si="336"/>
        <v>182</v>
      </c>
      <c r="T112" s="54">
        <f t="shared" si="336"/>
        <v>365</v>
      </c>
      <c r="U112" s="54">
        <f t="shared" si="293"/>
        <v>365</v>
      </c>
      <c r="V112" s="54">
        <f t="shared" si="293"/>
        <v>365</v>
      </c>
      <c r="W112" s="54">
        <f t="shared" si="336"/>
        <v>365</v>
      </c>
      <c r="Y112" s="54">
        <f t="shared" si="337"/>
        <v>0</v>
      </c>
      <c r="Z112" s="54">
        <f t="shared" si="338"/>
        <v>0</v>
      </c>
      <c r="AA112" s="54">
        <f t="shared" si="339"/>
        <v>0</v>
      </c>
      <c r="AB112" s="54">
        <f t="shared" si="340"/>
        <v>1</v>
      </c>
      <c r="AC112" s="54">
        <f t="shared" si="341"/>
        <v>2</v>
      </c>
      <c r="AD112" s="54">
        <f t="shared" si="342"/>
        <v>3</v>
      </c>
      <c r="AE112" s="54">
        <f t="shared" si="343"/>
        <v>4</v>
      </c>
      <c r="AF112" s="54">
        <f t="shared" si="344"/>
        <v>5</v>
      </c>
      <c r="AG112" s="444"/>
      <c r="AH112" s="48">
        <f t="shared" si="345"/>
        <v>0</v>
      </c>
      <c r="AI112" s="48">
        <f t="shared" si="346"/>
        <v>0</v>
      </c>
      <c r="AJ112" s="48">
        <f t="shared" si="347"/>
        <v>550</v>
      </c>
      <c r="AK112" s="48">
        <f t="shared" si="348"/>
        <v>550</v>
      </c>
      <c r="AL112" s="48">
        <f t="shared" si="349"/>
        <v>550</v>
      </c>
      <c r="AM112" s="48">
        <f t="shared" si="350"/>
        <v>550</v>
      </c>
      <c r="AN112" s="48">
        <f t="shared" si="351"/>
        <v>550</v>
      </c>
      <c r="AP112" s="61">
        <v>3.8362500000000008E-2</v>
      </c>
      <c r="AQ112" s="61">
        <v>3.8362500000000008E-2</v>
      </c>
      <c r="AR112" s="61">
        <v>3.8362500000000008E-2</v>
      </c>
      <c r="AS112" s="61">
        <v>3.8362500000000008E-2</v>
      </c>
      <c r="AT112" s="61">
        <v>3.8362500000000008E-2</v>
      </c>
      <c r="AU112" s="61">
        <v>3.8362500000000008E-2</v>
      </c>
      <c r="AV112" s="61">
        <v>3.8362500000000008E-2</v>
      </c>
      <c r="AX112" s="52">
        <f t="shared" si="352"/>
        <v>0</v>
      </c>
      <c r="AY112" s="52">
        <f t="shared" si="353"/>
        <v>0</v>
      </c>
      <c r="AZ112" s="52">
        <f t="shared" si="354"/>
        <v>92.225194705479481</v>
      </c>
      <c r="BA112" s="52">
        <f t="shared" si="355"/>
        <v>184.95712125000006</v>
      </c>
      <c r="BB112" s="52">
        <f t="shared" si="356"/>
        <v>184.95712125000006</v>
      </c>
      <c r="BC112" s="52">
        <f t="shared" si="357"/>
        <v>184.95712125000006</v>
      </c>
      <c r="BD112" s="52">
        <f t="shared" si="358"/>
        <v>184.95712125000006</v>
      </c>
      <c r="BE112" s="57">
        <v>0.2</v>
      </c>
      <c r="BF112" s="52">
        <f t="shared" si="359"/>
        <v>0</v>
      </c>
      <c r="BG112" s="82">
        <f t="shared" si="360"/>
        <v>0</v>
      </c>
      <c r="BH112" s="82">
        <f t="shared" si="361"/>
        <v>0</v>
      </c>
      <c r="BI112" s="52">
        <f t="shared" si="362"/>
        <v>0</v>
      </c>
      <c r="BJ112" s="52">
        <f t="shared" si="363"/>
        <v>0</v>
      </c>
      <c r="BK112" s="52">
        <f t="shared" si="364"/>
        <v>0</v>
      </c>
      <c r="BL112" s="52">
        <f t="shared" si="365"/>
        <v>0</v>
      </c>
      <c r="BM112" s="297">
        <f t="shared" si="366"/>
        <v>0.05</v>
      </c>
      <c r="BN112" s="69">
        <f t="shared" si="367"/>
        <v>0</v>
      </c>
      <c r="BO112" s="69">
        <f t="shared" si="368"/>
        <v>0</v>
      </c>
      <c r="BP112" s="69">
        <f t="shared" si="369"/>
        <v>0</v>
      </c>
      <c r="BQ112" s="69">
        <f t="shared" si="370"/>
        <v>0</v>
      </c>
      <c r="BR112" s="69">
        <f t="shared" si="371"/>
        <v>0</v>
      </c>
      <c r="BS112" s="69">
        <f t="shared" si="372"/>
        <v>0</v>
      </c>
      <c r="BT112" s="69">
        <f t="shared" si="373"/>
        <v>0</v>
      </c>
      <c r="BV112" s="52">
        <f t="shared" si="374"/>
        <v>0</v>
      </c>
      <c r="BW112" s="52">
        <f t="shared" si="375"/>
        <v>91</v>
      </c>
      <c r="BX112" s="52">
        <f t="shared" si="376"/>
        <v>183</v>
      </c>
      <c r="BY112" s="52">
        <f t="shared" si="377"/>
        <v>0</v>
      </c>
      <c r="BZ112" s="52">
        <f t="shared" si="378"/>
        <v>0</v>
      </c>
      <c r="CA112" s="52">
        <f t="shared" si="379"/>
        <v>0</v>
      </c>
      <c r="CB112" s="52">
        <f t="shared" si="380"/>
        <v>0</v>
      </c>
      <c r="CC112" s="107">
        <v>0</v>
      </c>
      <c r="CD112" s="61">
        <v>0</v>
      </c>
      <c r="CE112" s="61">
        <f t="shared" si="381"/>
        <v>0.86353321167883212</v>
      </c>
      <c r="CF112" s="61">
        <f t="shared" si="382"/>
        <v>0</v>
      </c>
      <c r="CG112" s="61">
        <f t="shared" si="383"/>
        <v>0</v>
      </c>
      <c r="CH112" s="61">
        <f t="shared" si="149"/>
        <v>0</v>
      </c>
      <c r="CI112" s="61">
        <f t="shared" si="150"/>
        <v>0</v>
      </c>
      <c r="CJ112" s="61">
        <f t="shared" si="151"/>
        <v>1</v>
      </c>
      <c r="CK112" s="4"/>
      <c r="CL112" s="54">
        <f t="shared" si="152"/>
        <v>0</v>
      </c>
      <c r="CM112" s="54">
        <f t="shared" si="153"/>
        <v>0</v>
      </c>
      <c r="CN112" s="54">
        <f t="shared" si="154"/>
        <v>0</v>
      </c>
      <c r="CO112" s="54">
        <f t="shared" si="155"/>
        <v>0</v>
      </c>
      <c r="CP112" s="54">
        <f t="shared" si="156"/>
        <v>0</v>
      </c>
      <c r="CQ112" s="54">
        <f t="shared" si="157"/>
        <v>0</v>
      </c>
      <c r="CR112" s="54">
        <f t="shared" si="158"/>
        <v>0</v>
      </c>
      <c r="CT112" s="54">
        <f t="shared" si="384"/>
        <v>0</v>
      </c>
      <c r="CU112" s="54">
        <f t="shared" si="385"/>
        <v>0</v>
      </c>
      <c r="CV112" s="54">
        <f t="shared" si="386"/>
        <v>0</v>
      </c>
      <c r="CW112" s="54">
        <f t="shared" si="387"/>
        <v>0</v>
      </c>
      <c r="CX112" s="54">
        <f t="shared" si="388"/>
        <v>0</v>
      </c>
      <c r="CY112" s="54">
        <f t="shared" si="389"/>
        <v>0</v>
      </c>
      <c r="CZ112" s="54">
        <f t="shared" si="213"/>
        <v>0</v>
      </c>
      <c r="DB112" s="54">
        <f t="shared" si="390"/>
        <v>0</v>
      </c>
      <c r="DC112" s="54">
        <f t="shared" si="391"/>
        <v>0</v>
      </c>
      <c r="DD112" s="54">
        <f t="shared" si="392"/>
        <v>0</v>
      </c>
      <c r="DE112" s="54">
        <f t="shared" si="393"/>
        <v>0</v>
      </c>
      <c r="DF112" s="54">
        <f t="shared" si="394"/>
        <v>0</v>
      </c>
      <c r="DG112" s="54">
        <f t="shared" si="395"/>
        <v>0</v>
      </c>
      <c r="DH112" s="54">
        <f t="shared" si="220"/>
        <v>0</v>
      </c>
      <c r="DJ112" s="54">
        <f t="shared" si="396"/>
        <v>0</v>
      </c>
      <c r="DK112" s="54">
        <f t="shared" si="397"/>
        <v>0</v>
      </c>
      <c r="DL112" s="54">
        <f t="shared" si="398"/>
        <v>0</v>
      </c>
      <c r="DM112" s="54">
        <f t="shared" si="399"/>
        <v>0</v>
      </c>
      <c r="DN112" s="54">
        <f t="shared" si="400"/>
        <v>0</v>
      </c>
      <c r="DO112" s="54">
        <f t="shared" si="401"/>
        <v>0</v>
      </c>
      <c r="DP112" s="54">
        <f t="shared" si="402"/>
        <v>0</v>
      </c>
      <c r="DR112" s="54">
        <f>+IF(Z112&gt;0,$K112*(1-$BE112)-SUM($DJ112:DJ112),DB112)</f>
        <v>0</v>
      </c>
      <c r="DS112" s="54">
        <f>+IF(AA112&gt;0,$K112*(1-$BE112)-SUM($DJ112:DK112),DC112)</f>
        <v>0</v>
      </c>
      <c r="DT112" s="54">
        <f>+IF(AB112&gt;0,$K112*(1-$BE112)-SUM($DJ112:DL112),DD112)</f>
        <v>0</v>
      </c>
      <c r="DU112" s="54">
        <f>+IF(AC112&gt;0,$K112*(1-$BE112)-SUM($DJ112:DM112),DE112)</f>
        <v>0</v>
      </c>
      <c r="DV112" s="54">
        <f>+IF(AD112&gt;0,$K112*(1-$BE112)-SUM($DJ112:DN112),DF112)</f>
        <v>0</v>
      </c>
      <c r="DW112" s="54">
        <f>+IF(AE112&gt;0,$K112*(1-$BE112)-SUM($DJ112:DO112),DG112)</f>
        <v>0</v>
      </c>
      <c r="DX112" s="54">
        <f>+IF(AF112&gt;0,$K112*(1-$BE112)-SUM($DJ112:DP112),DH112)</f>
        <v>0</v>
      </c>
      <c r="DZ112" s="54">
        <f t="shared" si="403"/>
        <v>0</v>
      </c>
      <c r="EA112" s="54">
        <f t="shared" si="404"/>
        <v>0</v>
      </c>
      <c r="EB112" s="54">
        <f t="shared" si="405"/>
        <v>0</v>
      </c>
      <c r="EC112" s="54">
        <f t="shared" si="406"/>
        <v>0</v>
      </c>
      <c r="ED112" s="54">
        <f t="shared" si="407"/>
        <v>0</v>
      </c>
      <c r="EE112" s="54">
        <f t="shared" si="408"/>
        <v>0</v>
      </c>
      <c r="EF112" s="54">
        <f t="shared" si="409"/>
        <v>0</v>
      </c>
      <c r="EH112" s="54">
        <f t="shared" si="410"/>
        <v>0</v>
      </c>
      <c r="EI112" s="54">
        <f t="shared" si="411"/>
        <v>0</v>
      </c>
      <c r="EJ112" s="54">
        <f t="shared" si="412"/>
        <v>0</v>
      </c>
      <c r="EK112" s="54">
        <f t="shared" si="413"/>
        <v>0</v>
      </c>
      <c r="EL112" s="54">
        <f t="shared" si="414"/>
        <v>0</v>
      </c>
      <c r="EM112" s="54">
        <f t="shared" si="415"/>
        <v>0</v>
      </c>
      <c r="EN112" s="54">
        <f t="shared" si="416"/>
        <v>0</v>
      </c>
      <c r="EP112" s="52">
        <f t="shared" ca="1" si="242"/>
        <v>0</v>
      </c>
      <c r="EQ112" s="52">
        <f t="shared" ca="1" si="243"/>
        <v>0</v>
      </c>
      <c r="ER112" s="52">
        <f t="shared" ca="1" si="244"/>
        <v>0</v>
      </c>
      <c r="ES112" s="52">
        <f t="shared" ca="1" si="245"/>
        <v>0</v>
      </c>
      <c r="ET112" s="52">
        <f t="shared" ca="1" si="246"/>
        <v>0</v>
      </c>
      <c r="EU112" s="52">
        <f t="shared" ca="1" si="247"/>
        <v>0</v>
      </c>
      <c r="EV112" s="52">
        <f t="shared" ca="1" si="417"/>
        <v>0</v>
      </c>
      <c r="EX112" s="52">
        <f t="shared" ca="1" si="249"/>
        <v>0</v>
      </c>
      <c r="EY112" s="52">
        <f t="shared" ca="1" si="250"/>
        <v>0</v>
      </c>
      <c r="EZ112" s="52">
        <f t="shared" ca="1" si="251"/>
        <v>0</v>
      </c>
      <c r="FA112" s="52">
        <f t="shared" ca="1" si="252"/>
        <v>0</v>
      </c>
      <c r="FB112" s="52">
        <f t="shared" ca="1" si="253"/>
        <v>0</v>
      </c>
      <c r="FC112" s="52">
        <f t="shared" ca="1" si="254"/>
        <v>0</v>
      </c>
      <c r="FD112" s="52">
        <f t="shared" ca="1" si="255"/>
        <v>0</v>
      </c>
      <c r="FF112" s="82">
        <f t="shared" si="418"/>
        <v>0</v>
      </c>
      <c r="FG112" s="82">
        <f t="shared" si="419"/>
        <v>0</v>
      </c>
      <c r="FH112" s="82">
        <f t="shared" si="420"/>
        <v>0</v>
      </c>
      <c r="FI112" s="82">
        <f t="shared" si="421"/>
        <v>0</v>
      </c>
      <c r="FJ112" s="82">
        <f t="shared" si="422"/>
        <v>0</v>
      </c>
      <c r="FK112" s="82">
        <f t="shared" si="423"/>
        <v>0</v>
      </c>
      <c r="FL112" s="82">
        <f t="shared" si="424"/>
        <v>0</v>
      </c>
      <c r="FM112" s="51">
        <v>0</v>
      </c>
      <c r="FN112" s="82">
        <v>0</v>
      </c>
      <c r="FO112" s="82">
        <f t="shared" si="159"/>
        <v>0</v>
      </c>
      <c r="FP112" s="82">
        <f t="shared" si="425"/>
        <v>0</v>
      </c>
      <c r="FQ112" s="82">
        <f t="shared" si="426"/>
        <v>0</v>
      </c>
      <c r="FR112" s="82">
        <f t="shared" si="427"/>
        <v>0</v>
      </c>
      <c r="FS112" s="82">
        <f t="shared" si="428"/>
        <v>0</v>
      </c>
      <c r="FT112" s="82">
        <f t="shared" si="429"/>
        <v>0</v>
      </c>
      <c r="FV112" s="82">
        <f t="shared" si="160"/>
        <v>9</v>
      </c>
      <c r="FW112" s="82">
        <f t="shared" si="161"/>
        <v>9</v>
      </c>
      <c r="FX112" s="82">
        <f t="shared" si="162"/>
        <v>9</v>
      </c>
      <c r="FY112" s="82">
        <f t="shared" si="163"/>
        <v>1.9804590249049414</v>
      </c>
      <c r="FZ112" s="82">
        <f t="shared" si="164"/>
        <v>1.9804590249049414</v>
      </c>
      <c r="GA112" s="82">
        <f t="shared" si="165"/>
        <v>1.9804590249049414</v>
      </c>
      <c r="GB112" s="82">
        <f t="shared" si="166"/>
        <v>1.9804590249049414</v>
      </c>
    </row>
    <row r="113" spans="2:184" x14ac:dyDescent="0.2">
      <c r="B113" s="402" t="str">
        <f>Key_New!D61</f>
        <v>Rajasthan</v>
      </c>
      <c r="C113" s="394" t="str">
        <f>Key_New!B61</f>
        <v>BESS — Bikaner-III (Ph II)</v>
      </c>
      <c r="D113" s="395" t="str">
        <f>Key_New!E61</f>
        <v>BESS</v>
      </c>
      <c r="E113" s="395" t="str">
        <f>Key_New!C61</f>
        <v>Under Construction</v>
      </c>
      <c r="F113" s="397">
        <f>Key_New!G61</f>
        <v>1000</v>
      </c>
      <c r="G113" s="399">
        <f t="shared" si="145"/>
        <v>46112</v>
      </c>
      <c r="H113" s="399">
        <f>Key_New!O61</f>
        <v>46387</v>
      </c>
      <c r="I113" s="369">
        <f t="shared" si="167"/>
        <v>2027</v>
      </c>
      <c r="J113" s="367">
        <v>0</v>
      </c>
      <c r="K113" s="370">
        <f t="shared" si="168"/>
        <v>0</v>
      </c>
      <c r="L113" s="368">
        <v>0.12</v>
      </c>
      <c r="M113" s="368">
        <v>0.25</v>
      </c>
      <c r="N113" s="404"/>
      <c r="O113" s="462">
        <f t="shared" si="147"/>
        <v>0</v>
      </c>
      <c r="P113" s="54">
        <f t="shared" si="336"/>
        <v>0</v>
      </c>
      <c r="Q113" s="54">
        <f t="shared" si="336"/>
        <v>0</v>
      </c>
      <c r="R113" s="54">
        <f t="shared" si="336"/>
        <v>0</v>
      </c>
      <c r="S113" s="54">
        <f t="shared" si="336"/>
        <v>90</v>
      </c>
      <c r="T113" s="54">
        <f t="shared" si="336"/>
        <v>365</v>
      </c>
      <c r="U113" s="54">
        <f t="shared" si="293"/>
        <v>365</v>
      </c>
      <c r="V113" s="54">
        <f t="shared" si="293"/>
        <v>365</v>
      </c>
      <c r="W113" s="54">
        <f t="shared" si="336"/>
        <v>365</v>
      </c>
      <c r="Y113" s="54">
        <f t="shared" si="337"/>
        <v>0</v>
      </c>
      <c r="Z113" s="54">
        <f t="shared" si="338"/>
        <v>0</v>
      </c>
      <c r="AA113" s="54">
        <f t="shared" si="339"/>
        <v>0</v>
      </c>
      <c r="AB113" s="54">
        <f t="shared" si="340"/>
        <v>1</v>
      </c>
      <c r="AC113" s="54">
        <f t="shared" si="341"/>
        <v>2</v>
      </c>
      <c r="AD113" s="54">
        <f t="shared" si="342"/>
        <v>3</v>
      </c>
      <c r="AE113" s="54">
        <f t="shared" si="343"/>
        <v>4</v>
      </c>
      <c r="AF113" s="54">
        <f t="shared" si="344"/>
        <v>5</v>
      </c>
      <c r="AG113" s="444"/>
      <c r="AH113" s="48">
        <f t="shared" si="345"/>
        <v>0</v>
      </c>
      <c r="AI113" s="48">
        <f t="shared" si="346"/>
        <v>0</v>
      </c>
      <c r="AJ113" s="48">
        <f t="shared" si="347"/>
        <v>1000</v>
      </c>
      <c r="AK113" s="48">
        <f t="shared" si="348"/>
        <v>1000</v>
      </c>
      <c r="AL113" s="48">
        <f t="shared" si="349"/>
        <v>1000</v>
      </c>
      <c r="AM113" s="48">
        <f t="shared" si="350"/>
        <v>1000</v>
      </c>
      <c r="AN113" s="48">
        <f t="shared" si="351"/>
        <v>1000</v>
      </c>
      <c r="AP113" s="61">
        <v>3.8362500000000008E-2</v>
      </c>
      <c r="AQ113" s="61">
        <v>3.8362500000000008E-2</v>
      </c>
      <c r="AR113" s="61">
        <v>3.8362500000000008E-2</v>
      </c>
      <c r="AS113" s="61">
        <v>3.8362500000000008E-2</v>
      </c>
      <c r="AT113" s="61">
        <v>3.8362500000000008E-2</v>
      </c>
      <c r="AU113" s="61">
        <v>3.8362500000000008E-2</v>
      </c>
      <c r="AV113" s="61">
        <v>3.8362500000000008E-2</v>
      </c>
      <c r="AX113" s="52">
        <f t="shared" si="352"/>
        <v>0</v>
      </c>
      <c r="AY113" s="52">
        <f t="shared" si="353"/>
        <v>0</v>
      </c>
      <c r="AZ113" s="52">
        <f t="shared" si="354"/>
        <v>82.919755479452064</v>
      </c>
      <c r="BA113" s="52">
        <f t="shared" si="355"/>
        <v>336.28567500000008</v>
      </c>
      <c r="BB113" s="52">
        <f t="shared" si="356"/>
        <v>336.28567500000008</v>
      </c>
      <c r="BC113" s="52">
        <f t="shared" si="357"/>
        <v>336.28567500000008</v>
      </c>
      <c r="BD113" s="52">
        <f t="shared" si="358"/>
        <v>336.28567500000008</v>
      </c>
      <c r="BE113" s="57">
        <v>0.2</v>
      </c>
      <c r="BF113" s="52">
        <f t="shared" si="359"/>
        <v>0</v>
      </c>
      <c r="BG113" s="82">
        <f t="shared" si="360"/>
        <v>0</v>
      </c>
      <c r="BH113" s="82">
        <f t="shared" si="361"/>
        <v>0</v>
      </c>
      <c r="BI113" s="52">
        <f t="shared" si="362"/>
        <v>0</v>
      </c>
      <c r="BJ113" s="52">
        <f t="shared" si="363"/>
        <v>0</v>
      </c>
      <c r="BK113" s="52">
        <f t="shared" si="364"/>
        <v>0</v>
      </c>
      <c r="BL113" s="52">
        <f t="shared" si="365"/>
        <v>0</v>
      </c>
      <c r="BM113" s="297">
        <f t="shared" si="366"/>
        <v>0.05</v>
      </c>
      <c r="BN113" s="69">
        <f t="shared" si="367"/>
        <v>0</v>
      </c>
      <c r="BO113" s="69">
        <f t="shared" si="368"/>
        <v>0</v>
      </c>
      <c r="BP113" s="69">
        <f t="shared" si="369"/>
        <v>0</v>
      </c>
      <c r="BQ113" s="69">
        <f t="shared" si="370"/>
        <v>0</v>
      </c>
      <c r="BR113" s="69">
        <f t="shared" si="371"/>
        <v>0</v>
      </c>
      <c r="BS113" s="69">
        <f t="shared" si="372"/>
        <v>0</v>
      </c>
      <c r="BT113" s="69">
        <f t="shared" si="373"/>
        <v>0</v>
      </c>
      <c r="BV113" s="52">
        <f t="shared" si="374"/>
        <v>0</v>
      </c>
      <c r="BW113" s="52">
        <f t="shared" si="375"/>
        <v>0</v>
      </c>
      <c r="BX113" s="52">
        <f t="shared" si="376"/>
        <v>275</v>
      </c>
      <c r="BY113" s="52">
        <f t="shared" si="377"/>
        <v>0</v>
      </c>
      <c r="BZ113" s="52">
        <f t="shared" si="378"/>
        <v>0</v>
      </c>
      <c r="CA113" s="52">
        <f t="shared" si="379"/>
        <v>0</v>
      </c>
      <c r="CB113" s="52">
        <f t="shared" si="380"/>
        <v>0</v>
      </c>
      <c r="CC113" s="107">
        <v>0</v>
      </c>
      <c r="CD113" s="61">
        <v>0</v>
      </c>
      <c r="CE113" s="61">
        <f t="shared" si="381"/>
        <v>1</v>
      </c>
      <c r="CF113" s="61">
        <f t="shared" si="382"/>
        <v>0</v>
      </c>
      <c r="CG113" s="61">
        <f t="shared" si="383"/>
        <v>0</v>
      </c>
      <c r="CH113" s="61">
        <f t="shared" si="149"/>
        <v>0</v>
      </c>
      <c r="CI113" s="61">
        <f t="shared" si="150"/>
        <v>0</v>
      </c>
      <c r="CJ113" s="61">
        <f t="shared" si="151"/>
        <v>1</v>
      </c>
      <c r="CK113" s="4"/>
      <c r="CL113" s="54">
        <f t="shared" si="152"/>
        <v>0</v>
      </c>
      <c r="CM113" s="54">
        <f t="shared" si="153"/>
        <v>0</v>
      </c>
      <c r="CN113" s="54">
        <f t="shared" si="154"/>
        <v>0</v>
      </c>
      <c r="CO113" s="54">
        <f t="shared" si="155"/>
        <v>0</v>
      </c>
      <c r="CP113" s="54">
        <f t="shared" si="156"/>
        <v>0</v>
      </c>
      <c r="CQ113" s="54">
        <f t="shared" si="157"/>
        <v>0</v>
      </c>
      <c r="CR113" s="54">
        <f t="shared" si="158"/>
        <v>0</v>
      </c>
      <c r="CT113" s="54">
        <f t="shared" si="384"/>
        <v>0</v>
      </c>
      <c r="CU113" s="54">
        <f t="shared" si="385"/>
        <v>0</v>
      </c>
      <c r="CV113" s="54">
        <f t="shared" si="386"/>
        <v>0</v>
      </c>
      <c r="CW113" s="54">
        <f t="shared" si="387"/>
        <v>0</v>
      </c>
      <c r="CX113" s="54">
        <f t="shared" si="388"/>
        <v>0</v>
      </c>
      <c r="CY113" s="54">
        <f t="shared" si="389"/>
        <v>0</v>
      </c>
      <c r="CZ113" s="54">
        <f t="shared" si="213"/>
        <v>0</v>
      </c>
      <c r="DB113" s="54">
        <f t="shared" si="390"/>
        <v>0</v>
      </c>
      <c r="DC113" s="54">
        <f t="shared" si="391"/>
        <v>0</v>
      </c>
      <c r="DD113" s="54">
        <f t="shared" si="392"/>
        <v>0</v>
      </c>
      <c r="DE113" s="54">
        <f t="shared" si="393"/>
        <v>0</v>
      </c>
      <c r="DF113" s="54">
        <f t="shared" si="394"/>
        <v>0</v>
      </c>
      <c r="DG113" s="54">
        <f t="shared" si="395"/>
        <v>0</v>
      </c>
      <c r="DH113" s="54">
        <f t="shared" si="220"/>
        <v>0</v>
      </c>
      <c r="DJ113" s="54">
        <f t="shared" si="396"/>
        <v>0</v>
      </c>
      <c r="DK113" s="54">
        <f t="shared" si="397"/>
        <v>0</v>
      </c>
      <c r="DL113" s="54">
        <f t="shared" si="398"/>
        <v>0</v>
      </c>
      <c r="DM113" s="54">
        <f t="shared" si="399"/>
        <v>0</v>
      </c>
      <c r="DN113" s="54">
        <f t="shared" si="400"/>
        <v>0</v>
      </c>
      <c r="DO113" s="54">
        <f t="shared" si="401"/>
        <v>0</v>
      </c>
      <c r="DP113" s="54">
        <f t="shared" si="402"/>
        <v>0</v>
      </c>
      <c r="DR113" s="54">
        <f>+IF(Z113&gt;0,$K113*(1-$BE113)-SUM($DJ113:DJ113),DB113)</f>
        <v>0</v>
      </c>
      <c r="DS113" s="54">
        <f>+IF(AA113&gt;0,$K113*(1-$BE113)-SUM($DJ113:DK113),DC113)</f>
        <v>0</v>
      </c>
      <c r="DT113" s="54">
        <f>+IF(AB113&gt;0,$K113*(1-$BE113)-SUM($DJ113:DL113),DD113)</f>
        <v>0</v>
      </c>
      <c r="DU113" s="54">
        <f>+IF(AC113&gt;0,$K113*(1-$BE113)-SUM($DJ113:DM113),DE113)</f>
        <v>0</v>
      </c>
      <c r="DV113" s="54">
        <f>+IF(AD113&gt;0,$K113*(1-$BE113)-SUM($DJ113:DN113),DF113)</f>
        <v>0</v>
      </c>
      <c r="DW113" s="54">
        <f>+IF(AE113&gt;0,$K113*(1-$BE113)-SUM($DJ113:DO113),DG113)</f>
        <v>0</v>
      </c>
      <c r="DX113" s="54">
        <f>+IF(AF113&gt;0,$K113*(1-$BE113)-SUM($DJ113:DP113),DH113)</f>
        <v>0</v>
      </c>
      <c r="DZ113" s="54">
        <f t="shared" si="403"/>
        <v>0</v>
      </c>
      <c r="EA113" s="54">
        <f t="shared" si="404"/>
        <v>0</v>
      </c>
      <c r="EB113" s="54">
        <f t="shared" si="405"/>
        <v>0</v>
      </c>
      <c r="EC113" s="54">
        <f t="shared" si="406"/>
        <v>0</v>
      </c>
      <c r="ED113" s="54">
        <f t="shared" si="407"/>
        <v>0</v>
      </c>
      <c r="EE113" s="54">
        <f t="shared" si="408"/>
        <v>0</v>
      </c>
      <c r="EF113" s="54">
        <f t="shared" si="409"/>
        <v>0</v>
      </c>
      <c r="EH113" s="54">
        <f t="shared" si="410"/>
        <v>0</v>
      </c>
      <c r="EI113" s="54">
        <f t="shared" si="411"/>
        <v>0</v>
      </c>
      <c r="EJ113" s="54">
        <f t="shared" si="412"/>
        <v>0</v>
      </c>
      <c r="EK113" s="54">
        <f t="shared" si="413"/>
        <v>0</v>
      </c>
      <c r="EL113" s="54">
        <f t="shared" si="414"/>
        <v>0</v>
      </c>
      <c r="EM113" s="54">
        <f t="shared" si="415"/>
        <v>0</v>
      </c>
      <c r="EN113" s="54">
        <f t="shared" si="416"/>
        <v>0</v>
      </c>
      <c r="EP113" s="52">
        <f t="shared" ca="1" si="242"/>
        <v>0</v>
      </c>
      <c r="EQ113" s="52">
        <f t="shared" ca="1" si="243"/>
        <v>0</v>
      </c>
      <c r="ER113" s="52">
        <f t="shared" ca="1" si="244"/>
        <v>0</v>
      </c>
      <c r="ES113" s="52">
        <f t="shared" ca="1" si="245"/>
        <v>0</v>
      </c>
      <c r="ET113" s="52">
        <f t="shared" ca="1" si="246"/>
        <v>0</v>
      </c>
      <c r="EU113" s="52">
        <f t="shared" ca="1" si="247"/>
        <v>0</v>
      </c>
      <c r="EV113" s="52">
        <f t="shared" ca="1" si="417"/>
        <v>0</v>
      </c>
      <c r="EX113" s="52">
        <f t="shared" ca="1" si="249"/>
        <v>0</v>
      </c>
      <c r="EY113" s="52">
        <f t="shared" ca="1" si="250"/>
        <v>0</v>
      </c>
      <c r="EZ113" s="52">
        <f t="shared" ca="1" si="251"/>
        <v>0</v>
      </c>
      <c r="FA113" s="52">
        <f t="shared" ca="1" si="252"/>
        <v>0</v>
      </c>
      <c r="FB113" s="52">
        <f t="shared" ca="1" si="253"/>
        <v>0</v>
      </c>
      <c r="FC113" s="52">
        <f t="shared" ca="1" si="254"/>
        <v>0</v>
      </c>
      <c r="FD113" s="52">
        <f t="shared" ca="1" si="255"/>
        <v>0</v>
      </c>
      <c r="FF113" s="82">
        <f t="shared" si="418"/>
        <v>0</v>
      </c>
      <c r="FG113" s="82">
        <f t="shared" si="419"/>
        <v>0</v>
      </c>
      <c r="FH113" s="82">
        <f t="shared" si="420"/>
        <v>0</v>
      </c>
      <c r="FI113" s="82">
        <f t="shared" si="421"/>
        <v>0</v>
      </c>
      <c r="FJ113" s="82">
        <f t="shared" si="422"/>
        <v>0</v>
      </c>
      <c r="FK113" s="82">
        <f t="shared" si="423"/>
        <v>0</v>
      </c>
      <c r="FL113" s="82">
        <f t="shared" si="424"/>
        <v>0</v>
      </c>
      <c r="FM113" s="51">
        <v>0</v>
      </c>
      <c r="FN113" s="82">
        <v>0</v>
      </c>
      <c r="FO113" s="82">
        <f t="shared" si="159"/>
        <v>0</v>
      </c>
      <c r="FP113" s="82">
        <f t="shared" si="425"/>
        <v>0</v>
      </c>
      <c r="FQ113" s="82">
        <f t="shared" si="426"/>
        <v>0</v>
      </c>
      <c r="FR113" s="82">
        <f t="shared" si="427"/>
        <v>0</v>
      </c>
      <c r="FS113" s="82">
        <f t="shared" si="428"/>
        <v>0</v>
      </c>
      <c r="FT113" s="82">
        <f t="shared" si="429"/>
        <v>0</v>
      </c>
      <c r="FV113" s="82">
        <f t="shared" si="160"/>
        <v>9</v>
      </c>
      <c r="FW113" s="82">
        <f t="shared" si="161"/>
        <v>9</v>
      </c>
      <c r="FX113" s="82">
        <f t="shared" si="162"/>
        <v>9</v>
      </c>
      <c r="FY113" s="82">
        <f t="shared" si="163"/>
        <v>1.9804590249049414</v>
      </c>
      <c r="FZ113" s="82">
        <f t="shared" si="164"/>
        <v>1.9804590249049414</v>
      </c>
      <c r="GA113" s="82">
        <f t="shared" si="165"/>
        <v>1.9804590249049414</v>
      </c>
      <c r="GB113" s="82">
        <f t="shared" si="166"/>
        <v>1.9804590249049414</v>
      </c>
    </row>
    <row r="114" spans="2:184" x14ac:dyDescent="0.2">
      <c r="B114" s="402" t="str">
        <f>Key_New!D62</f>
        <v>Rajasthan</v>
      </c>
      <c r="C114" s="394" t="str">
        <f>Key_New!B62</f>
        <v>BESS — Fatehgarh-I (Ph I)</v>
      </c>
      <c r="D114" s="395" t="str">
        <f>Key_New!E62</f>
        <v>BESS</v>
      </c>
      <c r="E114" s="395" t="str">
        <f>Key_New!C62</f>
        <v>Operational</v>
      </c>
      <c r="F114" s="397">
        <f>Key_New!G62</f>
        <v>601</v>
      </c>
      <c r="G114" s="399">
        <f t="shared" si="145"/>
        <v>45930</v>
      </c>
      <c r="H114" s="399">
        <f>Key_New!O62</f>
        <v>46203</v>
      </c>
      <c r="I114" s="369">
        <f t="shared" si="167"/>
        <v>2027</v>
      </c>
      <c r="J114" s="367">
        <v>0</v>
      </c>
      <c r="K114" s="370">
        <f t="shared" si="168"/>
        <v>0</v>
      </c>
      <c r="L114" s="368">
        <v>0.12</v>
      </c>
      <c r="M114" s="368">
        <v>0.25</v>
      </c>
      <c r="N114" s="404"/>
      <c r="O114" s="462">
        <f t="shared" si="147"/>
        <v>0.27393333333333331</v>
      </c>
      <c r="P114" s="54">
        <f t="shared" si="336"/>
        <v>0</v>
      </c>
      <c r="Q114" s="54">
        <f t="shared" si="336"/>
        <v>0</v>
      </c>
      <c r="R114" s="54">
        <f t="shared" si="336"/>
        <v>0</v>
      </c>
      <c r="S114" s="54">
        <f t="shared" si="336"/>
        <v>274</v>
      </c>
      <c r="T114" s="54">
        <f t="shared" si="336"/>
        <v>365</v>
      </c>
      <c r="U114" s="54">
        <f t="shared" si="293"/>
        <v>365</v>
      </c>
      <c r="V114" s="54">
        <f t="shared" si="293"/>
        <v>365</v>
      </c>
      <c r="W114" s="54">
        <f t="shared" si="336"/>
        <v>365</v>
      </c>
      <c r="Y114" s="54">
        <f t="shared" si="337"/>
        <v>0</v>
      </c>
      <c r="Z114" s="54">
        <f t="shared" si="338"/>
        <v>0</v>
      </c>
      <c r="AA114" s="54">
        <f t="shared" si="339"/>
        <v>0</v>
      </c>
      <c r="AB114" s="54">
        <f t="shared" si="340"/>
        <v>1</v>
      </c>
      <c r="AC114" s="54">
        <f t="shared" si="341"/>
        <v>2</v>
      </c>
      <c r="AD114" s="54">
        <f t="shared" si="342"/>
        <v>3</v>
      </c>
      <c r="AE114" s="54">
        <f t="shared" si="343"/>
        <v>4</v>
      </c>
      <c r="AF114" s="54">
        <f t="shared" si="344"/>
        <v>5</v>
      </c>
      <c r="AG114" s="444"/>
      <c r="AH114" s="48">
        <f t="shared" si="345"/>
        <v>0</v>
      </c>
      <c r="AI114" s="48">
        <f t="shared" si="346"/>
        <v>0</v>
      </c>
      <c r="AJ114" s="48">
        <f t="shared" si="347"/>
        <v>601</v>
      </c>
      <c r="AK114" s="48">
        <f t="shared" si="348"/>
        <v>601</v>
      </c>
      <c r="AL114" s="48">
        <f t="shared" si="349"/>
        <v>601</v>
      </c>
      <c r="AM114" s="48">
        <f t="shared" si="350"/>
        <v>601</v>
      </c>
      <c r="AN114" s="48">
        <f t="shared" si="351"/>
        <v>601</v>
      </c>
      <c r="AP114" s="61">
        <v>3.8362500000000008E-2</v>
      </c>
      <c r="AQ114" s="61">
        <v>3.8362500000000008E-2</v>
      </c>
      <c r="AR114" s="61">
        <v>3.8362500000000008E-2</v>
      </c>
      <c r="AS114" s="61">
        <v>3.8362500000000008E-2</v>
      </c>
      <c r="AT114" s="61">
        <v>3.8362500000000008E-2</v>
      </c>
      <c r="AU114" s="61">
        <v>3.8362500000000008E-2</v>
      </c>
      <c r="AV114" s="61">
        <v>3.8362500000000008E-2</v>
      </c>
      <c r="AX114" s="52">
        <f t="shared" si="352"/>
        <v>0</v>
      </c>
      <c r="AY114" s="52">
        <f t="shared" si="353"/>
        <v>0</v>
      </c>
      <c r="AZ114" s="52">
        <f t="shared" si="354"/>
        <v>151.71919793136991</v>
      </c>
      <c r="BA114" s="52">
        <f t="shared" si="355"/>
        <v>202.10769067500004</v>
      </c>
      <c r="BB114" s="52">
        <f t="shared" si="356"/>
        <v>202.10769067500004</v>
      </c>
      <c r="BC114" s="52">
        <f t="shared" si="357"/>
        <v>202.10769067500004</v>
      </c>
      <c r="BD114" s="52">
        <f t="shared" si="358"/>
        <v>202.10769067500004</v>
      </c>
      <c r="BE114" s="57">
        <v>0.2</v>
      </c>
      <c r="BF114" s="52">
        <f t="shared" si="359"/>
        <v>0</v>
      </c>
      <c r="BG114" s="82">
        <f t="shared" si="360"/>
        <v>0</v>
      </c>
      <c r="BH114" s="82">
        <f t="shared" si="361"/>
        <v>0</v>
      </c>
      <c r="BI114" s="52">
        <f t="shared" si="362"/>
        <v>0</v>
      </c>
      <c r="BJ114" s="52">
        <f t="shared" si="363"/>
        <v>0</v>
      </c>
      <c r="BK114" s="52">
        <f t="shared" si="364"/>
        <v>0</v>
      </c>
      <c r="BL114" s="52">
        <f t="shared" si="365"/>
        <v>0</v>
      </c>
      <c r="BM114" s="297">
        <f t="shared" si="366"/>
        <v>0.05</v>
      </c>
      <c r="BN114" s="69">
        <f t="shared" si="367"/>
        <v>0</v>
      </c>
      <c r="BO114" s="69">
        <f t="shared" si="368"/>
        <v>0</v>
      </c>
      <c r="BP114" s="69">
        <f t="shared" si="369"/>
        <v>0</v>
      </c>
      <c r="BQ114" s="69">
        <f t="shared" si="370"/>
        <v>0</v>
      </c>
      <c r="BR114" s="69">
        <f t="shared" si="371"/>
        <v>0</v>
      </c>
      <c r="BS114" s="69">
        <f t="shared" si="372"/>
        <v>0</v>
      </c>
      <c r="BT114" s="69">
        <f t="shared" si="373"/>
        <v>0</v>
      </c>
      <c r="BV114" s="52">
        <f t="shared" si="374"/>
        <v>0</v>
      </c>
      <c r="BW114" s="52">
        <f t="shared" si="375"/>
        <v>182</v>
      </c>
      <c r="BX114" s="52">
        <f t="shared" si="376"/>
        <v>91</v>
      </c>
      <c r="BY114" s="52">
        <f t="shared" si="377"/>
        <v>0</v>
      </c>
      <c r="BZ114" s="52">
        <f t="shared" si="378"/>
        <v>0</v>
      </c>
      <c r="CA114" s="52">
        <f t="shared" si="379"/>
        <v>0</v>
      </c>
      <c r="CB114" s="52">
        <f t="shared" si="380"/>
        <v>0</v>
      </c>
      <c r="CC114" s="107">
        <v>0</v>
      </c>
      <c r="CD114" s="61">
        <v>0</v>
      </c>
      <c r="CE114" s="61">
        <f t="shared" si="381"/>
        <v>0.72606666666666664</v>
      </c>
      <c r="CF114" s="61">
        <f t="shared" si="382"/>
        <v>0</v>
      </c>
      <c r="CG114" s="61">
        <f t="shared" si="383"/>
        <v>0</v>
      </c>
      <c r="CH114" s="61">
        <f t="shared" si="149"/>
        <v>0</v>
      </c>
      <c r="CI114" s="61">
        <f t="shared" si="150"/>
        <v>0</v>
      </c>
      <c r="CJ114" s="61">
        <f t="shared" si="151"/>
        <v>1</v>
      </c>
      <c r="CK114" s="4"/>
      <c r="CL114" s="54">
        <f t="shared" si="152"/>
        <v>0</v>
      </c>
      <c r="CM114" s="54">
        <f t="shared" si="153"/>
        <v>0</v>
      </c>
      <c r="CN114" s="54">
        <f t="shared" si="154"/>
        <v>0</v>
      </c>
      <c r="CO114" s="54">
        <f t="shared" si="155"/>
        <v>0</v>
      </c>
      <c r="CP114" s="54">
        <f t="shared" si="156"/>
        <v>0</v>
      </c>
      <c r="CQ114" s="54">
        <f t="shared" si="157"/>
        <v>0</v>
      </c>
      <c r="CR114" s="54">
        <f t="shared" si="158"/>
        <v>0</v>
      </c>
      <c r="CT114" s="54">
        <f t="shared" si="384"/>
        <v>0</v>
      </c>
      <c r="CU114" s="54">
        <f t="shared" si="385"/>
        <v>0</v>
      </c>
      <c r="CV114" s="54">
        <f t="shared" si="386"/>
        <v>0</v>
      </c>
      <c r="CW114" s="54">
        <f t="shared" si="387"/>
        <v>0</v>
      </c>
      <c r="CX114" s="54">
        <f t="shared" si="388"/>
        <v>0</v>
      </c>
      <c r="CY114" s="54">
        <f t="shared" si="389"/>
        <v>0</v>
      </c>
      <c r="CZ114" s="54">
        <f t="shared" si="213"/>
        <v>0</v>
      </c>
      <c r="DB114" s="54">
        <f t="shared" si="390"/>
        <v>0</v>
      </c>
      <c r="DC114" s="54">
        <f t="shared" si="391"/>
        <v>0</v>
      </c>
      <c r="DD114" s="54">
        <f t="shared" si="392"/>
        <v>0</v>
      </c>
      <c r="DE114" s="54">
        <f t="shared" si="393"/>
        <v>0</v>
      </c>
      <c r="DF114" s="54">
        <f t="shared" si="394"/>
        <v>0</v>
      </c>
      <c r="DG114" s="54">
        <f t="shared" si="395"/>
        <v>0</v>
      </c>
      <c r="DH114" s="54">
        <f t="shared" si="220"/>
        <v>0</v>
      </c>
      <c r="DJ114" s="54">
        <f t="shared" si="396"/>
        <v>0</v>
      </c>
      <c r="DK114" s="54">
        <f t="shared" si="397"/>
        <v>0</v>
      </c>
      <c r="DL114" s="54">
        <f t="shared" si="398"/>
        <v>0</v>
      </c>
      <c r="DM114" s="54">
        <f t="shared" si="399"/>
        <v>0</v>
      </c>
      <c r="DN114" s="54">
        <f t="shared" si="400"/>
        <v>0</v>
      </c>
      <c r="DO114" s="54">
        <f t="shared" si="401"/>
        <v>0</v>
      </c>
      <c r="DP114" s="54">
        <f t="shared" si="402"/>
        <v>0</v>
      </c>
      <c r="DR114" s="54">
        <f>+IF(Z114&gt;0,$K114*(1-$BE114)-SUM($DJ114:DJ114),DB114)</f>
        <v>0</v>
      </c>
      <c r="DS114" s="54">
        <f>+IF(AA114&gt;0,$K114*(1-$BE114)-SUM($DJ114:DK114),DC114)</f>
        <v>0</v>
      </c>
      <c r="DT114" s="54">
        <f>+IF(AB114&gt;0,$K114*(1-$BE114)-SUM($DJ114:DL114),DD114)</f>
        <v>0</v>
      </c>
      <c r="DU114" s="54">
        <f>+IF(AC114&gt;0,$K114*(1-$BE114)-SUM($DJ114:DM114),DE114)</f>
        <v>0</v>
      </c>
      <c r="DV114" s="54">
        <f>+IF(AD114&gt;0,$K114*(1-$BE114)-SUM($DJ114:DN114),DF114)</f>
        <v>0</v>
      </c>
      <c r="DW114" s="54">
        <f>+IF(AE114&gt;0,$K114*(1-$BE114)-SUM($DJ114:DO114),DG114)</f>
        <v>0</v>
      </c>
      <c r="DX114" s="54">
        <f>+IF(AF114&gt;0,$K114*(1-$BE114)-SUM($DJ114:DP114),DH114)</f>
        <v>0</v>
      </c>
      <c r="DZ114" s="54">
        <f t="shared" si="403"/>
        <v>0</v>
      </c>
      <c r="EA114" s="54">
        <f t="shared" si="404"/>
        <v>0</v>
      </c>
      <c r="EB114" s="54">
        <f t="shared" si="405"/>
        <v>0</v>
      </c>
      <c r="EC114" s="54">
        <f t="shared" si="406"/>
        <v>0</v>
      </c>
      <c r="ED114" s="54">
        <f t="shared" si="407"/>
        <v>0</v>
      </c>
      <c r="EE114" s="54">
        <f t="shared" si="408"/>
        <v>0</v>
      </c>
      <c r="EF114" s="54">
        <f t="shared" si="409"/>
        <v>0</v>
      </c>
      <c r="EH114" s="54">
        <f t="shared" si="410"/>
        <v>0</v>
      </c>
      <c r="EI114" s="54">
        <f t="shared" si="411"/>
        <v>0</v>
      </c>
      <c r="EJ114" s="54">
        <f t="shared" si="412"/>
        <v>0</v>
      </c>
      <c r="EK114" s="54">
        <f t="shared" si="413"/>
        <v>0</v>
      </c>
      <c r="EL114" s="54">
        <f t="shared" si="414"/>
        <v>0</v>
      </c>
      <c r="EM114" s="54">
        <f t="shared" si="415"/>
        <v>0</v>
      </c>
      <c r="EN114" s="54">
        <f t="shared" si="416"/>
        <v>0</v>
      </c>
      <c r="EP114" s="52">
        <f t="shared" ca="1" si="242"/>
        <v>0</v>
      </c>
      <c r="EQ114" s="52">
        <f t="shared" ca="1" si="243"/>
        <v>0</v>
      </c>
      <c r="ER114" s="52">
        <f t="shared" ca="1" si="244"/>
        <v>0</v>
      </c>
      <c r="ES114" s="52">
        <f t="shared" ca="1" si="245"/>
        <v>0</v>
      </c>
      <c r="ET114" s="52">
        <f t="shared" ca="1" si="246"/>
        <v>0</v>
      </c>
      <c r="EU114" s="52">
        <f t="shared" ca="1" si="247"/>
        <v>0</v>
      </c>
      <c r="EV114" s="52">
        <f t="shared" ca="1" si="417"/>
        <v>0</v>
      </c>
      <c r="EX114" s="52">
        <f t="shared" ca="1" si="249"/>
        <v>0</v>
      </c>
      <c r="EY114" s="52">
        <f t="shared" ca="1" si="250"/>
        <v>0</v>
      </c>
      <c r="EZ114" s="52">
        <f t="shared" ca="1" si="251"/>
        <v>0</v>
      </c>
      <c r="FA114" s="52">
        <f t="shared" ca="1" si="252"/>
        <v>0</v>
      </c>
      <c r="FB114" s="52">
        <f t="shared" ca="1" si="253"/>
        <v>0</v>
      </c>
      <c r="FC114" s="52">
        <f t="shared" ca="1" si="254"/>
        <v>0</v>
      </c>
      <c r="FD114" s="52">
        <f t="shared" ca="1" si="255"/>
        <v>0</v>
      </c>
      <c r="FF114" s="82">
        <f t="shared" si="418"/>
        <v>0</v>
      </c>
      <c r="FG114" s="82">
        <f t="shared" si="419"/>
        <v>0</v>
      </c>
      <c r="FH114" s="82">
        <f t="shared" si="420"/>
        <v>0</v>
      </c>
      <c r="FI114" s="82">
        <f t="shared" si="421"/>
        <v>0</v>
      </c>
      <c r="FJ114" s="82">
        <f t="shared" si="422"/>
        <v>0</v>
      </c>
      <c r="FK114" s="82">
        <f t="shared" si="423"/>
        <v>0</v>
      </c>
      <c r="FL114" s="82">
        <f t="shared" si="424"/>
        <v>0</v>
      </c>
      <c r="FM114" s="51">
        <v>0</v>
      </c>
      <c r="FN114" s="82">
        <v>0</v>
      </c>
      <c r="FO114" s="82">
        <f t="shared" si="159"/>
        <v>0</v>
      </c>
      <c r="FP114" s="82">
        <f t="shared" si="425"/>
        <v>0</v>
      </c>
      <c r="FQ114" s="82">
        <f t="shared" si="426"/>
        <v>0</v>
      </c>
      <c r="FR114" s="82">
        <f t="shared" si="427"/>
        <v>0</v>
      </c>
      <c r="FS114" s="82">
        <f t="shared" si="428"/>
        <v>0</v>
      </c>
      <c r="FT114" s="82">
        <f t="shared" si="429"/>
        <v>0</v>
      </c>
      <c r="FV114" s="82">
        <f t="shared" si="160"/>
        <v>9</v>
      </c>
      <c r="FW114" s="82">
        <f t="shared" si="161"/>
        <v>9</v>
      </c>
      <c r="FX114" s="82">
        <f t="shared" si="162"/>
        <v>9</v>
      </c>
      <c r="FY114" s="82">
        <f t="shared" si="163"/>
        <v>1.9804590249049414</v>
      </c>
      <c r="FZ114" s="82">
        <f t="shared" si="164"/>
        <v>1.9804590249049414</v>
      </c>
      <c r="GA114" s="82">
        <f t="shared" si="165"/>
        <v>1.9804590249049414</v>
      </c>
      <c r="GB114" s="82">
        <f t="shared" si="166"/>
        <v>1.9804590249049414</v>
      </c>
    </row>
    <row r="115" spans="2:184" x14ac:dyDescent="0.2">
      <c r="B115" s="402" t="str">
        <f>Key_New!D63</f>
        <v>Rajasthan</v>
      </c>
      <c r="C115" s="394" t="str">
        <f>Key_New!B63</f>
        <v>BESS — Fatehgarh-I (Ph II)</v>
      </c>
      <c r="D115" s="395" t="str">
        <f>Key_New!E63</f>
        <v>BESS</v>
      </c>
      <c r="E115" s="395" t="str">
        <f>Key_New!C63</f>
        <v>Under Construction</v>
      </c>
      <c r="F115" s="397">
        <f>Key_New!G63</f>
        <v>750</v>
      </c>
      <c r="G115" s="399">
        <f t="shared" si="145"/>
        <v>46021</v>
      </c>
      <c r="H115" s="399">
        <f>Key_New!O63</f>
        <v>46295</v>
      </c>
      <c r="I115" s="369">
        <f t="shared" si="167"/>
        <v>2027</v>
      </c>
      <c r="J115" s="367">
        <v>0</v>
      </c>
      <c r="K115" s="370">
        <f t="shared" si="168"/>
        <v>0</v>
      </c>
      <c r="L115" s="368">
        <v>0.12</v>
      </c>
      <c r="M115" s="368">
        <v>0.25</v>
      </c>
      <c r="N115" s="404"/>
      <c r="O115" s="462">
        <f t="shared" si="147"/>
        <v>0.13646678832116788</v>
      </c>
      <c r="P115" s="54">
        <f t="shared" si="336"/>
        <v>0</v>
      </c>
      <c r="Q115" s="54">
        <f t="shared" si="336"/>
        <v>0</v>
      </c>
      <c r="R115" s="54">
        <f t="shared" si="336"/>
        <v>0</v>
      </c>
      <c r="S115" s="54">
        <f t="shared" si="336"/>
        <v>182</v>
      </c>
      <c r="T115" s="54">
        <f t="shared" si="336"/>
        <v>365</v>
      </c>
      <c r="U115" s="54">
        <f t="shared" si="293"/>
        <v>365</v>
      </c>
      <c r="V115" s="54">
        <f t="shared" si="293"/>
        <v>365</v>
      </c>
      <c r="W115" s="54">
        <f t="shared" si="336"/>
        <v>365</v>
      </c>
      <c r="Y115" s="54">
        <f t="shared" si="337"/>
        <v>0</v>
      </c>
      <c r="Z115" s="54">
        <f t="shared" si="338"/>
        <v>0</v>
      </c>
      <c r="AA115" s="54">
        <f t="shared" si="339"/>
        <v>0</v>
      </c>
      <c r="AB115" s="54">
        <f t="shared" si="340"/>
        <v>1</v>
      </c>
      <c r="AC115" s="54">
        <f t="shared" si="341"/>
        <v>2</v>
      </c>
      <c r="AD115" s="54">
        <f t="shared" si="342"/>
        <v>3</v>
      </c>
      <c r="AE115" s="54">
        <f t="shared" si="343"/>
        <v>4</v>
      </c>
      <c r="AF115" s="54">
        <f t="shared" si="344"/>
        <v>5</v>
      </c>
      <c r="AG115" s="444"/>
      <c r="AH115" s="48">
        <f t="shared" si="345"/>
        <v>0</v>
      </c>
      <c r="AI115" s="48">
        <f t="shared" si="346"/>
        <v>0</v>
      </c>
      <c r="AJ115" s="48">
        <f t="shared" si="347"/>
        <v>750</v>
      </c>
      <c r="AK115" s="48">
        <f t="shared" si="348"/>
        <v>750</v>
      </c>
      <c r="AL115" s="48">
        <f t="shared" si="349"/>
        <v>750</v>
      </c>
      <c r="AM115" s="48">
        <f t="shared" si="350"/>
        <v>750</v>
      </c>
      <c r="AN115" s="48">
        <f t="shared" si="351"/>
        <v>750</v>
      </c>
      <c r="AP115" s="61">
        <v>3.8362500000000008E-2</v>
      </c>
      <c r="AQ115" s="61">
        <v>3.8362500000000008E-2</v>
      </c>
      <c r="AR115" s="61">
        <v>3.8362500000000008E-2</v>
      </c>
      <c r="AS115" s="61">
        <v>3.8362500000000008E-2</v>
      </c>
      <c r="AT115" s="61">
        <v>3.8362500000000008E-2</v>
      </c>
      <c r="AU115" s="61">
        <v>3.8362500000000008E-2</v>
      </c>
      <c r="AV115" s="61">
        <v>3.8362500000000008E-2</v>
      </c>
      <c r="AX115" s="52">
        <f t="shared" si="352"/>
        <v>0</v>
      </c>
      <c r="AY115" s="52">
        <f t="shared" si="353"/>
        <v>0</v>
      </c>
      <c r="AZ115" s="52">
        <f t="shared" si="354"/>
        <v>125.76162914383565</v>
      </c>
      <c r="BA115" s="52">
        <f t="shared" si="355"/>
        <v>252.21425625000006</v>
      </c>
      <c r="BB115" s="52">
        <f t="shared" si="356"/>
        <v>252.21425625000006</v>
      </c>
      <c r="BC115" s="52">
        <f t="shared" si="357"/>
        <v>252.21425625000006</v>
      </c>
      <c r="BD115" s="52">
        <f t="shared" si="358"/>
        <v>252.21425625000006</v>
      </c>
      <c r="BE115" s="57">
        <v>0.2</v>
      </c>
      <c r="BF115" s="52">
        <f t="shared" si="359"/>
        <v>0</v>
      </c>
      <c r="BG115" s="82">
        <f t="shared" si="360"/>
        <v>0</v>
      </c>
      <c r="BH115" s="82">
        <f t="shared" si="361"/>
        <v>0</v>
      </c>
      <c r="BI115" s="52">
        <f t="shared" si="362"/>
        <v>0</v>
      </c>
      <c r="BJ115" s="52">
        <f t="shared" si="363"/>
        <v>0</v>
      </c>
      <c r="BK115" s="52">
        <f t="shared" si="364"/>
        <v>0</v>
      </c>
      <c r="BL115" s="52">
        <f t="shared" si="365"/>
        <v>0</v>
      </c>
      <c r="BM115" s="297">
        <f t="shared" si="366"/>
        <v>0.05</v>
      </c>
      <c r="BN115" s="69">
        <f t="shared" si="367"/>
        <v>0</v>
      </c>
      <c r="BO115" s="69">
        <f t="shared" si="368"/>
        <v>0</v>
      </c>
      <c r="BP115" s="69">
        <f t="shared" si="369"/>
        <v>0</v>
      </c>
      <c r="BQ115" s="69">
        <f t="shared" si="370"/>
        <v>0</v>
      </c>
      <c r="BR115" s="69">
        <f t="shared" si="371"/>
        <v>0</v>
      </c>
      <c r="BS115" s="69">
        <f t="shared" si="372"/>
        <v>0</v>
      </c>
      <c r="BT115" s="69">
        <f t="shared" si="373"/>
        <v>0</v>
      </c>
      <c r="BV115" s="52">
        <f t="shared" si="374"/>
        <v>0</v>
      </c>
      <c r="BW115" s="52">
        <f t="shared" si="375"/>
        <v>91</v>
      </c>
      <c r="BX115" s="52">
        <f t="shared" si="376"/>
        <v>183</v>
      </c>
      <c r="BY115" s="52">
        <f t="shared" si="377"/>
        <v>0</v>
      </c>
      <c r="BZ115" s="52">
        <f t="shared" si="378"/>
        <v>0</v>
      </c>
      <c r="CA115" s="52">
        <f t="shared" si="379"/>
        <v>0</v>
      </c>
      <c r="CB115" s="52">
        <f t="shared" si="380"/>
        <v>0</v>
      </c>
      <c r="CC115" s="107">
        <v>0</v>
      </c>
      <c r="CD115" s="61">
        <v>0</v>
      </c>
      <c r="CE115" s="61">
        <f t="shared" si="381"/>
        <v>0.86353321167883212</v>
      </c>
      <c r="CF115" s="61">
        <f t="shared" si="382"/>
        <v>0</v>
      </c>
      <c r="CG115" s="61">
        <f t="shared" si="383"/>
        <v>0</v>
      </c>
      <c r="CH115" s="61">
        <f t="shared" si="149"/>
        <v>0</v>
      </c>
      <c r="CI115" s="61">
        <f t="shared" si="150"/>
        <v>0</v>
      </c>
      <c r="CJ115" s="61">
        <f t="shared" si="151"/>
        <v>1</v>
      </c>
      <c r="CK115" s="4"/>
      <c r="CL115" s="54">
        <f t="shared" si="152"/>
        <v>0</v>
      </c>
      <c r="CM115" s="54">
        <f t="shared" si="153"/>
        <v>0</v>
      </c>
      <c r="CN115" s="54">
        <f t="shared" si="154"/>
        <v>0</v>
      </c>
      <c r="CO115" s="54">
        <f t="shared" si="155"/>
        <v>0</v>
      </c>
      <c r="CP115" s="54">
        <f t="shared" si="156"/>
        <v>0</v>
      </c>
      <c r="CQ115" s="54">
        <f t="shared" si="157"/>
        <v>0</v>
      </c>
      <c r="CR115" s="54">
        <f t="shared" si="158"/>
        <v>0</v>
      </c>
      <c r="CT115" s="54">
        <f t="shared" si="384"/>
        <v>0</v>
      </c>
      <c r="CU115" s="54">
        <f t="shared" si="385"/>
        <v>0</v>
      </c>
      <c r="CV115" s="54">
        <f t="shared" si="386"/>
        <v>0</v>
      </c>
      <c r="CW115" s="54">
        <f t="shared" si="387"/>
        <v>0</v>
      </c>
      <c r="CX115" s="54">
        <f t="shared" si="388"/>
        <v>0</v>
      </c>
      <c r="CY115" s="54">
        <f t="shared" si="389"/>
        <v>0</v>
      </c>
      <c r="CZ115" s="54">
        <f t="shared" si="213"/>
        <v>0</v>
      </c>
      <c r="DB115" s="54">
        <f t="shared" si="390"/>
        <v>0</v>
      </c>
      <c r="DC115" s="54">
        <f t="shared" si="391"/>
        <v>0</v>
      </c>
      <c r="DD115" s="54">
        <f t="shared" si="392"/>
        <v>0</v>
      </c>
      <c r="DE115" s="54">
        <f t="shared" si="393"/>
        <v>0</v>
      </c>
      <c r="DF115" s="54">
        <f t="shared" si="394"/>
        <v>0</v>
      </c>
      <c r="DG115" s="54">
        <f t="shared" si="395"/>
        <v>0</v>
      </c>
      <c r="DH115" s="54">
        <f t="shared" si="220"/>
        <v>0</v>
      </c>
      <c r="DJ115" s="54">
        <f t="shared" si="396"/>
        <v>0</v>
      </c>
      <c r="DK115" s="54">
        <f t="shared" si="397"/>
        <v>0</v>
      </c>
      <c r="DL115" s="54">
        <f t="shared" si="398"/>
        <v>0</v>
      </c>
      <c r="DM115" s="54">
        <f t="shared" si="399"/>
        <v>0</v>
      </c>
      <c r="DN115" s="54">
        <f t="shared" si="400"/>
        <v>0</v>
      </c>
      <c r="DO115" s="54">
        <f t="shared" si="401"/>
        <v>0</v>
      </c>
      <c r="DP115" s="54">
        <f t="shared" si="402"/>
        <v>0</v>
      </c>
      <c r="DR115" s="54">
        <f>+IF(Z115&gt;0,$K115*(1-$BE115)-SUM($DJ115:DJ115),DB115)</f>
        <v>0</v>
      </c>
      <c r="DS115" s="54">
        <f>+IF(AA115&gt;0,$K115*(1-$BE115)-SUM($DJ115:DK115),DC115)</f>
        <v>0</v>
      </c>
      <c r="DT115" s="54">
        <f>+IF(AB115&gt;0,$K115*(1-$BE115)-SUM($DJ115:DL115),DD115)</f>
        <v>0</v>
      </c>
      <c r="DU115" s="54">
        <f>+IF(AC115&gt;0,$K115*(1-$BE115)-SUM($DJ115:DM115),DE115)</f>
        <v>0</v>
      </c>
      <c r="DV115" s="54">
        <f>+IF(AD115&gt;0,$K115*(1-$BE115)-SUM($DJ115:DN115),DF115)</f>
        <v>0</v>
      </c>
      <c r="DW115" s="54">
        <f>+IF(AE115&gt;0,$K115*(1-$BE115)-SUM($DJ115:DO115),DG115)</f>
        <v>0</v>
      </c>
      <c r="DX115" s="54">
        <f>+IF(AF115&gt;0,$K115*(1-$BE115)-SUM($DJ115:DP115),DH115)</f>
        <v>0</v>
      </c>
      <c r="DZ115" s="54">
        <f t="shared" si="403"/>
        <v>0</v>
      </c>
      <c r="EA115" s="54">
        <f t="shared" si="404"/>
        <v>0</v>
      </c>
      <c r="EB115" s="54">
        <f t="shared" si="405"/>
        <v>0</v>
      </c>
      <c r="EC115" s="54">
        <f t="shared" si="406"/>
        <v>0</v>
      </c>
      <c r="ED115" s="54">
        <f t="shared" si="407"/>
        <v>0</v>
      </c>
      <c r="EE115" s="54">
        <f t="shared" si="408"/>
        <v>0</v>
      </c>
      <c r="EF115" s="54">
        <f t="shared" si="409"/>
        <v>0</v>
      </c>
      <c r="EH115" s="54">
        <f t="shared" si="410"/>
        <v>0</v>
      </c>
      <c r="EI115" s="54">
        <f t="shared" si="411"/>
        <v>0</v>
      </c>
      <c r="EJ115" s="54">
        <f t="shared" si="412"/>
        <v>0</v>
      </c>
      <c r="EK115" s="54">
        <f t="shared" si="413"/>
        <v>0</v>
      </c>
      <c r="EL115" s="54">
        <f t="shared" si="414"/>
        <v>0</v>
      </c>
      <c r="EM115" s="54">
        <f t="shared" si="415"/>
        <v>0</v>
      </c>
      <c r="EN115" s="54">
        <f t="shared" si="416"/>
        <v>0</v>
      </c>
      <c r="EP115" s="52">
        <f t="shared" ca="1" si="242"/>
        <v>0</v>
      </c>
      <c r="EQ115" s="52">
        <f t="shared" ca="1" si="243"/>
        <v>0</v>
      </c>
      <c r="ER115" s="52">
        <f t="shared" ca="1" si="244"/>
        <v>0</v>
      </c>
      <c r="ES115" s="52">
        <f t="shared" ca="1" si="245"/>
        <v>0</v>
      </c>
      <c r="ET115" s="52">
        <f t="shared" ca="1" si="246"/>
        <v>0</v>
      </c>
      <c r="EU115" s="52">
        <f t="shared" ca="1" si="247"/>
        <v>0</v>
      </c>
      <c r="EV115" s="52">
        <f t="shared" ca="1" si="417"/>
        <v>0</v>
      </c>
      <c r="EX115" s="52">
        <f t="shared" ca="1" si="249"/>
        <v>0</v>
      </c>
      <c r="EY115" s="52">
        <f t="shared" ca="1" si="250"/>
        <v>0</v>
      </c>
      <c r="EZ115" s="52">
        <f t="shared" ca="1" si="251"/>
        <v>0</v>
      </c>
      <c r="FA115" s="52">
        <f t="shared" ca="1" si="252"/>
        <v>0</v>
      </c>
      <c r="FB115" s="52">
        <f t="shared" ca="1" si="253"/>
        <v>0</v>
      </c>
      <c r="FC115" s="52">
        <f t="shared" ca="1" si="254"/>
        <v>0</v>
      </c>
      <c r="FD115" s="52">
        <f t="shared" ca="1" si="255"/>
        <v>0</v>
      </c>
      <c r="FF115" s="82">
        <f t="shared" si="418"/>
        <v>0</v>
      </c>
      <c r="FG115" s="82">
        <f t="shared" si="419"/>
        <v>0</v>
      </c>
      <c r="FH115" s="82">
        <f t="shared" si="420"/>
        <v>0</v>
      </c>
      <c r="FI115" s="82">
        <f t="shared" si="421"/>
        <v>0</v>
      </c>
      <c r="FJ115" s="82">
        <f t="shared" si="422"/>
        <v>0</v>
      </c>
      <c r="FK115" s="82">
        <f t="shared" si="423"/>
        <v>0</v>
      </c>
      <c r="FL115" s="82">
        <f t="shared" si="424"/>
        <v>0</v>
      </c>
      <c r="FM115" s="51">
        <v>0</v>
      </c>
      <c r="FN115" s="82">
        <v>0</v>
      </c>
      <c r="FO115" s="82">
        <f t="shared" si="159"/>
        <v>0</v>
      </c>
      <c r="FP115" s="82">
        <f t="shared" si="425"/>
        <v>0</v>
      </c>
      <c r="FQ115" s="82">
        <f t="shared" si="426"/>
        <v>0</v>
      </c>
      <c r="FR115" s="82">
        <f t="shared" si="427"/>
        <v>0</v>
      </c>
      <c r="FS115" s="82">
        <f t="shared" si="428"/>
        <v>0</v>
      </c>
      <c r="FT115" s="82">
        <f t="shared" si="429"/>
        <v>0</v>
      </c>
      <c r="FV115" s="82">
        <f t="shared" si="160"/>
        <v>9</v>
      </c>
      <c r="FW115" s="82">
        <f t="shared" si="161"/>
        <v>9</v>
      </c>
      <c r="FX115" s="82">
        <f t="shared" si="162"/>
        <v>9</v>
      </c>
      <c r="FY115" s="82">
        <f t="shared" si="163"/>
        <v>1.9804590249049414</v>
      </c>
      <c r="FZ115" s="82">
        <f t="shared" si="164"/>
        <v>1.9804590249049414</v>
      </c>
      <c r="GA115" s="82">
        <f t="shared" si="165"/>
        <v>1.9804590249049414</v>
      </c>
      <c r="GB115" s="82">
        <f t="shared" si="166"/>
        <v>1.9804590249049414</v>
      </c>
    </row>
    <row r="116" spans="2:184" x14ac:dyDescent="0.2">
      <c r="B116" s="402" t="str">
        <f>Key_New!D64</f>
        <v>Rajasthan</v>
      </c>
      <c r="C116" s="394" t="str">
        <f>Key_New!B64</f>
        <v>BESS — Fatehgarh-I (Ph III)</v>
      </c>
      <c r="D116" s="395" t="str">
        <f>Key_New!E64</f>
        <v>BESS</v>
      </c>
      <c r="E116" s="395" t="str">
        <f>Key_New!C64</f>
        <v>Under Construction</v>
      </c>
      <c r="F116" s="397">
        <f>Key_New!G64</f>
        <v>2500</v>
      </c>
      <c r="G116" s="399">
        <f t="shared" ref="G116:G132" si="430">IF(NOT(ISNUMBER($H116)),"",IF($H116&lt;=DATE(2026,3,31),$H116,EDATE($H116,-IF($D116="BESS",$S$19,$S$26))))</f>
        <v>46112</v>
      </c>
      <c r="H116" s="399">
        <f>Key_New!O64</f>
        <v>46387</v>
      </c>
      <c r="I116" s="369">
        <f t="shared" si="167"/>
        <v>2027</v>
      </c>
      <c r="J116" s="367">
        <v>0</v>
      </c>
      <c r="K116" s="370">
        <f t="shared" si="168"/>
        <v>0</v>
      </c>
      <c r="L116" s="368">
        <v>0.12</v>
      </c>
      <c r="M116" s="368">
        <v>0.25</v>
      </c>
      <c r="N116" s="404"/>
      <c r="O116" s="462">
        <f t="shared" si="147"/>
        <v>0</v>
      </c>
      <c r="P116" s="54">
        <f t="shared" si="336"/>
        <v>0</v>
      </c>
      <c r="Q116" s="54">
        <f t="shared" si="336"/>
        <v>0</v>
      </c>
      <c r="R116" s="54">
        <f t="shared" si="336"/>
        <v>0</v>
      </c>
      <c r="S116" s="54">
        <f t="shared" si="336"/>
        <v>90</v>
      </c>
      <c r="T116" s="54">
        <f t="shared" si="336"/>
        <v>365</v>
      </c>
      <c r="U116" s="54">
        <f t="shared" si="293"/>
        <v>365</v>
      </c>
      <c r="V116" s="54">
        <f t="shared" si="293"/>
        <v>365</v>
      </c>
      <c r="W116" s="54">
        <f t="shared" si="336"/>
        <v>365</v>
      </c>
      <c r="Y116" s="54">
        <f t="shared" si="337"/>
        <v>0</v>
      </c>
      <c r="Z116" s="54">
        <f t="shared" si="338"/>
        <v>0</v>
      </c>
      <c r="AA116" s="54">
        <f t="shared" si="339"/>
        <v>0</v>
      </c>
      <c r="AB116" s="54">
        <f t="shared" si="340"/>
        <v>1</v>
      </c>
      <c r="AC116" s="54">
        <f t="shared" si="341"/>
        <v>2</v>
      </c>
      <c r="AD116" s="54">
        <f t="shared" si="342"/>
        <v>3</v>
      </c>
      <c r="AE116" s="54">
        <f t="shared" si="343"/>
        <v>4</v>
      </c>
      <c r="AF116" s="54">
        <f t="shared" si="344"/>
        <v>5</v>
      </c>
      <c r="AG116" s="444"/>
      <c r="AH116" s="48">
        <f t="shared" si="345"/>
        <v>0</v>
      </c>
      <c r="AI116" s="48">
        <f t="shared" si="346"/>
        <v>0</v>
      </c>
      <c r="AJ116" s="48">
        <f t="shared" si="347"/>
        <v>2500</v>
      </c>
      <c r="AK116" s="48">
        <f t="shared" si="348"/>
        <v>2500</v>
      </c>
      <c r="AL116" s="48">
        <f t="shared" si="349"/>
        <v>2500</v>
      </c>
      <c r="AM116" s="48">
        <f t="shared" si="350"/>
        <v>2500</v>
      </c>
      <c r="AN116" s="48">
        <f t="shared" si="351"/>
        <v>2500</v>
      </c>
      <c r="AP116" s="61">
        <v>3.8362500000000008E-2</v>
      </c>
      <c r="AQ116" s="61">
        <v>3.8362500000000008E-2</v>
      </c>
      <c r="AR116" s="61">
        <v>3.8362500000000008E-2</v>
      </c>
      <c r="AS116" s="61">
        <v>3.8362500000000008E-2</v>
      </c>
      <c r="AT116" s="61">
        <v>3.8362500000000008E-2</v>
      </c>
      <c r="AU116" s="61">
        <v>3.8362500000000008E-2</v>
      </c>
      <c r="AV116" s="61">
        <v>3.8362500000000008E-2</v>
      </c>
      <c r="AX116" s="52">
        <f t="shared" si="352"/>
        <v>0</v>
      </c>
      <c r="AY116" s="52">
        <f t="shared" si="353"/>
        <v>0</v>
      </c>
      <c r="AZ116" s="52">
        <f t="shared" si="354"/>
        <v>207.29938869863017</v>
      </c>
      <c r="BA116" s="52">
        <f t="shared" si="355"/>
        <v>840.71418750000021</v>
      </c>
      <c r="BB116" s="52">
        <f t="shared" si="356"/>
        <v>840.71418750000021</v>
      </c>
      <c r="BC116" s="52">
        <f t="shared" si="357"/>
        <v>840.71418750000021</v>
      </c>
      <c r="BD116" s="52">
        <f t="shared" si="358"/>
        <v>840.71418750000021</v>
      </c>
      <c r="BE116" s="57">
        <v>0.2</v>
      </c>
      <c r="BF116" s="52">
        <f t="shared" si="359"/>
        <v>0</v>
      </c>
      <c r="BG116" s="82">
        <f t="shared" si="360"/>
        <v>0</v>
      </c>
      <c r="BH116" s="82">
        <f t="shared" si="361"/>
        <v>0</v>
      </c>
      <c r="BI116" s="52">
        <f t="shared" si="362"/>
        <v>0</v>
      </c>
      <c r="BJ116" s="52">
        <f t="shared" si="363"/>
        <v>0</v>
      </c>
      <c r="BK116" s="52">
        <f t="shared" si="364"/>
        <v>0</v>
      </c>
      <c r="BL116" s="52">
        <f t="shared" si="365"/>
        <v>0</v>
      </c>
      <c r="BM116" s="297">
        <f t="shared" si="366"/>
        <v>0.05</v>
      </c>
      <c r="BN116" s="69">
        <f t="shared" si="367"/>
        <v>0</v>
      </c>
      <c r="BO116" s="69">
        <f t="shared" si="368"/>
        <v>0</v>
      </c>
      <c r="BP116" s="69">
        <f t="shared" si="369"/>
        <v>0</v>
      </c>
      <c r="BQ116" s="69">
        <f t="shared" si="370"/>
        <v>0</v>
      </c>
      <c r="BR116" s="69">
        <f t="shared" si="371"/>
        <v>0</v>
      </c>
      <c r="BS116" s="69">
        <f t="shared" si="372"/>
        <v>0</v>
      </c>
      <c r="BT116" s="69">
        <f t="shared" si="373"/>
        <v>0</v>
      </c>
      <c r="BV116" s="52">
        <f t="shared" si="374"/>
        <v>0</v>
      </c>
      <c r="BW116" s="52">
        <f t="shared" si="375"/>
        <v>0</v>
      </c>
      <c r="BX116" s="52">
        <f t="shared" si="376"/>
        <v>275</v>
      </c>
      <c r="BY116" s="52">
        <f t="shared" si="377"/>
        <v>0</v>
      </c>
      <c r="BZ116" s="52">
        <f t="shared" si="378"/>
        <v>0</v>
      </c>
      <c r="CA116" s="52">
        <f t="shared" si="379"/>
        <v>0</v>
      </c>
      <c r="CB116" s="52">
        <f t="shared" si="380"/>
        <v>0</v>
      </c>
      <c r="CC116" s="107">
        <v>0</v>
      </c>
      <c r="CD116" s="61">
        <v>0</v>
      </c>
      <c r="CE116" s="61">
        <f t="shared" si="381"/>
        <v>1</v>
      </c>
      <c r="CF116" s="61">
        <f t="shared" si="382"/>
        <v>0</v>
      </c>
      <c r="CG116" s="61">
        <f t="shared" si="383"/>
        <v>0</v>
      </c>
      <c r="CH116" s="61">
        <f t="shared" si="149"/>
        <v>0</v>
      </c>
      <c r="CI116" s="61">
        <f t="shared" si="150"/>
        <v>0</v>
      </c>
      <c r="CJ116" s="61">
        <f t="shared" si="151"/>
        <v>1</v>
      </c>
      <c r="CK116" s="4"/>
      <c r="CL116" s="54">
        <f t="shared" si="152"/>
        <v>0</v>
      </c>
      <c r="CM116" s="54">
        <f t="shared" si="153"/>
        <v>0</v>
      </c>
      <c r="CN116" s="54">
        <f t="shared" si="154"/>
        <v>0</v>
      </c>
      <c r="CO116" s="54">
        <f t="shared" si="155"/>
        <v>0</v>
      </c>
      <c r="CP116" s="54">
        <f t="shared" si="156"/>
        <v>0</v>
      </c>
      <c r="CQ116" s="54">
        <f t="shared" si="157"/>
        <v>0</v>
      </c>
      <c r="CR116" s="54">
        <f t="shared" si="158"/>
        <v>0</v>
      </c>
      <c r="CT116" s="54">
        <f t="shared" si="384"/>
        <v>0</v>
      </c>
      <c r="CU116" s="54">
        <f t="shared" si="385"/>
        <v>0</v>
      </c>
      <c r="CV116" s="54">
        <f t="shared" si="386"/>
        <v>0</v>
      </c>
      <c r="CW116" s="54">
        <f t="shared" si="387"/>
        <v>0</v>
      </c>
      <c r="CX116" s="54">
        <f t="shared" si="388"/>
        <v>0</v>
      </c>
      <c r="CY116" s="54">
        <f t="shared" si="389"/>
        <v>0</v>
      </c>
      <c r="CZ116" s="54">
        <f t="shared" si="213"/>
        <v>0</v>
      </c>
      <c r="DB116" s="54">
        <f t="shared" si="390"/>
        <v>0</v>
      </c>
      <c r="DC116" s="54">
        <f t="shared" si="391"/>
        <v>0</v>
      </c>
      <c r="DD116" s="54">
        <f t="shared" si="392"/>
        <v>0</v>
      </c>
      <c r="DE116" s="54">
        <f t="shared" si="393"/>
        <v>0</v>
      </c>
      <c r="DF116" s="54">
        <f t="shared" si="394"/>
        <v>0</v>
      </c>
      <c r="DG116" s="54">
        <f t="shared" si="395"/>
        <v>0</v>
      </c>
      <c r="DH116" s="54">
        <f t="shared" si="220"/>
        <v>0</v>
      </c>
      <c r="DJ116" s="54">
        <f t="shared" si="396"/>
        <v>0</v>
      </c>
      <c r="DK116" s="54">
        <f t="shared" si="397"/>
        <v>0</v>
      </c>
      <c r="DL116" s="54">
        <f t="shared" si="398"/>
        <v>0</v>
      </c>
      <c r="DM116" s="54">
        <f t="shared" si="399"/>
        <v>0</v>
      </c>
      <c r="DN116" s="54">
        <f t="shared" si="400"/>
        <v>0</v>
      </c>
      <c r="DO116" s="54">
        <f t="shared" si="401"/>
        <v>0</v>
      </c>
      <c r="DP116" s="54">
        <f t="shared" si="402"/>
        <v>0</v>
      </c>
      <c r="DR116" s="54">
        <f>+IF(Z116&gt;0,$K116*(1-$BE116)-SUM($DJ116:DJ116),DB116)</f>
        <v>0</v>
      </c>
      <c r="DS116" s="54">
        <f>+IF(AA116&gt;0,$K116*(1-$BE116)-SUM($DJ116:DK116),DC116)</f>
        <v>0</v>
      </c>
      <c r="DT116" s="54">
        <f>+IF(AB116&gt;0,$K116*(1-$BE116)-SUM($DJ116:DL116),DD116)</f>
        <v>0</v>
      </c>
      <c r="DU116" s="54">
        <f>+IF(AC116&gt;0,$K116*(1-$BE116)-SUM($DJ116:DM116),DE116)</f>
        <v>0</v>
      </c>
      <c r="DV116" s="54">
        <f>+IF(AD116&gt;0,$K116*(1-$BE116)-SUM($DJ116:DN116),DF116)</f>
        <v>0</v>
      </c>
      <c r="DW116" s="54">
        <f>+IF(AE116&gt;0,$K116*(1-$BE116)-SUM($DJ116:DO116),DG116)</f>
        <v>0</v>
      </c>
      <c r="DX116" s="54">
        <f>+IF(AF116&gt;0,$K116*(1-$BE116)-SUM($DJ116:DP116),DH116)</f>
        <v>0</v>
      </c>
      <c r="DZ116" s="54">
        <f t="shared" si="403"/>
        <v>0</v>
      </c>
      <c r="EA116" s="54">
        <f t="shared" si="404"/>
        <v>0</v>
      </c>
      <c r="EB116" s="54">
        <f t="shared" si="405"/>
        <v>0</v>
      </c>
      <c r="EC116" s="54">
        <f t="shared" si="406"/>
        <v>0</v>
      </c>
      <c r="ED116" s="54">
        <f t="shared" si="407"/>
        <v>0</v>
      </c>
      <c r="EE116" s="54">
        <f t="shared" si="408"/>
        <v>0</v>
      </c>
      <c r="EF116" s="54">
        <f t="shared" si="409"/>
        <v>0</v>
      </c>
      <c r="EH116" s="54">
        <f t="shared" si="410"/>
        <v>0</v>
      </c>
      <c r="EI116" s="54">
        <f t="shared" si="411"/>
        <v>0</v>
      </c>
      <c r="EJ116" s="54">
        <f t="shared" si="412"/>
        <v>0</v>
      </c>
      <c r="EK116" s="54">
        <f t="shared" si="413"/>
        <v>0</v>
      </c>
      <c r="EL116" s="54">
        <f t="shared" si="414"/>
        <v>0</v>
      </c>
      <c r="EM116" s="54">
        <f t="shared" si="415"/>
        <v>0</v>
      </c>
      <c r="EN116" s="54">
        <f t="shared" si="416"/>
        <v>0</v>
      </c>
      <c r="EP116" s="52">
        <f t="shared" ca="1" si="242"/>
        <v>0</v>
      </c>
      <c r="EQ116" s="52">
        <f t="shared" ca="1" si="243"/>
        <v>0</v>
      </c>
      <c r="ER116" s="52">
        <f t="shared" ca="1" si="244"/>
        <v>0</v>
      </c>
      <c r="ES116" s="52">
        <f t="shared" ca="1" si="245"/>
        <v>0</v>
      </c>
      <c r="ET116" s="52">
        <f t="shared" ca="1" si="246"/>
        <v>0</v>
      </c>
      <c r="EU116" s="52">
        <f t="shared" ca="1" si="247"/>
        <v>0</v>
      </c>
      <c r="EV116" s="52">
        <f t="shared" ca="1" si="417"/>
        <v>0</v>
      </c>
      <c r="EX116" s="52">
        <f t="shared" ca="1" si="249"/>
        <v>0</v>
      </c>
      <c r="EY116" s="52">
        <f t="shared" ca="1" si="250"/>
        <v>0</v>
      </c>
      <c r="EZ116" s="52">
        <f t="shared" ca="1" si="251"/>
        <v>0</v>
      </c>
      <c r="FA116" s="52">
        <f t="shared" ca="1" si="252"/>
        <v>0</v>
      </c>
      <c r="FB116" s="52">
        <f t="shared" ca="1" si="253"/>
        <v>0</v>
      </c>
      <c r="FC116" s="52">
        <f t="shared" ca="1" si="254"/>
        <v>0</v>
      </c>
      <c r="FD116" s="52">
        <f t="shared" ca="1" si="255"/>
        <v>0</v>
      </c>
      <c r="FF116" s="82">
        <f t="shared" si="418"/>
        <v>0</v>
      </c>
      <c r="FG116" s="82">
        <f t="shared" si="419"/>
        <v>0</v>
      </c>
      <c r="FH116" s="82">
        <f t="shared" si="420"/>
        <v>0</v>
      </c>
      <c r="FI116" s="82">
        <f t="shared" si="421"/>
        <v>0</v>
      </c>
      <c r="FJ116" s="82">
        <f t="shared" si="422"/>
        <v>0</v>
      </c>
      <c r="FK116" s="82">
        <f t="shared" si="423"/>
        <v>0</v>
      </c>
      <c r="FL116" s="82">
        <f t="shared" si="424"/>
        <v>0</v>
      </c>
      <c r="FM116" s="51">
        <v>0</v>
      </c>
      <c r="FN116" s="82">
        <v>0</v>
      </c>
      <c r="FO116" s="82">
        <f t="shared" si="159"/>
        <v>0</v>
      </c>
      <c r="FP116" s="82">
        <f t="shared" si="425"/>
        <v>0</v>
      </c>
      <c r="FQ116" s="82">
        <f t="shared" si="426"/>
        <v>0</v>
      </c>
      <c r="FR116" s="82">
        <f t="shared" si="427"/>
        <v>0</v>
      </c>
      <c r="FS116" s="82">
        <f t="shared" si="428"/>
        <v>0</v>
      </c>
      <c r="FT116" s="82">
        <f t="shared" si="429"/>
        <v>0</v>
      </c>
      <c r="FV116" s="82">
        <f t="shared" si="160"/>
        <v>9</v>
      </c>
      <c r="FW116" s="82">
        <f t="shared" si="161"/>
        <v>9</v>
      </c>
      <c r="FX116" s="82">
        <f t="shared" si="162"/>
        <v>9</v>
      </c>
      <c r="FY116" s="82">
        <f t="shared" si="163"/>
        <v>1.9804590249049414</v>
      </c>
      <c r="FZ116" s="82">
        <f t="shared" si="164"/>
        <v>1.9804590249049414</v>
      </c>
      <c r="GA116" s="82">
        <f t="shared" si="165"/>
        <v>1.9804590249049414</v>
      </c>
      <c r="GB116" s="82">
        <f t="shared" si="166"/>
        <v>1.9804590249049414</v>
      </c>
    </row>
    <row r="117" spans="2:184" x14ac:dyDescent="0.2">
      <c r="B117" s="402" t="str">
        <f>Key_New!D65</f>
        <v>Rajasthan</v>
      </c>
      <c r="C117" s="394" t="str">
        <f>Key_New!B65</f>
        <v>BESS — Fatehgarh-I (Ph IV)</v>
      </c>
      <c r="D117" s="395" t="str">
        <f>Key_New!E65</f>
        <v>BESS</v>
      </c>
      <c r="E117" s="395" t="str">
        <f>Key_New!C65</f>
        <v>Under Construction</v>
      </c>
      <c r="F117" s="397">
        <f>Key_New!G65</f>
        <v>1500</v>
      </c>
      <c r="G117" s="399">
        <f t="shared" si="430"/>
        <v>46157</v>
      </c>
      <c r="H117" s="399">
        <f>Key_New!O65</f>
        <v>46433</v>
      </c>
      <c r="I117" s="369">
        <f t="shared" si="167"/>
        <v>2027</v>
      </c>
      <c r="J117" s="367">
        <v>0</v>
      </c>
      <c r="K117" s="370">
        <f t="shared" si="168"/>
        <v>0</v>
      </c>
      <c r="L117" s="368">
        <v>0.12</v>
      </c>
      <c r="M117" s="368">
        <v>0.25</v>
      </c>
      <c r="N117" s="404"/>
      <c r="O117" s="462">
        <f t="shared" ref="O117:O133" si="431">IF(OR(NOT(ISNUMBER($G117)),NOT(ISNUMBER($H117)),$H117&lt;=DATE(2026,3,31)),0,MIN(1,MAX(0,(DATE(2026,3,31)-$G117)/($H117-$G117)))*$S$23)</f>
        <v>0</v>
      </c>
      <c r="P117" s="54">
        <f t="shared" si="336"/>
        <v>0</v>
      </c>
      <c r="Q117" s="54">
        <f t="shared" si="336"/>
        <v>0</v>
      </c>
      <c r="R117" s="54">
        <f t="shared" si="336"/>
        <v>0</v>
      </c>
      <c r="S117" s="54">
        <f t="shared" si="336"/>
        <v>44</v>
      </c>
      <c r="T117" s="54">
        <f t="shared" si="336"/>
        <v>365</v>
      </c>
      <c r="U117" s="54">
        <f t="shared" si="293"/>
        <v>365</v>
      </c>
      <c r="V117" s="54">
        <f t="shared" si="293"/>
        <v>365</v>
      </c>
      <c r="W117" s="54">
        <f t="shared" si="336"/>
        <v>365</v>
      </c>
      <c r="Y117" s="54">
        <f t="shared" si="337"/>
        <v>0</v>
      </c>
      <c r="Z117" s="54">
        <f t="shared" si="338"/>
        <v>0</v>
      </c>
      <c r="AA117" s="54">
        <f t="shared" si="339"/>
        <v>0</v>
      </c>
      <c r="AB117" s="54">
        <f t="shared" si="340"/>
        <v>1</v>
      </c>
      <c r="AC117" s="54">
        <f t="shared" si="341"/>
        <v>2</v>
      </c>
      <c r="AD117" s="54">
        <f t="shared" si="342"/>
        <v>3</v>
      </c>
      <c r="AE117" s="54">
        <f t="shared" si="343"/>
        <v>4</v>
      </c>
      <c r="AF117" s="54">
        <f t="shared" si="344"/>
        <v>5</v>
      </c>
      <c r="AG117" s="444"/>
      <c r="AH117" s="48">
        <f t="shared" si="345"/>
        <v>0</v>
      </c>
      <c r="AI117" s="48">
        <f t="shared" si="346"/>
        <v>0</v>
      </c>
      <c r="AJ117" s="48">
        <f t="shared" si="347"/>
        <v>1500</v>
      </c>
      <c r="AK117" s="48">
        <f t="shared" si="348"/>
        <v>1500</v>
      </c>
      <c r="AL117" s="48">
        <f t="shared" si="349"/>
        <v>1500</v>
      </c>
      <c r="AM117" s="48">
        <f t="shared" si="350"/>
        <v>1500</v>
      </c>
      <c r="AN117" s="48">
        <f t="shared" si="351"/>
        <v>1500</v>
      </c>
      <c r="AP117" s="61">
        <v>3.8362500000000008E-2</v>
      </c>
      <c r="AQ117" s="61">
        <v>3.8362500000000008E-2</v>
      </c>
      <c r="AR117" s="61">
        <v>3.8362500000000008E-2</v>
      </c>
      <c r="AS117" s="61">
        <v>3.8362500000000008E-2</v>
      </c>
      <c r="AT117" s="61">
        <v>3.8362500000000008E-2</v>
      </c>
      <c r="AU117" s="61">
        <v>3.8362500000000008E-2</v>
      </c>
      <c r="AV117" s="61">
        <v>3.8362500000000008E-2</v>
      </c>
      <c r="AX117" s="52">
        <f t="shared" si="352"/>
        <v>0</v>
      </c>
      <c r="AY117" s="52">
        <f t="shared" si="353"/>
        <v>0</v>
      </c>
      <c r="AZ117" s="52">
        <f t="shared" si="354"/>
        <v>60.807820684931521</v>
      </c>
      <c r="BA117" s="52">
        <f t="shared" si="355"/>
        <v>504.42851250000012</v>
      </c>
      <c r="BB117" s="52">
        <f t="shared" si="356"/>
        <v>504.42851250000012</v>
      </c>
      <c r="BC117" s="52">
        <f t="shared" si="357"/>
        <v>504.42851250000012</v>
      </c>
      <c r="BD117" s="52">
        <f t="shared" si="358"/>
        <v>504.42851250000012</v>
      </c>
      <c r="BE117" s="57">
        <v>0.2</v>
      </c>
      <c r="BF117" s="52">
        <f t="shared" si="359"/>
        <v>0</v>
      </c>
      <c r="BG117" s="82">
        <f t="shared" si="360"/>
        <v>0</v>
      </c>
      <c r="BH117" s="82">
        <f t="shared" si="361"/>
        <v>0</v>
      </c>
      <c r="BI117" s="52">
        <f t="shared" si="362"/>
        <v>0</v>
      </c>
      <c r="BJ117" s="52">
        <f t="shared" si="363"/>
        <v>0</v>
      </c>
      <c r="BK117" s="52">
        <f t="shared" si="364"/>
        <v>0</v>
      </c>
      <c r="BL117" s="52">
        <f t="shared" si="365"/>
        <v>0</v>
      </c>
      <c r="BM117" s="297">
        <f t="shared" si="366"/>
        <v>0.05</v>
      </c>
      <c r="BN117" s="69">
        <f t="shared" si="367"/>
        <v>0</v>
      </c>
      <c r="BO117" s="69">
        <f t="shared" si="368"/>
        <v>0</v>
      </c>
      <c r="BP117" s="69">
        <f t="shared" si="369"/>
        <v>0</v>
      </c>
      <c r="BQ117" s="69">
        <f t="shared" si="370"/>
        <v>0</v>
      </c>
      <c r="BR117" s="69">
        <f t="shared" si="371"/>
        <v>0</v>
      </c>
      <c r="BS117" s="69">
        <f t="shared" si="372"/>
        <v>0</v>
      </c>
      <c r="BT117" s="69">
        <f t="shared" si="373"/>
        <v>0</v>
      </c>
      <c r="BV117" s="52">
        <f t="shared" si="374"/>
        <v>0</v>
      </c>
      <c r="BW117" s="52">
        <f t="shared" si="375"/>
        <v>0</v>
      </c>
      <c r="BX117" s="52">
        <f t="shared" si="376"/>
        <v>276</v>
      </c>
      <c r="BY117" s="52">
        <f t="shared" si="377"/>
        <v>0</v>
      </c>
      <c r="BZ117" s="52">
        <f t="shared" si="378"/>
        <v>0</v>
      </c>
      <c r="CA117" s="52">
        <f t="shared" si="379"/>
        <v>0</v>
      </c>
      <c r="CB117" s="52">
        <f t="shared" si="380"/>
        <v>0</v>
      </c>
      <c r="CC117" s="107">
        <v>0</v>
      </c>
      <c r="CD117" s="61">
        <v>0</v>
      </c>
      <c r="CE117" s="61">
        <f t="shared" si="381"/>
        <v>1</v>
      </c>
      <c r="CF117" s="61">
        <f t="shared" si="382"/>
        <v>0</v>
      </c>
      <c r="CG117" s="61">
        <f t="shared" si="383"/>
        <v>0</v>
      </c>
      <c r="CH117" s="61">
        <f t="shared" ref="CH117:CH133" si="432">IF(SUM($BX117:$CB117)=0,0,CA117/SUM($BX117:$CB117)*(1-$O117))</f>
        <v>0</v>
      </c>
      <c r="CI117" s="61">
        <f t="shared" ref="CI117:CI133" si="433">IF(SUM($BX117:$CB117)=0,0,CB117/SUM($BX117:$CB117)*(1-$O117))</f>
        <v>0</v>
      </c>
      <c r="CJ117" s="61">
        <f t="shared" ref="CJ117:CJ133" si="434">$O117+SUM(CC117:CI117)</f>
        <v>1</v>
      </c>
      <c r="CK117" s="4"/>
      <c r="CL117" s="54">
        <f t="shared" ref="CL117:CL133" si="435">IF($K117*CC117&lt;=0,,$K117*CC117)</f>
        <v>0</v>
      </c>
      <c r="CM117" s="54">
        <f t="shared" ref="CM117:CM133" si="436">IF($K117*CD117&lt;=0,,$K117*CD117)</f>
        <v>0</v>
      </c>
      <c r="CN117" s="54">
        <f t="shared" ref="CN117:CN133" si="437">IF($K117*CE117&lt;=0,,$K117*CE117)</f>
        <v>0</v>
      </c>
      <c r="CO117" s="54">
        <f t="shared" ref="CO117:CO133" si="438">IF($K117*CF117&lt;=0,,$K117*CF117)</f>
        <v>0</v>
      </c>
      <c r="CP117" s="54">
        <f t="shared" ref="CP117:CP133" si="439">IF($K117*CG117&lt;=0,,$K117*CG117)</f>
        <v>0</v>
      </c>
      <c r="CQ117" s="54">
        <f t="shared" ref="CQ117:CQ133" si="440">IF($K117*CH117&lt;=0,,$K117*CH117)</f>
        <v>0</v>
      </c>
      <c r="CR117" s="54">
        <f t="shared" ref="CR117:CR133" si="441">IF($K117*CI117&lt;=0,,$K117*CI117)</f>
        <v>0</v>
      </c>
      <c r="CT117" s="54">
        <f t="shared" si="384"/>
        <v>0</v>
      </c>
      <c r="CU117" s="54">
        <f t="shared" si="385"/>
        <v>0</v>
      </c>
      <c r="CV117" s="54">
        <f t="shared" si="386"/>
        <v>0</v>
      </c>
      <c r="CW117" s="54">
        <f t="shared" si="387"/>
        <v>0</v>
      </c>
      <c r="CX117" s="54">
        <f t="shared" si="388"/>
        <v>0</v>
      </c>
      <c r="CY117" s="54">
        <f t="shared" si="389"/>
        <v>0</v>
      </c>
      <c r="CZ117" s="54">
        <f t="shared" si="213"/>
        <v>0</v>
      </c>
      <c r="DB117" s="54">
        <f t="shared" si="390"/>
        <v>0</v>
      </c>
      <c r="DC117" s="54">
        <f t="shared" si="391"/>
        <v>0</v>
      </c>
      <c r="DD117" s="54">
        <f t="shared" si="392"/>
        <v>0</v>
      </c>
      <c r="DE117" s="54">
        <f t="shared" si="393"/>
        <v>0</v>
      </c>
      <c r="DF117" s="54">
        <f t="shared" si="394"/>
        <v>0</v>
      </c>
      <c r="DG117" s="54">
        <f t="shared" si="395"/>
        <v>0</v>
      </c>
      <c r="DH117" s="54">
        <f t="shared" si="220"/>
        <v>0</v>
      </c>
      <c r="DJ117" s="54">
        <f t="shared" si="396"/>
        <v>0</v>
      </c>
      <c r="DK117" s="54">
        <f t="shared" si="397"/>
        <v>0</v>
      </c>
      <c r="DL117" s="54">
        <f t="shared" si="398"/>
        <v>0</v>
      </c>
      <c r="DM117" s="54">
        <f t="shared" si="399"/>
        <v>0</v>
      </c>
      <c r="DN117" s="54">
        <f t="shared" si="400"/>
        <v>0</v>
      </c>
      <c r="DO117" s="54">
        <f t="shared" si="401"/>
        <v>0</v>
      </c>
      <c r="DP117" s="54">
        <f t="shared" si="402"/>
        <v>0</v>
      </c>
      <c r="DR117" s="54">
        <f>+IF(Z117&gt;0,$K117*(1-$BE117)-SUM($DJ117:DJ117),DB117)</f>
        <v>0</v>
      </c>
      <c r="DS117" s="54">
        <f>+IF(AA117&gt;0,$K117*(1-$BE117)-SUM($DJ117:DK117),DC117)</f>
        <v>0</v>
      </c>
      <c r="DT117" s="54">
        <f>+IF(AB117&gt;0,$K117*(1-$BE117)-SUM($DJ117:DL117),DD117)</f>
        <v>0</v>
      </c>
      <c r="DU117" s="54">
        <f>+IF(AC117&gt;0,$K117*(1-$BE117)-SUM($DJ117:DM117),DE117)</f>
        <v>0</v>
      </c>
      <c r="DV117" s="54">
        <f>+IF(AD117&gt;0,$K117*(1-$BE117)-SUM($DJ117:DN117),DF117)</f>
        <v>0</v>
      </c>
      <c r="DW117" s="54">
        <f>+IF(AE117&gt;0,$K117*(1-$BE117)-SUM($DJ117:DO117),DG117)</f>
        <v>0</v>
      </c>
      <c r="DX117" s="54">
        <f>+IF(AF117&gt;0,$K117*(1-$BE117)-SUM($DJ117:DP117),DH117)</f>
        <v>0</v>
      </c>
      <c r="DZ117" s="54">
        <f t="shared" si="403"/>
        <v>0</v>
      </c>
      <c r="EA117" s="54">
        <f t="shared" si="404"/>
        <v>0</v>
      </c>
      <c r="EB117" s="54">
        <f t="shared" si="405"/>
        <v>0</v>
      </c>
      <c r="EC117" s="54">
        <f t="shared" si="406"/>
        <v>0</v>
      </c>
      <c r="ED117" s="54">
        <f t="shared" si="407"/>
        <v>0</v>
      </c>
      <c r="EE117" s="54">
        <f t="shared" si="408"/>
        <v>0</v>
      </c>
      <c r="EF117" s="54">
        <f t="shared" si="409"/>
        <v>0</v>
      </c>
      <c r="EH117" s="54">
        <f t="shared" si="410"/>
        <v>0</v>
      </c>
      <c r="EI117" s="54">
        <f t="shared" si="411"/>
        <v>0</v>
      </c>
      <c r="EJ117" s="54">
        <f t="shared" si="412"/>
        <v>0</v>
      </c>
      <c r="EK117" s="54">
        <f t="shared" si="413"/>
        <v>0</v>
      </c>
      <c r="EL117" s="54">
        <f t="shared" si="414"/>
        <v>0</v>
      </c>
      <c r="EM117" s="54">
        <f t="shared" si="415"/>
        <v>0</v>
      </c>
      <c r="EN117" s="54">
        <f t="shared" si="416"/>
        <v>0</v>
      </c>
      <c r="EP117" s="52">
        <f t="shared" ca="1" si="242"/>
        <v>0</v>
      </c>
      <c r="EQ117" s="52">
        <f t="shared" ca="1" si="243"/>
        <v>0</v>
      </c>
      <c r="ER117" s="52">
        <f t="shared" ca="1" si="244"/>
        <v>0</v>
      </c>
      <c r="ES117" s="52">
        <f t="shared" ca="1" si="245"/>
        <v>0</v>
      </c>
      <c r="ET117" s="52">
        <f t="shared" ca="1" si="246"/>
        <v>0</v>
      </c>
      <c r="EU117" s="52">
        <f t="shared" ca="1" si="247"/>
        <v>0</v>
      </c>
      <c r="EV117" s="52">
        <f t="shared" ca="1" si="417"/>
        <v>0</v>
      </c>
      <c r="EX117" s="52">
        <f t="shared" ca="1" si="249"/>
        <v>0</v>
      </c>
      <c r="EY117" s="52">
        <f t="shared" ca="1" si="250"/>
        <v>0</v>
      </c>
      <c r="EZ117" s="52">
        <f t="shared" ca="1" si="251"/>
        <v>0</v>
      </c>
      <c r="FA117" s="52">
        <f t="shared" ca="1" si="252"/>
        <v>0</v>
      </c>
      <c r="FB117" s="52">
        <f t="shared" ca="1" si="253"/>
        <v>0</v>
      </c>
      <c r="FC117" s="52">
        <f t="shared" ca="1" si="254"/>
        <v>0</v>
      </c>
      <c r="FD117" s="52">
        <f t="shared" ca="1" si="255"/>
        <v>0</v>
      </c>
      <c r="FF117" s="82">
        <f t="shared" si="418"/>
        <v>0</v>
      </c>
      <c r="FG117" s="82">
        <f t="shared" si="419"/>
        <v>0</v>
      </c>
      <c r="FH117" s="82">
        <f t="shared" si="420"/>
        <v>0</v>
      </c>
      <c r="FI117" s="82">
        <f t="shared" si="421"/>
        <v>0</v>
      </c>
      <c r="FJ117" s="82">
        <f t="shared" si="422"/>
        <v>0</v>
      </c>
      <c r="FK117" s="82">
        <f t="shared" si="423"/>
        <v>0</v>
      </c>
      <c r="FL117" s="82">
        <f t="shared" si="424"/>
        <v>0</v>
      </c>
      <c r="FM117" s="51">
        <v>0</v>
      </c>
      <c r="FN117" s="82">
        <v>0</v>
      </c>
      <c r="FO117" s="82">
        <f t="shared" ref="FO117:FO133" si="442">IF(AA117&lt;1,$K117*$O117,0)</f>
        <v>0</v>
      </c>
      <c r="FP117" s="82">
        <f t="shared" si="425"/>
        <v>0</v>
      </c>
      <c r="FQ117" s="82">
        <f t="shared" si="426"/>
        <v>0</v>
      </c>
      <c r="FR117" s="82">
        <f t="shared" si="427"/>
        <v>0</v>
      </c>
      <c r="FS117" s="82">
        <f t="shared" si="428"/>
        <v>0</v>
      </c>
      <c r="FT117" s="82">
        <f t="shared" si="429"/>
        <v>0</v>
      </c>
      <c r="FV117" s="82">
        <f t="shared" ref="FV117:FV133" si="443">IF($D117="BESS",IF(Z117&lt;=$S$18,$S$13,$S$21),$N117)</f>
        <v>9</v>
      </c>
      <c r="FW117" s="82">
        <f t="shared" ref="FW117:FW133" si="444">IF($D117="BESS",IF(AA117&lt;=$S$18,$S$13,$S$21),$N117)</f>
        <v>9</v>
      </c>
      <c r="FX117" s="82">
        <f t="shared" ref="FX117:FX133" si="445">IF($D117="BESS",IF(AB117&lt;=$S$18,$S$13,$S$21),$N117)</f>
        <v>9</v>
      </c>
      <c r="FY117" s="82">
        <f t="shared" ref="FY117:FY133" si="446">IF($D117="BESS",IF(AC117&lt;=$S$18,$S$13,$S$21),$N117)</f>
        <v>1.9804590249049414</v>
      </c>
      <c r="FZ117" s="82">
        <f t="shared" ref="FZ117:FZ133" si="447">IF($D117="BESS",IF(AD117&lt;=$S$18,$S$13,$S$21),$N117)</f>
        <v>1.9804590249049414</v>
      </c>
      <c r="GA117" s="82">
        <f t="shared" ref="GA117:GA133" si="448">IF($D117="BESS",IF(AE117&lt;=$S$18,$S$13,$S$21),$N117)</f>
        <v>1.9804590249049414</v>
      </c>
      <c r="GB117" s="82">
        <f t="shared" ref="GB117:GB133" si="449">IF($D117="BESS",IF(AF117&lt;=$S$18,$S$13,$S$21),$N117)</f>
        <v>1.9804590249049414</v>
      </c>
    </row>
    <row r="118" spans="2:184" x14ac:dyDescent="0.2">
      <c r="B118" s="402" t="str">
        <f>Key_New!D66</f>
        <v>Madhya Pradesh</v>
      </c>
      <c r="C118" s="394" t="str">
        <f>Key_New!B66</f>
        <v>BESS — Neemuch (Ph I)</v>
      </c>
      <c r="D118" s="395" t="str">
        <f>Key_New!E66</f>
        <v>BESS</v>
      </c>
      <c r="E118" s="395" t="str">
        <f>Key_New!C66</f>
        <v>Under Construction</v>
      </c>
      <c r="F118" s="397">
        <f>Key_New!G66</f>
        <v>600</v>
      </c>
      <c r="G118" s="399">
        <f t="shared" si="430"/>
        <v>46021</v>
      </c>
      <c r="H118" s="399">
        <f>Key_New!O66</f>
        <v>46295</v>
      </c>
      <c r="I118" s="369">
        <f t="shared" si="167"/>
        <v>2027</v>
      </c>
      <c r="J118" s="367">
        <v>0</v>
      </c>
      <c r="K118" s="370">
        <f t="shared" si="168"/>
        <v>0</v>
      </c>
      <c r="L118" s="368">
        <v>0.12</v>
      </c>
      <c r="M118" s="368">
        <v>0.25</v>
      </c>
      <c r="N118" s="404"/>
      <c r="O118" s="462">
        <f t="shared" si="431"/>
        <v>0.13646678832116788</v>
      </c>
      <c r="P118" s="54">
        <f t="shared" si="336"/>
        <v>0</v>
      </c>
      <c r="Q118" s="54">
        <f t="shared" si="336"/>
        <v>0</v>
      </c>
      <c r="R118" s="54">
        <f t="shared" si="336"/>
        <v>0</v>
      </c>
      <c r="S118" s="54">
        <f t="shared" si="336"/>
        <v>182</v>
      </c>
      <c r="T118" s="54">
        <f t="shared" si="336"/>
        <v>365</v>
      </c>
      <c r="U118" s="54">
        <f t="shared" si="293"/>
        <v>365</v>
      </c>
      <c r="V118" s="54">
        <f t="shared" si="293"/>
        <v>365</v>
      </c>
      <c r="W118" s="54">
        <f t="shared" si="336"/>
        <v>365</v>
      </c>
      <c r="Y118" s="54">
        <f t="shared" si="337"/>
        <v>0</v>
      </c>
      <c r="Z118" s="54">
        <f t="shared" si="338"/>
        <v>0</v>
      </c>
      <c r="AA118" s="54">
        <f t="shared" si="339"/>
        <v>0</v>
      </c>
      <c r="AB118" s="54">
        <f t="shared" si="340"/>
        <v>1</v>
      </c>
      <c r="AC118" s="54">
        <f t="shared" si="341"/>
        <v>2</v>
      </c>
      <c r="AD118" s="54">
        <f t="shared" si="342"/>
        <v>3</v>
      </c>
      <c r="AE118" s="54">
        <f t="shared" si="343"/>
        <v>4</v>
      </c>
      <c r="AF118" s="54">
        <f t="shared" si="344"/>
        <v>5</v>
      </c>
      <c r="AG118" s="444"/>
      <c r="AH118" s="48">
        <f t="shared" si="345"/>
        <v>0</v>
      </c>
      <c r="AI118" s="48">
        <f t="shared" si="346"/>
        <v>0</v>
      </c>
      <c r="AJ118" s="48">
        <f t="shared" si="347"/>
        <v>600</v>
      </c>
      <c r="AK118" s="48">
        <f t="shared" si="348"/>
        <v>600</v>
      </c>
      <c r="AL118" s="48">
        <f t="shared" si="349"/>
        <v>600</v>
      </c>
      <c r="AM118" s="48">
        <f t="shared" si="350"/>
        <v>600</v>
      </c>
      <c r="AN118" s="48">
        <f t="shared" si="351"/>
        <v>600</v>
      </c>
      <c r="AP118" s="61">
        <v>3.8362500000000008E-2</v>
      </c>
      <c r="AQ118" s="61">
        <v>3.8362500000000008E-2</v>
      </c>
      <c r="AR118" s="61">
        <v>3.8362500000000008E-2</v>
      </c>
      <c r="AS118" s="61">
        <v>3.8362500000000008E-2</v>
      </c>
      <c r="AT118" s="61">
        <v>3.8362500000000008E-2</v>
      </c>
      <c r="AU118" s="61">
        <v>3.8362500000000008E-2</v>
      </c>
      <c r="AV118" s="61">
        <v>3.8362500000000008E-2</v>
      </c>
      <c r="AX118" s="52">
        <f t="shared" si="352"/>
        <v>0</v>
      </c>
      <c r="AY118" s="52">
        <f t="shared" si="353"/>
        <v>0</v>
      </c>
      <c r="AZ118" s="52">
        <f t="shared" si="354"/>
        <v>100.60930331506852</v>
      </c>
      <c r="BA118" s="52">
        <f t="shared" si="355"/>
        <v>201.77140500000004</v>
      </c>
      <c r="BB118" s="52">
        <f t="shared" si="356"/>
        <v>201.77140500000004</v>
      </c>
      <c r="BC118" s="52">
        <f t="shared" si="357"/>
        <v>201.77140500000004</v>
      </c>
      <c r="BD118" s="52">
        <f t="shared" si="358"/>
        <v>201.77140500000004</v>
      </c>
      <c r="BE118" s="57">
        <v>0.2</v>
      </c>
      <c r="BF118" s="52">
        <f t="shared" si="359"/>
        <v>0</v>
      </c>
      <c r="BG118" s="82">
        <f t="shared" si="360"/>
        <v>0</v>
      </c>
      <c r="BH118" s="82">
        <f t="shared" si="361"/>
        <v>0</v>
      </c>
      <c r="BI118" s="52">
        <f t="shared" si="362"/>
        <v>0</v>
      </c>
      <c r="BJ118" s="52">
        <f t="shared" si="363"/>
        <v>0</v>
      </c>
      <c r="BK118" s="52">
        <f t="shared" si="364"/>
        <v>0</v>
      </c>
      <c r="BL118" s="52">
        <f t="shared" si="365"/>
        <v>0</v>
      </c>
      <c r="BM118" s="297">
        <f t="shared" si="366"/>
        <v>0.05</v>
      </c>
      <c r="BN118" s="69">
        <f t="shared" si="367"/>
        <v>0</v>
      </c>
      <c r="BO118" s="69">
        <f t="shared" si="368"/>
        <v>0</v>
      </c>
      <c r="BP118" s="69">
        <f t="shared" si="369"/>
        <v>0</v>
      </c>
      <c r="BQ118" s="69">
        <f t="shared" si="370"/>
        <v>0</v>
      </c>
      <c r="BR118" s="69">
        <f t="shared" si="371"/>
        <v>0</v>
      </c>
      <c r="BS118" s="69">
        <f t="shared" si="372"/>
        <v>0</v>
      </c>
      <c r="BT118" s="69">
        <f t="shared" si="373"/>
        <v>0</v>
      </c>
      <c r="BV118" s="52">
        <f t="shared" si="374"/>
        <v>0</v>
      </c>
      <c r="BW118" s="52">
        <f t="shared" si="375"/>
        <v>91</v>
      </c>
      <c r="BX118" s="52">
        <f t="shared" si="376"/>
        <v>183</v>
      </c>
      <c r="BY118" s="52">
        <f t="shared" si="377"/>
        <v>0</v>
      </c>
      <c r="BZ118" s="52">
        <f t="shared" si="378"/>
        <v>0</v>
      </c>
      <c r="CA118" s="52">
        <f t="shared" si="379"/>
        <v>0</v>
      </c>
      <c r="CB118" s="52">
        <f t="shared" si="380"/>
        <v>0</v>
      </c>
      <c r="CC118" s="107">
        <v>0</v>
      </c>
      <c r="CD118" s="61">
        <v>0</v>
      </c>
      <c r="CE118" s="61">
        <f t="shared" si="381"/>
        <v>0.86353321167883212</v>
      </c>
      <c r="CF118" s="61">
        <f t="shared" si="382"/>
        <v>0</v>
      </c>
      <c r="CG118" s="61">
        <f t="shared" si="383"/>
        <v>0</v>
      </c>
      <c r="CH118" s="61">
        <f t="shared" si="432"/>
        <v>0</v>
      </c>
      <c r="CI118" s="61">
        <f t="shared" si="433"/>
        <v>0</v>
      </c>
      <c r="CJ118" s="61">
        <f t="shared" si="434"/>
        <v>1</v>
      </c>
      <c r="CK118" s="4"/>
      <c r="CL118" s="54">
        <f t="shared" si="435"/>
        <v>0</v>
      </c>
      <c r="CM118" s="54">
        <f t="shared" si="436"/>
        <v>0</v>
      </c>
      <c r="CN118" s="54">
        <f t="shared" si="437"/>
        <v>0</v>
      </c>
      <c r="CO118" s="54">
        <f t="shared" si="438"/>
        <v>0</v>
      </c>
      <c r="CP118" s="54">
        <f t="shared" si="439"/>
        <v>0</v>
      </c>
      <c r="CQ118" s="54">
        <f t="shared" si="440"/>
        <v>0</v>
      </c>
      <c r="CR118" s="54">
        <f t="shared" si="441"/>
        <v>0</v>
      </c>
      <c r="CT118" s="54">
        <f t="shared" si="384"/>
        <v>0</v>
      </c>
      <c r="CU118" s="54">
        <f t="shared" si="385"/>
        <v>0</v>
      </c>
      <c r="CV118" s="54">
        <f t="shared" si="386"/>
        <v>0</v>
      </c>
      <c r="CW118" s="54">
        <f t="shared" si="387"/>
        <v>0</v>
      </c>
      <c r="CX118" s="54">
        <f t="shared" si="388"/>
        <v>0</v>
      </c>
      <c r="CY118" s="54">
        <f t="shared" si="389"/>
        <v>0</v>
      </c>
      <c r="CZ118" s="54">
        <f t="shared" si="213"/>
        <v>0</v>
      </c>
      <c r="DB118" s="54">
        <f t="shared" si="390"/>
        <v>0</v>
      </c>
      <c r="DC118" s="54">
        <f t="shared" si="391"/>
        <v>0</v>
      </c>
      <c r="DD118" s="54">
        <f t="shared" si="392"/>
        <v>0</v>
      </c>
      <c r="DE118" s="54">
        <f t="shared" si="393"/>
        <v>0</v>
      </c>
      <c r="DF118" s="54">
        <f t="shared" si="394"/>
        <v>0</v>
      </c>
      <c r="DG118" s="54">
        <f t="shared" si="395"/>
        <v>0</v>
      </c>
      <c r="DH118" s="54">
        <f t="shared" si="220"/>
        <v>0</v>
      </c>
      <c r="DJ118" s="54">
        <f t="shared" si="396"/>
        <v>0</v>
      </c>
      <c r="DK118" s="54">
        <f t="shared" si="397"/>
        <v>0</v>
      </c>
      <c r="DL118" s="54">
        <f t="shared" si="398"/>
        <v>0</v>
      </c>
      <c r="DM118" s="54">
        <f t="shared" si="399"/>
        <v>0</v>
      </c>
      <c r="DN118" s="54">
        <f t="shared" si="400"/>
        <v>0</v>
      </c>
      <c r="DO118" s="54">
        <f t="shared" si="401"/>
        <v>0</v>
      </c>
      <c r="DP118" s="54">
        <f t="shared" si="402"/>
        <v>0</v>
      </c>
      <c r="DR118" s="54">
        <f>+IF(Z118&gt;0,$K118*(1-$BE118)-SUM($DJ118:DJ118),DB118)</f>
        <v>0</v>
      </c>
      <c r="DS118" s="54">
        <f>+IF(AA118&gt;0,$K118*(1-$BE118)-SUM($DJ118:DK118),DC118)</f>
        <v>0</v>
      </c>
      <c r="DT118" s="54">
        <f>+IF(AB118&gt;0,$K118*(1-$BE118)-SUM($DJ118:DL118),DD118)</f>
        <v>0</v>
      </c>
      <c r="DU118" s="54">
        <f>+IF(AC118&gt;0,$K118*(1-$BE118)-SUM($DJ118:DM118),DE118)</f>
        <v>0</v>
      </c>
      <c r="DV118" s="54">
        <f>+IF(AD118&gt;0,$K118*(1-$BE118)-SUM($DJ118:DN118),DF118)</f>
        <v>0</v>
      </c>
      <c r="DW118" s="54">
        <f>+IF(AE118&gt;0,$K118*(1-$BE118)-SUM($DJ118:DO118),DG118)</f>
        <v>0</v>
      </c>
      <c r="DX118" s="54">
        <f>+IF(AF118&gt;0,$K118*(1-$BE118)-SUM($DJ118:DP118),DH118)</f>
        <v>0</v>
      </c>
      <c r="DZ118" s="54">
        <f t="shared" si="403"/>
        <v>0</v>
      </c>
      <c r="EA118" s="54">
        <f t="shared" si="404"/>
        <v>0</v>
      </c>
      <c r="EB118" s="54">
        <f t="shared" si="405"/>
        <v>0</v>
      </c>
      <c r="EC118" s="54">
        <f t="shared" si="406"/>
        <v>0</v>
      </c>
      <c r="ED118" s="54">
        <f t="shared" si="407"/>
        <v>0</v>
      </c>
      <c r="EE118" s="54">
        <f t="shared" si="408"/>
        <v>0</v>
      </c>
      <c r="EF118" s="54">
        <f t="shared" si="409"/>
        <v>0</v>
      </c>
      <c r="EH118" s="54">
        <f t="shared" si="410"/>
        <v>0</v>
      </c>
      <c r="EI118" s="54">
        <f t="shared" si="411"/>
        <v>0</v>
      </c>
      <c r="EJ118" s="54">
        <f t="shared" si="412"/>
        <v>0</v>
      </c>
      <c r="EK118" s="54">
        <f t="shared" si="413"/>
        <v>0</v>
      </c>
      <c r="EL118" s="54">
        <f t="shared" si="414"/>
        <v>0</v>
      </c>
      <c r="EM118" s="54">
        <f t="shared" si="415"/>
        <v>0</v>
      </c>
      <c r="EN118" s="54">
        <f t="shared" si="416"/>
        <v>0</v>
      </c>
      <c r="EP118" s="52">
        <f t="shared" ca="1" si="242"/>
        <v>0</v>
      </c>
      <c r="EQ118" s="52">
        <f t="shared" ca="1" si="243"/>
        <v>0</v>
      </c>
      <c r="ER118" s="52">
        <f t="shared" ca="1" si="244"/>
        <v>0</v>
      </c>
      <c r="ES118" s="52">
        <f t="shared" ca="1" si="245"/>
        <v>0</v>
      </c>
      <c r="ET118" s="52">
        <f t="shared" ca="1" si="246"/>
        <v>0</v>
      </c>
      <c r="EU118" s="52">
        <f t="shared" ca="1" si="247"/>
        <v>0</v>
      </c>
      <c r="EV118" s="52">
        <f t="shared" ca="1" si="417"/>
        <v>0</v>
      </c>
      <c r="EX118" s="52">
        <f t="shared" ca="1" si="249"/>
        <v>0</v>
      </c>
      <c r="EY118" s="52">
        <f t="shared" ca="1" si="250"/>
        <v>0</v>
      </c>
      <c r="EZ118" s="52">
        <f t="shared" ca="1" si="251"/>
        <v>0</v>
      </c>
      <c r="FA118" s="52">
        <f t="shared" ca="1" si="252"/>
        <v>0</v>
      </c>
      <c r="FB118" s="52">
        <f t="shared" ca="1" si="253"/>
        <v>0</v>
      </c>
      <c r="FC118" s="52">
        <f t="shared" ca="1" si="254"/>
        <v>0</v>
      </c>
      <c r="FD118" s="52">
        <f t="shared" ca="1" si="255"/>
        <v>0</v>
      </c>
      <c r="FF118" s="82">
        <f t="shared" si="418"/>
        <v>0</v>
      </c>
      <c r="FG118" s="82">
        <f t="shared" si="419"/>
        <v>0</v>
      </c>
      <c r="FH118" s="82">
        <f t="shared" si="420"/>
        <v>0</v>
      </c>
      <c r="FI118" s="82">
        <f t="shared" si="421"/>
        <v>0</v>
      </c>
      <c r="FJ118" s="82">
        <f t="shared" si="422"/>
        <v>0</v>
      </c>
      <c r="FK118" s="82">
        <f t="shared" si="423"/>
        <v>0</v>
      </c>
      <c r="FL118" s="82">
        <f t="shared" si="424"/>
        <v>0</v>
      </c>
      <c r="FM118" s="51">
        <v>0</v>
      </c>
      <c r="FN118" s="82">
        <v>0</v>
      </c>
      <c r="FO118" s="82">
        <f t="shared" si="442"/>
        <v>0</v>
      </c>
      <c r="FP118" s="82">
        <f t="shared" si="425"/>
        <v>0</v>
      </c>
      <c r="FQ118" s="82">
        <f t="shared" si="426"/>
        <v>0</v>
      </c>
      <c r="FR118" s="82">
        <f t="shared" si="427"/>
        <v>0</v>
      </c>
      <c r="FS118" s="82">
        <f t="shared" si="428"/>
        <v>0</v>
      </c>
      <c r="FT118" s="82">
        <f t="shared" si="429"/>
        <v>0</v>
      </c>
      <c r="FV118" s="82">
        <f t="shared" si="443"/>
        <v>9</v>
      </c>
      <c r="FW118" s="82">
        <f t="shared" si="444"/>
        <v>9</v>
      </c>
      <c r="FX118" s="82">
        <f t="shared" si="445"/>
        <v>9</v>
      </c>
      <c r="FY118" s="82">
        <f t="shared" si="446"/>
        <v>1.9804590249049414</v>
      </c>
      <c r="FZ118" s="82">
        <f t="shared" si="447"/>
        <v>1.9804590249049414</v>
      </c>
      <c r="GA118" s="82">
        <f t="shared" si="448"/>
        <v>1.9804590249049414</v>
      </c>
      <c r="GB118" s="82">
        <f t="shared" si="449"/>
        <v>1.9804590249049414</v>
      </c>
    </row>
    <row r="119" spans="2:184" x14ac:dyDescent="0.2">
      <c r="B119" s="402" t="str">
        <f>Key_New!D67</f>
        <v>Madhya Pradesh</v>
      </c>
      <c r="C119" s="394" t="str">
        <f>Key_New!B67</f>
        <v>BESS — Neemuch (Ph II)</v>
      </c>
      <c r="D119" s="395" t="str">
        <f>Key_New!E67</f>
        <v>BESS</v>
      </c>
      <c r="E119" s="395" t="str">
        <f>Key_New!C67</f>
        <v>Under Construction</v>
      </c>
      <c r="F119" s="397">
        <f>Key_New!G67</f>
        <v>750</v>
      </c>
      <c r="G119" s="399">
        <f t="shared" si="430"/>
        <v>46112</v>
      </c>
      <c r="H119" s="399">
        <f>Key_New!O67</f>
        <v>46387</v>
      </c>
      <c r="I119" s="369">
        <f t="shared" si="167"/>
        <v>2027</v>
      </c>
      <c r="J119" s="367">
        <v>0</v>
      </c>
      <c r="K119" s="370">
        <f t="shared" si="168"/>
        <v>0</v>
      </c>
      <c r="L119" s="368">
        <v>0.12</v>
      </c>
      <c r="M119" s="368">
        <v>0.25</v>
      </c>
      <c r="N119" s="404"/>
      <c r="O119" s="462">
        <f t="shared" si="431"/>
        <v>0</v>
      </c>
      <c r="P119" s="54">
        <f t="shared" si="336"/>
        <v>0</v>
      </c>
      <c r="Q119" s="54">
        <f t="shared" si="336"/>
        <v>0</v>
      </c>
      <c r="R119" s="54">
        <f t="shared" si="336"/>
        <v>0</v>
      </c>
      <c r="S119" s="54">
        <f t="shared" si="336"/>
        <v>90</v>
      </c>
      <c r="T119" s="54">
        <f t="shared" si="336"/>
        <v>365</v>
      </c>
      <c r="U119" s="54">
        <f t="shared" si="293"/>
        <v>365</v>
      </c>
      <c r="V119" s="54">
        <f t="shared" si="293"/>
        <v>365</v>
      </c>
      <c r="W119" s="54">
        <f t="shared" si="336"/>
        <v>365</v>
      </c>
      <c r="Y119" s="54">
        <f t="shared" si="337"/>
        <v>0</v>
      </c>
      <c r="Z119" s="54">
        <f t="shared" si="338"/>
        <v>0</v>
      </c>
      <c r="AA119" s="54">
        <f t="shared" si="339"/>
        <v>0</v>
      </c>
      <c r="AB119" s="54">
        <f t="shared" si="340"/>
        <v>1</v>
      </c>
      <c r="AC119" s="54">
        <f t="shared" si="341"/>
        <v>2</v>
      </c>
      <c r="AD119" s="54">
        <f t="shared" si="342"/>
        <v>3</v>
      </c>
      <c r="AE119" s="54">
        <f t="shared" si="343"/>
        <v>4</v>
      </c>
      <c r="AF119" s="54">
        <f t="shared" si="344"/>
        <v>5</v>
      </c>
      <c r="AG119" s="444"/>
      <c r="AH119" s="48">
        <f t="shared" si="345"/>
        <v>0</v>
      </c>
      <c r="AI119" s="48">
        <f t="shared" si="346"/>
        <v>0</v>
      </c>
      <c r="AJ119" s="48">
        <f t="shared" si="347"/>
        <v>750</v>
      </c>
      <c r="AK119" s="48">
        <f t="shared" si="348"/>
        <v>750</v>
      </c>
      <c r="AL119" s="48">
        <f t="shared" si="349"/>
        <v>750</v>
      </c>
      <c r="AM119" s="48">
        <f t="shared" si="350"/>
        <v>750</v>
      </c>
      <c r="AN119" s="48">
        <f t="shared" si="351"/>
        <v>750</v>
      </c>
      <c r="AP119" s="61">
        <v>3.8362500000000008E-2</v>
      </c>
      <c r="AQ119" s="61">
        <v>3.8362500000000008E-2</v>
      </c>
      <c r="AR119" s="61">
        <v>3.8362500000000008E-2</v>
      </c>
      <c r="AS119" s="61">
        <v>3.8362500000000008E-2</v>
      </c>
      <c r="AT119" s="61">
        <v>3.8362500000000008E-2</v>
      </c>
      <c r="AU119" s="61">
        <v>3.8362500000000008E-2</v>
      </c>
      <c r="AV119" s="61">
        <v>3.8362500000000008E-2</v>
      </c>
      <c r="AX119" s="52">
        <f t="shared" si="352"/>
        <v>0</v>
      </c>
      <c r="AY119" s="52">
        <f t="shared" si="353"/>
        <v>0</v>
      </c>
      <c r="AZ119" s="52">
        <f t="shared" si="354"/>
        <v>62.189816609589052</v>
      </c>
      <c r="BA119" s="52">
        <f t="shared" si="355"/>
        <v>252.21425625000006</v>
      </c>
      <c r="BB119" s="52">
        <f t="shared" si="356"/>
        <v>252.21425625000006</v>
      </c>
      <c r="BC119" s="52">
        <f t="shared" si="357"/>
        <v>252.21425625000006</v>
      </c>
      <c r="BD119" s="52">
        <f t="shared" si="358"/>
        <v>252.21425625000006</v>
      </c>
      <c r="BE119" s="57">
        <v>0.2</v>
      </c>
      <c r="BF119" s="52">
        <f t="shared" si="359"/>
        <v>0</v>
      </c>
      <c r="BG119" s="82">
        <f t="shared" si="360"/>
        <v>0</v>
      </c>
      <c r="BH119" s="82">
        <f t="shared" si="361"/>
        <v>0</v>
      </c>
      <c r="BI119" s="52">
        <f t="shared" si="362"/>
        <v>0</v>
      </c>
      <c r="BJ119" s="52">
        <f t="shared" si="363"/>
        <v>0</v>
      </c>
      <c r="BK119" s="52">
        <f t="shared" si="364"/>
        <v>0</v>
      </c>
      <c r="BL119" s="52">
        <f t="shared" si="365"/>
        <v>0</v>
      </c>
      <c r="BM119" s="297">
        <f t="shared" si="366"/>
        <v>0.05</v>
      </c>
      <c r="BN119" s="69">
        <f t="shared" si="367"/>
        <v>0</v>
      </c>
      <c r="BO119" s="69">
        <f t="shared" si="368"/>
        <v>0</v>
      </c>
      <c r="BP119" s="69">
        <f t="shared" si="369"/>
        <v>0</v>
      </c>
      <c r="BQ119" s="69">
        <f t="shared" si="370"/>
        <v>0</v>
      </c>
      <c r="BR119" s="69">
        <f t="shared" si="371"/>
        <v>0</v>
      </c>
      <c r="BS119" s="69">
        <f t="shared" si="372"/>
        <v>0</v>
      </c>
      <c r="BT119" s="69">
        <f t="shared" si="373"/>
        <v>0</v>
      </c>
      <c r="BV119" s="52">
        <f t="shared" si="374"/>
        <v>0</v>
      </c>
      <c r="BW119" s="52">
        <f t="shared" si="375"/>
        <v>0</v>
      </c>
      <c r="BX119" s="52">
        <f t="shared" si="376"/>
        <v>275</v>
      </c>
      <c r="BY119" s="52">
        <f t="shared" si="377"/>
        <v>0</v>
      </c>
      <c r="BZ119" s="52">
        <f t="shared" si="378"/>
        <v>0</v>
      </c>
      <c r="CA119" s="52">
        <f t="shared" si="379"/>
        <v>0</v>
      </c>
      <c r="CB119" s="52">
        <f t="shared" si="380"/>
        <v>0</v>
      </c>
      <c r="CC119" s="107">
        <v>0</v>
      </c>
      <c r="CD119" s="61">
        <v>0</v>
      </c>
      <c r="CE119" s="61">
        <f t="shared" si="381"/>
        <v>1</v>
      </c>
      <c r="CF119" s="61">
        <f t="shared" si="382"/>
        <v>0</v>
      </c>
      <c r="CG119" s="61">
        <f t="shared" si="383"/>
        <v>0</v>
      </c>
      <c r="CH119" s="61">
        <f t="shared" si="432"/>
        <v>0</v>
      </c>
      <c r="CI119" s="61">
        <f t="shared" si="433"/>
        <v>0</v>
      </c>
      <c r="CJ119" s="61">
        <f t="shared" si="434"/>
        <v>1</v>
      </c>
      <c r="CK119" s="4"/>
      <c r="CL119" s="54">
        <f t="shared" si="435"/>
        <v>0</v>
      </c>
      <c r="CM119" s="54">
        <f t="shared" si="436"/>
        <v>0</v>
      </c>
      <c r="CN119" s="54">
        <f t="shared" si="437"/>
        <v>0</v>
      </c>
      <c r="CO119" s="54">
        <f t="shared" si="438"/>
        <v>0</v>
      </c>
      <c r="CP119" s="54">
        <f t="shared" si="439"/>
        <v>0</v>
      </c>
      <c r="CQ119" s="54">
        <f t="shared" si="440"/>
        <v>0</v>
      </c>
      <c r="CR119" s="54">
        <f t="shared" si="441"/>
        <v>0</v>
      </c>
      <c r="CT119" s="54">
        <f t="shared" si="384"/>
        <v>0</v>
      </c>
      <c r="CU119" s="54">
        <f t="shared" si="385"/>
        <v>0</v>
      </c>
      <c r="CV119" s="54">
        <f t="shared" si="386"/>
        <v>0</v>
      </c>
      <c r="CW119" s="54">
        <f t="shared" si="387"/>
        <v>0</v>
      </c>
      <c r="CX119" s="54">
        <f t="shared" si="388"/>
        <v>0</v>
      </c>
      <c r="CY119" s="54">
        <f t="shared" si="389"/>
        <v>0</v>
      </c>
      <c r="CZ119" s="54">
        <f t="shared" si="213"/>
        <v>0</v>
      </c>
      <c r="DB119" s="54">
        <f t="shared" si="390"/>
        <v>0</v>
      </c>
      <c r="DC119" s="54">
        <f t="shared" si="391"/>
        <v>0</v>
      </c>
      <c r="DD119" s="54">
        <f t="shared" si="392"/>
        <v>0</v>
      </c>
      <c r="DE119" s="54">
        <f t="shared" si="393"/>
        <v>0</v>
      </c>
      <c r="DF119" s="54">
        <f t="shared" si="394"/>
        <v>0</v>
      </c>
      <c r="DG119" s="54">
        <f t="shared" si="395"/>
        <v>0</v>
      </c>
      <c r="DH119" s="54">
        <f t="shared" si="220"/>
        <v>0</v>
      </c>
      <c r="DJ119" s="54">
        <f t="shared" si="396"/>
        <v>0</v>
      </c>
      <c r="DK119" s="54">
        <f t="shared" si="397"/>
        <v>0</v>
      </c>
      <c r="DL119" s="54">
        <f t="shared" si="398"/>
        <v>0</v>
      </c>
      <c r="DM119" s="54">
        <f t="shared" si="399"/>
        <v>0</v>
      </c>
      <c r="DN119" s="54">
        <f t="shared" si="400"/>
        <v>0</v>
      </c>
      <c r="DO119" s="54">
        <f t="shared" si="401"/>
        <v>0</v>
      </c>
      <c r="DP119" s="54">
        <f t="shared" si="402"/>
        <v>0</v>
      </c>
      <c r="DR119" s="54">
        <f>+IF(Z119&gt;0,$K119*(1-$BE119)-SUM($DJ119:DJ119),DB119)</f>
        <v>0</v>
      </c>
      <c r="DS119" s="54">
        <f>+IF(AA119&gt;0,$K119*(1-$BE119)-SUM($DJ119:DK119),DC119)</f>
        <v>0</v>
      </c>
      <c r="DT119" s="54">
        <f>+IF(AB119&gt;0,$K119*(1-$BE119)-SUM($DJ119:DL119),DD119)</f>
        <v>0</v>
      </c>
      <c r="DU119" s="54">
        <f>+IF(AC119&gt;0,$K119*(1-$BE119)-SUM($DJ119:DM119),DE119)</f>
        <v>0</v>
      </c>
      <c r="DV119" s="54">
        <f>+IF(AD119&gt;0,$K119*(1-$BE119)-SUM($DJ119:DN119),DF119)</f>
        <v>0</v>
      </c>
      <c r="DW119" s="54">
        <f>+IF(AE119&gt;0,$K119*(1-$BE119)-SUM($DJ119:DO119),DG119)</f>
        <v>0</v>
      </c>
      <c r="DX119" s="54">
        <f>+IF(AF119&gt;0,$K119*(1-$BE119)-SUM($DJ119:DP119),DH119)</f>
        <v>0</v>
      </c>
      <c r="DZ119" s="54">
        <f t="shared" si="403"/>
        <v>0</v>
      </c>
      <c r="EA119" s="54">
        <f t="shared" si="404"/>
        <v>0</v>
      </c>
      <c r="EB119" s="54">
        <f t="shared" si="405"/>
        <v>0</v>
      </c>
      <c r="EC119" s="54">
        <f t="shared" si="406"/>
        <v>0</v>
      </c>
      <c r="ED119" s="54">
        <f t="shared" si="407"/>
        <v>0</v>
      </c>
      <c r="EE119" s="54">
        <f t="shared" si="408"/>
        <v>0</v>
      </c>
      <c r="EF119" s="54">
        <f t="shared" si="409"/>
        <v>0</v>
      </c>
      <c r="EH119" s="54">
        <f t="shared" si="410"/>
        <v>0</v>
      </c>
      <c r="EI119" s="54">
        <f t="shared" si="411"/>
        <v>0</v>
      </c>
      <c r="EJ119" s="54">
        <f t="shared" si="412"/>
        <v>0</v>
      </c>
      <c r="EK119" s="54">
        <f t="shared" si="413"/>
        <v>0</v>
      </c>
      <c r="EL119" s="54">
        <f t="shared" si="414"/>
        <v>0</v>
      </c>
      <c r="EM119" s="54">
        <f t="shared" si="415"/>
        <v>0</v>
      </c>
      <c r="EN119" s="54">
        <f t="shared" si="416"/>
        <v>0</v>
      </c>
      <c r="EP119" s="52">
        <f t="shared" ca="1" si="242"/>
        <v>0</v>
      </c>
      <c r="EQ119" s="52">
        <f t="shared" ca="1" si="243"/>
        <v>0</v>
      </c>
      <c r="ER119" s="52">
        <f t="shared" ca="1" si="244"/>
        <v>0</v>
      </c>
      <c r="ES119" s="52">
        <f t="shared" ca="1" si="245"/>
        <v>0</v>
      </c>
      <c r="ET119" s="52">
        <f t="shared" ca="1" si="246"/>
        <v>0</v>
      </c>
      <c r="EU119" s="52">
        <f t="shared" ca="1" si="247"/>
        <v>0</v>
      </c>
      <c r="EV119" s="52">
        <f t="shared" ca="1" si="417"/>
        <v>0</v>
      </c>
      <c r="EX119" s="52">
        <f t="shared" ca="1" si="249"/>
        <v>0</v>
      </c>
      <c r="EY119" s="52">
        <f t="shared" ca="1" si="250"/>
        <v>0</v>
      </c>
      <c r="EZ119" s="52">
        <f t="shared" ca="1" si="251"/>
        <v>0</v>
      </c>
      <c r="FA119" s="52">
        <f t="shared" ca="1" si="252"/>
        <v>0</v>
      </c>
      <c r="FB119" s="52">
        <f t="shared" ca="1" si="253"/>
        <v>0</v>
      </c>
      <c r="FC119" s="52">
        <f t="shared" ca="1" si="254"/>
        <v>0</v>
      </c>
      <c r="FD119" s="52">
        <f t="shared" ca="1" si="255"/>
        <v>0</v>
      </c>
      <c r="FF119" s="82">
        <f t="shared" si="418"/>
        <v>0</v>
      </c>
      <c r="FG119" s="82">
        <f t="shared" si="419"/>
        <v>0</v>
      </c>
      <c r="FH119" s="82">
        <f t="shared" si="420"/>
        <v>0</v>
      </c>
      <c r="FI119" s="82">
        <f t="shared" si="421"/>
        <v>0</v>
      </c>
      <c r="FJ119" s="82">
        <f t="shared" si="422"/>
        <v>0</v>
      </c>
      <c r="FK119" s="82">
        <f t="shared" si="423"/>
        <v>0</v>
      </c>
      <c r="FL119" s="82">
        <f t="shared" si="424"/>
        <v>0</v>
      </c>
      <c r="FM119" s="51">
        <v>0</v>
      </c>
      <c r="FN119" s="82">
        <v>0</v>
      </c>
      <c r="FO119" s="82">
        <f t="shared" si="442"/>
        <v>0</v>
      </c>
      <c r="FP119" s="82">
        <f t="shared" si="425"/>
        <v>0</v>
      </c>
      <c r="FQ119" s="82">
        <f t="shared" si="426"/>
        <v>0</v>
      </c>
      <c r="FR119" s="82">
        <f t="shared" si="427"/>
        <v>0</v>
      </c>
      <c r="FS119" s="82">
        <f t="shared" si="428"/>
        <v>0</v>
      </c>
      <c r="FT119" s="82">
        <f t="shared" si="429"/>
        <v>0</v>
      </c>
      <c r="FV119" s="82">
        <f t="shared" si="443"/>
        <v>9</v>
      </c>
      <c r="FW119" s="82">
        <f t="shared" si="444"/>
        <v>9</v>
      </c>
      <c r="FX119" s="82">
        <f t="shared" si="445"/>
        <v>9</v>
      </c>
      <c r="FY119" s="82">
        <f t="shared" si="446"/>
        <v>1.9804590249049414</v>
      </c>
      <c r="FZ119" s="82">
        <f t="shared" si="447"/>
        <v>1.9804590249049414</v>
      </c>
      <c r="GA119" s="82">
        <f t="shared" si="448"/>
        <v>1.9804590249049414</v>
      </c>
      <c r="GB119" s="82">
        <f t="shared" si="449"/>
        <v>1.9804590249049414</v>
      </c>
    </row>
    <row r="120" spans="2:184" x14ac:dyDescent="0.2">
      <c r="B120" s="402" t="str">
        <f>$B88</f>
        <v>Rajasthan</v>
      </c>
      <c r="C120" s="394" t="str">
        <f>"BESS — co-located with "&amp;$C88</f>
        <v>BESS — co-located with ACME Surya Power Pvt Ltd</v>
      </c>
      <c r="D120" s="395" t="s">
        <v>411</v>
      </c>
      <c r="E120" s="395" t="str">
        <f>$E88</f>
        <v>Under Construction</v>
      </c>
      <c r="F120" s="397">
        <f>IF($D88="FDRE",$F88*$S$4,IF($D88="Hybrid",$F88*$S$5,0))</f>
        <v>1000</v>
      </c>
      <c r="G120" s="399">
        <f t="shared" si="430"/>
        <v>46295</v>
      </c>
      <c r="H120" s="399">
        <f>$H88</f>
        <v>46568</v>
      </c>
      <c r="I120" s="369">
        <f t="shared" si="167"/>
        <v>2028</v>
      </c>
      <c r="J120" s="367">
        <v>0</v>
      </c>
      <c r="K120" s="370">
        <f t="shared" si="168"/>
        <v>0</v>
      </c>
      <c r="L120" s="368">
        <v>0.12</v>
      </c>
      <c r="M120" s="368">
        <v>0.25</v>
      </c>
      <c r="N120" s="404"/>
      <c r="O120" s="462">
        <f t="shared" si="431"/>
        <v>0</v>
      </c>
      <c r="P120" s="54">
        <f t="shared" si="336"/>
        <v>0</v>
      </c>
      <c r="Q120" s="54">
        <f t="shared" si="336"/>
        <v>0</v>
      </c>
      <c r="R120" s="54">
        <f t="shared" si="336"/>
        <v>0</v>
      </c>
      <c r="S120" s="54">
        <f t="shared" si="336"/>
        <v>0</v>
      </c>
      <c r="T120" s="54">
        <f t="shared" si="336"/>
        <v>275</v>
      </c>
      <c r="U120" s="54">
        <f t="shared" si="293"/>
        <v>365</v>
      </c>
      <c r="V120" s="54">
        <f t="shared" si="293"/>
        <v>365</v>
      </c>
      <c r="W120" s="54">
        <f t="shared" si="336"/>
        <v>365</v>
      </c>
      <c r="Y120" s="54">
        <f t="shared" ref="Y120:Y133" si="450">IF(AND(O120=0,P120&gt;0),1,IF(X120=0,0,X120+1))</f>
        <v>0</v>
      </c>
      <c r="Z120" s="54">
        <f t="shared" ref="Z120:Z133" si="451">IF(AND(P120=0,Q120&gt;0),1,IF(Y120=0,0,Y120+1))</f>
        <v>0</v>
      </c>
      <c r="AA120" s="54">
        <f t="shared" ref="AA120:AA133" si="452">IF(AND(Q120=0,R120&gt;0),1,IF(Z120=0,0,Z120+1))</f>
        <v>0</v>
      </c>
      <c r="AB120" s="54">
        <f t="shared" ref="AB120:AB133" si="453">IF(AND(R120=0,S120&gt;0),1,IF(AA120=0,0,AA120+1))</f>
        <v>0</v>
      </c>
      <c r="AC120" s="54">
        <f t="shared" ref="AC120:AC133" si="454">IF(AND(S120=0,T120&gt;0),1,IF(AB120=0,0,AB120+1))</f>
        <v>1</v>
      </c>
      <c r="AD120" s="54">
        <f t="shared" ref="AD120:AD133" si="455">IF(AND(T120=0,U120&gt;0),1,IF(AC120=0,0,AC120+1))</f>
        <v>2</v>
      </c>
      <c r="AE120" s="54">
        <f t="shared" ref="AE120:AE133" si="456">IF(AND(U120=0,V120&gt;0),1,IF(AD120=0,0,AD120+1))</f>
        <v>3</v>
      </c>
      <c r="AF120" s="54">
        <f t="shared" ref="AF120:AF133" si="457">IF(AND(V120=0,W120&gt;0),1,IF(AE120=0,0,AE120+1))</f>
        <v>4</v>
      </c>
      <c r="AG120" s="444"/>
      <c r="AH120" s="48">
        <f t="shared" ref="AH120:AH133" si="458">IF(AND(P120&lt;=0,Q120&gt;0),$F120,IF(P120&gt;0,$F120,0))</f>
        <v>0</v>
      </c>
      <c r="AI120" s="48">
        <f t="shared" ref="AI120:AI133" si="459">IF(AND(Q120&lt;=0,R120&gt;0),$F120,IF(Q120&gt;0,$F120,0))</f>
        <v>0</v>
      </c>
      <c r="AJ120" s="48">
        <f t="shared" ref="AJ120:AJ133" si="460">IF(AND(R120&lt;=0,S120&gt;0),$F120,IF(R120&gt;0,$F120,0))</f>
        <v>0</v>
      </c>
      <c r="AK120" s="48">
        <f t="shared" ref="AK120:AK133" si="461">IF(AND(S120&lt;=0,T120&gt;0),$F120,IF(S120&gt;0,$F120,0))</f>
        <v>1000</v>
      </c>
      <c r="AL120" s="48">
        <f t="shared" ref="AL120:AL133" si="462">IF(AND(T120&lt;=0,U120&gt;0),$F120,IF(T120&gt;0,$F120,0))</f>
        <v>1000</v>
      </c>
      <c r="AM120" s="48">
        <f t="shared" ref="AM120:AM133" si="463">IF(AND(U120&lt;=0,V120&gt;0),$F120,IF(U120&gt;0,$F120,0))</f>
        <v>1000</v>
      </c>
      <c r="AN120" s="48">
        <f t="shared" ref="AN120:AN133" si="464">IF(AND(V120&lt;=0,W120&gt;0),$F120,IF(V120&gt;0,$F120,0))</f>
        <v>1000</v>
      </c>
      <c r="AP120" s="61">
        <v>3.8362500000000008E-2</v>
      </c>
      <c r="AQ120" s="61">
        <v>3.8362500000000008E-2</v>
      </c>
      <c r="AR120" s="61">
        <v>3.8362500000000008E-2</v>
      </c>
      <c r="AS120" s="61">
        <v>3.8362500000000008E-2</v>
      </c>
      <c r="AT120" s="61">
        <v>3.8362500000000008E-2</v>
      </c>
      <c r="AU120" s="61">
        <v>3.8362500000000008E-2</v>
      </c>
      <c r="AV120" s="61">
        <v>3.8362500000000008E-2</v>
      </c>
      <c r="AX120" s="52">
        <f t="shared" ref="AX120:AX133" si="465">$F120*8.766*AP120*(Q120/365)</f>
        <v>0</v>
      </c>
      <c r="AY120" s="52">
        <f t="shared" ref="AY120:AY133" si="466">$F120*8.766*AQ120*(R120/365)</f>
        <v>0</v>
      </c>
      <c r="AZ120" s="52">
        <f t="shared" ref="AZ120:AZ133" si="467">$F120*8.766*AR120*(S120/365)</f>
        <v>0</v>
      </c>
      <c r="BA120" s="52">
        <f t="shared" ref="BA120:BA133" si="468">$F120*8.766*AS120*(T120/365)</f>
        <v>253.365919520548</v>
      </c>
      <c r="BB120" s="52">
        <f t="shared" ref="BB120:BB133" si="469">$F120*8.766*AT120*(U120/365)</f>
        <v>336.28567500000008</v>
      </c>
      <c r="BC120" s="52">
        <f t="shared" ref="BC120:BC133" si="470">$F120*8.766*AU120*(V120/365)</f>
        <v>336.28567500000008</v>
      </c>
      <c r="BD120" s="52">
        <f t="shared" ref="BD120:BD133" si="471">$F120*8.766*AV120*(W120/365)</f>
        <v>336.28567500000008</v>
      </c>
      <c r="BE120" s="57">
        <v>0.2</v>
      </c>
      <c r="BF120" s="52">
        <f t="shared" ref="BF120:BF133" si="472">$BE120*$K120*(Q120/365)*($L120/(1-$M120))</f>
        <v>0</v>
      </c>
      <c r="BG120" s="82">
        <f t="shared" ref="BG120:BG133" si="473">$BE120*$K120*(R120/365)*($L120/(1-$M120))</f>
        <v>0</v>
      </c>
      <c r="BH120" s="82">
        <f t="shared" ref="BH120:BH133" si="474">$BE120*$K120*(S120/365)*($L120/(1-$M120))</f>
        <v>0</v>
      </c>
      <c r="BI120" s="52">
        <f t="shared" ref="BI120:BI133" si="475">$BE120*$K120*(T120/365)*($L120/(1-$M120))</f>
        <v>0</v>
      </c>
      <c r="BJ120" s="52">
        <f t="shared" ref="BJ120:BJ133" si="476">$BE120*$K120*(U120/365)*($L120/(1-$M120))</f>
        <v>0</v>
      </c>
      <c r="BK120" s="52">
        <f t="shared" ref="BK120:BK133" si="477">$BE120*$K120*(V120/365)*($L120/(1-$M120))</f>
        <v>0</v>
      </c>
      <c r="BL120" s="52">
        <f t="shared" ref="BL120:BL133" si="478">$BE120*$K120*(W120/365)*($L120/(1-$M120))</f>
        <v>0</v>
      </c>
      <c r="BM120" s="297">
        <f t="shared" si="366"/>
        <v>0.05</v>
      </c>
      <c r="BN120" s="69">
        <f t="shared" ref="BN120:BN133" si="479">$BM120*$K120*(Q120/365)</f>
        <v>0</v>
      </c>
      <c r="BO120" s="69">
        <f t="shared" ref="BO120:BO133" si="480">($BM120*$K120*(R120/365))</f>
        <v>0</v>
      </c>
      <c r="BP120" s="69">
        <f t="shared" ref="BP120:BP133" si="481">$BM120*$K120*(S120/365)</f>
        <v>0</v>
      </c>
      <c r="BQ120" s="69">
        <f t="shared" ref="BQ120:BQ133" si="482">$BM120*$K120*(T120/365)</f>
        <v>0</v>
      </c>
      <c r="BR120" s="69">
        <f t="shared" ref="BR120:BR133" si="483">$BM120*$K120*(U120/365)</f>
        <v>0</v>
      </c>
      <c r="BS120" s="69">
        <f t="shared" ref="BS120:BS133" si="484">$BM120*$K120*(V120/365)</f>
        <v>0</v>
      </c>
      <c r="BT120" s="69">
        <f t="shared" ref="BT120:BT133" si="485">$BM120*$K120*(W120/365)</f>
        <v>0</v>
      </c>
      <c r="BV120" s="52">
        <f t="shared" ref="BV120:BV133" si="486">IF(AND($H120&gt;BU$49,$H120&lt;=BV$49),IF($G120&gt;BU$49,$H120-$G120,$H120-BU$49),IF($H120&lt;=BU$49,0,IF(AND($G120&gt;BU$49,$G120&lt;=BV$49),BV$49-$G120,IF($G120&gt;BV$49,0,BV$49-BU$49))))</f>
        <v>0</v>
      </c>
      <c r="BW120" s="52">
        <f t="shared" ref="BW120:BW133" si="487">IF(AND($H120&gt;BV$49,$H120&lt;=BW$49),IF($G120&gt;BV$49,$H120-$G120,$H120-BV$49),IF($H120&lt;=BV$49,0,IF(AND($G120&gt;BV$49,$G120&lt;=BW$49),BW$49-$G120,IF($G120&gt;BW$49,0,BW$49-BV$49))))</f>
        <v>0</v>
      </c>
      <c r="BX120" s="52">
        <f t="shared" ref="BX120:BX133" si="488">IF(AND($H120&gt;BW$49,$H120&lt;=BX$49),IF($G120&gt;BW$49,$H120-$G120,$H120-BW$49),IF($H120&lt;=BW$49,0,IF(AND($G120&gt;BW$49,$G120&lt;=BX$49),BX$49-$G120,IF($G120&gt;BX$49,0,BX$49-BW$49))))</f>
        <v>182</v>
      </c>
      <c r="BY120" s="52">
        <f t="shared" ref="BY120:BY133" si="489">IF(AND($H120&gt;BX$49,$H120&lt;=BY$49),IF($G120&gt;BX$49,$H120-$G120,$H120-BX$49),IF($H120&lt;=BX$49,0,IF(AND($G120&gt;BX$49,$G120&lt;=BY$49),BY$49-$G120,IF($G120&gt;BY$49,0,BY$49-BX$49))))</f>
        <v>91</v>
      </c>
      <c r="BZ120" s="52">
        <f t="shared" ref="BZ120:BZ133" si="490">IF(AND($H120&gt;BY$49,$H120&lt;=BZ$49),IF($G120&gt;BY$49,$H120-$G120,$H120-BY$49),IF($H120&lt;=BY$49,0,IF(AND($G120&gt;BY$49,$G120&lt;=BZ$49),BZ$49-$G120,IF($G120&gt;BZ$49,0,BZ$49-BY$49))))</f>
        <v>0</v>
      </c>
      <c r="CA120" s="52">
        <f t="shared" ref="CA120:CA133" si="491">IF(AND($H120&gt;BZ$49,$H120&lt;=CA$49),IF($G120&gt;BZ$49,$H120-$G120,$H120-BZ$49),IF($H120&lt;=BZ$49,0,IF(AND($G120&gt;BZ$49,$G120&lt;=CA$49),CA$49-$G120,IF($G120&gt;CA$49,0,CA$49-BZ$49))))</f>
        <v>0</v>
      </c>
      <c r="CB120" s="52">
        <f t="shared" ref="CB120:CB133" si="492">IF(AND($H120&gt;CA$49,$H120&lt;=CB$49),IF($G120&gt;CA$49,$H120-$G120,$H120-CA$49),IF($H120&lt;=CA$49,0,IF(AND($G120&gt;CA$49,$G120&lt;=CB$49),CB$49-$G120,IF($G120&gt;CB$49,0,CB$49-CA$49))))</f>
        <v>0</v>
      </c>
      <c r="CC120" s="107">
        <v>0</v>
      </c>
      <c r="CD120" s="61">
        <v>0</v>
      </c>
      <c r="CE120" s="61">
        <f>IF(SUM($BX120:$CB120)=0,0,BX120/SUM($BX120:$CB120)*(1-$O120))-10%</f>
        <v>0.56666666666666665</v>
      </c>
      <c r="CF120" s="61">
        <f t="shared" ref="CF120:CF133" si="493">IF(SUM($BX120:$CB120)=0,0,BY120/SUM($BX120:$CB120)*(1-$O120))+10%</f>
        <v>0.43333333333333335</v>
      </c>
      <c r="CG120" s="61">
        <f>IF(SUM($BX120:$CB120)=0,0,BZ120/SUM($BX120:$CB120)*(1-$O120))</f>
        <v>0</v>
      </c>
      <c r="CH120" s="61">
        <f t="shared" si="432"/>
        <v>0</v>
      </c>
      <c r="CI120" s="61">
        <f t="shared" si="433"/>
        <v>0</v>
      </c>
      <c r="CJ120" s="61">
        <f t="shared" si="434"/>
        <v>1</v>
      </c>
      <c r="CK120" s="4"/>
      <c r="CL120" s="54">
        <f t="shared" si="435"/>
        <v>0</v>
      </c>
      <c r="CM120" s="54">
        <f t="shared" si="436"/>
        <v>0</v>
      </c>
      <c r="CN120" s="54">
        <f t="shared" si="437"/>
        <v>0</v>
      </c>
      <c r="CO120" s="54">
        <f t="shared" si="438"/>
        <v>0</v>
      </c>
      <c r="CP120" s="54">
        <f t="shared" si="439"/>
        <v>0</v>
      </c>
      <c r="CQ120" s="54">
        <f t="shared" si="440"/>
        <v>0</v>
      </c>
      <c r="CR120" s="54">
        <f t="shared" si="441"/>
        <v>0</v>
      </c>
      <c r="CT120" s="54">
        <f t="shared" ref="CT120:CT133" si="494">$BE120*CL120</f>
        <v>0</v>
      </c>
      <c r="CU120" s="54">
        <f t="shared" ref="CU120:CU133" si="495">$BE120*CM120</f>
        <v>0</v>
      </c>
      <c r="CV120" s="54">
        <f t="shared" ref="CV120:CV133" si="496">$BE120*CN120</f>
        <v>0</v>
      </c>
      <c r="CW120" s="54">
        <f t="shared" ref="CW120:CW133" si="497">$BE120*CO120</f>
        <v>0</v>
      </c>
      <c r="CX120" s="54">
        <f t="shared" ref="CX120:CX133" si="498">$BE120*CP120</f>
        <v>0</v>
      </c>
      <c r="CY120" s="54">
        <f t="shared" ref="CY120:CY133" si="499">$BE120*CQ120</f>
        <v>0</v>
      </c>
      <c r="CZ120" s="54">
        <f t="shared" si="213"/>
        <v>0</v>
      </c>
      <c r="DB120" s="54">
        <f t="shared" ref="DB120:DB133" si="500">CL120-CT120</f>
        <v>0</v>
      </c>
      <c r="DC120" s="54">
        <f t="shared" ref="DC120:DC133" si="501">CM120-CU120</f>
        <v>0</v>
      </c>
      <c r="DD120" s="54">
        <f t="shared" ref="DD120:DD133" si="502">CN120-CV120</f>
        <v>0</v>
      </c>
      <c r="DE120" s="54">
        <f t="shared" ref="DE120:DE133" si="503">CO120-CW120</f>
        <v>0</v>
      </c>
      <c r="DF120" s="54">
        <f t="shared" ref="DF120:DF133" si="504">CP120-CX120</f>
        <v>0</v>
      </c>
      <c r="DG120" s="54">
        <f t="shared" ref="DG120:DG133" si="505">CQ120-CY120</f>
        <v>0</v>
      </c>
      <c r="DH120" s="54">
        <f t="shared" si="220"/>
        <v>0</v>
      </c>
      <c r="DJ120" s="54">
        <f t="shared" ref="DJ120:DJ133" si="506">IF(Z120&lt;=26,IF(AND(P120=0,Q120&gt;0),0,IF(Q120&gt;0,($K120*(1-$BE120))/25,0)),0)</f>
        <v>0</v>
      </c>
      <c r="DK120" s="54">
        <f t="shared" ref="DK120:DK133" si="507">IF(AA120&lt;=26,IF(AND(Q120=0,R120&gt;0),0,IF(R120&gt;0,($K120*(1-$BE120))/25,0)),0)</f>
        <v>0</v>
      </c>
      <c r="DL120" s="54">
        <f t="shared" ref="DL120:DL133" si="508">IF(AB120&lt;=26,IF(AND(R120=0,S120&gt;0),0,IF(S120&gt;0,($K120*(1-$BE120))/25,0)),0)</f>
        <v>0</v>
      </c>
      <c r="DM120" s="54">
        <f t="shared" ref="DM120:DM133" si="509">IF(AC120&lt;=26,IF(AND(S120=0,T120&gt;0),0,IF(T120&gt;0,($K120*(1-$BE120))/25,0)),0)</f>
        <v>0</v>
      </c>
      <c r="DN120" s="54">
        <f t="shared" ref="DN120:DN133" si="510">IF(AD120&lt;=26,IF(AND(T120=0,U120&gt;0),0,IF(U120&gt;0,($K120*(1-$BE120))/25,0)),0)</f>
        <v>0</v>
      </c>
      <c r="DO120" s="54">
        <f t="shared" ref="DO120:DO133" si="511">IF(AE120&lt;=26,IF(AND(U120=0,V120&gt;0),0,IF(V120&gt;0,($K120*(1-$BE120))/25,0)),0)</f>
        <v>0</v>
      </c>
      <c r="DP120" s="54">
        <f t="shared" ref="DP120:DP133" si="512">IF(AF120&lt;=26,IF(AND(V120=0,W120&gt;0),0,IF(W120&gt;0,($K120*(1-$BE120))/25,0)),0)</f>
        <v>0</v>
      </c>
      <c r="DR120" s="54">
        <f>+IF(Z120&gt;0,$K120*(1-$BE120)-SUM($DJ120:DJ120),DB120)</f>
        <v>0</v>
      </c>
      <c r="DS120" s="54">
        <f>+IF(AA120&gt;0,$K120*(1-$BE120)-SUM($DJ120:DK120),DC120)</f>
        <v>0</v>
      </c>
      <c r="DT120" s="54">
        <f>+IF(AB120&gt;0,$K120*(1-$BE120)-SUM($DJ120:DL120),DD120)</f>
        <v>0</v>
      </c>
      <c r="DU120" s="54">
        <f>+IF(AC120&gt;0,$K120*(1-$BE120)-SUM($DJ120:DM120),DE120)</f>
        <v>0</v>
      </c>
      <c r="DV120" s="54">
        <f>+IF(AD120&gt;0,$K120*(1-$BE120)-SUM($DJ120:DN120),DF120)</f>
        <v>0</v>
      </c>
      <c r="DW120" s="54">
        <f>+IF(AE120&gt;0,$K120*(1-$BE120)-SUM($DJ120:DO120),DG120)</f>
        <v>0</v>
      </c>
      <c r="DX120" s="54">
        <f>+IF(AF120&gt;0,$K120*(1-$BE120)-SUM($DJ120:DP120),DH120)</f>
        <v>0</v>
      </c>
      <c r="DZ120" s="54">
        <f t="shared" ref="DZ120:DZ133" si="513">DR120*(DZ$51)*(Q120/365)</f>
        <v>0</v>
      </c>
      <c r="EA120" s="54">
        <f t="shared" ref="EA120:EA133" si="514">DS120*(EA$51)*(R120/365)</f>
        <v>0</v>
      </c>
      <c r="EB120" s="54">
        <f t="shared" ref="EB120:EB133" si="515">DT120*(EB$51)*(S120/365)</f>
        <v>0</v>
      </c>
      <c r="EC120" s="54">
        <f t="shared" ref="EC120:EC133" si="516">DU120*(EC$51)*(T120/365)</f>
        <v>0</v>
      </c>
      <c r="ED120" s="54">
        <f t="shared" ref="ED120:ED133" si="517">DV120*(ED$51)*(U120/365)</f>
        <v>0</v>
      </c>
      <c r="EE120" s="54">
        <f t="shared" ref="EE120:EE133" si="518">DW120*(EE$51)*(V120/365)</f>
        <v>0</v>
      </c>
      <c r="EF120" s="54">
        <f t="shared" ref="EF120:EF133" si="519">DY120*(EF$51)*(W120/365)</f>
        <v>0</v>
      </c>
      <c r="EH120" s="54">
        <f t="shared" ref="EH120:EH133" si="520">$F120*EH$24*(Q120/365)</f>
        <v>0</v>
      </c>
      <c r="EI120" s="54">
        <f t="shared" ref="EI120:EI133" si="521">$F120*EI$24*(R120/365)</f>
        <v>0</v>
      </c>
      <c r="EJ120" s="54">
        <f t="shared" ref="EJ120:EJ133" si="522">$F120*EJ$24*(S120/365)</f>
        <v>0</v>
      </c>
      <c r="EK120" s="54">
        <f t="shared" ref="EK120:EK133" si="523">$F120*EK$24*(T120/365)</f>
        <v>0</v>
      </c>
      <c r="EL120" s="54">
        <f t="shared" ref="EL120:EL133" si="524">$F120*EL$24*(U120/365)</f>
        <v>0</v>
      </c>
      <c r="EM120" s="54">
        <f t="shared" ref="EM120:EM133" si="525">$F120*EM$24*(V120/365)</f>
        <v>0</v>
      </c>
      <c r="EN120" s="54">
        <f t="shared" ref="EN120:EN133" si="526">$F120*EN$24*(W120/365)</f>
        <v>0</v>
      </c>
      <c r="EP120" s="52">
        <f t="shared" ca="1" si="242"/>
        <v>0</v>
      </c>
      <c r="EQ120" s="52">
        <f t="shared" ca="1" si="243"/>
        <v>0</v>
      </c>
      <c r="ER120" s="52">
        <f t="shared" ca="1" si="244"/>
        <v>0</v>
      </c>
      <c r="ES120" s="52">
        <f t="shared" ca="1" si="245"/>
        <v>0</v>
      </c>
      <c r="ET120" s="52">
        <f t="shared" ca="1" si="246"/>
        <v>0</v>
      </c>
      <c r="EU120" s="52">
        <f t="shared" ca="1" si="247"/>
        <v>0</v>
      </c>
      <c r="EV120" s="52">
        <f t="shared" ref="EV120:EV133" ca="1" si="527">(((1/12)+15%)*EO120+(45/365)*FD120)*EV$24</f>
        <v>0</v>
      </c>
      <c r="EX120" s="52">
        <f t="shared" ca="1" si="249"/>
        <v>0</v>
      </c>
      <c r="EY120" s="52">
        <f t="shared" ca="1" si="250"/>
        <v>0</v>
      </c>
      <c r="EZ120" s="52">
        <f t="shared" ca="1" si="251"/>
        <v>0</v>
      </c>
      <c r="FA120" s="52">
        <f t="shared" ca="1" si="252"/>
        <v>0</v>
      </c>
      <c r="FB120" s="52">
        <f t="shared" ca="1" si="253"/>
        <v>0</v>
      </c>
      <c r="FC120" s="52">
        <f t="shared" ca="1" si="254"/>
        <v>0</v>
      </c>
      <c r="FD120" s="52">
        <f t="shared" ca="1" si="255"/>
        <v>0</v>
      </c>
      <c r="FF120" s="82">
        <f t="shared" ref="FF120:FF133" si="528">IF(Z120=1,$K120,)</f>
        <v>0</v>
      </c>
      <c r="FG120" s="82">
        <f t="shared" ref="FG120:FG133" si="529">IF(AA120=1,$K120,)</f>
        <v>0</v>
      </c>
      <c r="FH120" s="82">
        <f t="shared" ref="FH120:FH133" si="530">IF(AB120=1,$K120,)</f>
        <v>0</v>
      </c>
      <c r="FI120" s="82">
        <f t="shared" ref="FI120:FI133" si="531">IF(AC120=1,$K120,)</f>
        <v>0</v>
      </c>
      <c r="FJ120" s="82">
        <f t="shared" ref="FJ120:FJ133" si="532">IF(AD120=1,$K120,)</f>
        <v>0</v>
      </c>
      <c r="FK120" s="82">
        <f t="shared" ref="FK120:FK133" si="533">IF(AE120=1,$K120,)</f>
        <v>0</v>
      </c>
      <c r="FL120" s="82">
        <f t="shared" ref="FL120:FL133" si="534">IF(AF120=1,$K120,)</f>
        <v>0</v>
      </c>
      <c r="FM120" s="51">
        <v>0</v>
      </c>
      <c r="FN120" s="82">
        <v>0</v>
      </c>
      <c r="FO120" s="82">
        <f t="shared" si="442"/>
        <v>0</v>
      </c>
      <c r="FP120" s="82">
        <f t="shared" ref="FP120:FP133" si="535">IF(AB120&lt;1,FO120+CN120,)</f>
        <v>0</v>
      </c>
      <c r="FQ120" s="82">
        <f t="shared" ref="FQ120:FQ133" si="536">IF(AC120&lt;1,FP120+CO120,)</f>
        <v>0</v>
      </c>
      <c r="FR120" s="82">
        <f t="shared" ref="FR120:FR133" si="537">IF(AD120&lt;1,FQ120+CP120,)</f>
        <v>0</v>
      </c>
      <c r="FS120" s="82">
        <f t="shared" ref="FS120:FS133" si="538">IF(AE120&lt;1,FR120+CQ120,)</f>
        <v>0</v>
      </c>
      <c r="FT120" s="82">
        <f t="shared" ref="FT120:FT133" si="539">IF(AF120&lt;1,FS120+CR120,)</f>
        <v>0</v>
      </c>
      <c r="FV120" s="82">
        <f t="shared" si="443"/>
        <v>9</v>
      </c>
      <c r="FW120" s="82">
        <f t="shared" si="444"/>
        <v>9</v>
      </c>
      <c r="FX120" s="82">
        <f t="shared" si="445"/>
        <v>9</v>
      </c>
      <c r="FY120" s="82">
        <f t="shared" si="446"/>
        <v>9</v>
      </c>
      <c r="FZ120" s="82">
        <f t="shared" si="447"/>
        <v>1.9804590249049414</v>
      </c>
      <c r="GA120" s="82">
        <f t="shared" si="448"/>
        <v>1.9804590249049414</v>
      </c>
      <c r="GB120" s="82">
        <f t="shared" si="449"/>
        <v>1.9804590249049414</v>
      </c>
    </row>
    <row r="121" spans="2:184" x14ac:dyDescent="0.2">
      <c r="B121" s="402" t="str">
        <f>$B89</f>
        <v>Rajasthan</v>
      </c>
      <c r="C121" s="394" t="str">
        <f>"BESS — co-located with "&amp;$C89</f>
        <v>BESS — co-located with ACME Sun Power Pvt Ltd</v>
      </c>
      <c r="D121" s="395" t="s">
        <v>411</v>
      </c>
      <c r="E121" s="395" t="str">
        <f>$E89</f>
        <v>Under Construction</v>
      </c>
      <c r="F121" s="397">
        <f>IF($D89="FDRE",$F89*$S$4,IF($D89="Hybrid",$F89*$S$5,0))</f>
        <v>1280</v>
      </c>
      <c r="G121" s="399">
        <f t="shared" si="430"/>
        <v>46295</v>
      </c>
      <c r="H121" s="399">
        <f>$H89</f>
        <v>46568</v>
      </c>
      <c r="I121" s="369">
        <f t="shared" si="167"/>
        <v>2028</v>
      </c>
      <c r="J121" s="367">
        <v>0</v>
      </c>
      <c r="K121" s="370">
        <f t="shared" si="168"/>
        <v>0</v>
      </c>
      <c r="L121" s="368">
        <v>0.12</v>
      </c>
      <c r="M121" s="368">
        <v>0.25</v>
      </c>
      <c r="N121" s="404"/>
      <c r="O121" s="462">
        <f t="shared" si="431"/>
        <v>0</v>
      </c>
      <c r="P121" s="54">
        <f t="shared" si="336"/>
        <v>0</v>
      </c>
      <c r="Q121" s="54">
        <f t="shared" si="336"/>
        <v>0</v>
      </c>
      <c r="R121" s="54">
        <f t="shared" si="336"/>
        <v>0</v>
      </c>
      <c r="S121" s="54">
        <f t="shared" si="336"/>
        <v>0</v>
      </c>
      <c r="T121" s="54">
        <f t="shared" si="336"/>
        <v>275</v>
      </c>
      <c r="U121" s="54">
        <f t="shared" si="293"/>
        <v>365</v>
      </c>
      <c r="V121" s="54">
        <f t="shared" si="293"/>
        <v>365</v>
      </c>
      <c r="W121" s="54">
        <f t="shared" si="336"/>
        <v>365</v>
      </c>
      <c r="Y121" s="54">
        <f t="shared" si="450"/>
        <v>0</v>
      </c>
      <c r="Z121" s="54">
        <f t="shared" si="451"/>
        <v>0</v>
      </c>
      <c r="AA121" s="54">
        <f t="shared" si="452"/>
        <v>0</v>
      </c>
      <c r="AB121" s="54">
        <f t="shared" si="453"/>
        <v>0</v>
      </c>
      <c r="AC121" s="54">
        <f t="shared" si="454"/>
        <v>1</v>
      </c>
      <c r="AD121" s="54">
        <f t="shared" si="455"/>
        <v>2</v>
      </c>
      <c r="AE121" s="54">
        <f t="shared" si="456"/>
        <v>3</v>
      </c>
      <c r="AF121" s="54">
        <f t="shared" si="457"/>
        <v>4</v>
      </c>
      <c r="AG121" s="444"/>
      <c r="AH121" s="48">
        <f t="shared" si="458"/>
        <v>0</v>
      </c>
      <c r="AI121" s="48">
        <f t="shared" si="459"/>
        <v>0</v>
      </c>
      <c r="AJ121" s="48">
        <f t="shared" si="460"/>
        <v>0</v>
      </c>
      <c r="AK121" s="48">
        <f t="shared" si="461"/>
        <v>1280</v>
      </c>
      <c r="AL121" s="48">
        <f t="shared" si="462"/>
        <v>1280</v>
      </c>
      <c r="AM121" s="48">
        <f t="shared" si="463"/>
        <v>1280</v>
      </c>
      <c r="AN121" s="48">
        <f t="shared" si="464"/>
        <v>1280</v>
      </c>
      <c r="AP121" s="61">
        <v>3.8362500000000008E-2</v>
      </c>
      <c r="AQ121" s="61">
        <v>3.8362500000000008E-2</v>
      </c>
      <c r="AR121" s="61">
        <v>3.8362500000000008E-2</v>
      </c>
      <c r="AS121" s="61">
        <v>3.8362500000000008E-2</v>
      </c>
      <c r="AT121" s="61">
        <v>3.8362500000000008E-2</v>
      </c>
      <c r="AU121" s="61">
        <v>3.8362500000000008E-2</v>
      </c>
      <c r="AV121" s="61">
        <v>3.8362500000000008E-2</v>
      </c>
      <c r="AX121" s="52">
        <f t="shared" si="465"/>
        <v>0</v>
      </c>
      <c r="AY121" s="52">
        <f t="shared" si="466"/>
        <v>0</v>
      </c>
      <c r="AZ121" s="52">
        <f t="shared" si="467"/>
        <v>0</v>
      </c>
      <c r="BA121" s="52">
        <f t="shared" si="468"/>
        <v>324.30837698630143</v>
      </c>
      <c r="BB121" s="52">
        <f t="shared" si="469"/>
        <v>430.44566400000008</v>
      </c>
      <c r="BC121" s="52">
        <f t="shared" si="470"/>
        <v>430.44566400000008</v>
      </c>
      <c r="BD121" s="52">
        <f t="shared" si="471"/>
        <v>430.44566400000008</v>
      </c>
      <c r="BE121" s="57">
        <v>0.2</v>
      </c>
      <c r="BF121" s="52">
        <f t="shared" si="472"/>
        <v>0</v>
      </c>
      <c r="BG121" s="82">
        <f t="shared" si="473"/>
        <v>0</v>
      </c>
      <c r="BH121" s="82">
        <f t="shared" si="474"/>
        <v>0</v>
      </c>
      <c r="BI121" s="52">
        <f t="shared" si="475"/>
        <v>0</v>
      </c>
      <c r="BJ121" s="52">
        <f t="shared" si="476"/>
        <v>0</v>
      </c>
      <c r="BK121" s="52">
        <f t="shared" si="477"/>
        <v>0</v>
      </c>
      <c r="BL121" s="52">
        <f t="shared" si="478"/>
        <v>0</v>
      </c>
      <c r="BM121" s="297">
        <f t="shared" si="366"/>
        <v>0.05</v>
      </c>
      <c r="BN121" s="69">
        <f t="shared" si="479"/>
        <v>0</v>
      </c>
      <c r="BO121" s="69">
        <f t="shared" si="480"/>
        <v>0</v>
      </c>
      <c r="BP121" s="69">
        <f t="shared" si="481"/>
        <v>0</v>
      </c>
      <c r="BQ121" s="69">
        <f t="shared" si="482"/>
        <v>0</v>
      </c>
      <c r="BR121" s="69">
        <f t="shared" si="483"/>
        <v>0</v>
      </c>
      <c r="BS121" s="69">
        <f t="shared" si="484"/>
        <v>0</v>
      </c>
      <c r="BT121" s="69">
        <f t="shared" si="485"/>
        <v>0</v>
      </c>
      <c r="BV121" s="52">
        <f t="shared" si="486"/>
        <v>0</v>
      </c>
      <c r="BW121" s="52">
        <f t="shared" si="487"/>
        <v>0</v>
      </c>
      <c r="BX121" s="52">
        <f t="shared" si="488"/>
        <v>182</v>
      </c>
      <c r="BY121" s="52">
        <f t="shared" si="489"/>
        <v>91</v>
      </c>
      <c r="BZ121" s="52">
        <f t="shared" si="490"/>
        <v>0</v>
      </c>
      <c r="CA121" s="52">
        <f t="shared" si="491"/>
        <v>0</v>
      </c>
      <c r="CB121" s="52">
        <f t="shared" si="492"/>
        <v>0</v>
      </c>
      <c r="CC121" s="107">
        <v>0</v>
      </c>
      <c r="CD121" s="61">
        <v>0</v>
      </c>
      <c r="CE121" s="61">
        <f>IF(SUM($BX121:$CB121)=0,0,BX121/SUM($BX121:$CB121)*(1-$O121))-10%</f>
        <v>0.56666666666666665</v>
      </c>
      <c r="CF121" s="61">
        <f t="shared" si="493"/>
        <v>0.43333333333333335</v>
      </c>
      <c r="CG121" s="61">
        <f>IF(SUM($BX121:$CB121)=0,0,BZ121/SUM($BX121:$CB121)*(1-$O121))</f>
        <v>0</v>
      </c>
      <c r="CH121" s="61">
        <f t="shared" si="432"/>
        <v>0</v>
      </c>
      <c r="CI121" s="61">
        <f t="shared" si="433"/>
        <v>0</v>
      </c>
      <c r="CJ121" s="61">
        <f t="shared" si="434"/>
        <v>1</v>
      </c>
      <c r="CK121" s="4"/>
      <c r="CL121" s="54">
        <f t="shared" si="435"/>
        <v>0</v>
      </c>
      <c r="CM121" s="54">
        <f t="shared" si="436"/>
        <v>0</v>
      </c>
      <c r="CN121" s="54">
        <f t="shared" si="437"/>
        <v>0</v>
      </c>
      <c r="CO121" s="54">
        <f t="shared" si="438"/>
        <v>0</v>
      </c>
      <c r="CP121" s="54">
        <f t="shared" si="439"/>
        <v>0</v>
      </c>
      <c r="CQ121" s="54">
        <f t="shared" si="440"/>
        <v>0</v>
      </c>
      <c r="CR121" s="54">
        <f t="shared" si="441"/>
        <v>0</v>
      </c>
      <c r="CT121" s="54">
        <f t="shared" si="494"/>
        <v>0</v>
      </c>
      <c r="CU121" s="54">
        <f t="shared" si="495"/>
        <v>0</v>
      </c>
      <c r="CV121" s="54">
        <f t="shared" si="496"/>
        <v>0</v>
      </c>
      <c r="CW121" s="54">
        <f t="shared" si="497"/>
        <v>0</v>
      </c>
      <c r="CX121" s="54">
        <f t="shared" si="498"/>
        <v>0</v>
      </c>
      <c r="CY121" s="54">
        <f t="shared" si="499"/>
        <v>0</v>
      </c>
      <c r="CZ121" s="54">
        <f t="shared" si="213"/>
        <v>0</v>
      </c>
      <c r="DB121" s="54">
        <f t="shared" si="500"/>
        <v>0</v>
      </c>
      <c r="DC121" s="54">
        <f t="shared" si="501"/>
        <v>0</v>
      </c>
      <c r="DD121" s="54">
        <f t="shared" si="502"/>
        <v>0</v>
      </c>
      <c r="DE121" s="54">
        <f t="shared" si="503"/>
        <v>0</v>
      </c>
      <c r="DF121" s="54">
        <f t="shared" si="504"/>
        <v>0</v>
      </c>
      <c r="DG121" s="54">
        <f t="shared" si="505"/>
        <v>0</v>
      </c>
      <c r="DH121" s="54">
        <f t="shared" si="220"/>
        <v>0</v>
      </c>
      <c r="DJ121" s="54">
        <f t="shared" si="506"/>
        <v>0</v>
      </c>
      <c r="DK121" s="54">
        <f t="shared" si="507"/>
        <v>0</v>
      </c>
      <c r="DL121" s="54">
        <f t="shared" si="508"/>
        <v>0</v>
      </c>
      <c r="DM121" s="54">
        <f t="shared" si="509"/>
        <v>0</v>
      </c>
      <c r="DN121" s="54">
        <f t="shared" si="510"/>
        <v>0</v>
      </c>
      <c r="DO121" s="54">
        <f t="shared" si="511"/>
        <v>0</v>
      </c>
      <c r="DP121" s="54">
        <f t="shared" si="512"/>
        <v>0</v>
      </c>
      <c r="DR121" s="54">
        <f>+IF(Z121&gt;0,$K121*(1-$BE121)-SUM($DJ121:DJ121),DB121)</f>
        <v>0</v>
      </c>
      <c r="DS121" s="54">
        <f>+IF(AA121&gt;0,$K121*(1-$BE121)-SUM($DJ121:DK121),DC121)</f>
        <v>0</v>
      </c>
      <c r="DT121" s="54">
        <f>+IF(AB121&gt;0,$K121*(1-$BE121)-SUM($DJ121:DL121),DD121)</f>
        <v>0</v>
      </c>
      <c r="DU121" s="54">
        <f>+IF(AC121&gt;0,$K121*(1-$BE121)-SUM($DJ121:DM121),DE121)</f>
        <v>0</v>
      </c>
      <c r="DV121" s="54">
        <f>+IF(AD121&gt;0,$K121*(1-$BE121)-SUM($DJ121:DN121),DF121)</f>
        <v>0</v>
      </c>
      <c r="DW121" s="54">
        <f>+IF(AE121&gt;0,$K121*(1-$BE121)-SUM($DJ121:DO121),DG121)</f>
        <v>0</v>
      </c>
      <c r="DX121" s="54">
        <f>+IF(AF121&gt;0,$K121*(1-$BE121)-SUM($DJ121:DP121),DH121)</f>
        <v>0</v>
      </c>
      <c r="DZ121" s="54">
        <f t="shared" si="513"/>
        <v>0</v>
      </c>
      <c r="EA121" s="54">
        <f t="shared" si="514"/>
        <v>0</v>
      </c>
      <c r="EB121" s="54">
        <f t="shared" si="515"/>
        <v>0</v>
      </c>
      <c r="EC121" s="54">
        <f t="shared" si="516"/>
        <v>0</v>
      </c>
      <c r="ED121" s="54">
        <f t="shared" si="517"/>
        <v>0</v>
      </c>
      <c r="EE121" s="54">
        <f t="shared" si="518"/>
        <v>0</v>
      </c>
      <c r="EF121" s="54">
        <f t="shared" si="519"/>
        <v>0</v>
      </c>
      <c r="EH121" s="54">
        <f t="shared" si="520"/>
        <v>0</v>
      </c>
      <c r="EI121" s="54">
        <f t="shared" si="521"/>
        <v>0</v>
      </c>
      <c r="EJ121" s="54">
        <f t="shared" si="522"/>
        <v>0</v>
      </c>
      <c r="EK121" s="54">
        <f t="shared" si="523"/>
        <v>0</v>
      </c>
      <c r="EL121" s="54">
        <f t="shared" si="524"/>
        <v>0</v>
      </c>
      <c r="EM121" s="54">
        <f t="shared" si="525"/>
        <v>0</v>
      </c>
      <c r="EN121" s="54">
        <f t="shared" si="526"/>
        <v>0</v>
      </c>
      <c r="EP121" s="52">
        <f t="shared" ca="1" si="242"/>
        <v>0</v>
      </c>
      <c r="EQ121" s="52">
        <f t="shared" ca="1" si="243"/>
        <v>0</v>
      </c>
      <c r="ER121" s="52">
        <f t="shared" ca="1" si="244"/>
        <v>0</v>
      </c>
      <c r="ES121" s="52">
        <f t="shared" ca="1" si="245"/>
        <v>0</v>
      </c>
      <c r="ET121" s="52">
        <f t="shared" ca="1" si="246"/>
        <v>0</v>
      </c>
      <c r="EU121" s="52">
        <f t="shared" ca="1" si="247"/>
        <v>0</v>
      </c>
      <c r="EV121" s="52">
        <f t="shared" ca="1" si="527"/>
        <v>0</v>
      </c>
      <c r="EX121" s="52">
        <f t="shared" ca="1" si="249"/>
        <v>0</v>
      </c>
      <c r="EY121" s="52">
        <f t="shared" ca="1" si="250"/>
        <v>0</v>
      </c>
      <c r="EZ121" s="52">
        <f t="shared" ca="1" si="251"/>
        <v>0</v>
      </c>
      <c r="FA121" s="52">
        <f t="shared" ca="1" si="252"/>
        <v>0</v>
      </c>
      <c r="FB121" s="52">
        <f t="shared" ca="1" si="253"/>
        <v>0</v>
      </c>
      <c r="FC121" s="52">
        <f t="shared" ca="1" si="254"/>
        <v>0</v>
      </c>
      <c r="FD121" s="52">
        <f t="shared" ca="1" si="255"/>
        <v>0</v>
      </c>
      <c r="FF121" s="82">
        <f t="shared" si="528"/>
        <v>0</v>
      </c>
      <c r="FG121" s="82">
        <f t="shared" si="529"/>
        <v>0</v>
      </c>
      <c r="FH121" s="82">
        <f t="shared" si="530"/>
        <v>0</v>
      </c>
      <c r="FI121" s="82">
        <f t="shared" si="531"/>
        <v>0</v>
      </c>
      <c r="FJ121" s="82">
        <f t="shared" si="532"/>
        <v>0</v>
      </c>
      <c r="FK121" s="82">
        <f t="shared" si="533"/>
        <v>0</v>
      </c>
      <c r="FL121" s="82">
        <f t="shared" si="534"/>
        <v>0</v>
      </c>
      <c r="FM121" s="51">
        <v>0</v>
      </c>
      <c r="FN121" s="82">
        <v>0</v>
      </c>
      <c r="FO121" s="82">
        <f t="shared" si="442"/>
        <v>0</v>
      </c>
      <c r="FP121" s="82">
        <f t="shared" si="535"/>
        <v>0</v>
      </c>
      <c r="FQ121" s="82">
        <f t="shared" si="536"/>
        <v>0</v>
      </c>
      <c r="FR121" s="82">
        <f t="shared" si="537"/>
        <v>0</v>
      </c>
      <c r="FS121" s="82">
        <f t="shared" si="538"/>
        <v>0</v>
      </c>
      <c r="FT121" s="82">
        <f t="shared" si="539"/>
        <v>0</v>
      </c>
      <c r="FV121" s="82">
        <f t="shared" si="443"/>
        <v>9</v>
      </c>
      <c r="FW121" s="82">
        <f t="shared" si="444"/>
        <v>9</v>
      </c>
      <c r="FX121" s="82">
        <f t="shared" si="445"/>
        <v>9</v>
      </c>
      <c r="FY121" s="82">
        <f t="shared" si="446"/>
        <v>9</v>
      </c>
      <c r="FZ121" s="82">
        <f t="shared" si="447"/>
        <v>1.9804590249049414</v>
      </c>
      <c r="GA121" s="82">
        <f t="shared" si="448"/>
        <v>1.9804590249049414</v>
      </c>
      <c r="GB121" s="82">
        <f t="shared" si="449"/>
        <v>1.9804590249049414</v>
      </c>
    </row>
    <row r="122" spans="2:184" x14ac:dyDescent="0.2">
      <c r="B122" s="402" t="str">
        <f>$B93</f>
        <v>–</v>
      </c>
      <c r="C122" s="394" t="str">
        <f>"BESS — co-located with "&amp;$C93</f>
        <v>BESS — co-located with ACME Venus Urja Pvt Ltd</v>
      </c>
      <c r="D122" s="395" t="s">
        <v>411</v>
      </c>
      <c r="E122" s="395" t="str">
        <f>$E93</f>
        <v>Under Construction</v>
      </c>
      <c r="F122" s="397">
        <f>IF($D93="FDRE",$F93*$S$4,IF($D93="Hybrid",$F93*$S$5,0))</f>
        <v>1600</v>
      </c>
      <c r="G122" s="399">
        <f t="shared" si="430"/>
        <v>46386</v>
      </c>
      <c r="H122" s="399">
        <f>$H93</f>
        <v>46660</v>
      </c>
      <c r="I122" s="369">
        <f t="shared" si="167"/>
        <v>2028</v>
      </c>
      <c r="J122" s="367">
        <v>0</v>
      </c>
      <c r="K122" s="370">
        <f t="shared" si="168"/>
        <v>0</v>
      </c>
      <c r="L122" s="368">
        <v>0.12</v>
      </c>
      <c r="M122" s="368">
        <v>0.25</v>
      </c>
      <c r="N122" s="404"/>
      <c r="O122" s="462">
        <f t="shared" si="431"/>
        <v>0</v>
      </c>
      <c r="P122" s="54">
        <f t="shared" si="336"/>
        <v>0</v>
      </c>
      <c r="Q122" s="54">
        <f t="shared" si="336"/>
        <v>0</v>
      </c>
      <c r="R122" s="54">
        <f t="shared" si="336"/>
        <v>0</v>
      </c>
      <c r="S122" s="54">
        <f t="shared" si="336"/>
        <v>0</v>
      </c>
      <c r="T122" s="54">
        <f t="shared" si="336"/>
        <v>183</v>
      </c>
      <c r="U122" s="54">
        <f t="shared" si="293"/>
        <v>365</v>
      </c>
      <c r="V122" s="54">
        <f t="shared" si="293"/>
        <v>365</v>
      </c>
      <c r="W122" s="54">
        <f t="shared" si="336"/>
        <v>365</v>
      </c>
      <c r="Y122" s="54">
        <f t="shared" si="450"/>
        <v>0</v>
      </c>
      <c r="Z122" s="54">
        <f t="shared" si="451"/>
        <v>0</v>
      </c>
      <c r="AA122" s="54">
        <f t="shared" si="452"/>
        <v>0</v>
      </c>
      <c r="AB122" s="54">
        <f t="shared" si="453"/>
        <v>0</v>
      </c>
      <c r="AC122" s="54">
        <f t="shared" si="454"/>
        <v>1</v>
      </c>
      <c r="AD122" s="54">
        <f t="shared" si="455"/>
        <v>2</v>
      </c>
      <c r="AE122" s="54">
        <f t="shared" si="456"/>
        <v>3</v>
      </c>
      <c r="AF122" s="54">
        <f t="shared" si="457"/>
        <v>4</v>
      </c>
      <c r="AG122" s="444"/>
      <c r="AH122" s="48">
        <f t="shared" si="458"/>
        <v>0</v>
      </c>
      <c r="AI122" s="48">
        <f t="shared" si="459"/>
        <v>0</v>
      </c>
      <c r="AJ122" s="48">
        <f t="shared" si="460"/>
        <v>0</v>
      </c>
      <c r="AK122" s="48">
        <f t="shared" si="461"/>
        <v>1600</v>
      </c>
      <c r="AL122" s="48">
        <f t="shared" si="462"/>
        <v>1600</v>
      </c>
      <c r="AM122" s="48">
        <f t="shared" si="463"/>
        <v>1600</v>
      </c>
      <c r="AN122" s="48">
        <f t="shared" si="464"/>
        <v>1600</v>
      </c>
      <c r="AP122" s="61">
        <v>3.8362500000000008E-2</v>
      </c>
      <c r="AQ122" s="61">
        <v>3.8362500000000008E-2</v>
      </c>
      <c r="AR122" s="61">
        <v>3.8362500000000008E-2</v>
      </c>
      <c r="AS122" s="61">
        <v>3.8362500000000008E-2</v>
      </c>
      <c r="AT122" s="61">
        <v>3.8362500000000008E-2</v>
      </c>
      <c r="AU122" s="61">
        <v>3.8362500000000008E-2</v>
      </c>
      <c r="AV122" s="61">
        <v>3.8362500000000008E-2</v>
      </c>
      <c r="AX122" s="52">
        <f t="shared" si="465"/>
        <v>0</v>
      </c>
      <c r="AY122" s="52">
        <f t="shared" si="466"/>
        <v>0</v>
      </c>
      <c r="AZ122" s="52">
        <f t="shared" si="467"/>
        <v>0</v>
      </c>
      <c r="BA122" s="52">
        <f t="shared" si="468"/>
        <v>269.76560449315082</v>
      </c>
      <c r="BB122" s="52">
        <f t="shared" si="469"/>
        <v>538.05708000000016</v>
      </c>
      <c r="BC122" s="52">
        <f t="shared" si="470"/>
        <v>538.05708000000016</v>
      </c>
      <c r="BD122" s="52">
        <f t="shared" si="471"/>
        <v>538.05708000000016</v>
      </c>
      <c r="BE122" s="57">
        <v>0.2</v>
      </c>
      <c r="BF122" s="52">
        <f t="shared" si="472"/>
        <v>0</v>
      </c>
      <c r="BG122" s="82">
        <f t="shared" si="473"/>
        <v>0</v>
      </c>
      <c r="BH122" s="82">
        <f t="shared" si="474"/>
        <v>0</v>
      </c>
      <c r="BI122" s="52">
        <f t="shared" si="475"/>
        <v>0</v>
      </c>
      <c r="BJ122" s="52">
        <f t="shared" si="476"/>
        <v>0</v>
      </c>
      <c r="BK122" s="52">
        <f t="shared" si="477"/>
        <v>0</v>
      </c>
      <c r="BL122" s="52">
        <f t="shared" si="478"/>
        <v>0</v>
      </c>
      <c r="BM122" s="297">
        <f t="shared" si="366"/>
        <v>0.05</v>
      </c>
      <c r="BN122" s="69">
        <f t="shared" si="479"/>
        <v>0</v>
      </c>
      <c r="BO122" s="69">
        <f t="shared" si="480"/>
        <v>0</v>
      </c>
      <c r="BP122" s="69">
        <f t="shared" si="481"/>
        <v>0</v>
      </c>
      <c r="BQ122" s="69">
        <f t="shared" si="482"/>
        <v>0</v>
      </c>
      <c r="BR122" s="69">
        <f t="shared" si="483"/>
        <v>0</v>
      </c>
      <c r="BS122" s="69">
        <f t="shared" si="484"/>
        <v>0</v>
      </c>
      <c r="BT122" s="69">
        <f t="shared" si="485"/>
        <v>0</v>
      </c>
      <c r="BV122" s="52">
        <f t="shared" si="486"/>
        <v>0</v>
      </c>
      <c r="BW122" s="52">
        <f t="shared" si="487"/>
        <v>0</v>
      </c>
      <c r="BX122" s="52">
        <f t="shared" si="488"/>
        <v>91</v>
      </c>
      <c r="BY122" s="52">
        <f t="shared" si="489"/>
        <v>183</v>
      </c>
      <c r="BZ122" s="52">
        <f t="shared" si="490"/>
        <v>0</v>
      </c>
      <c r="CA122" s="52">
        <f t="shared" si="491"/>
        <v>0</v>
      </c>
      <c r="CB122" s="52">
        <f t="shared" si="492"/>
        <v>0</v>
      </c>
      <c r="CC122" s="107">
        <v>0</v>
      </c>
      <c r="CD122" s="61">
        <v>0</v>
      </c>
      <c r="CE122" s="61">
        <f>IF(SUM($BX122:$CB122)=0,0,BX122/SUM($BX122:$CB122)*(1-$O122))-10%</f>
        <v>0.23211678832116786</v>
      </c>
      <c r="CF122" s="61">
        <f t="shared" si="493"/>
        <v>0.76788321167883211</v>
      </c>
      <c r="CG122" s="61">
        <f>IF(SUM($BX122:$CB122)=0,0,BZ122/SUM($BX122:$CB122)*(1-$O122))</f>
        <v>0</v>
      </c>
      <c r="CH122" s="61">
        <f t="shared" si="432"/>
        <v>0</v>
      </c>
      <c r="CI122" s="61">
        <f t="shared" si="433"/>
        <v>0</v>
      </c>
      <c r="CJ122" s="61">
        <f t="shared" si="434"/>
        <v>1</v>
      </c>
      <c r="CK122" s="4"/>
      <c r="CL122" s="54">
        <f t="shared" si="435"/>
        <v>0</v>
      </c>
      <c r="CM122" s="54">
        <f t="shared" si="436"/>
        <v>0</v>
      </c>
      <c r="CN122" s="54">
        <f t="shared" si="437"/>
        <v>0</v>
      </c>
      <c r="CO122" s="54">
        <f t="shared" si="438"/>
        <v>0</v>
      </c>
      <c r="CP122" s="54">
        <f t="shared" si="439"/>
        <v>0</v>
      </c>
      <c r="CQ122" s="54">
        <f t="shared" si="440"/>
        <v>0</v>
      </c>
      <c r="CR122" s="54">
        <f t="shared" si="441"/>
        <v>0</v>
      </c>
      <c r="CT122" s="54">
        <f t="shared" si="494"/>
        <v>0</v>
      </c>
      <c r="CU122" s="54">
        <f t="shared" si="495"/>
        <v>0</v>
      </c>
      <c r="CV122" s="54">
        <f t="shared" si="496"/>
        <v>0</v>
      </c>
      <c r="CW122" s="54">
        <f t="shared" si="497"/>
        <v>0</v>
      </c>
      <c r="CX122" s="54">
        <f t="shared" si="498"/>
        <v>0</v>
      </c>
      <c r="CY122" s="54">
        <f t="shared" si="499"/>
        <v>0</v>
      </c>
      <c r="CZ122" s="54">
        <f t="shared" si="213"/>
        <v>0</v>
      </c>
      <c r="DB122" s="54">
        <f t="shared" si="500"/>
        <v>0</v>
      </c>
      <c r="DC122" s="54">
        <f t="shared" si="501"/>
        <v>0</v>
      </c>
      <c r="DD122" s="54">
        <f t="shared" si="502"/>
        <v>0</v>
      </c>
      <c r="DE122" s="54">
        <f t="shared" si="503"/>
        <v>0</v>
      </c>
      <c r="DF122" s="54">
        <f t="shared" si="504"/>
        <v>0</v>
      </c>
      <c r="DG122" s="54">
        <f t="shared" si="505"/>
        <v>0</v>
      </c>
      <c r="DH122" s="54">
        <f t="shared" si="220"/>
        <v>0</v>
      </c>
      <c r="DJ122" s="54">
        <f t="shared" si="506"/>
        <v>0</v>
      </c>
      <c r="DK122" s="54">
        <f t="shared" si="507"/>
        <v>0</v>
      </c>
      <c r="DL122" s="54">
        <f t="shared" si="508"/>
        <v>0</v>
      </c>
      <c r="DM122" s="54">
        <f t="shared" si="509"/>
        <v>0</v>
      </c>
      <c r="DN122" s="54">
        <f t="shared" si="510"/>
        <v>0</v>
      </c>
      <c r="DO122" s="54">
        <f t="shared" si="511"/>
        <v>0</v>
      </c>
      <c r="DP122" s="54">
        <f t="shared" si="512"/>
        <v>0</v>
      </c>
      <c r="DR122" s="54">
        <f>+IF(Z122&gt;0,$K122*(1-$BE122)-SUM($DJ122:DJ122),DB122)</f>
        <v>0</v>
      </c>
      <c r="DS122" s="54">
        <f>+IF(AA122&gt;0,$K122*(1-$BE122)-SUM($DJ122:DK122),DC122)</f>
        <v>0</v>
      </c>
      <c r="DT122" s="54">
        <f>+IF(AB122&gt;0,$K122*(1-$BE122)-SUM($DJ122:DL122),DD122)</f>
        <v>0</v>
      </c>
      <c r="DU122" s="54">
        <f>+IF(AC122&gt;0,$K122*(1-$BE122)-SUM($DJ122:DM122),DE122)</f>
        <v>0</v>
      </c>
      <c r="DV122" s="54">
        <f>+IF(AD122&gt;0,$K122*(1-$BE122)-SUM($DJ122:DN122),DF122)</f>
        <v>0</v>
      </c>
      <c r="DW122" s="54">
        <f>+IF(AE122&gt;0,$K122*(1-$BE122)-SUM($DJ122:DO122),DG122)</f>
        <v>0</v>
      </c>
      <c r="DX122" s="54">
        <f>+IF(AF122&gt;0,$K122*(1-$BE122)-SUM($DJ122:DP122),DH122)</f>
        <v>0</v>
      </c>
      <c r="DZ122" s="54">
        <f t="shared" si="513"/>
        <v>0</v>
      </c>
      <c r="EA122" s="54">
        <f t="shared" si="514"/>
        <v>0</v>
      </c>
      <c r="EB122" s="54">
        <f t="shared" si="515"/>
        <v>0</v>
      </c>
      <c r="EC122" s="54">
        <f t="shared" si="516"/>
        <v>0</v>
      </c>
      <c r="ED122" s="54">
        <f t="shared" si="517"/>
        <v>0</v>
      </c>
      <c r="EE122" s="54">
        <f t="shared" si="518"/>
        <v>0</v>
      </c>
      <c r="EF122" s="54">
        <f t="shared" si="519"/>
        <v>0</v>
      </c>
      <c r="EH122" s="54">
        <f t="shared" si="520"/>
        <v>0</v>
      </c>
      <c r="EI122" s="54">
        <f t="shared" si="521"/>
        <v>0</v>
      </c>
      <c r="EJ122" s="54">
        <f t="shared" si="522"/>
        <v>0</v>
      </c>
      <c r="EK122" s="54">
        <f t="shared" si="523"/>
        <v>0</v>
      </c>
      <c r="EL122" s="54">
        <f t="shared" si="524"/>
        <v>0</v>
      </c>
      <c r="EM122" s="54">
        <f t="shared" si="525"/>
        <v>0</v>
      </c>
      <c r="EN122" s="54">
        <f t="shared" si="526"/>
        <v>0</v>
      </c>
      <c r="EP122" s="52">
        <f t="shared" ca="1" si="242"/>
        <v>0</v>
      </c>
      <c r="EQ122" s="52">
        <f t="shared" ca="1" si="243"/>
        <v>0</v>
      </c>
      <c r="ER122" s="52">
        <f t="shared" ca="1" si="244"/>
        <v>0</v>
      </c>
      <c r="ES122" s="52">
        <f t="shared" ca="1" si="245"/>
        <v>0</v>
      </c>
      <c r="ET122" s="52">
        <f t="shared" ca="1" si="246"/>
        <v>0</v>
      </c>
      <c r="EU122" s="52">
        <f t="shared" ca="1" si="247"/>
        <v>0</v>
      </c>
      <c r="EV122" s="52">
        <f t="shared" ca="1" si="527"/>
        <v>0</v>
      </c>
      <c r="EX122" s="52">
        <f t="shared" ca="1" si="249"/>
        <v>0</v>
      </c>
      <c r="EY122" s="52">
        <f t="shared" ca="1" si="250"/>
        <v>0</v>
      </c>
      <c r="EZ122" s="52">
        <f t="shared" ca="1" si="251"/>
        <v>0</v>
      </c>
      <c r="FA122" s="52">
        <f t="shared" ca="1" si="252"/>
        <v>0</v>
      </c>
      <c r="FB122" s="52">
        <f t="shared" ca="1" si="253"/>
        <v>0</v>
      </c>
      <c r="FC122" s="52">
        <f t="shared" ca="1" si="254"/>
        <v>0</v>
      </c>
      <c r="FD122" s="52">
        <f t="shared" ca="1" si="255"/>
        <v>0</v>
      </c>
      <c r="FF122" s="82">
        <f t="shared" si="528"/>
        <v>0</v>
      </c>
      <c r="FG122" s="82">
        <f t="shared" si="529"/>
        <v>0</v>
      </c>
      <c r="FH122" s="82">
        <f t="shared" si="530"/>
        <v>0</v>
      </c>
      <c r="FI122" s="82">
        <f t="shared" si="531"/>
        <v>0</v>
      </c>
      <c r="FJ122" s="82">
        <f t="shared" si="532"/>
        <v>0</v>
      </c>
      <c r="FK122" s="82">
        <f t="shared" si="533"/>
        <v>0</v>
      </c>
      <c r="FL122" s="82">
        <f t="shared" si="534"/>
        <v>0</v>
      </c>
      <c r="FM122" s="51">
        <v>0</v>
      </c>
      <c r="FN122" s="82">
        <v>0</v>
      </c>
      <c r="FO122" s="82">
        <f t="shared" si="442"/>
        <v>0</v>
      </c>
      <c r="FP122" s="82">
        <f t="shared" si="535"/>
        <v>0</v>
      </c>
      <c r="FQ122" s="82">
        <f t="shared" si="536"/>
        <v>0</v>
      </c>
      <c r="FR122" s="82">
        <f t="shared" si="537"/>
        <v>0</v>
      </c>
      <c r="FS122" s="82">
        <f t="shared" si="538"/>
        <v>0</v>
      </c>
      <c r="FT122" s="82">
        <f t="shared" si="539"/>
        <v>0</v>
      </c>
      <c r="FV122" s="82">
        <f t="shared" si="443"/>
        <v>9</v>
      </c>
      <c r="FW122" s="82">
        <f t="shared" si="444"/>
        <v>9</v>
      </c>
      <c r="FX122" s="82">
        <f t="shared" si="445"/>
        <v>9</v>
      </c>
      <c r="FY122" s="82">
        <f t="shared" si="446"/>
        <v>9</v>
      </c>
      <c r="FZ122" s="82">
        <f t="shared" si="447"/>
        <v>1.9804590249049414</v>
      </c>
      <c r="GA122" s="82">
        <f t="shared" si="448"/>
        <v>1.9804590249049414</v>
      </c>
      <c r="GB122" s="82">
        <f t="shared" si="449"/>
        <v>1.9804590249049414</v>
      </c>
    </row>
    <row r="123" spans="2:184" x14ac:dyDescent="0.2">
      <c r="B123" s="402" t="str">
        <f>$B94</f>
        <v>–</v>
      </c>
      <c r="C123" s="394" t="str">
        <f>"BESS — co-located with "&amp;$C94</f>
        <v>BESS — co-located with ACME Hybrid Urja Pvt Ltd</v>
      </c>
      <c r="D123" s="395" t="s">
        <v>411</v>
      </c>
      <c r="E123" s="395" t="str">
        <f>$E94</f>
        <v>Under Construction</v>
      </c>
      <c r="F123" s="397">
        <f>IF($D94="FDRE",$F94*$S$4,IF($D94="Hybrid",$F94*$S$5,0))</f>
        <v>1120</v>
      </c>
      <c r="G123" s="399">
        <f t="shared" si="430"/>
        <v>46386</v>
      </c>
      <c r="H123" s="399">
        <f>$H94</f>
        <v>46660</v>
      </c>
      <c r="I123" s="369">
        <f t="shared" si="167"/>
        <v>2028</v>
      </c>
      <c r="J123" s="367">
        <v>0</v>
      </c>
      <c r="K123" s="370">
        <f t="shared" si="168"/>
        <v>0</v>
      </c>
      <c r="L123" s="368">
        <v>0.12</v>
      </c>
      <c r="M123" s="368">
        <v>0.25</v>
      </c>
      <c r="N123" s="404"/>
      <c r="O123" s="462">
        <f t="shared" si="431"/>
        <v>0</v>
      </c>
      <c r="P123" s="54">
        <f t="shared" si="336"/>
        <v>0</v>
      </c>
      <c r="Q123" s="54">
        <f t="shared" si="336"/>
        <v>0</v>
      </c>
      <c r="R123" s="54">
        <f t="shared" si="336"/>
        <v>0</v>
      </c>
      <c r="S123" s="54">
        <f t="shared" si="336"/>
        <v>0</v>
      </c>
      <c r="T123" s="54">
        <f t="shared" si="336"/>
        <v>183</v>
      </c>
      <c r="U123" s="54">
        <f t="shared" si="293"/>
        <v>365</v>
      </c>
      <c r="V123" s="54">
        <f t="shared" si="293"/>
        <v>365</v>
      </c>
      <c r="W123" s="54">
        <f t="shared" si="336"/>
        <v>365</v>
      </c>
      <c r="Y123" s="54">
        <f t="shared" si="450"/>
        <v>0</v>
      </c>
      <c r="Z123" s="54">
        <f t="shared" si="451"/>
        <v>0</v>
      </c>
      <c r="AA123" s="54">
        <f t="shared" si="452"/>
        <v>0</v>
      </c>
      <c r="AB123" s="54">
        <f t="shared" si="453"/>
        <v>0</v>
      </c>
      <c r="AC123" s="54">
        <f t="shared" si="454"/>
        <v>1</v>
      </c>
      <c r="AD123" s="54">
        <f t="shared" si="455"/>
        <v>2</v>
      </c>
      <c r="AE123" s="54">
        <f t="shared" si="456"/>
        <v>3</v>
      </c>
      <c r="AF123" s="54">
        <f t="shared" si="457"/>
        <v>4</v>
      </c>
      <c r="AG123" s="444"/>
      <c r="AH123" s="48">
        <f t="shared" si="458"/>
        <v>0</v>
      </c>
      <c r="AI123" s="48">
        <f t="shared" si="459"/>
        <v>0</v>
      </c>
      <c r="AJ123" s="48">
        <f t="shared" si="460"/>
        <v>0</v>
      </c>
      <c r="AK123" s="48">
        <f t="shared" si="461"/>
        <v>1120</v>
      </c>
      <c r="AL123" s="48">
        <f t="shared" si="462"/>
        <v>1120</v>
      </c>
      <c r="AM123" s="48">
        <f t="shared" si="463"/>
        <v>1120</v>
      </c>
      <c r="AN123" s="48">
        <f t="shared" si="464"/>
        <v>1120</v>
      </c>
      <c r="AP123" s="61">
        <v>3.8362500000000008E-2</v>
      </c>
      <c r="AQ123" s="61">
        <v>3.8362500000000008E-2</v>
      </c>
      <c r="AR123" s="61">
        <v>3.8362500000000008E-2</v>
      </c>
      <c r="AS123" s="61">
        <v>3.8362500000000008E-2</v>
      </c>
      <c r="AT123" s="61">
        <v>3.8362500000000008E-2</v>
      </c>
      <c r="AU123" s="61">
        <v>3.8362500000000008E-2</v>
      </c>
      <c r="AV123" s="61">
        <v>3.8362500000000008E-2</v>
      </c>
      <c r="AX123" s="52">
        <f t="shared" si="465"/>
        <v>0</v>
      </c>
      <c r="AY123" s="52">
        <f t="shared" si="466"/>
        <v>0</v>
      </c>
      <c r="AZ123" s="52">
        <f t="shared" si="467"/>
        <v>0</v>
      </c>
      <c r="BA123" s="52">
        <f t="shared" si="468"/>
        <v>188.83592314520556</v>
      </c>
      <c r="BB123" s="52">
        <f t="shared" si="469"/>
        <v>376.6399560000001</v>
      </c>
      <c r="BC123" s="52">
        <f t="shared" si="470"/>
        <v>376.6399560000001</v>
      </c>
      <c r="BD123" s="52">
        <f t="shared" si="471"/>
        <v>376.6399560000001</v>
      </c>
      <c r="BE123" s="57">
        <v>0.2</v>
      </c>
      <c r="BF123" s="52">
        <f t="shared" si="472"/>
        <v>0</v>
      </c>
      <c r="BG123" s="82">
        <f t="shared" si="473"/>
        <v>0</v>
      </c>
      <c r="BH123" s="82">
        <f t="shared" si="474"/>
        <v>0</v>
      </c>
      <c r="BI123" s="52">
        <f t="shared" si="475"/>
        <v>0</v>
      </c>
      <c r="BJ123" s="52">
        <f t="shared" si="476"/>
        <v>0</v>
      </c>
      <c r="BK123" s="52">
        <f t="shared" si="477"/>
        <v>0</v>
      </c>
      <c r="BL123" s="52">
        <f t="shared" si="478"/>
        <v>0</v>
      </c>
      <c r="BM123" s="297">
        <f t="shared" si="366"/>
        <v>0.05</v>
      </c>
      <c r="BN123" s="69">
        <f t="shared" si="479"/>
        <v>0</v>
      </c>
      <c r="BO123" s="69">
        <f t="shared" si="480"/>
        <v>0</v>
      </c>
      <c r="BP123" s="69">
        <f t="shared" si="481"/>
        <v>0</v>
      </c>
      <c r="BQ123" s="69">
        <f t="shared" si="482"/>
        <v>0</v>
      </c>
      <c r="BR123" s="69">
        <f t="shared" si="483"/>
        <v>0</v>
      </c>
      <c r="BS123" s="69">
        <f t="shared" si="484"/>
        <v>0</v>
      </c>
      <c r="BT123" s="69">
        <f t="shared" si="485"/>
        <v>0</v>
      </c>
      <c r="BV123" s="52">
        <f t="shared" si="486"/>
        <v>0</v>
      </c>
      <c r="BW123" s="52">
        <f t="shared" si="487"/>
        <v>0</v>
      </c>
      <c r="BX123" s="52">
        <f t="shared" si="488"/>
        <v>91</v>
      </c>
      <c r="BY123" s="52">
        <f t="shared" si="489"/>
        <v>183</v>
      </c>
      <c r="BZ123" s="52">
        <f t="shared" si="490"/>
        <v>0</v>
      </c>
      <c r="CA123" s="52">
        <f t="shared" si="491"/>
        <v>0</v>
      </c>
      <c r="CB123" s="52">
        <f t="shared" si="492"/>
        <v>0</v>
      </c>
      <c r="CC123" s="107">
        <v>0</v>
      </c>
      <c r="CD123" s="61">
        <v>0</v>
      </c>
      <c r="CE123" s="61">
        <f>IF(SUM($BX123:$CB123)=0,0,BX123/SUM($BX123:$CB123)*(1-$O123))-10%</f>
        <v>0.23211678832116786</v>
      </c>
      <c r="CF123" s="61">
        <f t="shared" si="493"/>
        <v>0.76788321167883211</v>
      </c>
      <c r="CG123" s="61">
        <f>IF(SUM($BX123:$CB123)=0,0,BZ123/SUM($BX123:$CB123)*(1-$O123))</f>
        <v>0</v>
      </c>
      <c r="CH123" s="61">
        <f t="shared" si="432"/>
        <v>0</v>
      </c>
      <c r="CI123" s="61">
        <f t="shared" si="433"/>
        <v>0</v>
      </c>
      <c r="CJ123" s="61">
        <f t="shared" si="434"/>
        <v>1</v>
      </c>
      <c r="CK123" s="4"/>
      <c r="CL123" s="54">
        <f t="shared" si="435"/>
        <v>0</v>
      </c>
      <c r="CM123" s="54">
        <f t="shared" si="436"/>
        <v>0</v>
      </c>
      <c r="CN123" s="54">
        <f t="shared" si="437"/>
        <v>0</v>
      </c>
      <c r="CO123" s="54">
        <f t="shared" si="438"/>
        <v>0</v>
      </c>
      <c r="CP123" s="54">
        <f t="shared" si="439"/>
        <v>0</v>
      </c>
      <c r="CQ123" s="54">
        <f t="shared" si="440"/>
        <v>0</v>
      </c>
      <c r="CR123" s="54">
        <f t="shared" si="441"/>
        <v>0</v>
      </c>
      <c r="CT123" s="54">
        <f t="shared" si="494"/>
        <v>0</v>
      </c>
      <c r="CU123" s="54">
        <f t="shared" si="495"/>
        <v>0</v>
      </c>
      <c r="CV123" s="54">
        <f t="shared" si="496"/>
        <v>0</v>
      </c>
      <c r="CW123" s="54">
        <f t="shared" si="497"/>
        <v>0</v>
      </c>
      <c r="CX123" s="54">
        <f t="shared" si="498"/>
        <v>0</v>
      </c>
      <c r="CY123" s="54">
        <f t="shared" si="499"/>
        <v>0</v>
      </c>
      <c r="CZ123" s="54">
        <f t="shared" si="213"/>
        <v>0</v>
      </c>
      <c r="DB123" s="54">
        <f t="shared" si="500"/>
        <v>0</v>
      </c>
      <c r="DC123" s="54">
        <f t="shared" si="501"/>
        <v>0</v>
      </c>
      <c r="DD123" s="54">
        <f t="shared" si="502"/>
        <v>0</v>
      </c>
      <c r="DE123" s="54">
        <f t="shared" si="503"/>
        <v>0</v>
      </c>
      <c r="DF123" s="54">
        <f t="shared" si="504"/>
        <v>0</v>
      </c>
      <c r="DG123" s="54">
        <f t="shared" si="505"/>
        <v>0</v>
      </c>
      <c r="DH123" s="54">
        <f t="shared" si="220"/>
        <v>0</v>
      </c>
      <c r="DJ123" s="54">
        <f t="shared" si="506"/>
        <v>0</v>
      </c>
      <c r="DK123" s="54">
        <f t="shared" si="507"/>
        <v>0</v>
      </c>
      <c r="DL123" s="54">
        <f t="shared" si="508"/>
        <v>0</v>
      </c>
      <c r="DM123" s="54">
        <f t="shared" si="509"/>
        <v>0</v>
      </c>
      <c r="DN123" s="54">
        <f t="shared" si="510"/>
        <v>0</v>
      </c>
      <c r="DO123" s="54">
        <f t="shared" si="511"/>
        <v>0</v>
      </c>
      <c r="DP123" s="54">
        <f t="shared" si="512"/>
        <v>0</v>
      </c>
      <c r="DR123" s="54">
        <f>+IF(Z123&gt;0,$K123*(1-$BE123)-SUM($DJ123:DJ123),DB123)</f>
        <v>0</v>
      </c>
      <c r="DS123" s="54">
        <f>+IF(AA123&gt;0,$K123*(1-$BE123)-SUM($DJ123:DK123),DC123)</f>
        <v>0</v>
      </c>
      <c r="DT123" s="54">
        <f>+IF(AB123&gt;0,$K123*(1-$BE123)-SUM($DJ123:DL123),DD123)</f>
        <v>0</v>
      </c>
      <c r="DU123" s="54">
        <f>+IF(AC123&gt;0,$K123*(1-$BE123)-SUM($DJ123:DM123),DE123)</f>
        <v>0</v>
      </c>
      <c r="DV123" s="54">
        <f>+IF(AD123&gt;0,$K123*(1-$BE123)-SUM($DJ123:DN123),DF123)</f>
        <v>0</v>
      </c>
      <c r="DW123" s="54">
        <f>+IF(AE123&gt;0,$K123*(1-$BE123)-SUM($DJ123:DO123),DG123)</f>
        <v>0</v>
      </c>
      <c r="DX123" s="54">
        <f>+IF(AF123&gt;0,$K123*(1-$BE123)-SUM($DJ123:DP123),DH123)</f>
        <v>0</v>
      </c>
      <c r="DZ123" s="54">
        <f t="shared" si="513"/>
        <v>0</v>
      </c>
      <c r="EA123" s="54">
        <f t="shared" si="514"/>
        <v>0</v>
      </c>
      <c r="EB123" s="54">
        <f t="shared" si="515"/>
        <v>0</v>
      </c>
      <c r="EC123" s="54">
        <f t="shared" si="516"/>
        <v>0</v>
      </c>
      <c r="ED123" s="54">
        <f t="shared" si="517"/>
        <v>0</v>
      </c>
      <c r="EE123" s="54">
        <f t="shared" si="518"/>
        <v>0</v>
      </c>
      <c r="EF123" s="54">
        <f t="shared" si="519"/>
        <v>0</v>
      </c>
      <c r="EH123" s="54">
        <f t="shared" si="520"/>
        <v>0</v>
      </c>
      <c r="EI123" s="54">
        <f t="shared" si="521"/>
        <v>0</v>
      </c>
      <c r="EJ123" s="54">
        <f t="shared" si="522"/>
        <v>0</v>
      </c>
      <c r="EK123" s="54">
        <f t="shared" si="523"/>
        <v>0</v>
      </c>
      <c r="EL123" s="54">
        <f t="shared" si="524"/>
        <v>0</v>
      </c>
      <c r="EM123" s="54">
        <f t="shared" si="525"/>
        <v>0</v>
      </c>
      <c r="EN123" s="54">
        <f t="shared" si="526"/>
        <v>0</v>
      </c>
      <c r="EP123" s="52">
        <f t="shared" ca="1" si="242"/>
        <v>0</v>
      </c>
      <c r="EQ123" s="52">
        <f t="shared" ca="1" si="243"/>
        <v>0</v>
      </c>
      <c r="ER123" s="52">
        <f t="shared" ca="1" si="244"/>
        <v>0</v>
      </c>
      <c r="ES123" s="52">
        <f t="shared" ca="1" si="245"/>
        <v>0</v>
      </c>
      <c r="ET123" s="52">
        <f t="shared" ca="1" si="246"/>
        <v>0</v>
      </c>
      <c r="EU123" s="52">
        <f t="shared" ca="1" si="247"/>
        <v>0</v>
      </c>
      <c r="EV123" s="52">
        <f t="shared" ca="1" si="527"/>
        <v>0</v>
      </c>
      <c r="EX123" s="52">
        <f t="shared" ca="1" si="249"/>
        <v>0</v>
      </c>
      <c r="EY123" s="52">
        <f t="shared" ca="1" si="250"/>
        <v>0</v>
      </c>
      <c r="EZ123" s="52">
        <f t="shared" ca="1" si="251"/>
        <v>0</v>
      </c>
      <c r="FA123" s="52">
        <f t="shared" ca="1" si="252"/>
        <v>0</v>
      </c>
      <c r="FB123" s="52">
        <f t="shared" ca="1" si="253"/>
        <v>0</v>
      </c>
      <c r="FC123" s="52">
        <f t="shared" ca="1" si="254"/>
        <v>0</v>
      </c>
      <c r="FD123" s="52">
        <f t="shared" ca="1" si="255"/>
        <v>0</v>
      </c>
      <c r="FF123" s="82">
        <f t="shared" si="528"/>
        <v>0</v>
      </c>
      <c r="FG123" s="82">
        <f t="shared" si="529"/>
        <v>0</v>
      </c>
      <c r="FH123" s="82">
        <f t="shared" si="530"/>
        <v>0</v>
      </c>
      <c r="FI123" s="82">
        <f t="shared" si="531"/>
        <v>0</v>
      </c>
      <c r="FJ123" s="82">
        <f t="shared" si="532"/>
        <v>0</v>
      </c>
      <c r="FK123" s="82">
        <f t="shared" si="533"/>
        <v>0</v>
      </c>
      <c r="FL123" s="82">
        <f t="shared" si="534"/>
        <v>0</v>
      </c>
      <c r="FM123" s="51">
        <v>0</v>
      </c>
      <c r="FN123" s="82">
        <v>0</v>
      </c>
      <c r="FO123" s="82">
        <f t="shared" si="442"/>
        <v>0</v>
      </c>
      <c r="FP123" s="82">
        <f t="shared" si="535"/>
        <v>0</v>
      </c>
      <c r="FQ123" s="82">
        <f t="shared" si="536"/>
        <v>0</v>
      </c>
      <c r="FR123" s="82">
        <f t="shared" si="537"/>
        <v>0</v>
      </c>
      <c r="FS123" s="82">
        <f t="shared" si="538"/>
        <v>0</v>
      </c>
      <c r="FT123" s="82">
        <f t="shared" si="539"/>
        <v>0</v>
      </c>
      <c r="FV123" s="82">
        <f t="shared" si="443"/>
        <v>9</v>
      </c>
      <c r="FW123" s="82">
        <f t="shared" si="444"/>
        <v>9</v>
      </c>
      <c r="FX123" s="82">
        <f t="shared" si="445"/>
        <v>9</v>
      </c>
      <c r="FY123" s="82">
        <f t="shared" si="446"/>
        <v>9</v>
      </c>
      <c r="FZ123" s="82">
        <f t="shared" si="447"/>
        <v>1.9804590249049414</v>
      </c>
      <c r="GA123" s="82">
        <f t="shared" si="448"/>
        <v>1.9804590249049414</v>
      </c>
      <c r="GB123" s="82">
        <f t="shared" si="449"/>
        <v>1.9804590249049414</v>
      </c>
    </row>
    <row r="124" spans="2:184" x14ac:dyDescent="0.2">
      <c r="B124" s="402" t="str">
        <f>$B97</f>
        <v>–</v>
      </c>
      <c r="C124" s="394" t="str">
        <f>"BESS — co-located with "&amp;$C97</f>
        <v>BESS — co-located with ACME Urja One Pvt Ltd (NHPC)</v>
      </c>
      <c r="D124" s="395" t="s">
        <v>411</v>
      </c>
      <c r="E124" s="395" t="str">
        <f>$E97</f>
        <v>Under Construction</v>
      </c>
      <c r="F124" s="397">
        <f>IF($D97="FDRE",$F97*$S$4,IF($D97="Hybrid",$F97*$S$5,0))</f>
        <v>1000</v>
      </c>
      <c r="G124" s="399">
        <f t="shared" si="430"/>
        <v>46751</v>
      </c>
      <c r="H124" s="399">
        <f>$H97</f>
        <v>47026</v>
      </c>
      <c r="I124" s="369">
        <f t="shared" si="167"/>
        <v>2029</v>
      </c>
      <c r="J124" s="367">
        <v>0</v>
      </c>
      <c r="K124" s="370">
        <f t="shared" si="168"/>
        <v>0</v>
      </c>
      <c r="L124" s="368">
        <v>0.12</v>
      </c>
      <c r="M124" s="368">
        <v>0.25</v>
      </c>
      <c r="N124" s="404"/>
      <c r="O124" s="462">
        <f t="shared" si="431"/>
        <v>0</v>
      </c>
      <c r="P124" s="54">
        <f t="shared" ref="P124:W133" si="540">IF(OR(ISERROR(P$49-$H124),(P$49-$H124)&gt;=365),365,IF((P$49-$H124)&lt;=0,0,P$49-$H124))</f>
        <v>0</v>
      </c>
      <c r="Q124" s="54">
        <f t="shared" si="540"/>
        <v>0</v>
      </c>
      <c r="R124" s="54">
        <f t="shared" si="540"/>
        <v>0</v>
      </c>
      <c r="S124" s="54">
        <f t="shared" si="540"/>
        <v>0</v>
      </c>
      <c r="T124" s="54">
        <f t="shared" si="540"/>
        <v>0</v>
      </c>
      <c r="U124" s="54">
        <f t="shared" si="293"/>
        <v>182</v>
      </c>
      <c r="V124" s="54">
        <f t="shared" si="293"/>
        <v>365</v>
      </c>
      <c r="W124" s="54">
        <f t="shared" si="540"/>
        <v>365</v>
      </c>
      <c r="Y124" s="54">
        <f t="shared" si="450"/>
        <v>0</v>
      </c>
      <c r="Z124" s="54">
        <f t="shared" si="451"/>
        <v>0</v>
      </c>
      <c r="AA124" s="54">
        <f t="shared" si="452"/>
        <v>0</v>
      </c>
      <c r="AB124" s="54">
        <f t="shared" si="453"/>
        <v>0</v>
      </c>
      <c r="AC124" s="54">
        <f t="shared" si="454"/>
        <v>0</v>
      </c>
      <c r="AD124" s="54">
        <f t="shared" si="455"/>
        <v>1</v>
      </c>
      <c r="AE124" s="54">
        <f t="shared" si="456"/>
        <v>2</v>
      </c>
      <c r="AF124" s="54">
        <f t="shared" si="457"/>
        <v>3</v>
      </c>
      <c r="AG124" s="444"/>
      <c r="AH124" s="48">
        <f t="shared" si="458"/>
        <v>0</v>
      </c>
      <c r="AI124" s="48">
        <f t="shared" si="459"/>
        <v>0</v>
      </c>
      <c r="AJ124" s="48">
        <f t="shared" si="460"/>
        <v>0</v>
      </c>
      <c r="AK124" s="48">
        <f t="shared" si="461"/>
        <v>0</v>
      </c>
      <c r="AL124" s="48">
        <f t="shared" si="462"/>
        <v>1000</v>
      </c>
      <c r="AM124" s="48">
        <f t="shared" si="463"/>
        <v>1000</v>
      </c>
      <c r="AN124" s="48">
        <f t="shared" si="464"/>
        <v>1000</v>
      </c>
      <c r="AP124" s="61">
        <v>3.8362500000000008E-2</v>
      </c>
      <c r="AQ124" s="61">
        <v>3.8362500000000008E-2</v>
      </c>
      <c r="AR124" s="61">
        <v>3.8362500000000008E-2</v>
      </c>
      <c r="AS124" s="61">
        <v>3.8362500000000008E-2</v>
      </c>
      <c r="AT124" s="61">
        <v>3.8362500000000008E-2</v>
      </c>
      <c r="AU124" s="61">
        <v>3.8362500000000008E-2</v>
      </c>
      <c r="AV124" s="61">
        <v>3.8362500000000008E-2</v>
      </c>
      <c r="AX124" s="52">
        <f t="shared" si="465"/>
        <v>0</v>
      </c>
      <c r="AY124" s="52">
        <f t="shared" si="466"/>
        <v>0</v>
      </c>
      <c r="AZ124" s="52">
        <f t="shared" si="467"/>
        <v>0</v>
      </c>
      <c r="BA124" s="52">
        <f t="shared" si="468"/>
        <v>0</v>
      </c>
      <c r="BB124" s="52">
        <f t="shared" si="469"/>
        <v>167.68217219178086</v>
      </c>
      <c r="BC124" s="52">
        <f t="shared" si="470"/>
        <v>336.28567500000008</v>
      </c>
      <c r="BD124" s="52">
        <f t="shared" si="471"/>
        <v>336.28567500000008</v>
      </c>
      <c r="BE124" s="57">
        <v>0.2</v>
      </c>
      <c r="BF124" s="52">
        <f t="shared" si="472"/>
        <v>0</v>
      </c>
      <c r="BG124" s="82">
        <f t="shared" si="473"/>
        <v>0</v>
      </c>
      <c r="BH124" s="82">
        <f t="shared" si="474"/>
        <v>0</v>
      </c>
      <c r="BI124" s="52">
        <f t="shared" si="475"/>
        <v>0</v>
      </c>
      <c r="BJ124" s="52">
        <f t="shared" si="476"/>
        <v>0</v>
      </c>
      <c r="BK124" s="52">
        <f t="shared" si="477"/>
        <v>0</v>
      </c>
      <c r="BL124" s="52">
        <f t="shared" si="478"/>
        <v>0</v>
      </c>
      <c r="BM124" s="297">
        <f t="shared" si="366"/>
        <v>0.05</v>
      </c>
      <c r="BN124" s="69">
        <f t="shared" si="479"/>
        <v>0</v>
      </c>
      <c r="BO124" s="69">
        <f t="shared" si="480"/>
        <v>0</v>
      </c>
      <c r="BP124" s="69">
        <f t="shared" si="481"/>
        <v>0</v>
      </c>
      <c r="BQ124" s="69">
        <f t="shared" si="482"/>
        <v>0</v>
      </c>
      <c r="BR124" s="69">
        <f t="shared" si="483"/>
        <v>0</v>
      </c>
      <c r="BS124" s="69">
        <f t="shared" si="484"/>
        <v>0</v>
      </c>
      <c r="BT124" s="69">
        <f t="shared" si="485"/>
        <v>0</v>
      </c>
      <c r="BV124" s="52">
        <f t="shared" si="486"/>
        <v>0</v>
      </c>
      <c r="BW124" s="52">
        <f t="shared" si="487"/>
        <v>0</v>
      </c>
      <c r="BX124" s="52">
        <f t="shared" si="488"/>
        <v>0</v>
      </c>
      <c r="BY124" s="52">
        <f t="shared" si="489"/>
        <v>92</v>
      </c>
      <c r="BZ124" s="52">
        <f t="shared" si="490"/>
        <v>183</v>
      </c>
      <c r="CA124" s="52">
        <f t="shared" si="491"/>
        <v>0</v>
      </c>
      <c r="CB124" s="52">
        <f t="shared" si="492"/>
        <v>0</v>
      </c>
      <c r="CC124" s="107">
        <v>0</v>
      </c>
      <c r="CD124" s="61">
        <v>0</v>
      </c>
      <c r="CE124" s="61">
        <f t="shared" ref="CE124:CE132" si="541">IF(SUM($BX124:$CB124)=0,0,BX124/SUM($BX124:$CB124)*(1-$O124))-20%</f>
        <v>-0.2</v>
      </c>
      <c r="CF124" s="61">
        <f t="shared" si="493"/>
        <v>0.43454545454545457</v>
      </c>
      <c r="CG124" s="61">
        <f t="shared" ref="CG124:CG133" si="542">IF(SUM($BX124:$CB124)=0,0,BZ124/SUM($BX124:$CB124)*(1-$O124))+10%</f>
        <v>0.76545454545454539</v>
      </c>
      <c r="CH124" s="61">
        <f t="shared" si="432"/>
        <v>0</v>
      </c>
      <c r="CI124" s="61">
        <f t="shared" si="433"/>
        <v>0</v>
      </c>
      <c r="CJ124" s="61">
        <f t="shared" si="434"/>
        <v>1</v>
      </c>
      <c r="CK124" s="4"/>
      <c r="CL124" s="54">
        <f t="shared" si="435"/>
        <v>0</v>
      </c>
      <c r="CM124" s="54">
        <f t="shared" si="436"/>
        <v>0</v>
      </c>
      <c r="CN124" s="54">
        <f t="shared" si="437"/>
        <v>0</v>
      </c>
      <c r="CO124" s="54">
        <f t="shared" si="438"/>
        <v>0</v>
      </c>
      <c r="CP124" s="54">
        <f t="shared" si="439"/>
        <v>0</v>
      </c>
      <c r="CQ124" s="54">
        <f t="shared" si="440"/>
        <v>0</v>
      </c>
      <c r="CR124" s="54">
        <f t="shared" si="441"/>
        <v>0</v>
      </c>
      <c r="CT124" s="54">
        <f t="shared" si="494"/>
        <v>0</v>
      </c>
      <c r="CU124" s="54">
        <f t="shared" si="495"/>
        <v>0</v>
      </c>
      <c r="CV124" s="54">
        <f t="shared" si="496"/>
        <v>0</v>
      </c>
      <c r="CW124" s="54">
        <f t="shared" si="497"/>
        <v>0</v>
      </c>
      <c r="CX124" s="54">
        <f t="shared" si="498"/>
        <v>0</v>
      </c>
      <c r="CY124" s="54">
        <f t="shared" si="499"/>
        <v>0</v>
      </c>
      <c r="CZ124" s="54">
        <f t="shared" si="213"/>
        <v>0</v>
      </c>
      <c r="DB124" s="54">
        <f t="shared" si="500"/>
        <v>0</v>
      </c>
      <c r="DC124" s="54">
        <f t="shared" si="501"/>
        <v>0</v>
      </c>
      <c r="DD124" s="54">
        <f t="shared" si="502"/>
        <v>0</v>
      </c>
      <c r="DE124" s="54">
        <f t="shared" si="503"/>
        <v>0</v>
      </c>
      <c r="DF124" s="54">
        <f t="shared" si="504"/>
        <v>0</v>
      </c>
      <c r="DG124" s="54">
        <f t="shared" si="505"/>
        <v>0</v>
      </c>
      <c r="DH124" s="54">
        <f t="shared" si="220"/>
        <v>0</v>
      </c>
      <c r="DJ124" s="54">
        <f t="shared" si="506"/>
        <v>0</v>
      </c>
      <c r="DK124" s="54">
        <f t="shared" si="507"/>
        <v>0</v>
      </c>
      <c r="DL124" s="54">
        <f t="shared" si="508"/>
        <v>0</v>
      </c>
      <c r="DM124" s="54">
        <f t="shared" si="509"/>
        <v>0</v>
      </c>
      <c r="DN124" s="54">
        <f t="shared" si="510"/>
        <v>0</v>
      </c>
      <c r="DO124" s="54">
        <f t="shared" si="511"/>
        <v>0</v>
      </c>
      <c r="DP124" s="54">
        <f t="shared" si="512"/>
        <v>0</v>
      </c>
      <c r="DR124" s="54">
        <f>+IF(Z124&gt;0,$K124*(1-$BE124)-SUM($DJ124:DJ124),DB124)</f>
        <v>0</v>
      </c>
      <c r="DS124" s="54">
        <f>+IF(AA124&gt;0,$K124*(1-$BE124)-SUM($DJ124:DK124),DC124)</f>
        <v>0</v>
      </c>
      <c r="DT124" s="54">
        <f>+IF(AB124&gt;0,$K124*(1-$BE124)-SUM($DJ124:DL124),DD124)</f>
        <v>0</v>
      </c>
      <c r="DU124" s="54">
        <f>+IF(AC124&gt;0,$K124*(1-$BE124)-SUM($DJ124:DM124),DE124)</f>
        <v>0</v>
      </c>
      <c r="DV124" s="54">
        <f>+IF(AD124&gt;0,$K124*(1-$BE124)-SUM($DJ124:DN124),DF124)</f>
        <v>0</v>
      </c>
      <c r="DW124" s="54">
        <f>+IF(AE124&gt;0,$K124*(1-$BE124)-SUM($DJ124:DO124),DG124)</f>
        <v>0</v>
      </c>
      <c r="DX124" s="54">
        <f>+IF(AF124&gt;0,$K124*(1-$BE124)-SUM($DJ124:DP124),DH124)</f>
        <v>0</v>
      </c>
      <c r="DZ124" s="54">
        <f t="shared" si="513"/>
        <v>0</v>
      </c>
      <c r="EA124" s="54">
        <f t="shared" si="514"/>
        <v>0</v>
      </c>
      <c r="EB124" s="54">
        <f t="shared" si="515"/>
        <v>0</v>
      </c>
      <c r="EC124" s="54">
        <f t="shared" si="516"/>
        <v>0</v>
      </c>
      <c r="ED124" s="54">
        <f t="shared" si="517"/>
        <v>0</v>
      </c>
      <c r="EE124" s="54">
        <f t="shared" si="518"/>
        <v>0</v>
      </c>
      <c r="EF124" s="54">
        <f t="shared" si="519"/>
        <v>0</v>
      </c>
      <c r="EH124" s="54">
        <f t="shared" si="520"/>
        <v>0</v>
      </c>
      <c r="EI124" s="54">
        <f t="shared" si="521"/>
        <v>0</v>
      </c>
      <c r="EJ124" s="54">
        <f t="shared" si="522"/>
        <v>0</v>
      </c>
      <c r="EK124" s="54">
        <f t="shared" si="523"/>
        <v>0</v>
      </c>
      <c r="EL124" s="54">
        <f t="shared" si="524"/>
        <v>0</v>
      </c>
      <c r="EM124" s="54">
        <f t="shared" si="525"/>
        <v>0</v>
      </c>
      <c r="EN124" s="54">
        <f t="shared" si="526"/>
        <v>0</v>
      </c>
      <c r="EP124" s="52">
        <f t="shared" ca="1" si="242"/>
        <v>0</v>
      </c>
      <c r="EQ124" s="52">
        <f t="shared" ca="1" si="243"/>
        <v>0</v>
      </c>
      <c r="ER124" s="52">
        <f t="shared" ca="1" si="244"/>
        <v>0</v>
      </c>
      <c r="ES124" s="52">
        <f t="shared" ca="1" si="245"/>
        <v>0</v>
      </c>
      <c r="ET124" s="52">
        <f t="shared" ca="1" si="246"/>
        <v>0</v>
      </c>
      <c r="EU124" s="52">
        <f t="shared" ca="1" si="247"/>
        <v>0</v>
      </c>
      <c r="EV124" s="52">
        <f t="shared" ca="1" si="527"/>
        <v>0</v>
      </c>
      <c r="EX124" s="52">
        <f t="shared" ca="1" si="249"/>
        <v>0</v>
      </c>
      <c r="EY124" s="52">
        <f t="shared" ca="1" si="250"/>
        <v>0</v>
      </c>
      <c r="EZ124" s="52">
        <f t="shared" ca="1" si="251"/>
        <v>0</v>
      </c>
      <c r="FA124" s="52">
        <f t="shared" ca="1" si="252"/>
        <v>0</v>
      </c>
      <c r="FB124" s="52">
        <f t="shared" ca="1" si="253"/>
        <v>0</v>
      </c>
      <c r="FC124" s="52">
        <f t="shared" ca="1" si="254"/>
        <v>0</v>
      </c>
      <c r="FD124" s="52">
        <f t="shared" ca="1" si="255"/>
        <v>0</v>
      </c>
      <c r="FF124" s="82">
        <f t="shared" si="528"/>
        <v>0</v>
      </c>
      <c r="FG124" s="82">
        <f t="shared" si="529"/>
        <v>0</v>
      </c>
      <c r="FH124" s="82">
        <f t="shared" si="530"/>
        <v>0</v>
      </c>
      <c r="FI124" s="82">
        <f t="shared" si="531"/>
        <v>0</v>
      </c>
      <c r="FJ124" s="82">
        <f t="shared" si="532"/>
        <v>0</v>
      </c>
      <c r="FK124" s="82">
        <f t="shared" si="533"/>
        <v>0</v>
      </c>
      <c r="FL124" s="82">
        <f t="shared" si="534"/>
        <v>0</v>
      </c>
      <c r="FM124" s="51">
        <v>0</v>
      </c>
      <c r="FN124" s="82">
        <v>0</v>
      </c>
      <c r="FO124" s="82">
        <f t="shared" si="442"/>
        <v>0</v>
      </c>
      <c r="FP124" s="82">
        <f t="shared" si="535"/>
        <v>0</v>
      </c>
      <c r="FQ124" s="82">
        <f t="shared" si="536"/>
        <v>0</v>
      </c>
      <c r="FR124" s="82">
        <f t="shared" si="537"/>
        <v>0</v>
      </c>
      <c r="FS124" s="82">
        <f t="shared" si="538"/>
        <v>0</v>
      </c>
      <c r="FT124" s="82">
        <f t="shared" si="539"/>
        <v>0</v>
      </c>
      <c r="FV124" s="82">
        <f t="shared" si="443"/>
        <v>9</v>
      </c>
      <c r="FW124" s="82">
        <f t="shared" si="444"/>
        <v>9</v>
      </c>
      <c r="FX124" s="82">
        <f t="shared" si="445"/>
        <v>9</v>
      </c>
      <c r="FY124" s="82">
        <f t="shared" si="446"/>
        <v>9</v>
      </c>
      <c r="FZ124" s="82">
        <f t="shared" si="447"/>
        <v>9</v>
      </c>
      <c r="GA124" s="82">
        <f t="shared" si="448"/>
        <v>1.9804590249049414</v>
      </c>
      <c r="GB124" s="82">
        <f t="shared" si="449"/>
        <v>1.9804590249049414</v>
      </c>
    </row>
    <row r="125" spans="2:184" x14ac:dyDescent="0.2">
      <c r="B125" s="402" t="str">
        <f>$B98</f>
        <v>–</v>
      </c>
      <c r="C125" s="394" t="str">
        <f>"BESS — co-located with "&amp;$C98</f>
        <v>BESS — co-located with ACME Greentech Seventh Pvt Ltd</v>
      </c>
      <c r="D125" s="395" t="s">
        <v>411</v>
      </c>
      <c r="E125" s="395" t="str">
        <f>$E98</f>
        <v>Under Construction</v>
      </c>
      <c r="F125" s="397">
        <f>IF($D98="FDRE",$F98*$S$4,IF($D98="Hybrid",$F98*$S$5,0))</f>
        <v>1800</v>
      </c>
      <c r="G125" s="399">
        <f t="shared" si="430"/>
        <v>46843</v>
      </c>
      <c r="H125" s="399">
        <f>$H98</f>
        <v>47118</v>
      </c>
      <c r="I125" s="369">
        <f t="shared" si="167"/>
        <v>2029</v>
      </c>
      <c r="J125" s="367">
        <v>0</v>
      </c>
      <c r="K125" s="370">
        <f t="shared" si="168"/>
        <v>0</v>
      </c>
      <c r="L125" s="368">
        <v>0.12</v>
      </c>
      <c r="M125" s="368">
        <v>0.25</v>
      </c>
      <c r="N125" s="404"/>
      <c r="O125" s="462">
        <f t="shared" si="431"/>
        <v>0</v>
      </c>
      <c r="P125" s="54">
        <f t="shared" si="540"/>
        <v>0</v>
      </c>
      <c r="Q125" s="54">
        <f t="shared" si="540"/>
        <v>0</v>
      </c>
      <c r="R125" s="54">
        <f t="shared" si="540"/>
        <v>0</v>
      </c>
      <c r="S125" s="54">
        <f t="shared" si="540"/>
        <v>0</v>
      </c>
      <c r="T125" s="54">
        <f t="shared" si="540"/>
        <v>0</v>
      </c>
      <c r="U125" s="54">
        <f t="shared" si="540"/>
        <v>90</v>
      </c>
      <c r="V125" s="54">
        <f t="shared" si="540"/>
        <v>365</v>
      </c>
      <c r="W125" s="54">
        <f t="shared" si="540"/>
        <v>365</v>
      </c>
      <c r="Y125" s="54">
        <f t="shared" si="450"/>
        <v>0</v>
      </c>
      <c r="Z125" s="54">
        <f t="shared" si="451"/>
        <v>0</v>
      </c>
      <c r="AA125" s="54">
        <f t="shared" si="452"/>
        <v>0</v>
      </c>
      <c r="AB125" s="54">
        <f t="shared" si="453"/>
        <v>0</v>
      </c>
      <c r="AC125" s="54">
        <f t="shared" si="454"/>
        <v>0</v>
      </c>
      <c r="AD125" s="54">
        <f t="shared" si="455"/>
        <v>1</v>
      </c>
      <c r="AE125" s="54">
        <f t="shared" si="456"/>
        <v>2</v>
      </c>
      <c r="AF125" s="54">
        <f t="shared" si="457"/>
        <v>3</v>
      </c>
      <c r="AG125" s="444"/>
      <c r="AH125" s="48">
        <f t="shared" si="458"/>
        <v>0</v>
      </c>
      <c r="AI125" s="48">
        <f t="shared" si="459"/>
        <v>0</v>
      </c>
      <c r="AJ125" s="48">
        <f t="shared" si="460"/>
        <v>0</v>
      </c>
      <c r="AK125" s="48">
        <f t="shared" si="461"/>
        <v>0</v>
      </c>
      <c r="AL125" s="48">
        <f t="shared" si="462"/>
        <v>1800</v>
      </c>
      <c r="AM125" s="48">
        <f t="shared" si="463"/>
        <v>1800</v>
      </c>
      <c r="AN125" s="48">
        <f t="shared" si="464"/>
        <v>1800</v>
      </c>
      <c r="AP125" s="61">
        <v>3.8362500000000008E-2</v>
      </c>
      <c r="AQ125" s="61">
        <v>3.8362500000000008E-2</v>
      </c>
      <c r="AR125" s="61">
        <v>3.8362500000000008E-2</v>
      </c>
      <c r="AS125" s="61">
        <v>3.8362500000000008E-2</v>
      </c>
      <c r="AT125" s="61">
        <v>3.8362500000000008E-2</v>
      </c>
      <c r="AU125" s="61">
        <v>3.8362500000000008E-2</v>
      </c>
      <c r="AV125" s="61">
        <v>3.8362500000000008E-2</v>
      </c>
      <c r="AX125" s="52">
        <f t="shared" si="465"/>
        <v>0</v>
      </c>
      <c r="AY125" s="52">
        <f t="shared" si="466"/>
        <v>0</v>
      </c>
      <c r="AZ125" s="52">
        <f t="shared" si="467"/>
        <v>0</v>
      </c>
      <c r="BA125" s="52">
        <f t="shared" si="468"/>
        <v>0</v>
      </c>
      <c r="BB125" s="52">
        <f t="shared" si="469"/>
        <v>149.25555986301373</v>
      </c>
      <c r="BC125" s="52">
        <f t="shared" si="470"/>
        <v>605.3142150000001</v>
      </c>
      <c r="BD125" s="52">
        <f t="shared" si="471"/>
        <v>605.3142150000001</v>
      </c>
      <c r="BE125" s="57">
        <v>0.2</v>
      </c>
      <c r="BF125" s="52">
        <f t="shared" si="472"/>
        <v>0</v>
      </c>
      <c r="BG125" s="82">
        <f t="shared" si="473"/>
        <v>0</v>
      </c>
      <c r="BH125" s="82">
        <f t="shared" si="474"/>
        <v>0</v>
      </c>
      <c r="BI125" s="52">
        <f t="shared" si="475"/>
        <v>0</v>
      </c>
      <c r="BJ125" s="52">
        <f t="shared" si="476"/>
        <v>0</v>
      </c>
      <c r="BK125" s="52">
        <f t="shared" si="477"/>
        <v>0</v>
      </c>
      <c r="BL125" s="52">
        <f t="shared" si="478"/>
        <v>0</v>
      </c>
      <c r="BM125" s="297">
        <f t="shared" si="366"/>
        <v>0.05</v>
      </c>
      <c r="BN125" s="69">
        <f t="shared" si="479"/>
        <v>0</v>
      </c>
      <c r="BO125" s="69">
        <f t="shared" si="480"/>
        <v>0</v>
      </c>
      <c r="BP125" s="69">
        <f t="shared" si="481"/>
        <v>0</v>
      </c>
      <c r="BQ125" s="69">
        <f t="shared" si="482"/>
        <v>0</v>
      </c>
      <c r="BR125" s="69">
        <f t="shared" si="483"/>
        <v>0</v>
      </c>
      <c r="BS125" s="69">
        <f t="shared" si="484"/>
        <v>0</v>
      </c>
      <c r="BT125" s="69">
        <f t="shared" si="485"/>
        <v>0</v>
      </c>
      <c r="BV125" s="52">
        <f t="shared" si="486"/>
        <v>0</v>
      </c>
      <c r="BW125" s="52">
        <f t="shared" si="487"/>
        <v>0</v>
      </c>
      <c r="BX125" s="52">
        <f t="shared" si="488"/>
        <v>0</v>
      </c>
      <c r="BY125" s="52">
        <f t="shared" si="489"/>
        <v>0</v>
      </c>
      <c r="BZ125" s="52">
        <f t="shared" si="490"/>
        <v>275</v>
      </c>
      <c r="CA125" s="52">
        <f t="shared" si="491"/>
        <v>0</v>
      </c>
      <c r="CB125" s="52">
        <f t="shared" si="492"/>
        <v>0</v>
      </c>
      <c r="CC125" s="107">
        <v>0</v>
      </c>
      <c r="CD125" s="61">
        <v>0</v>
      </c>
      <c r="CE125" s="61">
        <f t="shared" si="541"/>
        <v>-0.2</v>
      </c>
      <c r="CF125" s="61">
        <f t="shared" si="493"/>
        <v>0.1</v>
      </c>
      <c r="CG125" s="61">
        <f t="shared" si="542"/>
        <v>1.1000000000000001</v>
      </c>
      <c r="CH125" s="61">
        <f t="shared" si="432"/>
        <v>0</v>
      </c>
      <c r="CI125" s="61">
        <f t="shared" si="433"/>
        <v>0</v>
      </c>
      <c r="CJ125" s="61">
        <f t="shared" si="434"/>
        <v>1</v>
      </c>
      <c r="CK125" s="4"/>
      <c r="CL125" s="54">
        <f t="shared" si="435"/>
        <v>0</v>
      </c>
      <c r="CM125" s="54">
        <f t="shared" si="436"/>
        <v>0</v>
      </c>
      <c r="CN125" s="54">
        <f t="shared" si="437"/>
        <v>0</v>
      </c>
      <c r="CO125" s="54">
        <f t="shared" si="438"/>
        <v>0</v>
      </c>
      <c r="CP125" s="54">
        <f t="shared" si="439"/>
        <v>0</v>
      </c>
      <c r="CQ125" s="54">
        <f t="shared" si="440"/>
        <v>0</v>
      </c>
      <c r="CR125" s="54">
        <f t="shared" si="441"/>
        <v>0</v>
      </c>
      <c r="CT125" s="54">
        <f t="shared" si="494"/>
        <v>0</v>
      </c>
      <c r="CU125" s="54">
        <f t="shared" si="495"/>
        <v>0</v>
      </c>
      <c r="CV125" s="54">
        <f t="shared" si="496"/>
        <v>0</v>
      </c>
      <c r="CW125" s="54">
        <f t="shared" si="497"/>
        <v>0</v>
      </c>
      <c r="CX125" s="54">
        <f t="shared" si="498"/>
        <v>0</v>
      </c>
      <c r="CY125" s="54">
        <f t="shared" si="499"/>
        <v>0</v>
      </c>
      <c r="CZ125" s="54">
        <f t="shared" si="213"/>
        <v>0</v>
      </c>
      <c r="DB125" s="54">
        <f t="shared" si="500"/>
        <v>0</v>
      </c>
      <c r="DC125" s="54">
        <f t="shared" si="501"/>
        <v>0</v>
      </c>
      <c r="DD125" s="54">
        <f t="shared" si="502"/>
        <v>0</v>
      </c>
      <c r="DE125" s="54">
        <f t="shared" si="503"/>
        <v>0</v>
      </c>
      <c r="DF125" s="54">
        <f t="shared" si="504"/>
        <v>0</v>
      </c>
      <c r="DG125" s="54">
        <f t="shared" si="505"/>
        <v>0</v>
      </c>
      <c r="DH125" s="54">
        <f t="shared" si="220"/>
        <v>0</v>
      </c>
      <c r="DJ125" s="54">
        <f t="shared" si="506"/>
        <v>0</v>
      </c>
      <c r="DK125" s="54">
        <f t="shared" si="507"/>
        <v>0</v>
      </c>
      <c r="DL125" s="54">
        <f t="shared" si="508"/>
        <v>0</v>
      </c>
      <c r="DM125" s="54">
        <f t="shared" si="509"/>
        <v>0</v>
      </c>
      <c r="DN125" s="54">
        <f t="shared" si="510"/>
        <v>0</v>
      </c>
      <c r="DO125" s="54">
        <f t="shared" si="511"/>
        <v>0</v>
      </c>
      <c r="DP125" s="54">
        <f t="shared" si="512"/>
        <v>0</v>
      </c>
      <c r="DR125" s="54">
        <f>+IF(Z125&gt;0,$K125*(1-$BE125)-SUM($DJ125:DJ125),DB125)</f>
        <v>0</v>
      </c>
      <c r="DS125" s="54">
        <f>+IF(AA125&gt;0,$K125*(1-$BE125)-SUM($DJ125:DK125),DC125)</f>
        <v>0</v>
      </c>
      <c r="DT125" s="54">
        <f>+IF(AB125&gt;0,$K125*(1-$BE125)-SUM($DJ125:DL125),DD125)</f>
        <v>0</v>
      </c>
      <c r="DU125" s="54">
        <f>+IF(AC125&gt;0,$K125*(1-$BE125)-SUM($DJ125:DM125),DE125)</f>
        <v>0</v>
      </c>
      <c r="DV125" s="54">
        <f>+IF(AD125&gt;0,$K125*(1-$BE125)-SUM($DJ125:DN125),DF125)</f>
        <v>0</v>
      </c>
      <c r="DW125" s="54">
        <f>+IF(AE125&gt;0,$K125*(1-$BE125)-SUM($DJ125:DO125),DG125)</f>
        <v>0</v>
      </c>
      <c r="DX125" s="54">
        <f>+IF(AF125&gt;0,$K125*(1-$BE125)-SUM($DJ125:DP125),DH125)</f>
        <v>0</v>
      </c>
      <c r="DZ125" s="54">
        <f t="shared" si="513"/>
        <v>0</v>
      </c>
      <c r="EA125" s="54">
        <f t="shared" si="514"/>
        <v>0</v>
      </c>
      <c r="EB125" s="54">
        <f t="shared" si="515"/>
        <v>0</v>
      </c>
      <c r="EC125" s="54">
        <f t="shared" si="516"/>
        <v>0</v>
      </c>
      <c r="ED125" s="54">
        <f t="shared" si="517"/>
        <v>0</v>
      </c>
      <c r="EE125" s="54">
        <f t="shared" si="518"/>
        <v>0</v>
      </c>
      <c r="EF125" s="54">
        <f t="shared" si="519"/>
        <v>0</v>
      </c>
      <c r="EH125" s="54">
        <f t="shared" si="520"/>
        <v>0</v>
      </c>
      <c r="EI125" s="54">
        <f t="shared" si="521"/>
        <v>0</v>
      </c>
      <c r="EJ125" s="54">
        <f t="shared" si="522"/>
        <v>0</v>
      </c>
      <c r="EK125" s="54">
        <f t="shared" si="523"/>
        <v>0</v>
      </c>
      <c r="EL125" s="54">
        <f t="shared" si="524"/>
        <v>0</v>
      </c>
      <c r="EM125" s="54">
        <f t="shared" si="525"/>
        <v>0</v>
      </c>
      <c r="EN125" s="54">
        <f t="shared" si="526"/>
        <v>0</v>
      </c>
      <c r="EP125" s="52">
        <f t="shared" ca="1" si="242"/>
        <v>0</v>
      </c>
      <c r="EQ125" s="52">
        <f t="shared" ca="1" si="243"/>
        <v>0</v>
      </c>
      <c r="ER125" s="52">
        <f t="shared" ca="1" si="244"/>
        <v>0</v>
      </c>
      <c r="ES125" s="52">
        <f t="shared" ca="1" si="245"/>
        <v>0</v>
      </c>
      <c r="ET125" s="52">
        <f t="shared" ca="1" si="246"/>
        <v>0</v>
      </c>
      <c r="EU125" s="52">
        <f t="shared" ca="1" si="247"/>
        <v>0</v>
      </c>
      <c r="EV125" s="52">
        <f t="shared" ca="1" si="527"/>
        <v>0</v>
      </c>
      <c r="EX125" s="52">
        <f t="shared" ca="1" si="249"/>
        <v>0</v>
      </c>
      <c r="EY125" s="52">
        <f t="shared" ca="1" si="250"/>
        <v>0</v>
      </c>
      <c r="EZ125" s="52">
        <f t="shared" ca="1" si="251"/>
        <v>0</v>
      </c>
      <c r="FA125" s="52">
        <f t="shared" ca="1" si="252"/>
        <v>0</v>
      </c>
      <c r="FB125" s="52">
        <f t="shared" ca="1" si="253"/>
        <v>0</v>
      </c>
      <c r="FC125" s="52">
        <f t="shared" ca="1" si="254"/>
        <v>0</v>
      </c>
      <c r="FD125" s="52">
        <f t="shared" ca="1" si="255"/>
        <v>0</v>
      </c>
      <c r="FF125" s="82">
        <f t="shared" si="528"/>
        <v>0</v>
      </c>
      <c r="FG125" s="82">
        <f t="shared" si="529"/>
        <v>0</v>
      </c>
      <c r="FH125" s="82">
        <f t="shared" si="530"/>
        <v>0</v>
      </c>
      <c r="FI125" s="82">
        <f t="shared" si="531"/>
        <v>0</v>
      </c>
      <c r="FJ125" s="82">
        <f t="shared" si="532"/>
        <v>0</v>
      </c>
      <c r="FK125" s="82">
        <f t="shared" si="533"/>
        <v>0</v>
      </c>
      <c r="FL125" s="82">
        <f t="shared" si="534"/>
        <v>0</v>
      </c>
      <c r="FM125" s="51">
        <v>0</v>
      </c>
      <c r="FN125" s="82">
        <v>0</v>
      </c>
      <c r="FO125" s="82">
        <f t="shared" si="442"/>
        <v>0</v>
      </c>
      <c r="FP125" s="82">
        <f t="shared" si="535"/>
        <v>0</v>
      </c>
      <c r="FQ125" s="82">
        <f t="shared" si="536"/>
        <v>0</v>
      </c>
      <c r="FR125" s="82">
        <f t="shared" si="537"/>
        <v>0</v>
      </c>
      <c r="FS125" s="82">
        <f t="shared" si="538"/>
        <v>0</v>
      </c>
      <c r="FT125" s="82">
        <f t="shared" si="539"/>
        <v>0</v>
      </c>
      <c r="FV125" s="82">
        <f t="shared" si="443"/>
        <v>9</v>
      </c>
      <c r="FW125" s="82">
        <f t="shared" si="444"/>
        <v>9</v>
      </c>
      <c r="FX125" s="82">
        <f t="shared" si="445"/>
        <v>9</v>
      </c>
      <c r="FY125" s="82">
        <f t="shared" si="446"/>
        <v>9</v>
      </c>
      <c r="FZ125" s="82">
        <f t="shared" si="447"/>
        <v>9</v>
      </c>
      <c r="GA125" s="82">
        <f t="shared" si="448"/>
        <v>1.9804590249049414</v>
      </c>
      <c r="GB125" s="82">
        <f t="shared" si="449"/>
        <v>1.9804590249049414</v>
      </c>
    </row>
    <row r="126" spans="2:184" x14ac:dyDescent="0.2">
      <c r="B126" s="402" t="str">
        <f>$B99</f>
        <v>–</v>
      </c>
      <c r="C126" s="394" t="str">
        <f>"BESS — co-located with "&amp;$C99</f>
        <v>BESS — co-located with ACME Renewtech Sixth Pvt Ltd</v>
      </c>
      <c r="D126" s="395" t="s">
        <v>411</v>
      </c>
      <c r="E126" s="395" t="str">
        <f>$E99</f>
        <v>Under Construction</v>
      </c>
      <c r="F126" s="397">
        <f>IF($D99="FDRE",$F99*$S$4,IF($D99="Hybrid",$F99*$S$5,0))</f>
        <v>1200</v>
      </c>
      <c r="G126" s="399">
        <f t="shared" si="430"/>
        <v>46751</v>
      </c>
      <c r="H126" s="399">
        <f>$H99</f>
        <v>47026</v>
      </c>
      <c r="I126" s="369">
        <f t="shared" si="167"/>
        <v>2029</v>
      </c>
      <c r="J126" s="367">
        <v>0</v>
      </c>
      <c r="K126" s="370">
        <f t="shared" si="168"/>
        <v>0</v>
      </c>
      <c r="L126" s="368">
        <v>0.12</v>
      </c>
      <c r="M126" s="368">
        <v>0.25</v>
      </c>
      <c r="N126" s="404"/>
      <c r="O126" s="462">
        <f t="shared" si="431"/>
        <v>0</v>
      </c>
      <c r="P126" s="54">
        <f t="shared" si="540"/>
        <v>0</v>
      </c>
      <c r="Q126" s="54">
        <f t="shared" si="540"/>
        <v>0</v>
      </c>
      <c r="R126" s="54">
        <f t="shared" si="540"/>
        <v>0</v>
      </c>
      <c r="S126" s="54">
        <f t="shared" si="540"/>
        <v>0</v>
      </c>
      <c r="T126" s="54">
        <f t="shared" si="540"/>
        <v>0</v>
      </c>
      <c r="U126" s="54">
        <f t="shared" si="540"/>
        <v>182</v>
      </c>
      <c r="V126" s="54">
        <f t="shared" si="540"/>
        <v>365</v>
      </c>
      <c r="W126" s="54">
        <f t="shared" si="540"/>
        <v>365</v>
      </c>
      <c r="Y126" s="54">
        <f t="shared" si="450"/>
        <v>0</v>
      </c>
      <c r="Z126" s="54">
        <f t="shared" si="451"/>
        <v>0</v>
      </c>
      <c r="AA126" s="54">
        <f t="shared" si="452"/>
        <v>0</v>
      </c>
      <c r="AB126" s="54">
        <f t="shared" si="453"/>
        <v>0</v>
      </c>
      <c r="AC126" s="54">
        <f t="shared" si="454"/>
        <v>0</v>
      </c>
      <c r="AD126" s="54">
        <f t="shared" si="455"/>
        <v>1</v>
      </c>
      <c r="AE126" s="54">
        <f t="shared" si="456"/>
        <v>2</v>
      </c>
      <c r="AF126" s="54">
        <f t="shared" si="457"/>
        <v>3</v>
      </c>
      <c r="AG126" s="444"/>
      <c r="AH126" s="48">
        <f t="shared" si="458"/>
        <v>0</v>
      </c>
      <c r="AI126" s="48">
        <f t="shared" si="459"/>
        <v>0</v>
      </c>
      <c r="AJ126" s="48">
        <f t="shared" si="460"/>
        <v>0</v>
      </c>
      <c r="AK126" s="48">
        <f t="shared" si="461"/>
        <v>0</v>
      </c>
      <c r="AL126" s="48">
        <f t="shared" si="462"/>
        <v>1200</v>
      </c>
      <c r="AM126" s="48">
        <f t="shared" si="463"/>
        <v>1200</v>
      </c>
      <c r="AN126" s="48">
        <f t="shared" si="464"/>
        <v>1200</v>
      </c>
      <c r="AP126" s="61">
        <v>3.8362500000000008E-2</v>
      </c>
      <c r="AQ126" s="61">
        <v>3.8362500000000008E-2</v>
      </c>
      <c r="AR126" s="61">
        <v>3.8362500000000008E-2</v>
      </c>
      <c r="AS126" s="61">
        <v>3.8362500000000008E-2</v>
      </c>
      <c r="AT126" s="61">
        <v>3.8362500000000008E-2</v>
      </c>
      <c r="AU126" s="61">
        <v>3.8362500000000008E-2</v>
      </c>
      <c r="AV126" s="61">
        <v>3.8362500000000008E-2</v>
      </c>
      <c r="AX126" s="52">
        <f t="shared" si="465"/>
        <v>0</v>
      </c>
      <c r="AY126" s="52">
        <f t="shared" si="466"/>
        <v>0</v>
      </c>
      <c r="AZ126" s="52">
        <f t="shared" si="467"/>
        <v>0</v>
      </c>
      <c r="BA126" s="52">
        <f t="shared" si="468"/>
        <v>0</v>
      </c>
      <c r="BB126" s="52">
        <f t="shared" si="469"/>
        <v>201.21860663013703</v>
      </c>
      <c r="BC126" s="52">
        <f t="shared" si="470"/>
        <v>403.54281000000009</v>
      </c>
      <c r="BD126" s="52">
        <f t="shared" si="471"/>
        <v>403.54281000000009</v>
      </c>
      <c r="BE126" s="57">
        <v>0.2</v>
      </c>
      <c r="BF126" s="52">
        <f t="shared" si="472"/>
        <v>0</v>
      </c>
      <c r="BG126" s="82">
        <f t="shared" si="473"/>
        <v>0</v>
      </c>
      <c r="BH126" s="82">
        <f t="shared" si="474"/>
        <v>0</v>
      </c>
      <c r="BI126" s="52">
        <f t="shared" si="475"/>
        <v>0</v>
      </c>
      <c r="BJ126" s="52">
        <f t="shared" si="476"/>
        <v>0</v>
      </c>
      <c r="BK126" s="52">
        <f t="shared" si="477"/>
        <v>0</v>
      </c>
      <c r="BL126" s="52">
        <f t="shared" si="478"/>
        <v>0</v>
      </c>
      <c r="BM126" s="297">
        <f t="shared" si="366"/>
        <v>0.05</v>
      </c>
      <c r="BN126" s="69">
        <f t="shared" si="479"/>
        <v>0</v>
      </c>
      <c r="BO126" s="69">
        <f t="shared" si="480"/>
        <v>0</v>
      </c>
      <c r="BP126" s="69">
        <f t="shared" si="481"/>
        <v>0</v>
      </c>
      <c r="BQ126" s="69">
        <f t="shared" si="482"/>
        <v>0</v>
      </c>
      <c r="BR126" s="69">
        <f t="shared" si="483"/>
        <v>0</v>
      </c>
      <c r="BS126" s="69">
        <f t="shared" si="484"/>
        <v>0</v>
      </c>
      <c r="BT126" s="69">
        <f t="shared" si="485"/>
        <v>0</v>
      </c>
      <c r="BV126" s="52">
        <f t="shared" si="486"/>
        <v>0</v>
      </c>
      <c r="BW126" s="52">
        <f t="shared" si="487"/>
        <v>0</v>
      </c>
      <c r="BX126" s="52">
        <f t="shared" si="488"/>
        <v>0</v>
      </c>
      <c r="BY126" s="52">
        <f t="shared" si="489"/>
        <v>92</v>
      </c>
      <c r="BZ126" s="52">
        <f t="shared" si="490"/>
        <v>183</v>
      </c>
      <c r="CA126" s="52">
        <f t="shared" si="491"/>
        <v>0</v>
      </c>
      <c r="CB126" s="52">
        <f t="shared" si="492"/>
        <v>0</v>
      </c>
      <c r="CC126" s="107">
        <v>0</v>
      </c>
      <c r="CD126" s="61">
        <v>0</v>
      </c>
      <c r="CE126" s="61">
        <f t="shared" si="541"/>
        <v>-0.2</v>
      </c>
      <c r="CF126" s="61">
        <f t="shared" si="493"/>
        <v>0.43454545454545457</v>
      </c>
      <c r="CG126" s="61">
        <f t="shared" si="542"/>
        <v>0.76545454545454539</v>
      </c>
      <c r="CH126" s="61">
        <f t="shared" si="432"/>
        <v>0</v>
      </c>
      <c r="CI126" s="61">
        <f t="shared" si="433"/>
        <v>0</v>
      </c>
      <c r="CJ126" s="61">
        <f t="shared" si="434"/>
        <v>1</v>
      </c>
      <c r="CK126" s="4"/>
      <c r="CL126" s="54">
        <f t="shared" si="435"/>
        <v>0</v>
      </c>
      <c r="CM126" s="54">
        <f t="shared" si="436"/>
        <v>0</v>
      </c>
      <c r="CN126" s="54">
        <f t="shared" si="437"/>
        <v>0</v>
      </c>
      <c r="CO126" s="54">
        <f t="shared" si="438"/>
        <v>0</v>
      </c>
      <c r="CP126" s="54">
        <f t="shared" si="439"/>
        <v>0</v>
      </c>
      <c r="CQ126" s="54">
        <f t="shared" si="440"/>
        <v>0</v>
      </c>
      <c r="CR126" s="54">
        <f t="shared" si="441"/>
        <v>0</v>
      </c>
      <c r="CT126" s="54">
        <f t="shared" si="494"/>
        <v>0</v>
      </c>
      <c r="CU126" s="54">
        <f t="shared" si="495"/>
        <v>0</v>
      </c>
      <c r="CV126" s="54">
        <f t="shared" si="496"/>
        <v>0</v>
      </c>
      <c r="CW126" s="54">
        <f t="shared" si="497"/>
        <v>0</v>
      </c>
      <c r="CX126" s="54">
        <f t="shared" si="498"/>
        <v>0</v>
      </c>
      <c r="CY126" s="54">
        <f t="shared" si="499"/>
        <v>0</v>
      </c>
      <c r="CZ126" s="54">
        <f t="shared" si="213"/>
        <v>0</v>
      </c>
      <c r="DB126" s="54">
        <f t="shared" si="500"/>
        <v>0</v>
      </c>
      <c r="DC126" s="54">
        <f t="shared" si="501"/>
        <v>0</v>
      </c>
      <c r="DD126" s="54">
        <f t="shared" si="502"/>
        <v>0</v>
      </c>
      <c r="DE126" s="54">
        <f t="shared" si="503"/>
        <v>0</v>
      </c>
      <c r="DF126" s="54">
        <f t="shared" si="504"/>
        <v>0</v>
      </c>
      <c r="DG126" s="54">
        <f t="shared" si="505"/>
        <v>0</v>
      </c>
      <c r="DH126" s="54">
        <f t="shared" si="220"/>
        <v>0</v>
      </c>
      <c r="DJ126" s="54">
        <f t="shared" si="506"/>
        <v>0</v>
      </c>
      <c r="DK126" s="54">
        <f t="shared" si="507"/>
        <v>0</v>
      </c>
      <c r="DL126" s="54">
        <f t="shared" si="508"/>
        <v>0</v>
      </c>
      <c r="DM126" s="54">
        <f t="shared" si="509"/>
        <v>0</v>
      </c>
      <c r="DN126" s="54">
        <f t="shared" si="510"/>
        <v>0</v>
      </c>
      <c r="DO126" s="54">
        <f t="shared" si="511"/>
        <v>0</v>
      </c>
      <c r="DP126" s="54">
        <f t="shared" si="512"/>
        <v>0</v>
      </c>
      <c r="DR126" s="54">
        <f>+IF(Z126&gt;0,$K126*(1-$BE126)-SUM($DJ126:DJ126),DB126)</f>
        <v>0</v>
      </c>
      <c r="DS126" s="54">
        <f>+IF(AA126&gt;0,$K126*(1-$BE126)-SUM($DJ126:DK126),DC126)</f>
        <v>0</v>
      </c>
      <c r="DT126" s="54">
        <f>+IF(AB126&gt;0,$K126*(1-$BE126)-SUM($DJ126:DL126),DD126)</f>
        <v>0</v>
      </c>
      <c r="DU126" s="54">
        <f>+IF(AC126&gt;0,$K126*(1-$BE126)-SUM($DJ126:DM126),DE126)</f>
        <v>0</v>
      </c>
      <c r="DV126" s="54">
        <f>+IF(AD126&gt;0,$K126*(1-$BE126)-SUM($DJ126:DN126),DF126)</f>
        <v>0</v>
      </c>
      <c r="DW126" s="54">
        <f>+IF(AE126&gt;0,$K126*(1-$BE126)-SUM($DJ126:DO126),DG126)</f>
        <v>0</v>
      </c>
      <c r="DX126" s="54">
        <f>+IF(AF126&gt;0,$K126*(1-$BE126)-SUM($DJ126:DP126),DH126)</f>
        <v>0</v>
      </c>
      <c r="DZ126" s="54">
        <f t="shared" si="513"/>
        <v>0</v>
      </c>
      <c r="EA126" s="54">
        <f t="shared" si="514"/>
        <v>0</v>
      </c>
      <c r="EB126" s="54">
        <f t="shared" si="515"/>
        <v>0</v>
      </c>
      <c r="EC126" s="54">
        <f t="shared" si="516"/>
        <v>0</v>
      </c>
      <c r="ED126" s="54">
        <f t="shared" si="517"/>
        <v>0</v>
      </c>
      <c r="EE126" s="54">
        <f t="shared" si="518"/>
        <v>0</v>
      </c>
      <c r="EF126" s="54">
        <f t="shared" si="519"/>
        <v>0</v>
      </c>
      <c r="EH126" s="54">
        <f t="shared" si="520"/>
        <v>0</v>
      </c>
      <c r="EI126" s="54">
        <f t="shared" si="521"/>
        <v>0</v>
      </c>
      <c r="EJ126" s="54">
        <f t="shared" si="522"/>
        <v>0</v>
      </c>
      <c r="EK126" s="54">
        <f t="shared" si="523"/>
        <v>0</v>
      </c>
      <c r="EL126" s="54">
        <f t="shared" si="524"/>
        <v>0</v>
      </c>
      <c r="EM126" s="54">
        <f t="shared" si="525"/>
        <v>0</v>
      </c>
      <c r="EN126" s="54">
        <f t="shared" si="526"/>
        <v>0</v>
      </c>
      <c r="EP126" s="52">
        <f t="shared" ca="1" si="242"/>
        <v>0</v>
      </c>
      <c r="EQ126" s="52">
        <f t="shared" ca="1" si="243"/>
        <v>0</v>
      </c>
      <c r="ER126" s="52">
        <f t="shared" ca="1" si="244"/>
        <v>0</v>
      </c>
      <c r="ES126" s="52">
        <f t="shared" ca="1" si="245"/>
        <v>0</v>
      </c>
      <c r="ET126" s="52">
        <f t="shared" ca="1" si="246"/>
        <v>0</v>
      </c>
      <c r="EU126" s="52">
        <f t="shared" ca="1" si="247"/>
        <v>0</v>
      </c>
      <c r="EV126" s="52">
        <f t="shared" ca="1" si="527"/>
        <v>0</v>
      </c>
      <c r="EX126" s="52">
        <f t="shared" ca="1" si="249"/>
        <v>0</v>
      </c>
      <c r="EY126" s="52">
        <f t="shared" ca="1" si="250"/>
        <v>0</v>
      </c>
      <c r="EZ126" s="52">
        <f t="shared" ca="1" si="251"/>
        <v>0</v>
      </c>
      <c r="FA126" s="52">
        <f t="shared" ca="1" si="252"/>
        <v>0</v>
      </c>
      <c r="FB126" s="52">
        <f t="shared" ca="1" si="253"/>
        <v>0</v>
      </c>
      <c r="FC126" s="52">
        <f t="shared" ca="1" si="254"/>
        <v>0</v>
      </c>
      <c r="FD126" s="52">
        <f t="shared" ca="1" si="255"/>
        <v>0</v>
      </c>
      <c r="FF126" s="82">
        <f t="shared" si="528"/>
        <v>0</v>
      </c>
      <c r="FG126" s="82">
        <f t="shared" si="529"/>
        <v>0</v>
      </c>
      <c r="FH126" s="82">
        <f t="shared" si="530"/>
        <v>0</v>
      </c>
      <c r="FI126" s="82">
        <f t="shared" si="531"/>
        <v>0</v>
      </c>
      <c r="FJ126" s="82">
        <f t="shared" si="532"/>
        <v>0</v>
      </c>
      <c r="FK126" s="82">
        <f t="shared" si="533"/>
        <v>0</v>
      </c>
      <c r="FL126" s="82">
        <f t="shared" si="534"/>
        <v>0</v>
      </c>
      <c r="FM126" s="51">
        <v>0</v>
      </c>
      <c r="FN126" s="82">
        <v>0</v>
      </c>
      <c r="FO126" s="82">
        <f t="shared" si="442"/>
        <v>0</v>
      </c>
      <c r="FP126" s="82">
        <f t="shared" si="535"/>
        <v>0</v>
      </c>
      <c r="FQ126" s="82">
        <f t="shared" si="536"/>
        <v>0</v>
      </c>
      <c r="FR126" s="82">
        <f t="shared" si="537"/>
        <v>0</v>
      </c>
      <c r="FS126" s="82">
        <f t="shared" si="538"/>
        <v>0</v>
      </c>
      <c r="FT126" s="82">
        <f t="shared" si="539"/>
        <v>0</v>
      </c>
      <c r="FV126" s="82">
        <f t="shared" si="443"/>
        <v>9</v>
      </c>
      <c r="FW126" s="82">
        <f t="shared" si="444"/>
        <v>9</v>
      </c>
      <c r="FX126" s="82">
        <f t="shared" si="445"/>
        <v>9</v>
      </c>
      <c r="FY126" s="82">
        <f t="shared" si="446"/>
        <v>9</v>
      </c>
      <c r="FZ126" s="82">
        <f t="shared" si="447"/>
        <v>9</v>
      </c>
      <c r="GA126" s="82">
        <f t="shared" si="448"/>
        <v>1.9804590249049414</v>
      </c>
      <c r="GB126" s="82">
        <f t="shared" si="449"/>
        <v>1.9804590249049414</v>
      </c>
    </row>
    <row r="127" spans="2:184" x14ac:dyDescent="0.2">
      <c r="B127" s="402" t="str">
        <f>$B100</f>
        <v>–</v>
      </c>
      <c r="C127" s="394" t="str">
        <f>"BESS — co-located with "&amp;$C100</f>
        <v>BESS — co-located with ACME Renewtech Fifth Pvt Ltd</v>
      </c>
      <c r="D127" s="395" t="s">
        <v>411</v>
      </c>
      <c r="E127" s="395" t="str">
        <f>$E100</f>
        <v>Under Construction</v>
      </c>
      <c r="F127" s="397">
        <f>IF($D100="FDRE",$F100*$S$4,IF($D100="Hybrid",$F100*$S$5,0))</f>
        <v>300</v>
      </c>
      <c r="G127" s="399">
        <f t="shared" si="430"/>
        <v>46751</v>
      </c>
      <c r="H127" s="399">
        <f>$H100</f>
        <v>47026</v>
      </c>
      <c r="I127" s="369">
        <f t="shared" si="167"/>
        <v>2029</v>
      </c>
      <c r="J127" s="367">
        <v>0</v>
      </c>
      <c r="K127" s="370">
        <f t="shared" si="168"/>
        <v>0</v>
      </c>
      <c r="L127" s="368">
        <v>0.12</v>
      </c>
      <c r="M127" s="368">
        <v>0.25</v>
      </c>
      <c r="N127" s="404"/>
      <c r="O127" s="462">
        <f t="shared" si="431"/>
        <v>0</v>
      </c>
      <c r="P127" s="54">
        <f t="shared" si="540"/>
        <v>0</v>
      </c>
      <c r="Q127" s="54">
        <f t="shared" si="540"/>
        <v>0</v>
      </c>
      <c r="R127" s="54">
        <f t="shared" si="540"/>
        <v>0</v>
      </c>
      <c r="S127" s="54">
        <f t="shared" si="540"/>
        <v>0</v>
      </c>
      <c r="T127" s="54">
        <f t="shared" si="540"/>
        <v>0</v>
      </c>
      <c r="U127" s="54">
        <f t="shared" si="540"/>
        <v>182</v>
      </c>
      <c r="V127" s="54">
        <f t="shared" si="540"/>
        <v>365</v>
      </c>
      <c r="W127" s="54">
        <f t="shared" si="540"/>
        <v>365</v>
      </c>
      <c r="Y127" s="54">
        <f t="shared" si="450"/>
        <v>0</v>
      </c>
      <c r="Z127" s="54">
        <f t="shared" si="451"/>
        <v>0</v>
      </c>
      <c r="AA127" s="54">
        <f t="shared" si="452"/>
        <v>0</v>
      </c>
      <c r="AB127" s="54">
        <f t="shared" si="453"/>
        <v>0</v>
      </c>
      <c r="AC127" s="54">
        <f t="shared" si="454"/>
        <v>0</v>
      </c>
      <c r="AD127" s="54">
        <f t="shared" si="455"/>
        <v>1</v>
      </c>
      <c r="AE127" s="54">
        <f t="shared" si="456"/>
        <v>2</v>
      </c>
      <c r="AF127" s="54">
        <f t="shared" si="457"/>
        <v>3</v>
      </c>
      <c r="AG127" s="444"/>
      <c r="AH127" s="48">
        <f t="shared" si="458"/>
        <v>0</v>
      </c>
      <c r="AI127" s="48">
        <f t="shared" si="459"/>
        <v>0</v>
      </c>
      <c r="AJ127" s="48">
        <f t="shared" si="460"/>
        <v>0</v>
      </c>
      <c r="AK127" s="48">
        <f t="shared" si="461"/>
        <v>0</v>
      </c>
      <c r="AL127" s="48">
        <f t="shared" si="462"/>
        <v>300</v>
      </c>
      <c r="AM127" s="48">
        <f t="shared" si="463"/>
        <v>300</v>
      </c>
      <c r="AN127" s="48">
        <f t="shared" si="464"/>
        <v>300</v>
      </c>
      <c r="AP127" s="61">
        <v>3.8362500000000008E-2</v>
      </c>
      <c r="AQ127" s="61">
        <v>3.8362500000000008E-2</v>
      </c>
      <c r="AR127" s="61">
        <v>3.8362500000000008E-2</v>
      </c>
      <c r="AS127" s="61">
        <v>3.8362500000000008E-2</v>
      </c>
      <c r="AT127" s="61">
        <v>3.8362500000000008E-2</v>
      </c>
      <c r="AU127" s="61">
        <v>3.8362500000000008E-2</v>
      </c>
      <c r="AV127" s="61">
        <v>3.8362500000000008E-2</v>
      </c>
      <c r="AX127" s="52">
        <f t="shared" si="465"/>
        <v>0</v>
      </c>
      <c r="AY127" s="52">
        <f t="shared" si="466"/>
        <v>0</v>
      </c>
      <c r="AZ127" s="52">
        <f t="shared" si="467"/>
        <v>0</v>
      </c>
      <c r="BA127" s="52">
        <f t="shared" si="468"/>
        <v>0</v>
      </c>
      <c r="BB127" s="52">
        <f t="shared" si="469"/>
        <v>50.304651657534258</v>
      </c>
      <c r="BC127" s="52">
        <f t="shared" si="470"/>
        <v>100.88570250000002</v>
      </c>
      <c r="BD127" s="52">
        <f t="shared" si="471"/>
        <v>100.88570250000002</v>
      </c>
      <c r="BE127" s="57">
        <v>0.2</v>
      </c>
      <c r="BF127" s="52">
        <f t="shared" si="472"/>
        <v>0</v>
      </c>
      <c r="BG127" s="82">
        <f t="shared" si="473"/>
        <v>0</v>
      </c>
      <c r="BH127" s="82">
        <f t="shared" si="474"/>
        <v>0</v>
      </c>
      <c r="BI127" s="52">
        <f t="shared" si="475"/>
        <v>0</v>
      </c>
      <c r="BJ127" s="52">
        <f t="shared" si="476"/>
        <v>0</v>
      </c>
      <c r="BK127" s="52">
        <f t="shared" si="477"/>
        <v>0</v>
      </c>
      <c r="BL127" s="52">
        <f t="shared" si="478"/>
        <v>0</v>
      </c>
      <c r="BM127" s="297">
        <f t="shared" si="366"/>
        <v>0.05</v>
      </c>
      <c r="BN127" s="69">
        <f t="shared" si="479"/>
        <v>0</v>
      </c>
      <c r="BO127" s="69">
        <f t="shared" si="480"/>
        <v>0</v>
      </c>
      <c r="BP127" s="69">
        <f t="shared" si="481"/>
        <v>0</v>
      </c>
      <c r="BQ127" s="69">
        <f t="shared" si="482"/>
        <v>0</v>
      </c>
      <c r="BR127" s="69">
        <f t="shared" si="483"/>
        <v>0</v>
      </c>
      <c r="BS127" s="69">
        <f t="shared" si="484"/>
        <v>0</v>
      </c>
      <c r="BT127" s="69">
        <f t="shared" si="485"/>
        <v>0</v>
      </c>
      <c r="BV127" s="52">
        <f t="shared" si="486"/>
        <v>0</v>
      </c>
      <c r="BW127" s="52">
        <f t="shared" si="487"/>
        <v>0</v>
      </c>
      <c r="BX127" s="52">
        <f t="shared" si="488"/>
        <v>0</v>
      </c>
      <c r="BY127" s="52">
        <f t="shared" si="489"/>
        <v>92</v>
      </c>
      <c r="BZ127" s="52">
        <f t="shared" si="490"/>
        <v>183</v>
      </c>
      <c r="CA127" s="52">
        <f t="shared" si="491"/>
        <v>0</v>
      </c>
      <c r="CB127" s="52">
        <f t="shared" si="492"/>
        <v>0</v>
      </c>
      <c r="CC127" s="107">
        <v>0</v>
      </c>
      <c r="CD127" s="61">
        <v>0</v>
      </c>
      <c r="CE127" s="61">
        <f t="shared" si="541"/>
        <v>-0.2</v>
      </c>
      <c r="CF127" s="61">
        <f t="shared" si="493"/>
        <v>0.43454545454545457</v>
      </c>
      <c r="CG127" s="61">
        <f t="shared" si="542"/>
        <v>0.76545454545454539</v>
      </c>
      <c r="CH127" s="61">
        <f t="shared" si="432"/>
        <v>0</v>
      </c>
      <c r="CI127" s="61">
        <f t="shared" si="433"/>
        <v>0</v>
      </c>
      <c r="CJ127" s="61">
        <f t="shared" si="434"/>
        <v>1</v>
      </c>
      <c r="CK127" s="4"/>
      <c r="CL127" s="54">
        <f t="shared" si="435"/>
        <v>0</v>
      </c>
      <c r="CM127" s="54">
        <f t="shared" si="436"/>
        <v>0</v>
      </c>
      <c r="CN127" s="54">
        <f t="shared" si="437"/>
        <v>0</v>
      </c>
      <c r="CO127" s="54">
        <f t="shared" si="438"/>
        <v>0</v>
      </c>
      <c r="CP127" s="54">
        <f t="shared" si="439"/>
        <v>0</v>
      </c>
      <c r="CQ127" s="54">
        <f t="shared" si="440"/>
        <v>0</v>
      </c>
      <c r="CR127" s="54">
        <f t="shared" si="441"/>
        <v>0</v>
      </c>
      <c r="CT127" s="54">
        <f t="shared" si="494"/>
        <v>0</v>
      </c>
      <c r="CU127" s="54">
        <f t="shared" si="495"/>
        <v>0</v>
      </c>
      <c r="CV127" s="54">
        <f t="shared" si="496"/>
        <v>0</v>
      </c>
      <c r="CW127" s="54">
        <f t="shared" si="497"/>
        <v>0</v>
      </c>
      <c r="CX127" s="54">
        <f t="shared" si="498"/>
        <v>0</v>
      </c>
      <c r="CY127" s="54">
        <f t="shared" si="499"/>
        <v>0</v>
      </c>
      <c r="CZ127" s="54">
        <f t="shared" si="213"/>
        <v>0</v>
      </c>
      <c r="DB127" s="54">
        <f t="shared" si="500"/>
        <v>0</v>
      </c>
      <c r="DC127" s="54">
        <f t="shared" si="501"/>
        <v>0</v>
      </c>
      <c r="DD127" s="54">
        <f t="shared" si="502"/>
        <v>0</v>
      </c>
      <c r="DE127" s="54">
        <f t="shared" si="503"/>
        <v>0</v>
      </c>
      <c r="DF127" s="54">
        <f t="shared" si="504"/>
        <v>0</v>
      </c>
      <c r="DG127" s="54">
        <f t="shared" si="505"/>
        <v>0</v>
      </c>
      <c r="DH127" s="54">
        <f t="shared" si="220"/>
        <v>0</v>
      </c>
      <c r="DJ127" s="54">
        <f t="shared" si="506"/>
        <v>0</v>
      </c>
      <c r="DK127" s="54">
        <f t="shared" si="507"/>
        <v>0</v>
      </c>
      <c r="DL127" s="54">
        <f t="shared" si="508"/>
        <v>0</v>
      </c>
      <c r="DM127" s="54">
        <f t="shared" si="509"/>
        <v>0</v>
      </c>
      <c r="DN127" s="54">
        <f t="shared" si="510"/>
        <v>0</v>
      </c>
      <c r="DO127" s="54">
        <f t="shared" si="511"/>
        <v>0</v>
      </c>
      <c r="DP127" s="54">
        <f t="shared" si="512"/>
        <v>0</v>
      </c>
      <c r="DR127" s="54">
        <f>+IF(Z127&gt;0,$K127*(1-$BE127)-SUM($DJ127:DJ127),DB127)</f>
        <v>0</v>
      </c>
      <c r="DS127" s="54">
        <f>+IF(AA127&gt;0,$K127*(1-$BE127)-SUM($DJ127:DK127),DC127)</f>
        <v>0</v>
      </c>
      <c r="DT127" s="54">
        <f>+IF(AB127&gt;0,$K127*(1-$BE127)-SUM($DJ127:DL127),DD127)</f>
        <v>0</v>
      </c>
      <c r="DU127" s="54">
        <f>+IF(AC127&gt;0,$K127*(1-$BE127)-SUM($DJ127:DM127),DE127)</f>
        <v>0</v>
      </c>
      <c r="DV127" s="54">
        <f>+IF(AD127&gt;0,$K127*(1-$BE127)-SUM($DJ127:DN127),DF127)</f>
        <v>0</v>
      </c>
      <c r="DW127" s="54">
        <f>+IF(AE127&gt;0,$K127*(1-$BE127)-SUM($DJ127:DO127),DG127)</f>
        <v>0</v>
      </c>
      <c r="DX127" s="54">
        <f>+IF(AF127&gt;0,$K127*(1-$BE127)-SUM($DJ127:DP127),DH127)</f>
        <v>0</v>
      </c>
      <c r="DZ127" s="54">
        <f t="shared" si="513"/>
        <v>0</v>
      </c>
      <c r="EA127" s="54">
        <f t="shared" si="514"/>
        <v>0</v>
      </c>
      <c r="EB127" s="54">
        <f t="shared" si="515"/>
        <v>0</v>
      </c>
      <c r="EC127" s="54">
        <f t="shared" si="516"/>
        <v>0</v>
      </c>
      <c r="ED127" s="54">
        <f t="shared" si="517"/>
        <v>0</v>
      </c>
      <c r="EE127" s="54">
        <f t="shared" si="518"/>
        <v>0</v>
      </c>
      <c r="EF127" s="54">
        <f t="shared" si="519"/>
        <v>0</v>
      </c>
      <c r="EH127" s="54">
        <f t="shared" si="520"/>
        <v>0</v>
      </c>
      <c r="EI127" s="54">
        <f t="shared" si="521"/>
        <v>0</v>
      </c>
      <c r="EJ127" s="54">
        <f t="shared" si="522"/>
        <v>0</v>
      </c>
      <c r="EK127" s="54">
        <f t="shared" si="523"/>
        <v>0</v>
      </c>
      <c r="EL127" s="54">
        <f t="shared" si="524"/>
        <v>0</v>
      </c>
      <c r="EM127" s="54">
        <f t="shared" si="525"/>
        <v>0</v>
      </c>
      <c r="EN127" s="54">
        <f t="shared" si="526"/>
        <v>0</v>
      </c>
      <c r="EP127" s="52">
        <f t="shared" ca="1" si="242"/>
        <v>0</v>
      </c>
      <c r="EQ127" s="52">
        <f t="shared" ca="1" si="243"/>
        <v>0</v>
      </c>
      <c r="ER127" s="52">
        <f t="shared" ca="1" si="244"/>
        <v>0</v>
      </c>
      <c r="ES127" s="52">
        <f t="shared" ca="1" si="245"/>
        <v>0</v>
      </c>
      <c r="ET127" s="52">
        <f t="shared" ca="1" si="246"/>
        <v>0</v>
      </c>
      <c r="EU127" s="52">
        <f t="shared" ca="1" si="247"/>
        <v>0</v>
      </c>
      <c r="EV127" s="52">
        <f t="shared" ca="1" si="527"/>
        <v>0</v>
      </c>
      <c r="EX127" s="52">
        <f t="shared" ca="1" si="249"/>
        <v>0</v>
      </c>
      <c r="EY127" s="52">
        <f t="shared" ca="1" si="250"/>
        <v>0</v>
      </c>
      <c r="EZ127" s="52">
        <f t="shared" ca="1" si="251"/>
        <v>0</v>
      </c>
      <c r="FA127" s="52">
        <f t="shared" ca="1" si="252"/>
        <v>0</v>
      </c>
      <c r="FB127" s="52">
        <f t="shared" ca="1" si="253"/>
        <v>0</v>
      </c>
      <c r="FC127" s="52">
        <f t="shared" ca="1" si="254"/>
        <v>0</v>
      </c>
      <c r="FD127" s="52">
        <f t="shared" ca="1" si="255"/>
        <v>0</v>
      </c>
      <c r="FF127" s="82">
        <f t="shared" si="528"/>
        <v>0</v>
      </c>
      <c r="FG127" s="82">
        <f t="shared" si="529"/>
        <v>0</v>
      </c>
      <c r="FH127" s="82">
        <f t="shared" si="530"/>
        <v>0</v>
      </c>
      <c r="FI127" s="82">
        <f t="shared" si="531"/>
        <v>0</v>
      </c>
      <c r="FJ127" s="82">
        <f t="shared" si="532"/>
        <v>0</v>
      </c>
      <c r="FK127" s="82">
        <f t="shared" si="533"/>
        <v>0</v>
      </c>
      <c r="FL127" s="82">
        <f t="shared" si="534"/>
        <v>0</v>
      </c>
      <c r="FM127" s="51">
        <v>0</v>
      </c>
      <c r="FN127" s="82">
        <v>0</v>
      </c>
      <c r="FO127" s="82">
        <f t="shared" si="442"/>
        <v>0</v>
      </c>
      <c r="FP127" s="82">
        <f t="shared" si="535"/>
        <v>0</v>
      </c>
      <c r="FQ127" s="82">
        <f t="shared" si="536"/>
        <v>0</v>
      </c>
      <c r="FR127" s="82">
        <f t="shared" si="537"/>
        <v>0</v>
      </c>
      <c r="FS127" s="82">
        <f t="shared" si="538"/>
        <v>0</v>
      </c>
      <c r="FT127" s="82">
        <f t="shared" si="539"/>
        <v>0</v>
      </c>
      <c r="FV127" s="82">
        <f t="shared" si="443"/>
        <v>9</v>
      </c>
      <c r="FW127" s="82">
        <f t="shared" si="444"/>
        <v>9</v>
      </c>
      <c r="FX127" s="82">
        <f t="shared" si="445"/>
        <v>9</v>
      </c>
      <c r="FY127" s="82">
        <f t="shared" si="446"/>
        <v>9</v>
      </c>
      <c r="FZ127" s="82">
        <f t="shared" si="447"/>
        <v>9</v>
      </c>
      <c r="GA127" s="82">
        <f t="shared" si="448"/>
        <v>1.9804590249049414</v>
      </c>
      <c r="GB127" s="82">
        <f t="shared" si="449"/>
        <v>1.9804590249049414</v>
      </c>
    </row>
    <row r="128" spans="2:184" x14ac:dyDescent="0.2">
      <c r="B128" s="402" t="str">
        <f>$B103</f>
        <v>–</v>
      </c>
      <c r="C128" s="394" t="str">
        <f>"BESS — co-located with "&amp;$C103</f>
        <v>BESS — co-located with ACME Alpha Renewables Pvt Ltd</v>
      </c>
      <c r="D128" s="395" t="s">
        <v>411</v>
      </c>
      <c r="E128" s="395" t="str">
        <f>$E103</f>
        <v>LoA Awarded</v>
      </c>
      <c r="F128" s="397">
        <f>IF($D103="FDRE",$F103*$S$4,IF($D103="Hybrid",$F103*$S$5,0))</f>
        <v>150</v>
      </c>
      <c r="G128" s="399">
        <f t="shared" si="430"/>
        <v>46751</v>
      </c>
      <c r="H128" s="399">
        <f>$H103</f>
        <v>47026</v>
      </c>
      <c r="I128" s="369">
        <f t="shared" si="167"/>
        <v>2029</v>
      </c>
      <c r="J128" s="367">
        <v>0</v>
      </c>
      <c r="K128" s="370">
        <f t="shared" si="168"/>
        <v>0</v>
      </c>
      <c r="L128" s="368">
        <v>0.12</v>
      </c>
      <c r="M128" s="368">
        <v>0.25</v>
      </c>
      <c r="N128" s="404"/>
      <c r="O128" s="462">
        <f t="shared" si="431"/>
        <v>0</v>
      </c>
      <c r="P128" s="54">
        <f t="shared" si="540"/>
        <v>0</v>
      </c>
      <c r="Q128" s="54">
        <f t="shared" si="540"/>
        <v>0</v>
      </c>
      <c r="R128" s="54">
        <f t="shared" si="540"/>
        <v>0</v>
      </c>
      <c r="S128" s="54">
        <f t="shared" si="540"/>
        <v>0</v>
      </c>
      <c r="T128" s="54">
        <f t="shared" si="540"/>
        <v>0</v>
      </c>
      <c r="U128" s="54">
        <f t="shared" si="540"/>
        <v>182</v>
      </c>
      <c r="V128" s="54">
        <f t="shared" si="540"/>
        <v>365</v>
      </c>
      <c r="W128" s="54">
        <f t="shared" si="540"/>
        <v>365</v>
      </c>
      <c r="Y128" s="54">
        <f t="shared" si="450"/>
        <v>0</v>
      </c>
      <c r="Z128" s="54">
        <f t="shared" si="451"/>
        <v>0</v>
      </c>
      <c r="AA128" s="54">
        <f t="shared" si="452"/>
        <v>0</v>
      </c>
      <c r="AB128" s="54">
        <f t="shared" si="453"/>
        <v>0</v>
      </c>
      <c r="AC128" s="54">
        <f t="shared" si="454"/>
        <v>0</v>
      </c>
      <c r="AD128" s="54">
        <f t="shared" si="455"/>
        <v>1</v>
      </c>
      <c r="AE128" s="54">
        <f t="shared" si="456"/>
        <v>2</v>
      </c>
      <c r="AF128" s="54">
        <f t="shared" si="457"/>
        <v>3</v>
      </c>
      <c r="AG128" s="444"/>
      <c r="AH128" s="48">
        <f t="shared" si="458"/>
        <v>0</v>
      </c>
      <c r="AI128" s="48">
        <f t="shared" si="459"/>
        <v>0</v>
      </c>
      <c r="AJ128" s="48">
        <f t="shared" si="460"/>
        <v>0</v>
      </c>
      <c r="AK128" s="48">
        <f t="shared" si="461"/>
        <v>0</v>
      </c>
      <c r="AL128" s="48">
        <f t="shared" si="462"/>
        <v>150</v>
      </c>
      <c r="AM128" s="48">
        <f t="shared" si="463"/>
        <v>150</v>
      </c>
      <c r="AN128" s="48">
        <f t="shared" si="464"/>
        <v>150</v>
      </c>
      <c r="AP128" s="61">
        <v>3.8362500000000008E-2</v>
      </c>
      <c r="AQ128" s="61">
        <v>3.8362500000000008E-2</v>
      </c>
      <c r="AR128" s="61">
        <v>3.8362500000000008E-2</v>
      </c>
      <c r="AS128" s="61">
        <v>3.8362500000000008E-2</v>
      </c>
      <c r="AT128" s="61">
        <v>3.8362500000000008E-2</v>
      </c>
      <c r="AU128" s="61">
        <v>3.8362500000000008E-2</v>
      </c>
      <c r="AV128" s="61">
        <v>3.8362500000000008E-2</v>
      </c>
      <c r="AX128" s="52">
        <f t="shared" si="465"/>
        <v>0</v>
      </c>
      <c r="AY128" s="52">
        <f t="shared" si="466"/>
        <v>0</v>
      </c>
      <c r="AZ128" s="52">
        <f t="shared" si="467"/>
        <v>0</v>
      </c>
      <c r="BA128" s="52">
        <f t="shared" si="468"/>
        <v>0</v>
      </c>
      <c r="BB128" s="52">
        <f t="shared" si="469"/>
        <v>25.152325828767129</v>
      </c>
      <c r="BC128" s="52">
        <f t="shared" si="470"/>
        <v>50.442851250000011</v>
      </c>
      <c r="BD128" s="52">
        <f t="shared" si="471"/>
        <v>50.442851250000011</v>
      </c>
      <c r="BE128" s="57">
        <v>0.2</v>
      </c>
      <c r="BF128" s="52">
        <f t="shared" si="472"/>
        <v>0</v>
      </c>
      <c r="BG128" s="82">
        <f t="shared" si="473"/>
        <v>0</v>
      </c>
      <c r="BH128" s="82">
        <f t="shared" si="474"/>
        <v>0</v>
      </c>
      <c r="BI128" s="52">
        <f t="shared" si="475"/>
        <v>0</v>
      </c>
      <c r="BJ128" s="52">
        <f t="shared" si="476"/>
        <v>0</v>
      </c>
      <c r="BK128" s="52">
        <f t="shared" si="477"/>
        <v>0</v>
      </c>
      <c r="BL128" s="52">
        <f t="shared" si="478"/>
        <v>0</v>
      </c>
      <c r="BM128" s="297">
        <f t="shared" si="366"/>
        <v>0.05</v>
      </c>
      <c r="BN128" s="69">
        <f t="shared" si="479"/>
        <v>0</v>
      </c>
      <c r="BO128" s="69">
        <f t="shared" si="480"/>
        <v>0</v>
      </c>
      <c r="BP128" s="69">
        <f t="shared" si="481"/>
        <v>0</v>
      </c>
      <c r="BQ128" s="69">
        <f t="shared" si="482"/>
        <v>0</v>
      </c>
      <c r="BR128" s="69">
        <f t="shared" si="483"/>
        <v>0</v>
      </c>
      <c r="BS128" s="69">
        <f t="shared" si="484"/>
        <v>0</v>
      </c>
      <c r="BT128" s="69">
        <f t="shared" si="485"/>
        <v>0</v>
      </c>
      <c r="BV128" s="52">
        <f t="shared" si="486"/>
        <v>0</v>
      </c>
      <c r="BW128" s="52">
        <f t="shared" si="487"/>
        <v>0</v>
      </c>
      <c r="BX128" s="52">
        <f t="shared" si="488"/>
        <v>0</v>
      </c>
      <c r="BY128" s="52">
        <f t="shared" si="489"/>
        <v>92</v>
      </c>
      <c r="BZ128" s="52">
        <f t="shared" si="490"/>
        <v>183</v>
      </c>
      <c r="CA128" s="52">
        <f t="shared" si="491"/>
        <v>0</v>
      </c>
      <c r="CB128" s="52">
        <f t="shared" si="492"/>
        <v>0</v>
      </c>
      <c r="CC128" s="107">
        <v>0</v>
      </c>
      <c r="CD128" s="61">
        <v>0</v>
      </c>
      <c r="CE128" s="61">
        <f t="shared" si="541"/>
        <v>-0.2</v>
      </c>
      <c r="CF128" s="61">
        <f t="shared" si="493"/>
        <v>0.43454545454545457</v>
      </c>
      <c r="CG128" s="61">
        <f t="shared" si="542"/>
        <v>0.76545454545454539</v>
      </c>
      <c r="CH128" s="61">
        <f t="shared" si="432"/>
        <v>0</v>
      </c>
      <c r="CI128" s="61">
        <f t="shared" si="433"/>
        <v>0</v>
      </c>
      <c r="CJ128" s="61">
        <f t="shared" si="434"/>
        <v>1</v>
      </c>
      <c r="CK128" s="4"/>
      <c r="CL128" s="54">
        <f t="shared" si="435"/>
        <v>0</v>
      </c>
      <c r="CM128" s="54">
        <f t="shared" si="436"/>
        <v>0</v>
      </c>
      <c r="CN128" s="54">
        <f t="shared" si="437"/>
        <v>0</v>
      </c>
      <c r="CO128" s="54">
        <f t="shared" si="438"/>
        <v>0</v>
      </c>
      <c r="CP128" s="54">
        <f t="shared" si="439"/>
        <v>0</v>
      </c>
      <c r="CQ128" s="54">
        <f t="shared" si="440"/>
        <v>0</v>
      </c>
      <c r="CR128" s="54">
        <f t="shared" si="441"/>
        <v>0</v>
      </c>
      <c r="CT128" s="54">
        <f t="shared" si="494"/>
        <v>0</v>
      </c>
      <c r="CU128" s="54">
        <f t="shared" si="495"/>
        <v>0</v>
      </c>
      <c r="CV128" s="54">
        <f t="shared" si="496"/>
        <v>0</v>
      </c>
      <c r="CW128" s="54">
        <f t="shared" si="497"/>
        <v>0</v>
      </c>
      <c r="CX128" s="54">
        <f t="shared" si="498"/>
        <v>0</v>
      </c>
      <c r="CY128" s="54">
        <f t="shared" si="499"/>
        <v>0</v>
      </c>
      <c r="CZ128" s="54">
        <f t="shared" si="213"/>
        <v>0</v>
      </c>
      <c r="DB128" s="54">
        <f t="shared" si="500"/>
        <v>0</v>
      </c>
      <c r="DC128" s="54">
        <f t="shared" si="501"/>
        <v>0</v>
      </c>
      <c r="DD128" s="54">
        <f t="shared" si="502"/>
        <v>0</v>
      </c>
      <c r="DE128" s="54">
        <f t="shared" si="503"/>
        <v>0</v>
      </c>
      <c r="DF128" s="54">
        <f t="shared" si="504"/>
        <v>0</v>
      </c>
      <c r="DG128" s="54">
        <f t="shared" si="505"/>
        <v>0</v>
      </c>
      <c r="DH128" s="54">
        <f t="shared" si="220"/>
        <v>0</v>
      </c>
      <c r="DJ128" s="54">
        <f t="shared" si="506"/>
        <v>0</v>
      </c>
      <c r="DK128" s="54">
        <f t="shared" si="507"/>
        <v>0</v>
      </c>
      <c r="DL128" s="54">
        <f t="shared" si="508"/>
        <v>0</v>
      </c>
      <c r="DM128" s="54">
        <f t="shared" si="509"/>
        <v>0</v>
      </c>
      <c r="DN128" s="54">
        <f t="shared" si="510"/>
        <v>0</v>
      </c>
      <c r="DO128" s="54">
        <f t="shared" si="511"/>
        <v>0</v>
      </c>
      <c r="DP128" s="54">
        <f t="shared" si="512"/>
        <v>0</v>
      </c>
      <c r="DR128" s="54">
        <f>+IF(Z128&gt;0,$K128*(1-$BE128)-SUM($DJ128:DJ128),DB128)</f>
        <v>0</v>
      </c>
      <c r="DS128" s="54">
        <f>+IF(AA128&gt;0,$K128*(1-$BE128)-SUM($DJ128:DK128),DC128)</f>
        <v>0</v>
      </c>
      <c r="DT128" s="54">
        <f>+IF(AB128&gt;0,$K128*(1-$BE128)-SUM($DJ128:DL128),DD128)</f>
        <v>0</v>
      </c>
      <c r="DU128" s="54">
        <f>+IF(AC128&gt;0,$K128*(1-$BE128)-SUM($DJ128:DM128),DE128)</f>
        <v>0</v>
      </c>
      <c r="DV128" s="54">
        <f>+IF(AD128&gt;0,$K128*(1-$BE128)-SUM($DJ128:DN128),DF128)</f>
        <v>0</v>
      </c>
      <c r="DW128" s="54">
        <f>+IF(AE128&gt;0,$K128*(1-$BE128)-SUM($DJ128:DO128),DG128)</f>
        <v>0</v>
      </c>
      <c r="DX128" s="54">
        <f>+IF(AF128&gt;0,$K128*(1-$BE128)-SUM($DJ128:DP128),DH128)</f>
        <v>0</v>
      </c>
      <c r="DZ128" s="54">
        <f t="shared" si="513"/>
        <v>0</v>
      </c>
      <c r="EA128" s="54">
        <f t="shared" si="514"/>
        <v>0</v>
      </c>
      <c r="EB128" s="54">
        <f t="shared" si="515"/>
        <v>0</v>
      </c>
      <c r="EC128" s="54">
        <f t="shared" si="516"/>
        <v>0</v>
      </c>
      <c r="ED128" s="54">
        <f t="shared" si="517"/>
        <v>0</v>
      </c>
      <c r="EE128" s="54">
        <f t="shared" si="518"/>
        <v>0</v>
      </c>
      <c r="EF128" s="54">
        <f t="shared" si="519"/>
        <v>0</v>
      </c>
      <c r="EH128" s="54">
        <f t="shared" si="520"/>
        <v>0</v>
      </c>
      <c r="EI128" s="54">
        <f t="shared" si="521"/>
        <v>0</v>
      </c>
      <c r="EJ128" s="54">
        <f t="shared" si="522"/>
        <v>0</v>
      </c>
      <c r="EK128" s="54">
        <f t="shared" si="523"/>
        <v>0</v>
      </c>
      <c r="EL128" s="54">
        <f t="shared" si="524"/>
        <v>0</v>
      </c>
      <c r="EM128" s="54">
        <f t="shared" si="525"/>
        <v>0</v>
      </c>
      <c r="EN128" s="54">
        <f t="shared" si="526"/>
        <v>0</v>
      </c>
      <c r="EP128" s="52">
        <f t="shared" ca="1" si="242"/>
        <v>0</v>
      </c>
      <c r="EQ128" s="52">
        <f t="shared" ca="1" si="243"/>
        <v>0</v>
      </c>
      <c r="ER128" s="52">
        <f t="shared" ca="1" si="244"/>
        <v>0</v>
      </c>
      <c r="ES128" s="52">
        <f t="shared" ca="1" si="245"/>
        <v>0</v>
      </c>
      <c r="ET128" s="52">
        <f t="shared" ca="1" si="246"/>
        <v>0</v>
      </c>
      <c r="EU128" s="52">
        <f t="shared" ca="1" si="247"/>
        <v>0</v>
      </c>
      <c r="EV128" s="52">
        <f t="shared" ca="1" si="527"/>
        <v>0</v>
      </c>
      <c r="EX128" s="52">
        <f t="shared" ca="1" si="249"/>
        <v>0</v>
      </c>
      <c r="EY128" s="52">
        <f t="shared" ca="1" si="250"/>
        <v>0</v>
      </c>
      <c r="EZ128" s="52">
        <f t="shared" ca="1" si="251"/>
        <v>0</v>
      </c>
      <c r="FA128" s="52">
        <f t="shared" ca="1" si="252"/>
        <v>0</v>
      </c>
      <c r="FB128" s="52">
        <f t="shared" ca="1" si="253"/>
        <v>0</v>
      </c>
      <c r="FC128" s="52">
        <f t="shared" ca="1" si="254"/>
        <v>0</v>
      </c>
      <c r="FD128" s="52">
        <f t="shared" ca="1" si="255"/>
        <v>0</v>
      </c>
      <c r="FF128" s="82">
        <f t="shared" si="528"/>
        <v>0</v>
      </c>
      <c r="FG128" s="82">
        <f t="shared" si="529"/>
        <v>0</v>
      </c>
      <c r="FH128" s="82">
        <f t="shared" si="530"/>
        <v>0</v>
      </c>
      <c r="FI128" s="82">
        <f t="shared" si="531"/>
        <v>0</v>
      </c>
      <c r="FJ128" s="82">
        <f t="shared" si="532"/>
        <v>0</v>
      </c>
      <c r="FK128" s="82">
        <f t="shared" si="533"/>
        <v>0</v>
      </c>
      <c r="FL128" s="82">
        <f t="shared" si="534"/>
        <v>0</v>
      </c>
      <c r="FM128" s="51">
        <v>0</v>
      </c>
      <c r="FN128" s="82">
        <v>0</v>
      </c>
      <c r="FO128" s="82">
        <f t="shared" si="442"/>
        <v>0</v>
      </c>
      <c r="FP128" s="82">
        <f t="shared" si="535"/>
        <v>0</v>
      </c>
      <c r="FQ128" s="82">
        <f t="shared" si="536"/>
        <v>0</v>
      </c>
      <c r="FR128" s="82">
        <f t="shared" si="537"/>
        <v>0</v>
      </c>
      <c r="FS128" s="82">
        <f t="shared" si="538"/>
        <v>0</v>
      </c>
      <c r="FT128" s="82">
        <f t="shared" si="539"/>
        <v>0</v>
      </c>
      <c r="FV128" s="82">
        <f t="shared" si="443"/>
        <v>9</v>
      </c>
      <c r="FW128" s="82">
        <f t="shared" si="444"/>
        <v>9</v>
      </c>
      <c r="FX128" s="82">
        <f t="shared" si="445"/>
        <v>9</v>
      </c>
      <c r="FY128" s="82">
        <f t="shared" si="446"/>
        <v>9</v>
      </c>
      <c r="FZ128" s="82">
        <f t="shared" si="447"/>
        <v>9</v>
      </c>
      <c r="GA128" s="82">
        <f t="shared" si="448"/>
        <v>1.9804590249049414</v>
      </c>
      <c r="GB128" s="82">
        <f t="shared" si="449"/>
        <v>1.9804590249049414</v>
      </c>
    </row>
    <row r="129" spans="2:184" x14ac:dyDescent="0.2">
      <c r="B129" s="402" t="str">
        <f>$B105</f>
        <v>–</v>
      </c>
      <c r="C129" s="394" t="str">
        <f>"BESS — co-located with "&amp;$C105</f>
        <v>BESS — co-located with ACME Marigold Urja Pvt Ltd (NTPC)</v>
      </c>
      <c r="D129" s="395" t="s">
        <v>411</v>
      </c>
      <c r="E129" s="395" t="str">
        <f>$E105</f>
        <v>LoA Awarded</v>
      </c>
      <c r="F129" s="397">
        <f>IF($D105="FDRE",$F105*$S$4,IF($D105="Hybrid",$F105*$S$5,0))</f>
        <v>1600</v>
      </c>
      <c r="G129" s="399">
        <f t="shared" si="430"/>
        <v>46843</v>
      </c>
      <c r="H129" s="399">
        <f>$H105</f>
        <v>47118</v>
      </c>
      <c r="I129" s="369">
        <f t="shared" si="167"/>
        <v>2029</v>
      </c>
      <c r="J129" s="367">
        <v>0</v>
      </c>
      <c r="K129" s="370">
        <f t="shared" si="168"/>
        <v>0</v>
      </c>
      <c r="L129" s="368">
        <v>0.12</v>
      </c>
      <c r="M129" s="368">
        <v>0.25</v>
      </c>
      <c r="N129" s="404"/>
      <c r="O129" s="462">
        <f t="shared" si="431"/>
        <v>0</v>
      </c>
      <c r="P129" s="54">
        <f t="shared" si="540"/>
        <v>0</v>
      </c>
      <c r="Q129" s="54">
        <f t="shared" si="540"/>
        <v>0</v>
      </c>
      <c r="R129" s="54">
        <f t="shared" si="540"/>
        <v>0</v>
      </c>
      <c r="S129" s="54">
        <f t="shared" si="540"/>
        <v>0</v>
      </c>
      <c r="T129" s="54">
        <f t="shared" si="540"/>
        <v>0</v>
      </c>
      <c r="U129" s="54">
        <f t="shared" si="540"/>
        <v>90</v>
      </c>
      <c r="V129" s="54">
        <f t="shared" si="540"/>
        <v>365</v>
      </c>
      <c r="W129" s="54">
        <f t="shared" si="540"/>
        <v>365</v>
      </c>
      <c r="Y129" s="54">
        <f t="shared" si="450"/>
        <v>0</v>
      </c>
      <c r="Z129" s="54">
        <f t="shared" si="451"/>
        <v>0</v>
      </c>
      <c r="AA129" s="54">
        <f t="shared" si="452"/>
        <v>0</v>
      </c>
      <c r="AB129" s="54">
        <f t="shared" si="453"/>
        <v>0</v>
      </c>
      <c r="AC129" s="54">
        <f t="shared" si="454"/>
        <v>0</v>
      </c>
      <c r="AD129" s="54">
        <f t="shared" si="455"/>
        <v>1</v>
      </c>
      <c r="AE129" s="54">
        <f t="shared" si="456"/>
        <v>2</v>
      </c>
      <c r="AF129" s="54">
        <f t="shared" si="457"/>
        <v>3</v>
      </c>
      <c r="AG129" s="444"/>
      <c r="AH129" s="48">
        <f t="shared" si="458"/>
        <v>0</v>
      </c>
      <c r="AI129" s="48">
        <f t="shared" si="459"/>
        <v>0</v>
      </c>
      <c r="AJ129" s="48">
        <f t="shared" si="460"/>
        <v>0</v>
      </c>
      <c r="AK129" s="48">
        <f t="shared" si="461"/>
        <v>0</v>
      </c>
      <c r="AL129" s="48">
        <f t="shared" si="462"/>
        <v>1600</v>
      </c>
      <c r="AM129" s="48">
        <f t="shared" si="463"/>
        <v>1600</v>
      </c>
      <c r="AN129" s="48">
        <f t="shared" si="464"/>
        <v>1600</v>
      </c>
      <c r="AP129" s="61">
        <v>3.8362500000000008E-2</v>
      </c>
      <c r="AQ129" s="61">
        <v>3.8362500000000008E-2</v>
      </c>
      <c r="AR129" s="61">
        <v>3.8362500000000008E-2</v>
      </c>
      <c r="AS129" s="61">
        <v>3.8362500000000008E-2</v>
      </c>
      <c r="AT129" s="61">
        <v>3.8362500000000008E-2</v>
      </c>
      <c r="AU129" s="61">
        <v>3.8362500000000008E-2</v>
      </c>
      <c r="AV129" s="61">
        <v>3.8362500000000008E-2</v>
      </c>
      <c r="AX129" s="52">
        <f t="shared" si="465"/>
        <v>0</v>
      </c>
      <c r="AY129" s="52">
        <f t="shared" si="466"/>
        <v>0</v>
      </c>
      <c r="AZ129" s="52">
        <f t="shared" si="467"/>
        <v>0</v>
      </c>
      <c r="BA129" s="52">
        <f t="shared" si="468"/>
        <v>0</v>
      </c>
      <c r="BB129" s="52">
        <f t="shared" si="469"/>
        <v>132.67160876712333</v>
      </c>
      <c r="BC129" s="52">
        <f t="shared" si="470"/>
        <v>538.05708000000016</v>
      </c>
      <c r="BD129" s="52">
        <f t="shared" si="471"/>
        <v>538.05708000000016</v>
      </c>
      <c r="BE129" s="57">
        <v>0.2</v>
      </c>
      <c r="BF129" s="52">
        <f t="shared" si="472"/>
        <v>0</v>
      </c>
      <c r="BG129" s="82">
        <f t="shared" si="473"/>
        <v>0</v>
      </c>
      <c r="BH129" s="82">
        <f t="shared" si="474"/>
        <v>0</v>
      </c>
      <c r="BI129" s="52">
        <f t="shared" si="475"/>
        <v>0</v>
      </c>
      <c r="BJ129" s="52">
        <f t="shared" si="476"/>
        <v>0</v>
      </c>
      <c r="BK129" s="52">
        <f t="shared" si="477"/>
        <v>0</v>
      </c>
      <c r="BL129" s="52">
        <f t="shared" si="478"/>
        <v>0</v>
      </c>
      <c r="BM129" s="297">
        <f t="shared" si="366"/>
        <v>0.05</v>
      </c>
      <c r="BN129" s="69">
        <f t="shared" si="479"/>
        <v>0</v>
      </c>
      <c r="BO129" s="69">
        <f t="shared" si="480"/>
        <v>0</v>
      </c>
      <c r="BP129" s="69">
        <f t="shared" si="481"/>
        <v>0</v>
      </c>
      <c r="BQ129" s="69">
        <f t="shared" si="482"/>
        <v>0</v>
      </c>
      <c r="BR129" s="69">
        <f t="shared" si="483"/>
        <v>0</v>
      </c>
      <c r="BS129" s="69">
        <f t="shared" si="484"/>
        <v>0</v>
      </c>
      <c r="BT129" s="69">
        <f t="shared" si="485"/>
        <v>0</v>
      </c>
      <c r="BV129" s="52">
        <f t="shared" si="486"/>
        <v>0</v>
      </c>
      <c r="BW129" s="52">
        <f t="shared" si="487"/>
        <v>0</v>
      </c>
      <c r="BX129" s="52">
        <f t="shared" si="488"/>
        <v>0</v>
      </c>
      <c r="BY129" s="52">
        <f t="shared" si="489"/>
        <v>0</v>
      </c>
      <c r="BZ129" s="52">
        <f t="shared" si="490"/>
        <v>275</v>
      </c>
      <c r="CA129" s="52">
        <f t="shared" si="491"/>
        <v>0</v>
      </c>
      <c r="CB129" s="52">
        <f t="shared" si="492"/>
        <v>0</v>
      </c>
      <c r="CC129" s="107">
        <v>0</v>
      </c>
      <c r="CD129" s="61">
        <v>0</v>
      </c>
      <c r="CE129" s="61">
        <f t="shared" si="541"/>
        <v>-0.2</v>
      </c>
      <c r="CF129" s="61">
        <f t="shared" si="493"/>
        <v>0.1</v>
      </c>
      <c r="CG129" s="61">
        <f t="shared" si="542"/>
        <v>1.1000000000000001</v>
      </c>
      <c r="CH129" s="61">
        <f t="shared" si="432"/>
        <v>0</v>
      </c>
      <c r="CI129" s="61">
        <f t="shared" si="433"/>
        <v>0</v>
      </c>
      <c r="CJ129" s="61">
        <f t="shared" si="434"/>
        <v>1</v>
      </c>
      <c r="CK129" s="4"/>
      <c r="CL129" s="54">
        <f t="shared" si="435"/>
        <v>0</v>
      </c>
      <c r="CM129" s="54">
        <f t="shared" si="436"/>
        <v>0</v>
      </c>
      <c r="CN129" s="54">
        <f t="shared" si="437"/>
        <v>0</v>
      </c>
      <c r="CO129" s="54">
        <f t="shared" si="438"/>
        <v>0</v>
      </c>
      <c r="CP129" s="54">
        <f t="shared" si="439"/>
        <v>0</v>
      </c>
      <c r="CQ129" s="54">
        <f t="shared" si="440"/>
        <v>0</v>
      </c>
      <c r="CR129" s="54">
        <f t="shared" si="441"/>
        <v>0</v>
      </c>
      <c r="CT129" s="54">
        <f t="shared" si="494"/>
        <v>0</v>
      </c>
      <c r="CU129" s="54">
        <f t="shared" si="495"/>
        <v>0</v>
      </c>
      <c r="CV129" s="54">
        <f t="shared" si="496"/>
        <v>0</v>
      </c>
      <c r="CW129" s="54">
        <f t="shared" si="497"/>
        <v>0</v>
      </c>
      <c r="CX129" s="54">
        <f t="shared" si="498"/>
        <v>0</v>
      </c>
      <c r="CY129" s="54">
        <f t="shared" si="499"/>
        <v>0</v>
      </c>
      <c r="CZ129" s="54">
        <f t="shared" si="213"/>
        <v>0</v>
      </c>
      <c r="DB129" s="54">
        <f t="shared" si="500"/>
        <v>0</v>
      </c>
      <c r="DC129" s="54">
        <f t="shared" si="501"/>
        <v>0</v>
      </c>
      <c r="DD129" s="54">
        <f t="shared" si="502"/>
        <v>0</v>
      </c>
      <c r="DE129" s="54">
        <f t="shared" si="503"/>
        <v>0</v>
      </c>
      <c r="DF129" s="54">
        <f t="shared" si="504"/>
        <v>0</v>
      </c>
      <c r="DG129" s="54">
        <f t="shared" si="505"/>
        <v>0</v>
      </c>
      <c r="DH129" s="54">
        <f t="shared" si="220"/>
        <v>0</v>
      </c>
      <c r="DJ129" s="54">
        <f t="shared" si="506"/>
        <v>0</v>
      </c>
      <c r="DK129" s="54">
        <f t="shared" si="507"/>
        <v>0</v>
      </c>
      <c r="DL129" s="54">
        <f t="shared" si="508"/>
        <v>0</v>
      </c>
      <c r="DM129" s="54">
        <f t="shared" si="509"/>
        <v>0</v>
      </c>
      <c r="DN129" s="54">
        <f t="shared" si="510"/>
        <v>0</v>
      </c>
      <c r="DO129" s="54">
        <f t="shared" si="511"/>
        <v>0</v>
      </c>
      <c r="DP129" s="54">
        <f t="shared" si="512"/>
        <v>0</v>
      </c>
      <c r="DR129" s="54">
        <f>+IF(Z129&gt;0,$K129*(1-$BE129)-SUM($DJ129:DJ129),DB129)</f>
        <v>0</v>
      </c>
      <c r="DS129" s="54">
        <f>+IF(AA129&gt;0,$K129*(1-$BE129)-SUM($DJ129:DK129),DC129)</f>
        <v>0</v>
      </c>
      <c r="DT129" s="54">
        <f>+IF(AB129&gt;0,$K129*(1-$BE129)-SUM($DJ129:DL129),DD129)</f>
        <v>0</v>
      </c>
      <c r="DU129" s="54">
        <f>+IF(AC129&gt;0,$K129*(1-$BE129)-SUM($DJ129:DM129),DE129)</f>
        <v>0</v>
      </c>
      <c r="DV129" s="54">
        <f>+IF(AD129&gt;0,$K129*(1-$BE129)-SUM($DJ129:DN129),DF129)</f>
        <v>0</v>
      </c>
      <c r="DW129" s="54">
        <f>+IF(AE129&gt;0,$K129*(1-$BE129)-SUM($DJ129:DO129),DG129)</f>
        <v>0</v>
      </c>
      <c r="DX129" s="54">
        <f>+IF(AF129&gt;0,$K129*(1-$BE129)-SUM($DJ129:DP129),DH129)</f>
        <v>0</v>
      </c>
      <c r="DZ129" s="54">
        <f t="shared" si="513"/>
        <v>0</v>
      </c>
      <c r="EA129" s="54">
        <f t="shared" si="514"/>
        <v>0</v>
      </c>
      <c r="EB129" s="54">
        <f t="shared" si="515"/>
        <v>0</v>
      </c>
      <c r="EC129" s="54">
        <f t="shared" si="516"/>
        <v>0</v>
      </c>
      <c r="ED129" s="54">
        <f t="shared" si="517"/>
        <v>0</v>
      </c>
      <c r="EE129" s="54">
        <f t="shared" si="518"/>
        <v>0</v>
      </c>
      <c r="EF129" s="54">
        <f t="shared" si="519"/>
        <v>0</v>
      </c>
      <c r="EH129" s="54">
        <f t="shared" si="520"/>
        <v>0</v>
      </c>
      <c r="EI129" s="54">
        <f t="shared" si="521"/>
        <v>0</v>
      </c>
      <c r="EJ129" s="54">
        <f t="shared" si="522"/>
        <v>0</v>
      </c>
      <c r="EK129" s="54">
        <f t="shared" si="523"/>
        <v>0</v>
      </c>
      <c r="EL129" s="54">
        <f t="shared" si="524"/>
        <v>0</v>
      </c>
      <c r="EM129" s="54">
        <f t="shared" si="525"/>
        <v>0</v>
      </c>
      <c r="EN129" s="54">
        <f t="shared" si="526"/>
        <v>0</v>
      </c>
      <c r="EP129" s="52">
        <f t="shared" ca="1" si="242"/>
        <v>0</v>
      </c>
      <c r="EQ129" s="52">
        <f t="shared" ca="1" si="243"/>
        <v>0</v>
      </c>
      <c r="ER129" s="52">
        <f t="shared" ca="1" si="244"/>
        <v>0</v>
      </c>
      <c r="ES129" s="52">
        <f t="shared" ca="1" si="245"/>
        <v>0</v>
      </c>
      <c r="ET129" s="52">
        <f t="shared" ca="1" si="246"/>
        <v>0</v>
      </c>
      <c r="EU129" s="52">
        <f t="shared" ca="1" si="247"/>
        <v>0</v>
      </c>
      <c r="EV129" s="52">
        <f t="shared" ca="1" si="527"/>
        <v>0</v>
      </c>
      <c r="EX129" s="52">
        <f t="shared" ca="1" si="249"/>
        <v>0</v>
      </c>
      <c r="EY129" s="52">
        <f t="shared" ca="1" si="250"/>
        <v>0</v>
      </c>
      <c r="EZ129" s="52">
        <f t="shared" ca="1" si="251"/>
        <v>0</v>
      </c>
      <c r="FA129" s="52">
        <f t="shared" ca="1" si="252"/>
        <v>0</v>
      </c>
      <c r="FB129" s="52">
        <f t="shared" ca="1" si="253"/>
        <v>0</v>
      </c>
      <c r="FC129" s="52">
        <f t="shared" ca="1" si="254"/>
        <v>0</v>
      </c>
      <c r="FD129" s="52">
        <f t="shared" ca="1" si="255"/>
        <v>0</v>
      </c>
      <c r="FF129" s="82">
        <f t="shared" si="528"/>
        <v>0</v>
      </c>
      <c r="FG129" s="82">
        <f t="shared" si="529"/>
        <v>0</v>
      </c>
      <c r="FH129" s="82">
        <f t="shared" si="530"/>
        <v>0</v>
      </c>
      <c r="FI129" s="82">
        <f t="shared" si="531"/>
        <v>0</v>
      </c>
      <c r="FJ129" s="82">
        <f t="shared" si="532"/>
        <v>0</v>
      </c>
      <c r="FK129" s="82">
        <f t="shared" si="533"/>
        <v>0</v>
      </c>
      <c r="FL129" s="82">
        <f t="shared" si="534"/>
        <v>0</v>
      </c>
      <c r="FM129" s="51">
        <v>0</v>
      </c>
      <c r="FN129" s="82">
        <v>0</v>
      </c>
      <c r="FO129" s="82">
        <f t="shared" si="442"/>
        <v>0</v>
      </c>
      <c r="FP129" s="82">
        <f t="shared" si="535"/>
        <v>0</v>
      </c>
      <c r="FQ129" s="82">
        <f t="shared" si="536"/>
        <v>0</v>
      </c>
      <c r="FR129" s="82">
        <f t="shared" si="537"/>
        <v>0</v>
      </c>
      <c r="FS129" s="82">
        <f t="shared" si="538"/>
        <v>0</v>
      </c>
      <c r="FT129" s="82">
        <f t="shared" si="539"/>
        <v>0</v>
      </c>
      <c r="FV129" s="82">
        <f t="shared" si="443"/>
        <v>9</v>
      </c>
      <c r="FW129" s="82">
        <f t="shared" si="444"/>
        <v>9</v>
      </c>
      <c r="FX129" s="82">
        <f t="shared" si="445"/>
        <v>9</v>
      </c>
      <c r="FY129" s="82">
        <f t="shared" si="446"/>
        <v>9</v>
      </c>
      <c r="FZ129" s="82">
        <f t="shared" si="447"/>
        <v>9</v>
      </c>
      <c r="GA129" s="82">
        <f t="shared" si="448"/>
        <v>1.9804590249049414</v>
      </c>
      <c r="GB129" s="82">
        <f t="shared" si="449"/>
        <v>1.9804590249049414</v>
      </c>
    </row>
    <row r="130" spans="2:184" x14ac:dyDescent="0.2">
      <c r="B130" s="402" t="str">
        <f>Key_New!D68</f>
        <v>–</v>
      </c>
      <c r="C130" s="394" t="str">
        <f>Key_New!B68</f>
        <v>Future awards — tranche 1 (modelled)</v>
      </c>
      <c r="D130" s="395" t="str">
        <f>Key_New!E68</f>
        <v>FDRE</v>
      </c>
      <c r="E130" s="395" t="str">
        <f>Key_New!C68</f>
        <v>Future Awards</v>
      </c>
      <c r="F130" s="397">
        <f>Key_New!F68</f>
        <v>800</v>
      </c>
      <c r="G130" s="399">
        <f>IF(NOT(ISNUMBER($H130)),"",IF($H130&lt;=DATE(2026,3,31),$H130,EDATE($H130,-IF($D130="BESS",$S$19,$S$26))))</f>
        <v>46660</v>
      </c>
      <c r="H130" s="399">
        <f>Key_New!O68</f>
        <v>47391</v>
      </c>
      <c r="I130" s="369">
        <f>IF(MONTH(H130)&lt;=3,YEAR(H130),YEAR(H130)+1)</f>
        <v>2030</v>
      </c>
      <c r="J130" s="367">
        <v>110</v>
      </c>
      <c r="K130" s="370">
        <f>J130*F130</f>
        <v>88000</v>
      </c>
      <c r="L130" s="368">
        <v>0.12</v>
      </c>
      <c r="M130" s="368">
        <v>0.25</v>
      </c>
      <c r="N130" s="404">
        <f>Key_New!J68</f>
        <v>4.4000000000000004</v>
      </c>
      <c r="O130" s="462">
        <f t="shared" si="431"/>
        <v>0</v>
      </c>
      <c r="P130" s="54">
        <f t="shared" si="540"/>
        <v>0</v>
      </c>
      <c r="Q130" s="54">
        <f t="shared" si="540"/>
        <v>0</v>
      </c>
      <c r="R130" s="54">
        <f t="shared" si="540"/>
        <v>0</v>
      </c>
      <c r="S130" s="54">
        <f t="shared" si="540"/>
        <v>0</v>
      </c>
      <c r="T130" s="54">
        <f t="shared" si="540"/>
        <v>0</v>
      </c>
      <c r="U130" s="54">
        <f t="shared" si="540"/>
        <v>0</v>
      </c>
      <c r="V130" s="54">
        <f t="shared" si="540"/>
        <v>182</v>
      </c>
      <c r="W130" s="54">
        <f t="shared" si="540"/>
        <v>365</v>
      </c>
      <c r="Y130" s="54">
        <f t="shared" ref="Y130:Y131" si="543">IF(AND(O130=0,P130&gt;0),1,IF(X130=0,0,X130+1))</f>
        <v>0</v>
      </c>
      <c r="Z130" s="54">
        <f t="shared" ref="Z130:Z131" si="544">IF(AND(P130=0,Q130&gt;0),1,IF(Y130=0,0,Y130+1))</f>
        <v>0</v>
      </c>
      <c r="AA130" s="54">
        <f t="shared" ref="AA130:AA131" si="545">IF(AND(Q130=0,R130&gt;0),1,IF(Z130=0,0,Z130+1))</f>
        <v>0</v>
      </c>
      <c r="AB130" s="54">
        <f t="shared" ref="AB130:AB131" si="546">IF(AND(R130=0,S130&gt;0),1,IF(AA130=0,0,AA130+1))</f>
        <v>0</v>
      </c>
      <c r="AC130" s="54">
        <f t="shared" ref="AC130:AC131" si="547">IF(AND(S130=0,T130&gt;0),1,IF(AB130=0,0,AB130+1))</f>
        <v>0</v>
      </c>
      <c r="AD130" s="54">
        <f t="shared" ref="AD130:AD131" si="548">IF(AND(T130=0,U130&gt;0),1,IF(AC130=0,0,AC130+1))</f>
        <v>0</v>
      </c>
      <c r="AE130" s="54">
        <f t="shared" ref="AE130:AE131" si="549">IF(AND(U130=0,V130&gt;0),1,IF(AD130=0,0,AD130+1))</f>
        <v>1</v>
      </c>
      <c r="AF130" s="54">
        <f t="shared" ref="AF130:AF131" si="550">IF(AND(V130=0,W130&gt;0),1,IF(AE130=0,0,AE130+1))</f>
        <v>2</v>
      </c>
      <c r="AG130" s="444"/>
      <c r="AH130" s="48">
        <f t="shared" ref="AH130:AH131" si="551">IF(AND(P130&lt;=0,Q130&gt;0),$F130,IF(P130&gt;0,$F130,0))</f>
        <v>0</v>
      </c>
      <c r="AI130" s="48">
        <f t="shared" ref="AI130:AI131" si="552">IF(AND(Q130&lt;=0,R130&gt;0),$F130,IF(Q130&gt;0,$F130,0))</f>
        <v>0</v>
      </c>
      <c r="AJ130" s="48">
        <f t="shared" ref="AJ130:AJ131" si="553">IF(AND(R130&lt;=0,S130&gt;0),$F130,IF(R130&gt;0,$F130,0))</f>
        <v>0</v>
      </c>
      <c r="AK130" s="48">
        <f t="shared" ref="AK130:AK131" si="554">IF(AND(S130&lt;=0,T130&gt;0),$F130,IF(S130&gt;0,$F130,0))</f>
        <v>0</v>
      </c>
      <c r="AL130" s="48">
        <f t="shared" ref="AL130:AL131" si="555">IF(AND(T130&lt;=0,U130&gt;0),$F130,IF(T130&gt;0,$F130,0))</f>
        <v>0</v>
      </c>
      <c r="AM130" s="48">
        <f t="shared" ref="AM130:AM131" si="556">IF(AND(U130&lt;=0,V130&gt;0),$F130,IF(U130&gt;0,$F130,0))</f>
        <v>800</v>
      </c>
      <c r="AN130" s="48">
        <f t="shared" ref="AN130:AN131" si="557">IF(AND(V130&lt;=0,W130&gt;0),$F130,IF(V130&gt;0,$F130,0))</f>
        <v>800</v>
      </c>
      <c r="AP130" s="61">
        <v>3.8362500000000008E-2</v>
      </c>
      <c r="AQ130" s="61">
        <v>3.8362500000000008E-2</v>
      </c>
      <c r="AR130" s="61">
        <v>3.8362500000000008E-2</v>
      </c>
      <c r="AS130" s="61">
        <v>3.8362500000000008E-2</v>
      </c>
      <c r="AT130" s="61">
        <v>3.8362500000000008E-2</v>
      </c>
      <c r="AU130" s="61">
        <v>3.8362500000000008E-2</v>
      </c>
      <c r="AV130" s="61">
        <v>3.8362500000000008E-2</v>
      </c>
      <c r="AX130" s="52">
        <f t="shared" ref="AX130:AX131" si="558">$F130*8.766*AP130*(Q130/365)</f>
        <v>0</v>
      </c>
      <c r="AY130" s="52">
        <f t="shared" ref="AY130:AY131" si="559">$F130*8.766*AQ130*(R130/365)</f>
        <v>0</v>
      </c>
      <c r="AZ130" s="52">
        <f t="shared" ref="AZ130:AZ131" si="560">$F130*8.766*AR130*(S130/365)</f>
        <v>0</v>
      </c>
      <c r="BA130" s="52">
        <f t="shared" ref="BA130:BA131" si="561">$F130*8.766*AS130*(T130/365)</f>
        <v>0</v>
      </c>
      <c r="BB130" s="52">
        <f t="shared" ref="BB130:BB131" si="562">$F130*8.766*AT130*(U130/365)</f>
        <v>0</v>
      </c>
      <c r="BC130" s="52">
        <f t="shared" ref="BC130:BC131" si="563">$F130*8.766*AU130*(V130/365)</f>
        <v>134.1457377534247</v>
      </c>
      <c r="BD130" s="52">
        <f t="shared" ref="BD130:BD131" si="564">$F130*8.766*AV130*(W130/365)</f>
        <v>269.02854000000008</v>
      </c>
      <c r="BE130" s="57">
        <v>0.2</v>
      </c>
      <c r="BF130" s="52">
        <f t="shared" ref="BF130:BF131" si="565">$BE130*$K130*(Q130/365)*($L130/(1-$M130))</f>
        <v>0</v>
      </c>
      <c r="BG130" s="82">
        <f t="shared" ref="BG130:BG131" si="566">$BE130*$K130*(R130/365)*($L130/(1-$M130))</f>
        <v>0</v>
      </c>
      <c r="BH130" s="82">
        <f t="shared" ref="BH130:BH131" si="567">$BE130*$K130*(S130/365)*($L130/(1-$M130))</f>
        <v>0</v>
      </c>
      <c r="BI130" s="52">
        <f t="shared" ref="BI130:BI131" si="568">$BE130*$K130*(T130/365)*($L130/(1-$M130))</f>
        <v>0</v>
      </c>
      <c r="BJ130" s="52">
        <f t="shared" ref="BJ130:BJ131" si="569">$BE130*$K130*(U130/365)*($L130/(1-$M130))</f>
        <v>0</v>
      </c>
      <c r="BK130" s="52">
        <f t="shared" ref="BK130:BK131" si="570">$BE130*$K130*(V130/365)*($L130/(1-$M130))</f>
        <v>1404.1424657534246</v>
      </c>
      <c r="BL130" s="52">
        <f t="shared" ref="BL130:BL131" si="571">$BE130*$K130*(W130/365)*($L130/(1-$M130))</f>
        <v>2816</v>
      </c>
      <c r="BM130" s="297">
        <f t="shared" si="366"/>
        <v>0.05</v>
      </c>
      <c r="BN130" s="69">
        <f t="shared" ref="BN130:BN131" si="572">$BM130*$K130*(Q130/365)</f>
        <v>0</v>
      </c>
      <c r="BO130" s="69">
        <f t="shared" ref="BO130:BO131" si="573">($BM130*$K130*(R130/365))</f>
        <v>0</v>
      </c>
      <c r="BP130" s="69">
        <f t="shared" ref="BP130:BP131" si="574">$BM130*$K130*(S130/365)</f>
        <v>0</v>
      </c>
      <c r="BQ130" s="69">
        <f t="shared" ref="BQ130:BQ131" si="575">$BM130*$K130*(T130/365)</f>
        <v>0</v>
      </c>
      <c r="BR130" s="69">
        <f t="shared" ref="BR130:BR131" si="576">$BM130*$K130*(U130/365)</f>
        <v>0</v>
      </c>
      <c r="BS130" s="69">
        <f t="shared" ref="BS130:BS131" si="577">$BM130*$K130*(V130/365)</f>
        <v>2193.972602739726</v>
      </c>
      <c r="BT130" s="69">
        <f t="shared" ref="BT130:BT131" si="578">$BM130*$K130*(W130/365)</f>
        <v>4400</v>
      </c>
      <c r="BV130" s="52">
        <f t="shared" ref="BV130:BV131" si="579">IF(AND($H130&gt;BU$49,$H130&lt;=BV$49),IF($G130&gt;BU$49,$H130-$G130,$H130-BU$49),IF($H130&lt;=BU$49,0,IF(AND($G130&gt;BU$49,$G130&lt;=BV$49),BV$49-$G130,IF($G130&gt;BV$49,0,BV$49-BU$49))))</f>
        <v>0</v>
      </c>
      <c r="BW130" s="52">
        <f t="shared" ref="BW130:BW131" si="580">IF(AND($H130&gt;BV$49,$H130&lt;=BW$49),IF($G130&gt;BV$49,$H130-$G130,$H130-BV$49),IF($H130&lt;=BV$49,0,IF(AND($G130&gt;BV$49,$G130&lt;=BW$49),BW$49-$G130,IF($G130&gt;BW$49,0,BW$49-BV$49))))</f>
        <v>0</v>
      </c>
      <c r="BX130" s="52">
        <f t="shared" ref="BX130:BX131" si="581">IF(AND($H130&gt;BW$49,$H130&lt;=BX$49),IF($G130&gt;BW$49,$H130-$G130,$H130-BW$49),IF($H130&lt;=BW$49,0,IF(AND($G130&gt;BW$49,$G130&lt;=BX$49),BX$49-$G130,IF($G130&gt;BX$49,0,BX$49-BW$49))))</f>
        <v>0</v>
      </c>
      <c r="BY130" s="52">
        <f t="shared" ref="BY130:BY131" si="582">IF(AND($H130&gt;BX$49,$H130&lt;=BY$49),IF($G130&gt;BX$49,$H130-$G130,$H130-BX$49),IF($H130&lt;=BX$49,0,IF(AND($G130&gt;BX$49,$G130&lt;=BY$49),BY$49-$G130,IF($G130&gt;BY$49,0,BY$49-BX$49))))</f>
        <v>183</v>
      </c>
      <c r="BZ130" s="52">
        <f t="shared" ref="BZ130:BZ131" si="583">IF(AND($H130&gt;BY$49,$H130&lt;=BZ$49),IF($G130&gt;BY$49,$H130-$G130,$H130-BY$49),IF($H130&lt;=BY$49,0,IF(AND($G130&gt;BY$49,$G130&lt;=BZ$49),BZ$49-$G130,IF($G130&gt;BZ$49,0,BZ$49-BY$49))))</f>
        <v>365</v>
      </c>
      <c r="CA130" s="52">
        <f t="shared" ref="CA130:CA131" si="584">IF(AND($H130&gt;BZ$49,$H130&lt;=CA$49),IF($G130&gt;BZ$49,$H130-$G130,$H130-BZ$49),IF($H130&lt;=BZ$49,0,IF(AND($G130&gt;BZ$49,$G130&lt;=CA$49),CA$49-$G130,IF($G130&gt;CA$49,0,CA$49-BZ$49))))</f>
        <v>183</v>
      </c>
      <c r="CB130" s="52">
        <f t="shared" ref="CB130:CB131" si="585">IF(AND($H130&gt;CA$49,$H130&lt;=CB$49),IF($G130&gt;CA$49,$H130-$G130,$H130-CA$49),IF($H130&lt;=CA$49,0,IF(AND($G130&gt;CA$49,$G130&lt;=CB$49),CB$49-$G130,IF($G130&gt;CB$49,0,CB$49-CA$49))))</f>
        <v>0</v>
      </c>
      <c r="CC130" s="107">
        <v>0</v>
      </c>
      <c r="CD130" s="61">
        <v>0</v>
      </c>
      <c r="CE130" s="61">
        <f t="shared" ref="CE130:CI131" si="586">IF(SUM($BX130:$CB130)=0,0,BX130/SUM($BX130:$CB130)*(1-$O130))</f>
        <v>0</v>
      </c>
      <c r="CF130" s="61">
        <f>IF(SUM($BX130:$CB130)=0,0,BY130/SUM($BX130:$CB130)*(1-$O130))</f>
        <v>0.2503419972640219</v>
      </c>
      <c r="CG130" s="61">
        <f>IF(SUM($BX130:$CB130)=0,0,BZ130/SUM($BX130:$CB130)*(1-$O130))</f>
        <v>0.4993160054719562</v>
      </c>
      <c r="CH130" s="61">
        <f t="shared" si="586"/>
        <v>0.2503419972640219</v>
      </c>
      <c r="CI130" s="61">
        <f t="shared" si="586"/>
        <v>0</v>
      </c>
      <c r="CJ130" s="61">
        <f>$O130+SUM(CC130:CI130)</f>
        <v>1</v>
      </c>
      <c r="CK130" s="4"/>
      <c r="CL130" s="54">
        <f t="shared" ref="CL130:CL131" si="587">IF($K130*CC130&lt;=0,,$K130*CC130)</f>
        <v>0</v>
      </c>
      <c r="CM130" s="54">
        <f t="shared" ref="CM130:CM131" si="588">IF($K130*CD130&lt;=0,,$K130*CD130)</f>
        <v>0</v>
      </c>
      <c r="CN130" s="54">
        <f t="shared" ref="CN130:CN131" si="589">IF($K130*CE130&lt;=0,,$K130*CE130)</f>
        <v>0</v>
      </c>
      <c r="CO130" s="54">
        <f t="shared" ref="CO130:CO131" si="590">IF($K130*CF130&lt;=0,,$K130*CF130)</f>
        <v>22030.095759233925</v>
      </c>
      <c r="CP130" s="54">
        <f t="shared" ref="CP130:CP131" si="591">IF($K130*CG130&lt;=0,,$K130*CG130)</f>
        <v>43939.808481532149</v>
      </c>
      <c r="CQ130" s="54">
        <f t="shared" ref="CQ130:CQ131" si="592">IF($K130*CH130&lt;=0,,$K130*CH130)</f>
        <v>22030.095759233925</v>
      </c>
      <c r="CR130" s="54">
        <f t="shared" ref="CR130:CR131" si="593">IF($K130*CI130&lt;=0,,$K130*CI130)</f>
        <v>0</v>
      </c>
      <c r="CT130" s="54">
        <f t="shared" ref="CT130:CT131" si="594">$BE130*CL130</f>
        <v>0</v>
      </c>
      <c r="CU130" s="54">
        <f t="shared" ref="CU130:CU131" si="595">$BE130*CM130</f>
        <v>0</v>
      </c>
      <c r="CV130" s="54">
        <f t="shared" ref="CV130:CV131" si="596">$BE130*CN130</f>
        <v>0</v>
      </c>
      <c r="CW130" s="54">
        <f t="shared" ref="CW130:CW131" si="597">$BE130*CO130</f>
        <v>4406.0191518467855</v>
      </c>
      <c r="CX130" s="54">
        <f t="shared" ref="CX130:CX131" si="598">$BE130*CP130</f>
        <v>8787.9616963064309</v>
      </c>
      <c r="CY130" s="54">
        <f t="shared" ref="CY130:CY131" si="599">$BE130*CQ130</f>
        <v>4406.0191518467855</v>
      </c>
      <c r="CZ130" s="54">
        <f t="shared" ref="CZ130:CZ131" si="600">$BE130*CR130</f>
        <v>0</v>
      </c>
      <c r="DB130" s="54">
        <f t="shared" ref="DB130:DB131" si="601">CL130-CT130</f>
        <v>0</v>
      </c>
      <c r="DC130" s="54">
        <f t="shared" ref="DC130:DC131" si="602">CM130-CU130</f>
        <v>0</v>
      </c>
      <c r="DD130" s="54">
        <f t="shared" ref="DD130:DD131" si="603">CN130-CV130</f>
        <v>0</v>
      </c>
      <c r="DE130" s="54">
        <f t="shared" ref="DE130:DE131" si="604">CO130-CW130</f>
        <v>17624.076607387142</v>
      </c>
      <c r="DF130" s="54">
        <f t="shared" ref="DF130:DF131" si="605">CP130-CX130</f>
        <v>35151.846785225716</v>
      </c>
      <c r="DG130" s="54">
        <f t="shared" ref="DG130:DG131" si="606">CQ130-CY130</f>
        <v>17624.076607387142</v>
      </c>
      <c r="DH130" s="54">
        <f t="shared" ref="DH130:DH131" si="607">CR130-CZ130</f>
        <v>0</v>
      </c>
      <c r="DJ130" s="54">
        <f t="shared" ref="DJ130:DJ131" si="608">IF(Z130&lt;=26,IF(AND(P130=0,Q130&gt;0),0,IF(Q130&gt;0,($K130*(1-$BE130))/25,0)),0)</f>
        <v>0</v>
      </c>
      <c r="DK130" s="54">
        <f t="shared" ref="DK130:DK131" si="609">IF(AA130&lt;=26,IF(AND(Q130=0,R130&gt;0),0,IF(R130&gt;0,($K130*(1-$BE130))/25,0)),0)</f>
        <v>0</v>
      </c>
      <c r="DL130" s="54">
        <f t="shared" ref="DL130:DL131" si="610">IF(AB130&lt;=26,IF(AND(R130=0,S130&gt;0),0,IF(S130&gt;0,($K130*(1-$BE130))/25,0)),0)</f>
        <v>0</v>
      </c>
      <c r="DM130" s="54">
        <f t="shared" ref="DM130:DM131" si="611">IF(AC130&lt;=26,IF(AND(S130=0,T130&gt;0),0,IF(T130&gt;0,($K130*(1-$BE130))/25,0)),0)</f>
        <v>0</v>
      </c>
      <c r="DN130" s="54">
        <f t="shared" ref="DN130:DN131" si="612">IF(AD130&lt;=26,IF(AND(T130=0,U130&gt;0),0,IF(U130&gt;0,($K130*(1-$BE130))/25,0)),0)</f>
        <v>0</v>
      </c>
      <c r="DO130" s="54">
        <f t="shared" ref="DO130:DO131" si="613">IF(AE130&lt;=26,IF(AND(U130=0,V130&gt;0),0,IF(V130&gt;0,($K130*(1-$BE130))/25,0)),0)</f>
        <v>0</v>
      </c>
      <c r="DP130" s="54">
        <f t="shared" ref="DP130:DP131" si="614">IF(AF130&lt;=26,IF(AND(V130=0,W130&gt;0),0,IF(W130&gt;0,($K130*(1-$BE130))/25,0)),0)</f>
        <v>2816</v>
      </c>
      <c r="DR130" s="54">
        <f>+IF(Z130&gt;0,$K130*(1-$BE130)-SUM($DJ130:DJ130),DB130)</f>
        <v>0</v>
      </c>
      <c r="DS130" s="54">
        <f>+IF(AA130&gt;0,$K130*(1-$BE130)-SUM($DJ130:DK130),DC130)</f>
        <v>0</v>
      </c>
      <c r="DT130" s="54">
        <f>+IF(AB130&gt;0,$K130*(1-$BE130)-SUM($DJ130:DL130),DD130)</f>
        <v>0</v>
      </c>
      <c r="DU130" s="54">
        <f>+IF(AC130&gt;0,$K130*(1-$BE130)-SUM($DJ130:DM130),DE130)</f>
        <v>17624.076607387142</v>
      </c>
      <c r="DV130" s="54">
        <f>+IF(AD130&gt;0,$K130*(1-$BE130)-SUM($DJ130:DN130),DF130)</f>
        <v>35151.846785225716</v>
      </c>
      <c r="DW130" s="54">
        <f>+IF(AE130&gt;0,$K130*(1-$BE130)-SUM($DJ130:DO130),DG130)</f>
        <v>70400</v>
      </c>
      <c r="DX130" s="54">
        <f>+IF(AF130&gt;0,$K130*(1-$BE130)-SUM($DJ130:DP130),DH130)</f>
        <v>67584</v>
      </c>
      <c r="DZ130" s="54">
        <f t="shared" ref="DZ130:DZ131" si="615">DR130*(DZ$51)*(Q130/365)</f>
        <v>0</v>
      </c>
      <c r="EA130" s="54">
        <f t="shared" ref="EA130:EA131" si="616">DS130*(EA$51)*(R130/365)</f>
        <v>0</v>
      </c>
      <c r="EB130" s="54">
        <f t="shared" ref="EB130:EB131" si="617">DT130*(EB$51)*(S130/365)</f>
        <v>0</v>
      </c>
      <c r="EC130" s="54">
        <f t="shared" ref="EC130:EC131" si="618">DU130*(EC$51)*(T130/365)</f>
        <v>0</v>
      </c>
      <c r="ED130" s="54">
        <f t="shared" ref="ED130:ED131" si="619">DV130*(ED$51)*(U130/365)</f>
        <v>0</v>
      </c>
      <c r="EE130" s="54">
        <f t="shared" ref="EE130:EE131" si="620">DW130*(EE$51)*(V130/365)</f>
        <v>3510.3561643835615</v>
      </c>
      <c r="EF130" s="54">
        <f t="shared" ref="EF130:EF131" si="621">DY130*(EF$51)*(W130/365)</f>
        <v>0</v>
      </c>
      <c r="EH130" s="54">
        <f t="shared" ref="EH130:EH131" si="622">$F130*EH$24*(Q130/365)</f>
        <v>0</v>
      </c>
      <c r="EI130" s="54">
        <f t="shared" ref="EI130:EI131" si="623">$F130*EI$24*(R130/365)</f>
        <v>0</v>
      </c>
      <c r="EJ130" s="54">
        <f t="shared" ref="EJ130:EJ131" si="624">$F130*EJ$24*(S130/365)</f>
        <v>0</v>
      </c>
      <c r="EK130" s="54">
        <f t="shared" ref="EK130:EK131" si="625">$F130*EK$24*(T130/365)</f>
        <v>0</v>
      </c>
      <c r="EL130" s="54">
        <f t="shared" ref="EL130:EL131" si="626">$F130*EL$24*(U130/365)</f>
        <v>0</v>
      </c>
      <c r="EM130" s="54">
        <f t="shared" ref="EM130:EM131" si="627">$F130*EM$24*(V130/365)</f>
        <v>0</v>
      </c>
      <c r="EN130" s="54">
        <f t="shared" ref="EN130:EN131" si="628">$F130*EN$24*(W130/365)</f>
        <v>0</v>
      </c>
      <c r="EP130" s="52">
        <f t="shared" ref="EP130:EP131" ca="1" si="629">(((1/12)+15%)*EH130+(45/365)*EX130)*EP$24</f>
        <v>0</v>
      </c>
      <c r="EQ130" s="52">
        <f t="shared" ref="EQ130:EQ131" ca="1" si="630">(((1/12)+15%)*EI130+(45/365)*EY130)*EQ$24</f>
        <v>0</v>
      </c>
      <c r="ER130" s="52">
        <f t="shared" ref="ER130:ER131" ca="1" si="631">(((1/12)+15%)*EJ130+(45/365)*EZ130)*ER$24</f>
        <v>0</v>
      </c>
      <c r="ES130" s="52">
        <f t="shared" ref="ES130:ES131" ca="1" si="632">(((1/12)+15%)*EK130+(45/365)*FA130)*ES$24</f>
        <v>0</v>
      </c>
      <c r="ET130" s="52">
        <f t="shared" ref="ET130:ET131" ca="1" si="633">(((1/12)+15%)*EL130+(45/365)*FB130)*ET$24</f>
        <v>0</v>
      </c>
      <c r="EU130" s="52">
        <f t="shared" ref="EU130:EU131" ca="1" si="634">(((1/12)+15%)*EM130+(45/365)*FC130)*EU$24</f>
        <v>0</v>
      </c>
      <c r="EV130" s="52">
        <f t="shared" ref="EV130:EV131" ca="1" si="635">(((1/12)+15%)*EO130+(45/365)*FD130)*EV$24</f>
        <v>0</v>
      </c>
      <c r="EX130" s="52">
        <f t="shared" ref="EX130:EX131" ca="1" si="636">BF130+BN130+DZ130+EH130+EP130</f>
        <v>0</v>
      </c>
      <c r="EY130" s="52">
        <f t="shared" ref="EY130:EY131" ca="1" si="637">BG130+BO130+EA130+EI130+EQ130</f>
        <v>0</v>
      </c>
      <c r="EZ130" s="52">
        <f t="shared" ref="EZ130:EZ131" ca="1" si="638">BH130+BP130+EB130+EJ130+ER130</f>
        <v>0</v>
      </c>
      <c r="FA130" s="52">
        <f t="shared" ref="FA130:FA131" ca="1" si="639">BI130+BQ130+EC130+EK130+ES130</f>
        <v>0</v>
      </c>
      <c r="FB130" s="52">
        <f t="shared" ref="FB130:FB131" ca="1" si="640">BJ130+BR130+ED130+EL130+ET130</f>
        <v>0</v>
      </c>
      <c r="FC130" s="52">
        <f t="shared" ref="FC130:FC131" ca="1" si="641">BK130+BS130+EE130+EM130+EU130</f>
        <v>7108.4712328767127</v>
      </c>
      <c r="FD130" s="52">
        <f t="shared" ref="FD130:FD131" ca="1" si="642">BL130+BT130+EF130+EN130+EV130</f>
        <v>7216</v>
      </c>
      <c r="FF130" s="82">
        <f t="shared" ref="FF130:FF131" si="643">IF(Z130=1,$K130,)</f>
        <v>0</v>
      </c>
      <c r="FG130" s="82">
        <f t="shared" ref="FG130:FG131" si="644">IF(AA130=1,$K130,)</f>
        <v>0</v>
      </c>
      <c r="FH130" s="82">
        <f t="shared" ref="FH130:FH131" si="645">IF(AB130=1,$K130,)</f>
        <v>0</v>
      </c>
      <c r="FI130" s="82">
        <f t="shared" ref="FI130:FI131" si="646">IF(AC130=1,$K130,)</f>
        <v>0</v>
      </c>
      <c r="FJ130" s="82">
        <f t="shared" ref="FJ130:FJ131" si="647">IF(AD130=1,$K130,)</f>
        <v>0</v>
      </c>
      <c r="FK130" s="82">
        <f t="shared" ref="FK130:FK131" si="648">IF(AE130=1,$K130,)</f>
        <v>88000</v>
      </c>
      <c r="FL130" s="82">
        <f t="shared" ref="FL130:FL131" si="649">IF(AF130=1,$K130,)</f>
        <v>0</v>
      </c>
      <c r="FM130" s="51">
        <v>0</v>
      </c>
      <c r="FN130" s="82">
        <v>0</v>
      </c>
      <c r="FO130" s="82">
        <f t="shared" ref="FO130:FO131" si="650">IF(AA130&lt;1,$K130*$O130,0)</f>
        <v>0</v>
      </c>
      <c r="FP130" s="82">
        <f t="shared" ref="FP130:FP131" si="651">IF(AB130&lt;1,FO130+CN130,)</f>
        <v>0</v>
      </c>
      <c r="FQ130" s="82">
        <f t="shared" ref="FQ130:FQ131" si="652">IF(AC130&lt;1,FP130+CO130,)</f>
        <v>22030.095759233925</v>
      </c>
      <c r="FR130" s="82">
        <f t="shared" ref="FR130:FR131" si="653">IF(AD130&lt;1,FQ130+CP130,)</f>
        <v>65969.904240766075</v>
      </c>
      <c r="FS130" s="82">
        <f t="shared" ref="FS130:FS131" si="654">IF(AE130&lt;1,FR130+CQ130,)</f>
        <v>0</v>
      </c>
      <c r="FT130" s="82">
        <f t="shared" ref="FT130:FT131" si="655">IF(AF130&lt;1,FS130+CR130,)</f>
        <v>0</v>
      </c>
      <c r="FV130" s="82">
        <f t="shared" ref="FV130:FV131" si="656">IF($D130="BESS",IF(Z130&lt;=$S$18,$S$13,$S$21),$N130)</f>
        <v>4.4000000000000004</v>
      </c>
      <c r="FW130" s="82">
        <f t="shared" ref="FW130:FW131" si="657">IF($D130="BESS",IF(AA130&lt;=$S$18,$S$13,$S$21),$N130)</f>
        <v>4.4000000000000004</v>
      </c>
      <c r="FX130" s="82">
        <f t="shared" ref="FX130:FX131" si="658">IF($D130="BESS",IF(AB130&lt;=$S$18,$S$13,$S$21),$N130)</f>
        <v>4.4000000000000004</v>
      </c>
      <c r="FY130" s="82">
        <f t="shared" ref="FY130:FY131" si="659">IF($D130="BESS",IF(AC130&lt;=$S$18,$S$13,$S$21),$N130)</f>
        <v>4.4000000000000004</v>
      </c>
      <c r="FZ130" s="82"/>
      <c r="GA130" s="82"/>
      <c r="GB130" s="82"/>
    </row>
    <row r="131" spans="2:184" x14ac:dyDescent="0.2">
      <c r="B131" s="402" t="str">
        <f>Key_New!D69</f>
        <v>–</v>
      </c>
      <c r="C131" s="394" t="str">
        <f>Key_New!B69</f>
        <v>Future awards — tranche 2 (modelled)</v>
      </c>
      <c r="D131" s="395" t="str">
        <f>Key_New!E69</f>
        <v>FDRE</v>
      </c>
      <c r="E131" s="395" t="str">
        <f>Key_New!C69</f>
        <v>Future Awards</v>
      </c>
      <c r="F131" s="397">
        <f>Key_New!F69</f>
        <v>400</v>
      </c>
      <c r="G131" s="399">
        <f>IF(NOT(ISNUMBER($H131)),"",IF($H131&lt;=DATE(2026,3,31),$H131,EDATE($H131,-IF($D131="BESS",$S$19,$S$26))))</f>
        <v>47026</v>
      </c>
      <c r="H131" s="399">
        <f>Key_New!O69</f>
        <v>47756</v>
      </c>
      <c r="I131" s="369">
        <f>IF(MONTH(H131)&lt;=3,YEAR(H131),YEAR(H131)+1)</f>
        <v>2031</v>
      </c>
      <c r="J131" s="367">
        <v>110</v>
      </c>
      <c r="K131" s="370">
        <f>J131*F131</f>
        <v>44000</v>
      </c>
      <c r="L131" s="368">
        <v>0.12</v>
      </c>
      <c r="M131" s="368">
        <v>0.25</v>
      </c>
      <c r="N131" s="404">
        <f>Key_New!J69</f>
        <v>4.4000000000000004</v>
      </c>
      <c r="O131" s="462">
        <f t="shared" si="431"/>
        <v>0</v>
      </c>
      <c r="P131" s="54">
        <f t="shared" si="540"/>
        <v>0</v>
      </c>
      <c r="Q131" s="54">
        <f t="shared" si="540"/>
        <v>0</v>
      </c>
      <c r="R131" s="54">
        <f t="shared" si="540"/>
        <v>0</v>
      </c>
      <c r="S131" s="54">
        <f t="shared" si="540"/>
        <v>0</v>
      </c>
      <c r="T131" s="54">
        <f t="shared" si="540"/>
        <v>0</v>
      </c>
      <c r="U131" s="54">
        <f t="shared" si="540"/>
        <v>0</v>
      </c>
      <c r="V131" s="54">
        <f t="shared" si="540"/>
        <v>0</v>
      </c>
      <c r="W131" s="54">
        <f t="shared" si="540"/>
        <v>182</v>
      </c>
      <c r="Y131" s="54">
        <f t="shared" si="543"/>
        <v>0</v>
      </c>
      <c r="Z131" s="54">
        <f t="shared" si="544"/>
        <v>0</v>
      </c>
      <c r="AA131" s="54">
        <f t="shared" si="545"/>
        <v>0</v>
      </c>
      <c r="AB131" s="54">
        <f t="shared" si="546"/>
        <v>0</v>
      </c>
      <c r="AC131" s="54">
        <f t="shared" si="547"/>
        <v>0</v>
      </c>
      <c r="AD131" s="54">
        <f t="shared" si="548"/>
        <v>0</v>
      </c>
      <c r="AE131" s="54">
        <f t="shared" si="549"/>
        <v>0</v>
      </c>
      <c r="AF131" s="54">
        <f t="shared" si="550"/>
        <v>1</v>
      </c>
      <c r="AG131" s="444"/>
      <c r="AH131" s="48">
        <f t="shared" si="551"/>
        <v>0</v>
      </c>
      <c r="AI131" s="48">
        <f t="shared" si="552"/>
        <v>0</v>
      </c>
      <c r="AJ131" s="48">
        <f t="shared" si="553"/>
        <v>0</v>
      </c>
      <c r="AK131" s="48">
        <f t="shared" si="554"/>
        <v>0</v>
      </c>
      <c r="AL131" s="48">
        <f t="shared" si="555"/>
        <v>0</v>
      </c>
      <c r="AM131" s="48">
        <f t="shared" si="556"/>
        <v>0</v>
      </c>
      <c r="AN131" s="48">
        <f t="shared" si="557"/>
        <v>400</v>
      </c>
      <c r="AP131" s="61">
        <v>3.8362500000000008E-2</v>
      </c>
      <c r="AQ131" s="61">
        <v>3.8362500000000008E-2</v>
      </c>
      <c r="AR131" s="61">
        <v>3.8362500000000008E-2</v>
      </c>
      <c r="AS131" s="61">
        <v>3.8362500000000008E-2</v>
      </c>
      <c r="AT131" s="61">
        <v>3.8362500000000008E-2</v>
      </c>
      <c r="AU131" s="61">
        <v>3.8362500000000008E-2</v>
      </c>
      <c r="AV131" s="61">
        <v>3.8362500000000008E-2</v>
      </c>
      <c r="AX131" s="52">
        <f t="shared" si="558"/>
        <v>0</v>
      </c>
      <c r="AY131" s="52">
        <f t="shared" si="559"/>
        <v>0</v>
      </c>
      <c r="AZ131" s="52">
        <f t="shared" si="560"/>
        <v>0</v>
      </c>
      <c r="BA131" s="52">
        <f t="shared" si="561"/>
        <v>0</v>
      </c>
      <c r="BB131" s="52">
        <f t="shared" si="562"/>
        <v>0</v>
      </c>
      <c r="BC131" s="52">
        <f t="shared" si="563"/>
        <v>0</v>
      </c>
      <c r="BD131" s="52">
        <f t="shared" si="564"/>
        <v>67.072868876712349</v>
      </c>
      <c r="BE131" s="57">
        <v>0.2</v>
      </c>
      <c r="BF131" s="52">
        <f t="shared" si="565"/>
        <v>0</v>
      </c>
      <c r="BG131" s="82">
        <f t="shared" si="566"/>
        <v>0</v>
      </c>
      <c r="BH131" s="82">
        <f t="shared" si="567"/>
        <v>0</v>
      </c>
      <c r="BI131" s="52">
        <f t="shared" si="568"/>
        <v>0</v>
      </c>
      <c r="BJ131" s="52">
        <f t="shared" si="569"/>
        <v>0</v>
      </c>
      <c r="BK131" s="52">
        <f t="shared" si="570"/>
        <v>0</v>
      </c>
      <c r="BL131" s="52">
        <f t="shared" si="571"/>
        <v>702.07123287671232</v>
      </c>
      <c r="BM131" s="297">
        <f t="shared" si="366"/>
        <v>0.05</v>
      </c>
      <c r="BN131" s="69">
        <f t="shared" si="572"/>
        <v>0</v>
      </c>
      <c r="BO131" s="69">
        <f t="shared" si="573"/>
        <v>0</v>
      </c>
      <c r="BP131" s="69">
        <f t="shared" si="574"/>
        <v>0</v>
      </c>
      <c r="BQ131" s="69">
        <f t="shared" si="575"/>
        <v>0</v>
      </c>
      <c r="BR131" s="69">
        <f t="shared" si="576"/>
        <v>0</v>
      </c>
      <c r="BS131" s="69">
        <f t="shared" si="577"/>
        <v>0</v>
      </c>
      <c r="BT131" s="69">
        <f t="shared" si="578"/>
        <v>1096.986301369863</v>
      </c>
      <c r="BV131" s="52">
        <f t="shared" si="579"/>
        <v>0</v>
      </c>
      <c r="BW131" s="52">
        <f t="shared" si="580"/>
        <v>0</v>
      </c>
      <c r="BX131" s="52">
        <f t="shared" si="581"/>
        <v>0</v>
      </c>
      <c r="BY131" s="52">
        <f t="shared" si="582"/>
        <v>0</v>
      </c>
      <c r="BZ131" s="52">
        <f t="shared" si="583"/>
        <v>182</v>
      </c>
      <c r="CA131" s="52">
        <f t="shared" si="584"/>
        <v>365</v>
      </c>
      <c r="CB131" s="52">
        <f t="shared" si="585"/>
        <v>183</v>
      </c>
      <c r="CC131" s="107">
        <v>0</v>
      </c>
      <c r="CD131" s="61">
        <v>0</v>
      </c>
      <c r="CE131" s="61">
        <f t="shared" si="586"/>
        <v>0</v>
      </c>
      <c r="CF131" s="61">
        <f>IF(SUM($BX131:$CB131)=0,0,BY131/SUM($BX131:$CB131)*(1-$O131))</f>
        <v>0</v>
      </c>
      <c r="CG131" s="61">
        <f>IF(SUM($BX131:$CB131)=0,0,BZ131/SUM($BX131:$CB131)*(1-$O131))</f>
        <v>0.24931506849315069</v>
      </c>
      <c r="CH131" s="61">
        <f t="shared" si="586"/>
        <v>0.5</v>
      </c>
      <c r="CI131" s="61">
        <f t="shared" si="586"/>
        <v>0.25068493150684934</v>
      </c>
      <c r="CJ131" s="61">
        <f>$O131+SUM(CC131:CI131)</f>
        <v>1</v>
      </c>
      <c r="CK131" s="4"/>
      <c r="CL131" s="54">
        <f t="shared" si="587"/>
        <v>0</v>
      </c>
      <c r="CM131" s="54">
        <f t="shared" si="588"/>
        <v>0</v>
      </c>
      <c r="CN131" s="54">
        <f t="shared" si="589"/>
        <v>0</v>
      </c>
      <c r="CO131" s="54">
        <f t="shared" si="590"/>
        <v>0</v>
      </c>
      <c r="CP131" s="54">
        <f t="shared" si="591"/>
        <v>10969.86301369863</v>
      </c>
      <c r="CQ131" s="54">
        <f t="shared" si="592"/>
        <v>22000</v>
      </c>
      <c r="CR131" s="54">
        <f t="shared" si="593"/>
        <v>11030.136986301372</v>
      </c>
      <c r="CT131" s="54">
        <f t="shared" si="594"/>
        <v>0</v>
      </c>
      <c r="CU131" s="54">
        <f t="shared" si="595"/>
        <v>0</v>
      </c>
      <c r="CV131" s="54">
        <f t="shared" si="596"/>
        <v>0</v>
      </c>
      <c r="CW131" s="54">
        <f t="shared" si="597"/>
        <v>0</v>
      </c>
      <c r="CX131" s="54">
        <f t="shared" si="598"/>
        <v>2193.972602739726</v>
      </c>
      <c r="CY131" s="54">
        <f t="shared" si="599"/>
        <v>4400</v>
      </c>
      <c r="CZ131" s="54">
        <f t="shared" si="600"/>
        <v>2206.0273972602745</v>
      </c>
      <c r="DB131" s="54">
        <f t="shared" si="601"/>
        <v>0</v>
      </c>
      <c r="DC131" s="54">
        <f t="shared" si="602"/>
        <v>0</v>
      </c>
      <c r="DD131" s="54">
        <f t="shared" si="603"/>
        <v>0</v>
      </c>
      <c r="DE131" s="54">
        <f t="shared" si="604"/>
        <v>0</v>
      </c>
      <c r="DF131" s="54">
        <f t="shared" si="605"/>
        <v>8775.8904109589039</v>
      </c>
      <c r="DG131" s="54">
        <f t="shared" si="606"/>
        <v>17600</v>
      </c>
      <c r="DH131" s="54">
        <f t="shared" si="607"/>
        <v>8824.1095890410979</v>
      </c>
      <c r="DJ131" s="54">
        <f t="shared" si="608"/>
        <v>0</v>
      </c>
      <c r="DK131" s="54">
        <f t="shared" si="609"/>
        <v>0</v>
      </c>
      <c r="DL131" s="54">
        <f t="shared" si="610"/>
        <v>0</v>
      </c>
      <c r="DM131" s="54">
        <f t="shared" si="611"/>
        <v>0</v>
      </c>
      <c r="DN131" s="54">
        <f t="shared" si="612"/>
        <v>0</v>
      </c>
      <c r="DO131" s="54">
        <f t="shared" si="613"/>
        <v>0</v>
      </c>
      <c r="DP131" s="54">
        <f t="shared" si="614"/>
        <v>0</v>
      </c>
      <c r="DR131" s="54">
        <f>+IF(Z131&gt;0,$K131*(1-$BE131)-SUM($DJ131:DJ131),DB131)</f>
        <v>0</v>
      </c>
      <c r="DS131" s="54">
        <f>+IF(AA131&gt;0,$K131*(1-$BE131)-SUM($DJ131:DK131),DC131)</f>
        <v>0</v>
      </c>
      <c r="DT131" s="54">
        <f>+IF(AB131&gt;0,$K131*(1-$BE131)-SUM($DJ131:DL131),DD131)</f>
        <v>0</v>
      </c>
      <c r="DU131" s="54">
        <f>+IF(AC131&gt;0,$K131*(1-$BE131)-SUM($DJ131:DM131),DE131)</f>
        <v>0</v>
      </c>
      <c r="DV131" s="54">
        <f>+IF(AD131&gt;0,$K131*(1-$BE131)-SUM($DJ131:DN131),DF131)</f>
        <v>8775.8904109589039</v>
      </c>
      <c r="DW131" s="54">
        <f>+IF(AE131&gt;0,$K131*(1-$BE131)-SUM($DJ131:DO131),DG131)</f>
        <v>17600</v>
      </c>
      <c r="DX131" s="54">
        <f>+IF(AF131&gt;0,$K131*(1-$BE131)-SUM($DJ131:DP131),DH131)</f>
        <v>35200</v>
      </c>
      <c r="DZ131" s="54">
        <f t="shared" si="615"/>
        <v>0</v>
      </c>
      <c r="EA131" s="54">
        <f t="shared" si="616"/>
        <v>0</v>
      </c>
      <c r="EB131" s="54">
        <f t="shared" si="617"/>
        <v>0</v>
      </c>
      <c r="EC131" s="54">
        <f t="shared" si="618"/>
        <v>0</v>
      </c>
      <c r="ED131" s="54">
        <f t="shared" si="619"/>
        <v>0</v>
      </c>
      <c r="EE131" s="54">
        <f t="shared" si="620"/>
        <v>0</v>
      </c>
      <c r="EF131" s="54">
        <f t="shared" si="621"/>
        <v>0</v>
      </c>
      <c r="EH131" s="54">
        <f t="shared" si="622"/>
        <v>0</v>
      </c>
      <c r="EI131" s="54">
        <f t="shared" si="623"/>
        <v>0</v>
      </c>
      <c r="EJ131" s="54">
        <f t="shared" si="624"/>
        <v>0</v>
      </c>
      <c r="EK131" s="54">
        <f t="shared" si="625"/>
        <v>0</v>
      </c>
      <c r="EL131" s="54">
        <f t="shared" si="626"/>
        <v>0</v>
      </c>
      <c r="EM131" s="54">
        <f t="shared" si="627"/>
        <v>0</v>
      </c>
      <c r="EN131" s="54">
        <f t="shared" si="628"/>
        <v>0</v>
      </c>
      <c r="EP131" s="52">
        <f t="shared" ca="1" si="629"/>
        <v>0</v>
      </c>
      <c r="EQ131" s="52">
        <f t="shared" ca="1" si="630"/>
        <v>0</v>
      </c>
      <c r="ER131" s="52">
        <f t="shared" ca="1" si="631"/>
        <v>0</v>
      </c>
      <c r="ES131" s="52">
        <f t="shared" ca="1" si="632"/>
        <v>0</v>
      </c>
      <c r="ET131" s="52">
        <f t="shared" ca="1" si="633"/>
        <v>0</v>
      </c>
      <c r="EU131" s="52">
        <f t="shared" ca="1" si="634"/>
        <v>0</v>
      </c>
      <c r="EV131" s="52">
        <f t="shared" ca="1" si="635"/>
        <v>0</v>
      </c>
      <c r="EX131" s="52">
        <f t="shared" ca="1" si="636"/>
        <v>0</v>
      </c>
      <c r="EY131" s="52">
        <f t="shared" ca="1" si="637"/>
        <v>0</v>
      </c>
      <c r="EZ131" s="52">
        <f t="shared" ca="1" si="638"/>
        <v>0</v>
      </c>
      <c r="FA131" s="52">
        <f t="shared" ca="1" si="639"/>
        <v>0</v>
      </c>
      <c r="FB131" s="52">
        <f t="shared" ca="1" si="640"/>
        <v>0</v>
      </c>
      <c r="FC131" s="52">
        <f t="shared" ca="1" si="641"/>
        <v>0</v>
      </c>
      <c r="FD131" s="52">
        <f t="shared" ca="1" si="642"/>
        <v>1799.0575342465754</v>
      </c>
      <c r="FF131" s="82">
        <f t="shared" si="643"/>
        <v>0</v>
      </c>
      <c r="FG131" s="82">
        <f t="shared" si="644"/>
        <v>0</v>
      </c>
      <c r="FH131" s="82">
        <f t="shared" si="645"/>
        <v>0</v>
      </c>
      <c r="FI131" s="82">
        <f t="shared" si="646"/>
        <v>0</v>
      </c>
      <c r="FJ131" s="82">
        <f t="shared" si="647"/>
        <v>0</v>
      </c>
      <c r="FK131" s="82">
        <f t="shared" si="648"/>
        <v>0</v>
      </c>
      <c r="FL131" s="82">
        <f t="shared" si="649"/>
        <v>44000</v>
      </c>
      <c r="FM131" s="51">
        <v>0</v>
      </c>
      <c r="FN131" s="82">
        <v>0</v>
      </c>
      <c r="FO131" s="82">
        <f t="shared" si="650"/>
        <v>0</v>
      </c>
      <c r="FP131" s="82">
        <f t="shared" si="651"/>
        <v>0</v>
      </c>
      <c r="FQ131" s="82">
        <f t="shared" si="652"/>
        <v>0</v>
      </c>
      <c r="FR131" s="82">
        <f t="shared" si="653"/>
        <v>10969.86301369863</v>
      </c>
      <c r="FS131" s="82">
        <f t="shared" si="654"/>
        <v>32969.863013698632</v>
      </c>
      <c r="FT131" s="82">
        <f t="shared" si="655"/>
        <v>0</v>
      </c>
      <c r="FV131" s="82">
        <f t="shared" si="656"/>
        <v>4.4000000000000004</v>
      </c>
      <c r="FW131" s="82">
        <f t="shared" si="657"/>
        <v>4.4000000000000004</v>
      </c>
      <c r="FX131" s="82">
        <f t="shared" si="658"/>
        <v>4.4000000000000004</v>
      </c>
      <c r="FY131" s="82">
        <f t="shared" si="659"/>
        <v>4.4000000000000004</v>
      </c>
      <c r="FZ131" s="82"/>
      <c r="GA131" s="82"/>
      <c r="GB131" s="82"/>
    </row>
    <row r="132" spans="2:184" x14ac:dyDescent="0.2">
      <c r="B132" s="402" t="str">
        <f>$B106</f>
        <v>Madhya Pradesh</v>
      </c>
      <c r="C132" s="394" t="str">
        <f>"BESS — co-located with "&amp;$C106</f>
        <v>BESS — co-located with ACME Greentech Sixteen Pvt Ltd</v>
      </c>
      <c r="D132" s="395" t="s">
        <v>411</v>
      </c>
      <c r="E132" s="395" t="str">
        <f>$E106</f>
        <v>LoA Awarded</v>
      </c>
      <c r="F132" s="397">
        <f>IF($D106="FDRE",$F106*$S$4,IF($D106="Hybrid",$F106*$S$5,0))</f>
        <v>880</v>
      </c>
      <c r="G132" s="399">
        <f t="shared" si="430"/>
        <v>46751</v>
      </c>
      <c r="H132" s="399">
        <f>$H106</f>
        <v>47026</v>
      </c>
      <c r="I132" s="369">
        <f t="shared" si="167"/>
        <v>2029</v>
      </c>
      <c r="J132" s="367">
        <v>0</v>
      </c>
      <c r="K132" s="370">
        <f t="shared" si="168"/>
        <v>0</v>
      </c>
      <c r="L132" s="368">
        <v>0.12</v>
      </c>
      <c r="M132" s="368">
        <v>0.25</v>
      </c>
      <c r="N132" s="404"/>
      <c r="O132" s="462">
        <f t="shared" si="431"/>
        <v>0</v>
      </c>
      <c r="P132" s="54">
        <f t="shared" si="540"/>
        <v>0</v>
      </c>
      <c r="Q132" s="54">
        <f t="shared" si="540"/>
        <v>0</v>
      </c>
      <c r="R132" s="54">
        <f t="shared" si="540"/>
        <v>0</v>
      </c>
      <c r="S132" s="54">
        <f t="shared" si="540"/>
        <v>0</v>
      </c>
      <c r="T132" s="54">
        <f t="shared" si="540"/>
        <v>0</v>
      </c>
      <c r="U132" s="54">
        <f t="shared" si="540"/>
        <v>182</v>
      </c>
      <c r="V132" s="54">
        <f t="shared" si="540"/>
        <v>365</v>
      </c>
      <c r="W132" s="54">
        <f t="shared" si="540"/>
        <v>365</v>
      </c>
      <c r="Y132" s="54">
        <f t="shared" si="450"/>
        <v>0</v>
      </c>
      <c r="Z132" s="54">
        <f t="shared" si="451"/>
        <v>0</v>
      </c>
      <c r="AA132" s="54">
        <f t="shared" si="452"/>
        <v>0</v>
      </c>
      <c r="AB132" s="54">
        <f t="shared" si="453"/>
        <v>0</v>
      </c>
      <c r="AC132" s="54">
        <f t="shared" si="454"/>
        <v>0</v>
      </c>
      <c r="AD132" s="54">
        <f t="shared" si="455"/>
        <v>1</v>
      </c>
      <c r="AE132" s="54">
        <f t="shared" si="456"/>
        <v>2</v>
      </c>
      <c r="AF132" s="54">
        <f t="shared" si="457"/>
        <v>3</v>
      </c>
      <c r="AG132" s="444"/>
      <c r="AH132" s="48">
        <f t="shared" si="458"/>
        <v>0</v>
      </c>
      <c r="AI132" s="48">
        <f t="shared" si="459"/>
        <v>0</v>
      </c>
      <c r="AJ132" s="48">
        <f t="shared" si="460"/>
        <v>0</v>
      </c>
      <c r="AK132" s="48">
        <f t="shared" si="461"/>
        <v>0</v>
      </c>
      <c r="AL132" s="48">
        <f t="shared" si="462"/>
        <v>880</v>
      </c>
      <c r="AM132" s="48">
        <f t="shared" si="463"/>
        <v>880</v>
      </c>
      <c r="AN132" s="48">
        <f t="shared" si="464"/>
        <v>880</v>
      </c>
      <c r="AP132" s="61">
        <v>3.8362500000000008E-2</v>
      </c>
      <c r="AQ132" s="61">
        <v>3.8362500000000008E-2</v>
      </c>
      <c r="AR132" s="61">
        <v>3.8362500000000008E-2</v>
      </c>
      <c r="AS132" s="61">
        <v>3.8362500000000008E-2</v>
      </c>
      <c r="AT132" s="61">
        <v>3.8362500000000008E-2</v>
      </c>
      <c r="AU132" s="61">
        <v>3.8362500000000008E-2</v>
      </c>
      <c r="AV132" s="61">
        <v>3.8362500000000008E-2</v>
      </c>
      <c r="AX132" s="52">
        <f t="shared" si="465"/>
        <v>0</v>
      </c>
      <c r="AY132" s="52">
        <f t="shared" si="466"/>
        <v>0</v>
      </c>
      <c r="AZ132" s="52">
        <f t="shared" si="467"/>
        <v>0</v>
      </c>
      <c r="BA132" s="52">
        <f t="shared" si="468"/>
        <v>0</v>
      </c>
      <c r="BB132" s="52">
        <f t="shared" si="469"/>
        <v>147.56031152876716</v>
      </c>
      <c r="BC132" s="52">
        <f t="shared" si="470"/>
        <v>295.93139400000007</v>
      </c>
      <c r="BD132" s="52">
        <f t="shared" si="471"/>
        <v>295.93139400000007</v>
      </c>
      <c r="BE132" s="57">
        <v>0.2</v>
      </c>
      <c r="BF132" s="52">
        <f t="shared" si="472"/>
        <v>0</v>
      </c>
      <c r="BG132" s="82">
        <f t="shared" si="473"/>
        <v>0</v>
      </c>
      <c r="BH132" s="82">
        <f t="shared" si="474"/>
        <v>0</v>
      </c>
      <c r="BI132" s="52">
        <f t="shared" si="475"/>
        <v>0</v>
      </c>
      <c r="BJ132" s="52">
        <f t="shared" si="476"/>
        <v>0</v>
      </c>
      <c r="BK132" s="52">
        <f t="shared" si="477"/>
        <v>0</v>
      </c>
      <c r="BL132" s="52">
        <f t="shared" si="478"/>
        <v>0</v>
      </c>
      <c r="BM132" s="297">
        <f t="shared" si="366"/>
        <v>0.05</v>
      </c>
      <c r="BN132" s="69">
        <f t="shared" si="479"/>
        <v>0</v>
      </c>
      <c r="BO132" s="69">
        <f t="shared" si="480"/>
        <v>0</v>
      </c>
      <c r="BP132" s="69">
        <f t="shared" si="481"/>
        <v>0</v>
      </c>
      <c r="BQ132" s="69">
        <f t="shared" si="482"/>
        <v>0</v>
      </c>
      <c r="BR132" s="69">
        <f t="shared" si="483"/>
        <v>0</v>
      </c>
      <c r="BS132" s="69">
        <f t="shared" si="484"/>
        <v>0</v>
      </c>
      <c r="BT132" s="69">
        <f t="shared" si="485"/>
        <v>0</v>
      </c>
      <c r="BV132" s="52">
        <f t="shared" si="486"/>
        <v>0</v>
      </c>
      <c r="BW132" s="52">
        <f t="shared" si="487"/>
        <v>0</v>
      </c>
      <c r="BX132" s="52">
        <f t="shared" si="488"/>
        <v>0</v>
      </c>
      <c r="BY132" s="52">
        <f t="shared" si="489"/>
        <v>92</v>
      </c>
      <c r="BZ132" s="52">
        <f t="shared" si="490"/>
        <v>183</v>
      </c>
      <c r="CA132" s="52">
        <f t="shared" si="491"/>
        <v>0</v>
      </c>
      <c r="CB132" s="52">
        <f t="shared" si="492"/>
        <v>0</v>
      </c>
      <c r="CC132" s="107">
        <v>0</v>
      </c>
      <c r="CD132" s="61">
        <v>0</v>
      </c>
      <c r="CE132" s="61">
        <f t="shared" si="541"/>
        <v>-0.2</v>
      </c>
      <c r="CF132" s="61">
        <f t="shared" si="493"/>
        <v>0.43454545454545457</v>
      </c>
      <c r="CG132" s="61">
        <f t="shared" si="542"/>
        <v>0.76545454545454539</v>
      </c>
      <c r="CH132" s="61">
        <f t="shared" si="432"/>
        <v>0</v>
      </c>
      <c r="CI132" s="61">
        <f t="shared" si="433"/>
        <v>0</v>
      </c>
      <c r="CJ132" s="61">
        <f t="shared" si="434"/>
        <v>1</v>
      </c>
      <c r="CK132" s="4"/>
      <c r="CL132" s="54">
        <f t="shared" si="435"/>
        <v>0</v>
      </c>
      <c r="CM132" s="54">
        <f t="shared" si="436"/>
        <v>0</v>
      </c>
      <c r="CN132" s="54">
        <f t="shared" si="437"/>
        <v>0</v>
      </c>
      <c r="CO132" s="54">
        <f t="shared" si="438"/>
        <v>0</v>
      </c>
      <c r="CP132" s="54">
        <f t="shared" si="439"/>
        <v>0</v>
      </c>
      <c r="CQ132" s="54">
        <f t="shared" si="440"/>
        <v>0</v>
      </c>
      <c r="CR132" s="54">
        <f t="shared" si="441"/>
        <v>0</v>
      </c>
      <c r="CT132" s="54">
        <f t="shared" si="494"/>
        <v>0</v>
      </c>
      <c r="CU132" s="54">
        <f t="shared" si="495"/>
        <v>0</v>
      </c>
      <c r="CV132" s="54">
        <f t="shared" si="496"/>
        <v>0</v>
      </c>
      <c r="CW132" s="54">
        <f t="shared" si="497"/>
        <v>0</v>
      </c>
      <c r="CX132" s="54">
        <f t="shared" si="498"/>
        <v>0</v>
      </c>
      <c r="CY132" s="54">
        <f t="shared" si="499"/>
        <v>0</v>
      </c>
      <c r="CZ132" s="54">
        <f t="shared" si="213"/>
        <v>0</v>
      </c>
      <c r="DB132" s="54">
        <f t="shared" si="500"/>
        <v>0</v>
      </c>
      <c r="DC132" s="54">
        <f t="shared" si="501"/>
        <v>0</v>
      </c>
      <c r="DD132" s="54">
        <f t="shared" si="502"/>
        <v>0</v>
      </c>
      <c r="DE132" s="54">
        <f t="shared" si="503"/>
        <v>0</v>
      </c>
      <c r="DF132" s="54">
        <f t="shared" si="504"/>
        <v>0</v>
      </c>
      <c r="DG132" s="54">
        <f t="shared" si="505"/>
        <v>0</v>
      </c>
      <c r="DH132" s="54">
        <f t="shared" si="220"/>
        <v>0</v>
      </c>
      <c r="DJ132" s="54">
        <f t="shared" si="506"/>
        <v>0</v>
      </c>
      <c r="DK132" s="54">
        <f t="shared" si="507"/>
        <v>0</v>
      </c>
      <c r="DL132" s="54">
        <f t="shared" si="508"/>
        <v>0</v>
      </c>
      <c r="DM132" s="54">
        <f t="shared" si="509"/>
        <v>0</v>
      </c>
      <c r="DN132" s="54">
        <f t="shared" si="510"/>
        <v>0</v>
      </c>
      <c r="DO132" s="54">
        <f t="shared" si="511"/>
        <v>0</v>
      </c>
      <c r="DP132" s="54">
        <f t="shared" si="512"/>
        <v>0</v>
      </c>
      <c r="DR132" s="54">
        <f>+IF(Z132&gt;0,$K132*(1-$BE132)-SUM($DJ132:DJ132),DB132)</f>
        <v>0</v>
      </c>
      <c r="DS132" s="54">
        <f>+IF(AA132&gt;0,$K132*(1-$BE132)-SUM($DJ132:DK132),DC132)</f>
        <v>0</v>
      </c>
      <c r="DT132" s="54">
        <f>+IF(AB132&gt;0,$K132*(1-$BE132)-SUM($DJ132:DL132),DD132)</f>
        <v>0</v>
      </c>
      <c r="DU132" s="54">
        <f>+IF(AC132&gt;0,$K132*(1-$BE132)-SUM($DJ132:DM132),DE132)</f>
        <v>0</v>
      </c>
      <c r="DV132" s="54">
        <f>+IF(AD132&gt;0,$K132*(1-$BE132)-SUM($DJ132:DN132),DF132)</f>
        <v>0</v>
      </c>
      <c r="DW132" s="54">
        <f>+IF(AE132&gt;0,$K132*(1-$BE132)-SUM($DJ132:DO132),DG132)</f>
        <v>0</v>
      </c>
      <c r="DX132" s="54">
        <f>+IF(AF132&gt;0,$K132*(1-$BE132)-SUM($DJ132:DP132),DH132)</f>
        <v>0</v>
      </c>
      <c r="DZ132" s="54">
        <f t="shared" si="513"/>
        <v>0</v>
      </c>
      <c r="EA132" s="54">
        <f t="shared" si="514"/>
        <v>0</v>
      </c>
      <c r="EB132" s="54">
        <f t="shared" si="515"/>
        <v>0</v>
      </c>
      <c r="EC132" s="54">
        <f t="shared" si="516"/>
        <v>0</v>
      </c>
      <c r="ED132" s="54">
        <f t="shared" si="517"/>
        <v>0</v>
      </c>
      <c r="EE132" s="54">
        <f t="shared" si="518"/>
        <v>0</v>
      </c>
      <c r="EF132" s="54">
        <f t="shared" si="519"/>
        <v>0</v>
      </c>
      <c r="EH132" s="54">
        <f t="shared" si="520"/>
        <v>0</v>
      </c>
      <c r="EI132" s="54">
        <f t="shared" si="521"/>
        <v>0</v>
      </c>
      <c r="EJ132" s="54">
        <f t="shared" si="522"/>
        <v>0</v>
      </c>
      <c r="EK132" s="54">
        <f t="shared" si="523"/>
        <v>0</v>
      </c>
      <c r="EL132" s="54">
        <f t="shared" si="524"/>
        <v>0</v>
      </c>
      <c r="EM132" s="54">
        <f t="shared" si="525"/>
        <v>0</v>
      </c>
      <c r="EN132" s="54">
        <f t="shared" si="526"/>
        <v>0</v>
      </c>
      <c r="EP132" s="52">
        <f t="shared" ca="1" si="242"/>
        <v>0</v>
      </c>
      <c r="EQ132" s="52">
        <f t="shared" ca="1" si="243"/>
        <v>0</v>
      </c>
      <c r="ER132" s="52">
        <f t="shared" ca="1" si="244"/>
        <v>0</v>
      </c>
      <c r="ES132" s="52">
        <f t="shared" ca="1" si="245"/>
        <v>0</v>
      </c>
      <c r="ET132" s="52">
        <f t="shared" ca="1" si="246"/>
        <v>0</v>
      </c>
      <c r="EU132" s="52">
        <f t="shared" ca="1" si="247"/>
        <v>0</v>
      </c>
      <c r="EV132" s="52">
        <f t="shared" ca="1" si="527"/>
        <v>0</v>
      </c>
      <c r="EX132" s="52">
        <f t="shared" ca="1" si="249"/>
        <v>0</v>
      </c>
      <c r="EY132" s="52">
        <f t="shared" ca="1" si="250"/>
        <v>0</v>
      </c>
      <c r="EZ132" s="52">
        <f t="shared" ca="1" si="251"/>
        <v>0</v>
      </c>
      <c r="FA132" s="52">
        <f t="shared" ca="1" si="252"/>
        <v>0</v>
      </c>
      <c r="FB132" s="52">
        <f t="shared" ca="1" si="253"/>
        <v>0</v>
      </c>
      <c r="FC132" s="52">
        <f t="shared" ca="1" si="254"/>
        <v>0</v>
      </c>
      <c r="FD132" s="52">
        <f t="shared" ca="1" si="255"/>
        <v>0</v>
      </c>
      <c r="FF132" s="82">
        <f t="shared" si="528"/>
        <v>0</v>
      </c>
      <c r="FG132" s="82">
        <f t="shared" si="529"/>
        <v>0</v>
      </c>
      <c r="FH132" s="82">
        <f t="shared" si="530"/>
        <v>0</v>
      </c>
      <c r="FI132" s="82">
        <f t="shared" si="531"/>
        <v>0</v>
      </c>
      <c r="FJ132" s="82">
        <f t="shared" si="532"/>
        <v>0</v>
      </c>
      <c r="FK132" s="82">
        <f t="shared" si="533"/>
        <v>0</v>
      </c>
      <c r="FL132" s="82">
        <f t="shared" si="534"/>
        <v>0</v>
      </c>
      <c r="FM132" s="51">
        <v>0</v>
      </c>
      <c r="FN132" s="82">
        <v>0</v>
      </c>
      <c r="FO132" s="82">
        <f t="shared" si="442"/>
        <v>0</v>
      </c>
      <c r="FP132" s="82">
        <f t="shared" si="535"/>
        <v>0</v>
      </c>
      <c r="FQ132" s="82">
        <f t="shared" si="536"/>
        <v>0</v>
      </c>
      <c r="FR132" s="82">
        <f t="shared" si="537"/>
        <v>0</v>
      </c>
      <c r="FS132" s="82">
        <f t="shared" si="538"/>
        <v>0</v>
      </c>
      <c r="FT132" s="82">
        <f t="shared" si="539"/>
        <v>0</v>
      </c>
      <c r="FV132" s="82">
        <f t="shared" si="443"/>
        <v>9</v>
      </c>
      <c r="FW132" s="82">
        <f t="shared" si="444"/>
        <v>9</v>
      </c>
      <c r="FX132" s="82">
        <f t="shared" si="445"/>
        <v>9</v>
      </c>
      <c r="FY132" s="82">
        <f t="shared" si="446"/>
        <v>9</v>
      </c>
      <c r="FZ132" s="82">
        <f t="shared" si="447"/>
        <v>9</v>
      </c>
      <c r="GA132" s="82">
        <f t="shared" si="448"/>
        <v>1.9804590249049414</v>
      </c>
      <c r="GB132" s="82">
        <f t="shared" si="449"/>
        <v>1.9804590249049414</v>
      </c>
    </row>
    <row r="133" spans="2:184" x14ac:dyDescent="0.2">
      <c r="B133" s="402" t="str">
        <f>$B107</f>
        <v>–</v>
      </c>
      <c r="C133" s="394" t="str">
        <f>"BESS — co-located with "&amp;$C107</f>
        <v>BESS — co-located with ACME Marigold Urja Pvt Ltd (REMC)</v>
      </c>
      <c r="D133" s="395" t="s">
        <v>411</v>
      </c>
      <c r="E133" s="395" t="str">
        <f>$E107</f>
        <v>LoA Awarded</v>
      </c>
      <c r="F133" s="397">
        <f>IF($D107="FDRE",$F107*$S$4,IF($D107="Hybrid",$F107*$S$5,0))</f>
        <v>520</v>
      </c>
      <c r="G133" s="399">
        <f t="shared" ref="G133" si="660">IF(OR(NOT(ISNUMBER($H133)),$H133&lt;=DATE(2026,3,31)),"",EDATE($H133,-IF($D133="BESS",$S$19,$S$26)))</f>
        <v>46751</v>
      </c>
      <c r="H133" s="399">
        <f>$H107</f>
        <v>47026</v>
      </c>
      <c r="I133" s="369">
        <f t="shared" si="167"/>
        <v>2029</v>
      </c>
      <c r="J133" s="367">
        <v>0</v>
      </c>
      <c r="K133" s="370">
        <f t="shared" si="168"/>
        <v>0</v>
      </c>
      <c r="L133" s="368">
        <v>0.12</v>
      </c>
      <c r="M133" s="368">
        <v>0.25</v>
      </c>
      <c r="N133" s="404"/>
      <c r="O133" s="462">
        <f t="shared" si="431"/>
        <v>0</v>
      </c>
      <c r="P133" s="54">
        <f t="shared" si="540"/>
        <v>0</v>
      </c>
      <c r="Q133" s="54">
        <f t="shared" si="540"/>
        <v>0</v>
      </c>
      <c r="R133" s="54">
        <f t="shared" si="540"/>
        <v>0</v>
      </c>
      <c r="S133" s="54">
        <f t="shared" si="540"/>
        <v>0</v>
      </c>
      <c r="T133" s="54">
        <f t="shared" si="540"/>
        <v>0</v>
      </c>
      <c r="U133" s="54">
        <f t="shared" si="540"/>
        <v>182</v>
      </c>
      <c r="V133" s="54">
        <f t="shared" si="540"/>
        <v>365</v>
      </c>
      <c r="W133" s="54">
        <f t="shared" si="540"/>
        <v>365</v>
      </c>
      <c r="Y133" s="54">
        <f t="shared" si="450"/>
        <v>0</v>
      </c>
      <c r="Z133" s="54">
        <f t="shared" si="451"/>
        <v>0</v>
      </c>
      <c r="AA133" s="54">
        <f t="shared" si="452"/>
        <v>0</v>
      </c>
      <c r="AB133" s="54">
        <f t="shared" si="453"/>
        <v>0</v>
      </c>
      <c r="AC133" s="54">
        <f t="shared" si="454"/>
        <v>0</v>
      </c>
      <c r="AD133" s="54">
        <f t="shared" si="455"/>
        <v>1</v>
      </c>
      <c r="AE133" s="54">
        <f t="shared" si="456"/>
        <v>2</v>
      </c>
      <c r="AF133" s="54">
        <f t="shared" si="457"/>
        <v>3</v>
      </c>
      <c r="AG133" s="444"/>
      <c r="AH133" s="48">
        <f t="shared" si="458"/>
        <v>0</v>
      </c>
      <c r="AI133" s="48">
        <f t="shared" si="459"/>
        <v>0</v>
      </c>
      <c r="AJ133" s="48">
        <f t="shared" si="460"/>
        <v>0</v>
      </c>
      <c r="AK133" s="48">
        <f t="shared" si="461"/>
        <v>0</v>
      </c>
      <c r="AL133" s="48">
        <f t="shared" si="462"/>
        <v>520</v>
      </c>
      <c r="AM133" s="48">
        <f t="shared" si="463"/>
        <v>520</v>
      </c>
      <c r="AN133" s="48">
        <f t="shared" si="464"/>
        <v>520</v>
      </c>
      <c r="AP133" s="61">
        <v>3.8362500000000008E-2</v>
      </c>
      <c r="AQ133" s="61">
        <v>3.8362500000000008E-2</v>
      </c>
      <c r="AR133" s="61">
        <v>3.8362500000000008E-2</v>
      </c>
      <c r="AS133" s="61">
        <v>3.8362500000000008E-2</v>
      </c>
      <c r="AT133" s="61">
        <v>3.8362500000000008E-2</v>
      </c>
      <c r="AU133" s="61">
        <v>3.8362500000000008E-2</v>
      </c>
      <c r="AV133" s="61">
        <v>3.8362500000000008E-2</v>
      </c>
      <c r="AX133" s="52">
        <f t="shared" si="465"/>
        <v>0</v>
      </c>
      <c r="AY133" s="52">
        <f t="shared" si="466"/>
        <v>0</v>
      </c>
      <c r="AZ133" s="52">
        <f t="shared" si="467"/>
        <v>0</v>
      </c>
      <c r="BA133" s="52">
        <f t="shared" si="468"/>
        <v>0</v>
      </c>
      <c r="BB133" s="52">
        <f t="shared" si="469"/>
        <v>87.19472953972604</v>
      </c>
      <c r="BC133" s="52">
        <f t="shared" si="470"/>
        <v>174.86855100000002</v>
      </c>
      <c r="BD133" s="52">
        <f t="shared" si="471"/>
        <v>174.86855100000002</v>
      </c>
      <c r="BE133" s="57">
        <v>0.2</v>
      </c>
      <c r="BF133" s="52">
        <f t="shared" si="472"/>
        <v>0</v>
      </c>
      <c r="BG133" s="82">
        <f t="shared" si="473"/>
        <v>0</v>
      </c>
      <c r="BH133" s="82">
        <f t="shared" si="474"/>
        <v>0</v>
      </c>
      <c r="BI133" s="52">
        <f t="shared" si="475"/>
        <v>0</v>
      </c>
      <c r="BJ133" s="52">
        <f t="shared" si="476"/>
        <v>0</v>
      </c>
      <c r="BK133" s="52">
        <f t="shared" si="477"/>
        <v>0</v>
      </c>
      <c r="BL133" s="52">
        <f t="shared" si="478"/>
        <v>0</v>
      </c>
      <c r="BM133" s="297">
        <f t="shared" si="366"/>
        <v>0.05</v>
      </c>
      <c r="BN133" s="69">
        <f t="shared" si="479"/>
        <v>0</v>
      </c>
      <c r="BO133" s="69">
        <f t="shared" si="480"/>
        <v>0</v>
      </c>
      <c r="BP133" s="69">
        <f t="shared" si="481"/>
        <v>0</v>
      </c>
      <c r="BQ133" s="69">
        <f t="shared" si="482"/>
        <v>0</v>
      </c>
      <c r="BR133" s="69">
        <f t="shared" si="483"/>
        <v>0</v>
      </c>
      <c r="BS133" s="69">
        <f t="shared" si="484"/>
        <v>0</v>
      </c>
      <c r="BT133" s="69">
        <f t="shared" si="485"/>
        <v>0</v>
      </c>
      <c r="BV133" s="52">
        <f t="shared" si="486"/>
        <v>0</v>
      </c>
      <c r="BW133" s="52">
        <f t="shared" si="487"/>
        <v>0</v>
      </c>
      <c r="BX133" s="52">
        <f t="shared" si="488"/>
        <v>0</v>
      </c>
      <c r="BY133" s="52">
        <f t="shared" si="489"/>
        <v>92</v>
      </c>
      <c r="BZ133" s="52">
        <f t="shared" si="490"/>
        <v>183</v>
      </c>
      <c r="CA133" s="52">
        <f t="shared" si="491"/>
        <v>0</v>
      </c>
      <c r="CB133" s="52">
        <f t="shared" si="492"/>
        <v>0</v>
      </c>
      <c r="CC133" s="107">
        <v>0</v>
      </c>
      <c r="CD133" s="61">
        <v>0</v>
      </c>
      <c r="CE133" s="61">
        <f>IF(SUM($BX133:$CB133)=0,0,BX133/SUM($BX133:$CB133)*(1-$O133))-20%</f>
        <v>-0.2</v>
      </c>
      <c r="CF133" s="61">
        <f t="shared" si="493"/>
        <v>0.43454545454545457</v>
      </c>
      <c r="CG133" s="61">
        <f t="shared" si="542"/>
        <v>0.76545454545454539</v>
      </c>
      <c r="CH133" s="61">
        <f t="shared" si="432"/>
        <v>0</v>
      </c>
      <c r="CI133" s="61">
        <f t="shared" si="433"/>
        <v>0</v>
      </c>
      <c r="CJ133" s="61">
        <f t="shared" si="434"/>
        <v>1</v>
      </c>
      <c r="CK133" s="4"/>
      <c r="CL133" s="54">
        <f t="shared" si="435"/>
        <v>0</v>
      </c>
      <c r="CM133" s="54">
        <f t="shared" si="436"/>
        <v>0</v>
      </c>
      <c r="CN133" s="54">
        <f t="shared" si="437"/>
        <v>0</v>
      </c>
      <c r="CO133" s="54">
        <f t="shared" si="438"/>
        <v>0</v>
      </c>
      <c r="CP133" s="54">
        <f t="shared" si="439"/>
        <v>0</v>
      </c>
      <c r="CQ133" s="54">
        <f t="shared" si="440"/>
        <v>0</v>
      </c>
      <c r="CR133" s="54">
        <f t="shared" si="441"/>
        <v>0</v>
      </c>
      <c r="CT133" s="54">
        <f t="shared" si="494"/>
        <v>0</v>
      </c>
      <c r="CU133" s="54">
        <f t="shared" si="495"/>
        <v>0</v>
      </c>
      <c r="CV133" s="54">
        <f t="shared" si="496"/>
        <v>0</v>
      </c>
      <c r="CW133" s="54">
        <f t="shared" si="497"/>
        <v>0</v>
      </c>
      <c r="CX133" s="54">
        <f t="shared" si="498"/>
        <v>0</v>
      </c>
      <c r="CY133" s="54">
        <f t="shared" si="499"/>
        <v>0</v>
      </c>
      <c r="CZ133" s="54">
        <f t="shared" si="213"/>
        <v>0</v>
      </c>
      <c r="DB133" s="54">
        <f t="shared" si="500"/>
        <v>0</v>
      </c>
      <c r="DC133" s="54">
        <f t="shared" si="501"/>
        <v>0</v>
      </c>
      <c r="DD133" s="54">
        <f t="shared" si="502"/>
        <v>0</v>
      </c>
      <c r="DE133" s="54">
        <f t="shared" si="503"/>
        <v>0</v>
      </c>
      <c r="DF133" s="54">
        <f t="shared" si="504"/>
        <v>0</v>
      </c>
      <c r="DG133" s="54">
        <f t="shared" si="505"/>
        <v>0</v>
      </c>
      <c r="DH133" s="54">
        <f t="shared" si="220"/>
        <v>0</v>
      </c>
      <c r="DJ133" s="54">
        <f t="shared" si="506"/>
        <v>0</v>
      </c>
      <c r="DK133" s="54">
        <f t="shared" si="507"/>
        <v>0</v>
      </c>
      <c r="DL133" s="54">
        <f t="shared" si="508"/>
        <v>0</v>
      </c>
      <c r="DM133" s="54">
        <f t="shared" si="509"/>
        <v>0</v>
      </c>
      <c r="DN133" s="54">
        <f t="shared" si="510"/>
        <v>0</v>
      </c>
      <c r="DO133" s="54">
        <f t="shared" si="511"/>
        <v>0</v>
      </c>
      <c r="DP133" s="54">
        <f t="shared" si="512"/>
        <v>0</v>
      </c>
      <c r="DR133" s="54">
        <f>+IF(Z133&gt;0,$K133*(1-$BE133)-SUM($DJ133:DJ133),DB133)</f>
        <v>0</v>
      </c>
      <c r="DS133" s="54">
        <f>+IF(AA133&gt;0,$K133*(1-$BE133)-SUM($DJ133:DK133),DC133)</f>
        <v>0</v>
      </c>
      <c r="DT133" s="54">
        <f>+IF(AB133&gt;0,$K133*(1-$BE133)-SUM($DJ133:DL133),DD133)</f>
        <v>0</v>
      </c>
      <c r="DU133" s="54">
        <f>+IF(AC133&gt;0,$K133*(1-$BE133)-SUM($DJ133:DM133),DE133)</f>
        <v>0</v>
      </c>
      <c r="DV133" s="54">
        <f>+IF(AD133&gt;0,$K133*(1-$BE133)-SUM($DJ133:DN133),DF133)</f>
        <v>0</v>
      </c>
      <c r="DW133" s="54">
        <f>+IF(AE133&gt;0,$K133*(1-$BE133)-SUM($DJ133:DO133),DG133)</f>
        <v>0</v>
      </c>
      <c r="DX133" s="54">
        <f>+IF(AF133&gt;0,$K133*(1-$BE133)-SUM($DJ133:DP133),DH133)</f>
        <v>0</v>
      </c>
      <c r="DZ133" s="54">
        <f t="shared" si="513"/>
        <v>0</v>
      </c>
      <c r="EA133" s="54">
        <f t="shared" si="514"/>
        <v>0</v>
      </c>
      <c r="EB133" s="54">
        <f t="shared" si="515"/>
        <v>0</v>
      </c>
      <c r="EC133" s="54">
        <f t="shared" si="516"/>
        <v>0</v>
      </c>
      <c r="ED133" s="54">
        <f t="shared" si="517"/>
        <v>0</v>
      </c>
      <c r="EE133" s="54">
        <f t="shared" si="518"/>
        <v>0</v>
      </c>
      <c r="EF133" s="54">
        <f t="shared" si="519"/>
        <v>0</v>
      </c>
      <c r="EH133" s="54">
        <f t="shared" si="520"/>
        <v>0</v>
      </c>
      <c r="EI133" s="54">
        <f t="shared" si="521"/>
        <v>0</v>
      </c>
      <c r="EJ133" s="54">
        <f t="shared" si="522"/>
        <v>0</v>
      </c>
      <c r="EK133" s="54">
        <f t="shared" si="523"/>
        <v>0</v>
      </c>
      <c r="EL133" s="54">
        <f t="shared" si="524"/>
        <v>0</v>
      </c>
      <c r="EM133" s="54">
        <f t="shared" si="525"/>
        <v>0</v>
      </c>
      <c r="EN133" s="54">
        <f t="shared" si="526"/>
        <v>0</v>
      </c>
      <c r="EP133" s="52">
        <f t="shared" ca="1" si="242"/>
        <v>0</v>
      </c>
      <c r="EQ133" s="52">
        <f t="shared" ca="1" si="243"/>
        <v>0</v>
      </c>
      <c r="ER133" s="52">
        <f t="shared" ca="1" si="244"/>
        <v>0</v>
      </c>
      <c r="ES133" s="52">
        <f t="shared" ca="1" si="245"/>
        <v>0</v>
      </c>
      <c r="ET133" s="52">
        <f t="shared" ca="1" si="246"/>
        <v>0</v>
      </c>
      <c r="EU133" s="52">
        <f t="shared" ca="1" si="247"/>
        <v>0</v>
      </c>
      <c r="EV133" s="52">
        <f t="shared" ca="1" si="527"/>
        <v>0</v>
      </c>
      <c r="EX133" s="52">
        <f t="shared" ca="1" si="249"/>
        <v>0</v>
      </c>
      <c r="EY133" s="52">
        <f t="shared" ca="1" si="250"/>
        <v>0</v>
      </c>
      <c r="EZ133" s="52">
        <f t="shared" ca="1" si="251"/>
        <v>0</v>
      </c>
      <c r="FA133" s="52">
        <f t="shared" ca="1" si="252"/>
        <v>0</v>
      </c>
      <c r="FB133" s="52">
        <f t="shared" ca="1" si="253"/>
        <v>0</v>
      </c>
      <c r="FC133" s="52">
        <f t="shared" ca="1" si="254"/>
        <v>0</v>
      </c>
      <c r="FD133" s="52">
        <f t="shared" ca="1" si="255"/>
        <v>0</v>
      </c>
      <c r="FF133" s="82">
        <f t="shared" si="528"/>
        <v>0</v>
      </c>
      <c r="FG133" s="82">
        <f t="shared" si="529"/>
        <v>0</v>
      </c>
      <c r="FH133" s="82">
        <f t="shared" si="530"/>
        <v>0</v>
      </c>
      <c r="FI133" s="82">
        <f t="shared" si="531"/>
        <v>0</v>
      </c>
      <c r="FJ133" s="82">
        <f t="shared" si="532"/>
        <v>0</v>
      </c>
      <c r="FK133" s="82">
        <f t="shared" si="533"/>
        <v>0</v>
      </c>
      <c r="FL133" s="82">
        <f t="shared" si="534"/>
        <v>0</v>
      </c>
      <c r="FM133" s="51">
        <v>0</v>
      </c>
      <c r="FN133" s="82">
        <v>0</v>
      </c>
      <c r="FO133" s="82">
        <f t="shared" si="442"/>
        <v>0</v>
      </c>
      <c r="FP133" s="82">
        <f t="shared" si="535"/>
        <v>0</v>
      </c>
      <c r="FQ133" s="82">
        <f t="shared" si="536"/>
        <v>0</v>
      </c>
      <c r="FR133" s="82">
        <f t="shared" si="537"/>
        <v>0</v>
      </c>
      <c r="FS133" s="82">
        <f t="shared" si="538"/>
        <v>0</v>
      </c>
      <c r="FT133" s="82">
        <f t="shared" si="539"/>
        <v>0</v>
      </c>
      <c r="FV133" s="82">
        <f t="shared" si="443"/>
        <v>9</v>
      </c>
      <c r="FW133" s="82">
        <f t="shared" si="444"/>
        <v>9</v>
      </c>
      <c r="FX133" s="82">
        <f t="shared" si="445"/>
        <v>9</v>
      </c>
      <c r="FY133" s="82">
        <f t="shared" si="446"/>
        <v>9</v>
      </c>
      <c r="FZ133" s="82">
        <f t="shared" si="447"/>
        <v>9</v>
      </c>
      <c r="GA133" s="82">
        <f t="shared" si="448"/>
        <v>1.9804590249049414</v>
      </c>
      <c r="GB133" s="82">
        <f t="shared" si="449"/>
        <v>1.9804590249049414</v>
      </c>
    </row>
    <row r="134" spans="2:184" x14ac:dyDescent="0.2">
      <c r="B134" s="58"/>
      <c r="C134" s="375" t="s">
        <v>704</v>
      </c>
      <c r="D134" s="376"/>
      <c r="E134" s="376"/>
      <c r="F134" s="377">
        <f>SUMIFS($F$53:$F$133,$D$53:$D$133,"&lt;&gt;BESS")</f>
        <v>9270</v>
      </c>
      <c r="G134" s="378"/>
      <c r="H134" s="378"/>
      <c r="I134" s="379"/>
      <c r="J134" s="380"/>
      <c r="K134" s="381"/>
      <c r="L134" s="64"/>
      <c r="M134" s="64"/>
      <c r="N134" s="18"/>
      <c r="O134" s="75"/>
      <c r="P134" s="54"/>
      <c r="Q134" s="54"/>
      <c r="R134" s="54"/>
      <c r="S134" s="54"/>
      <c r="T134" s="54"/>
      <c r="U134" s="54"/>
      <c r="V134" s="54"/>
      <c r="W134" s="54"/>
      <c r="Y134" s="54"/>
      <c r="Z134" s="54"/>
      <c r="AA134" s="54"/>
      <c r="AB134" s="54"/>
      <c r="AC134" s="54"/>
      <c r="AD134" s="54"/>
      <c r="AE134" s="54"/>
      <c r="AH134" s="48"/>
      <c r="AI134" s="48"/>
      <c r="AJ134" s="48"/>
      <c r="AK134" s="48"/>
      <c r="AL134" s="48"/>
      <c r="AM134" s="48"/>
      <c r="AN134" s="48"/>
      <c r="AP134" s="61"/>
      <c r="AQ134" s="61"/>
      <c r="AR134" s="61"/>
      <c r="AS134" s="61"/>
      <c r="AT134" s="61"/>
      <c r="AU134" s="61"/>
      <c r="AV134" s="61"/>
      <c r="AX134" s="52"/>
      <c r="AY134" s="52"/>
      <c r="AZ134" s="52"/>
      <c r="BA134" s="52"/>
      <c r="BB134" s="52"/>
      <c r="BC134" s="52"/>
      <c r="BD134" s="52"/>
      <c r="BE134" s="57"/>
      <c r="BF134" s="52"/>
      <c r="BG134" s="82"/>
      <c r="BH134" s="82"/>
      <c r="BI134" s="52"/>
      <c r="BJ134" s="52"/>
      <c r="BK134" s="52"/>
      <c r="BL134" s="52"/>
      <c r="BM134" s="297"/>
      <c r="BN134" s="69"/>
      <c r="BO134" s="69"/>
      <c r="BP134" s="69"/>
      <c r="BQ134" s="69"/>
      <c r="BR134" s="69"/>
      <c r="BS134" s="69"/>
      <c r="BT134" s="69"/>
      <c r="BV134" s="52"/>
      <c r="BW134" s="52"/>
      <c r="BX134" s="52"/>
      <c r="BY134" s="52"/>
      <c r="BZ134" s="52"/>
      <c r="CA134" s="52"/>
      <c r="CB134" s="52"/>
      <c r="CD134" s="61"/>
      <c r="CE134" s="61"/>
      <c r="CF134" s="61"/>
      <c r="CG134" s="61"/>
      <c r="CH134" s="61"/>
      <c r="CI134" s="61"/>
      <c r="CJ134" s="61"/>
      <c r="CK134" s="4"/>
      <c r="CL134" s="54"/>
      <c r="CM134" s="54"/>
      <c r="CN134" s="54"/>
      <c r="CO134" s="54"/>
      <c r="CP134" s="54"/>
      <c r="CQ134" s="54"/>
      <c r="CR134" s="54"/>
      <c r="CT134" s="54"/>
      <c r="CU134" s="54"/>
      <c r="CV134" s="54"/>
      <c r="CW134" s="54"/>
      <c r="CX134" s="54"/>
      <c r="CY134" s="54"/>
      <c r="CZ134" s="54"/>
      <c r="DB134" s="54"/>
      <c r="DC134" s="54"/>
      <c r="DD134" s="54"/>
      <c r="DE134" s="54"/>
      <c r="DF134" s="54"/>
      <c r="DG134" s="54"/>
      <c r="DH134" s="54"/>
      <c r="DJ134" s="54"/>
      <c r="DK134" s="54"/>
      <c r="DL134" s="54"/>
      <c r="DM134" s="54"/>
      <c r="DN134" s="54"/>
      <c r="DO134" s="54"/>
      <c r="DP134" s="54"/>
      <c r="DR134" s="54"/>
      <c r="DS134" s="54"/>
      <c r="DT134" s="54"/>
      <c r="DU134" s="54"/>
      <c r="DV134" s="54"/>
      <c r="DW134" s="54"/>
      <c r="DX134" s="54"/>
      <c r="DZ134" s="54"/>
      <c r="EA134" s="54"/>
      <c r="EB134" s="54"/>
      <c r="EC134" s="54"/>
      <c r="ED134" s="54"/>
      <c r="EE134" s="54"/>
      <c r="EF134" s="54"/>
      <c r="EH134" s="54"/>
      <c r="EI134" s="54"/>
      <c r="EJ134" s="54"/>
      <c r="EK134" s="54"/>
      <c r="EL134" s="54"/>
      <c r="EM134" s="54"/>
      <c r="EN134" s="54"/>
      <c r="EP134" s="52"/>
      <c r="EQ134" s="52"/>
      <c r="ER134" s="52"/>
      <c r="ES134" s="52"/>
      <c r="ET134" s="52"/>
      <c r="EU134" s="52"/>
      <c r="EV134" s="52"/>
      <c r="EX134" s="52"/>
      <c r="EY134" s="52"/>
      <c r="EZ134" s="52"/>
      <c r="FA134" s="52"/>
      <c r="FB134" s="52"/>
      <c r="FC134" s="52"/>
      <c r="FD134" s="52"/>
      <c r="FF134" s="82"/>
      <c r="FG134" s="82"/>
      <c r="FH134" s="82"/>
      <c r="FI134" s="82"/>
      <c r="FJ134" s="82"/>
      <c r="FK134" s="82"/>
      <c r="FL134" s="82"/>
      <c r="FN134" s="82"/>
      <c r="FO134" s="82"/>
      <c r="FP134" s="82"/>
      <c r="FQ134" s="82"/>
      <c r="FR134" s="82"/>
      <c r="FS134" s="82"/>
      <c r="FT134" s="82"/>
      <c r="FV134" s="82"/>
      <c r="FW134" s="82"/>
      <c r="FX134" s="82"/>
      <c r="FY134" s="82"/>
      <c r="FZ134" s="82"/>
      <c r="GA134" s="82"/>
      <c r="GB134" s="82"/>
    </row>
    <row r="135" spans="2:184" x14ac:dyDescent="0.2">
      <c r="B135" s="58"/>
      <c r="C135" s="49" t="s">
        <v>705</v>
      </c>
      <c r="D135" s="20"/>
      <c r="E135" s="20"/>
      <c r="F135" s="371">
        <f>SUMIFS($F$53:$F$133,$D$53:$D$133,"BESS")</f>
        <v>23958</v>
      </c>
      <c r="G135" s="296"/>
      <c r="H135" s="296"/>
      <c r="I135" s="372"/>
      <c r="J135" s="373"/>
      <c r="K135" s="374"/>
      <c r="L135" s="64"/>
      <c r="M135" s="64"/>
      <c r="N135" s="18"/>
      <c r="O135" s="75"/>
      <c r="P135" s="54"/>
      <c r="Q135" s="54"/>
      <c r="R135" s="54"/>
      <c r="S135" s="54"/>
      <c r="T135" s="54"/>
      <c r="U135" s="54"/>
      <c r="V135" s="54"/>
      <c r="W135" s="54"/>
      <c r="Y135" s="54"/>
      <c r="Z135" s="54"/>
      <c r="AA135" s="54"/>
      <c r="AB135" s="54"/>
      <c r="AC135" s="54"/>
      <c r="AD135" s="54"/>
      <c r="AE135" s="54"/>
      <c r="AH135" s="48"/>
      <c r="AI135" s="48"/>
      <c r="AJ135" s="48"/>
      <c r="AK135" s="48"/>
      <c r="AL135" s="48"/>
      <c r="AM135" s="48"/>
      <c r="AN135" s="48"/>
      <c r="AP135" s="61"/>
      <c r="AQ135" s="61"/>
      <c r="AR135" s="61"/>
      <c r="AS135" s="61"/>
      <c r="AT135" s="61"/>
      <c r="AU135" s="61"/>
      <c r="AV135" s="61"/>
      <c r="AX135" s="52"/>
      <c r="AY135" s="52"/>
      <c r="AZ135" s="52"/>
      <c r="BA135" s="52"/>
      <c r="BB135" s="52"/>
      <c r="BC135" s="52"/>
      <c r="BD135" s="52"/>
      <c r="BE135" s="57"/>
      <c r="BF135" s="52"/>
      <c r="BG135" s="82"/>
      <c r="BH135" s="82"/>
      <c r="BI135" s="52"/>
      <c r="BJ135" s="52"/>
      <c r="BK135" s="52"/>
      <c r="BL135" s="52"/>
      <c r="BM135" s="297"/>
      <c r="BN135" s="69"/>
      <c r="BO135" s="69"/>
      <c r="BP135" s="69"/>
      <c r="BQ135" s="69"/>
      <c r="BR135" s="69"/>
      <c r="BS135" s="69"/>
      <c r="BT135" s="69"/>
      <c r="BV135" s="52"/>
      <c r="BW135" s="52"/>
      <c r="BX135" s="52"/>
      <c r="BY135" s="52"/>
      <c r="BZ135" s="52"/>
      <c r="CA135" s="52"/>
      <c r="CB135" s="52"/>
      <c r="CD135" s="61"/>
      <c r="CE135" s="61"/>
      <c r="CF135" s="61"/>
      <c r="CG135" s="61"/>
      <c r="CH135" s="61"/>
      <c r="CI135" s="61"/>
      <c r="CJ135" s="61"/>
      <c r="CK135" s="4"/>
      <c r="CL135" s="54"/>
      <c r="CM135" s="54"/>
      <c r="CN135" s="54"/>
      <c r="CO135" s="54"/>
      <c r="CP135" s="54"/>
      <c r="CQ135" s="54"/>
      <c r="CR135" s="54"/>
      <c r="CT135" s="54"/>
      <c r="CU135" s="54"/>
      <c r="CV135" s="54"/>
      <c r="CW135" s="54"/>
      <c r="CX135" s="54"/>
      <c r="CY135" s="54"/>
      <c r="CZ135" s="54"/>
      <c r="DB135" s="54"/>
      <c r="DC135" s="54"/>
      <c r="DD135" s="54"/>
      <c r="DE135" s="54"/>
      <c r="DF135" s="54"/>
      <c r="DG135" s="54"/>
      <c r="DH135" s="54"/>
      <c r="DJ135" s="54"/>
      <c r="DK135" s="54"/>
      <c r="DL135" s="54"/>
      <c r="DM135" s="54"/>
      <c r="DN135" s="54"/>
      <c r="DO135" s="54"/>
      <c r="DP135" s="54"/>
      <c r="DR135" s="54"/>
      <c r="DS135" s="54"/>
      <c r="DT135" s="54"/>
      <c r="DU135" s="54"/>
      <c r="DV135" s="54"/>
      <c r="DW135" s="54"/>
      <c r="DX135" s="54"/>
      <c r="DZ135" s="54"/>
      <c r="EA135" s="54"/>
      <c r="EB135" s="54"/>
      <c r="EC135" s="54"/>
      <c r="ED135" s="54"/>
      <c r="EE135" s="54"/>
      <c r="EF135" s="54"/>
      <c r="EH135" s="54"/>
      <c r="EI135" s="54"/>
      <c r="EJ135" s="54"/>
      <c r="EK135" s="54"/>
      <c r="EL135" s="54"/>
      <c r="EM135" s="54"/>
      <c r="EN135" s="54"/>
      <c r="EP135" s="52"/>
      <c r="EQ135" s="52"/>
      <c r="ER135" s="52"/>
      <c r="ES135" s="52"/>
      <c r="ET135" s="52"/>
      <c r="EU135" s="52"/>
      <c r="EV135" s="52"/>
      <c r="EX135" s="52"/>
      <c r="EY135" s="52"/>
      <c r="EZ135" s="52"/>
      <c r="FA135" s="52"/>
      <c r="FB135" s="52"/>
      <c r="FC135" s="52"/>
      <c r="FD135" s="52"/>
      <c r="FF135" s="82"/>
      <c r="FG135" s="82"/>
      <c r="FH135" s="82"/>
      <c r="FI135" s="82"/>
      <c r="FJ135" s="82"/>
      <c r="FK135" s="82"/>
      <c r="FL135" s="82"/>
      <c r="FN135" s="82"/>
      <c r="FO135" s="82"/>
      <c r="FP135" s="82"/>
      <c r="FQ135" s="82"/>
      <c r="FR135" s="82"/>
      <c r="FS135" s="82"/>
      <c r="FT135" s="82"/>
      <c r="FV135" s="82"/>
      <c r="FW135" s="82"/>
      <c r="FX135" s="82"/>
      <c r="FY135" s="82"/>
      <c r="FZ135" s="82"/>
      <c r="GA135" s="82"/>
      <c r="GB135" s="82"/>
    </row>
    <row r="136" spans="2:184" x14ac:dyDescent="0.2">
      <c r="B136" s="58"/>
      <c r="C136" s="49" t="s">
        <v>706</v>
      </c>
      <c r="D136" s="20"/>
      <c r="E136" s="20"/>
      <c r="F136" s="371"/>
      <c r="G136" s="296"/>
      <c r="H136" s="296"/>
      <c r="I136" s="372"/>
      <c r="J136" s="373"/>
      <c r="K136" s="374">
        <f>SUM(K53:K133)</f>
        <v>815965</v>
      </c>
      <c r="L136" s="64"/>
      <c r="M136" s="64"/>
      <c r="N136" s="18"/>
      <c r="O136" s="75"/>
      <c r="P136" s="54"/>
      <c r="Q136" s="54"/>
      <c r="R136" s="54"/>
      <c r="S136" s="54"/>
      <c r="T136" s="54"/>
      <c r="U136" s="54"/>
      <c r="V136" s="54"/>
      <c r="W136" s="54"/>
      <c r="Y136" s="54"/>
      <c r="Z136" s="54"/>
      <c r="AA136" s="54"/>
      <c r="AB136" s="54"/>
      <c r="AC136" s="54"/>
      <c r="AD136" s="54"/>
      <c r="AE136" s="54"/>
      <c r="AH136" s="48"/>
      <c r="AI136" s="48"/>
      <c r="AJ136" s="48"/>
      <c r="AK136" s="48"/>
      <c r="AL136" s="48"/>
      <c r="AM136" s="48"/>
      <c r="AN136" s="48"/>
      <c r="AP136" s="61"/>
      <c r="AQ136" s="61"/>
      <c r="AR136" s="61"/>
      <c r="AS136" s="61"/>
      <c r="AT136" s="61"/>
      <c r="AU136" s="61"/>
      <c r="AV136" s="61"/>
      <c r="AX136" s="52"/>
      <c r="AY136" s="52"/>
      <c r="AZ136" s="52"/>
      <c r="BA136" s="52"/>
      <c r="BB136" s="52"/>
      <c r="BC136" s="52"/>
      <c r="BD136" s="52"/>
      <c r="BE136" s="57"/>
      <c r="BF136" s="52"/>
      <c r="BG136" s="82"/>
      <c r="BH136" s="82"/>
      <c r="BI136" s="52"/>
      <c r="BJ136" s="52"/>
      <c r="BK136" s="52"/>
      <c r="BL136" s="52"/>
      <c r="BM136" s="68"/>
      <c r="BN136" s="52"/>
      <c r="BO136" s="52"/>
      <c r="BP136" s="52"/>
      <c r="BQ136" s="52"/>
      <c r="BR136" s="52"/>
      <c r="BS136" s="52"/>
      <c r="BT136" s="52"/>
      <c r="BV136" s="52"/>
      <c r="BW136" s="52"/>
      <c r="BX136" s="52"/>
      <c r="BY136" s="52"/>
      <c r="BZ136" s="52"/>
      <c r="CA136" s="52"/>
      <c r="CB136" s="52"/>
      <c r="CD136" s="61"/>
      <c r="CE136" s="61"/>
      <c r="CF136" s="61"/>
      <c r="CG136" s="61"/>
      <c r="CH136" s="61"/>
      <c r="CI136" s="61"/>
      <c r="CJ136" s="61"/>
      <c r="CK136" s="4"/>
      <c r="CL136" s="54"/>
      <c r="CM136" s="54"/>
      <c r="CN136" s="54"/>
      <c r="CO136" s="54"/>
      <c r="CP136" s="54"/>
      <c r="CQ136" s="54"/>
      <c r="CR136" s="54"/>
      <c r="CT136" s="54"/>
      <c r="CU136" s="54"/>
      <c r="CV136" s="54"/>
      <c r="CW136" s="54"/>
      <c r="CX136" s="54"/>
      <c r="CY136" s="54"/>
      <c r="CZ136" s="54"/>
      <c r="DB136" s="54"/>
      <c r="DC136" s="54"/>
      <c r="DD136" s="54"/>
      <c r="DE136" s="54"/>
      <c r="DF136" s="54"/>
      <c r="DG136" s="54"/>
      <c r="DH136" s="54"/>
      <c r="DJ136" s="54"/>
      <c r="DK136" s="54"/>
      <c r="DL136" s="54"/>
      <c r="DM136" s="54"/>
      <c r="DN136" s="54"/>
      <c r="DO136" s="54"/>
      <c r="DP136" s="54"/>
      <c r="DR136" s="54"/>
      <c r="DS136" s="54"/>
      <c r="DT136" s="54"/>
      <c r="DU136" s="54"/>
      <c r="DV136" s="54"/>
      <c r="DW136" s="54"/>
      <c r="DX136" s="54"/>
      <c r="DZ136" s="54"/>
      <c r="EA136" s="54"/>
      <c r="EB136" s="54"/>
      <c r="EC136" s="54"/>
      <c r="ED136" s="54"/>
      <c r="EE136" s="54"/>
      <c r="EF136" s="54"/>
      <c r="EH136" s="54">
        <f t="shared" ref="EH136:EM138" si="661">$F136*EH$24*(Q136/365)</f>
        <v>0</v>
      </c>
      <c r="EI136" s="54">
        <f t="shared" si="661"/>
        <v>0</v>
      </c>
      <c r="EJ136" s="54">
        <f t="shared" si="661"/>
        <v>0</v>
      </c>
      <c r="EK136" s="54">
        <f t="shared" si="661"/>
        <v>0</v>
      </c>
      <c r="EL136" s="54">
        <f t="shared" si="661"/>
        <v>0</v>
      </c>
      <c r="EM136" s="54">
        <f t="shared" si="661"/>
        <v>0</v>
      </c>
      <c r="EN136" s="54"/>
      <c r="EP136" s="52">
        <f t="shared" ref="EP136:EU138" ca="1" si="662">(((1/12)+15%)*EH136+(45/365)*EX136)*EP$24</f>
        <v>0</v>
      </c>
      <c r="EQ136" s="52">
        <f t="shared" ca="1" si="662"/>
        <v>0</v>
      </c>
      <c r="ER136" s="52">
        <f t="shared" ca="1" si="662"/>
        <v>0</v>
      </c>
      <c r="ES136" s="52">
        <f t="shared" ca="1" si="662"/>
        <v>0</v>
      </c>
      <c r="ET136" s="52">
        <f t="shared" ca="1" si="662"/>
        <v>0</v>
      </c>
      <c r="EU136" s="52">
        <f t="shared" ca="1" si="662"/>
        <v>0</v>
      </c>
      <c r="EV136" s="52"/>
      <c r="EX136" s="52">
        <f t="shared" ref="EX136:EX138" ca="1" si="663">BF136+BN136+DZ136+EH136+EP136</f>
        <v>0</v>
      </c>
      <c r="EY136" s="52">
        <f t="shared" ref="EY136:EY138" ca="1" si="664">BG136+BO136+EA136+EI136+EQ136</f>
        <v>0</v>
      </c>
      <c r="EZ136" s="52">
        <f t="shared" ref="EZ136:EZ138" ca="1" si="665">BH136+BP136+EB136+EJ136+ER136</f>
        <v>0</v>
      </c>
      <c r="FA136" s="52">
        <f t="shared" ref="FA136:FA138" ca="1" si="666">BI136+BQ136+EC136+EK136+ES136</f>
        <v>0</v>
      </c>
      <c r="FB136" s="52">
        <f t="shared" ref="FB136:FB138" ca="1" si="667">BJ136+BR136+ED136+EL136+ET136</f>
        <v>0</v>
      </c>
      <c r="FC136" s="52">
        <f ca="1">BK136+BS136+EE136+EM136+EU136</f>
        <v>0</v>
      </c>
      <c r="FD136" s="52"/>
      <c r="FF136" s="82">
        <f t="shared" si="256"/>
        <v>0</v>
      </c>
      <c r="FG136" s="82">
        <f t="shared" si="257"/>
        <v>0</v>
      </c>
      <c r="FH136" s="82">
        <f t="shared" si="258"/>
        <v>0</v>
      </c>
      <c r="FI136" s="82">
        <f t="shared" si="259"/>
        <v>0</v>
      </c>
      <c r="FJ136" s="82">
        <f t="shared" si="260"/>
        <v>0</v>
      </c>
      <c r="FK136" s="82">
        <f>IF(AE136=1,$K136,)</f>
        <v>0</v>
      </c>
      <c r="FL136" s="82"/>
      <c r="FN136" s="82">
        <f t="shared" ref="FN136:FN138" si="668">IF(Z136&lt;1,FM136+CL136,)</f>
        <v>0</v>
      </c>
      <c r="FO136" s="82">
        <f t="shared" ref="FO136:FO138" si="669">IF(AA136&lt;1,FN136+CM136,)</f>
        <v>0</v>
      </c>
      <c r="FP136" s="82">
        <f t="shared" si="263"/>
        <v>0</v>
      </c>
      <c r="FQ136" s="82">
        <f t="shared" si="264"/>
        <v>0</v>
      </c>
      <c r="FR136" s="82">
        <f t="shared" si="265"/>
        <v>0</v>
      </c>
      <c r="FS136" s="82">
        <f>IF(AE136&lt;1,FR136+CQ136,)</f>
        <v>0</v>
      </c>
      <c r="FT136" s="82"/>
      <c r="FV136" s="82"/>
      <c r="FW136" s="82"/>
      <c r="FX136" s="82"/>
      <c r="FY136" s="82"/>
      <c r="FZ136" s="82"/>
      <c r="GA136" s="82"/>
      <c r="GB136" s="82"/>
    </row>
    <row r="137" spans="2:184" x14ac:dyDescent="0.2">
      <c r="B137" s="58"/>
      <c r="C137" s="48"/>
      <c r="D137" s="5"/>
      <c r="E137" s="5"/>
      <c r="F137" s="5"/>
      <c r="G137" s="59"/>
      <c r="H137" s="59"/>
      <c r="I137" s="54"/>
      <c r="J137" s="66"/>
      <c r="K137" s="66"/>
      <c r="L137" s="64"/>
      <c r="M137" s="64"/>
      <c r="N137" s="18"/>
      <c r="O137" s="75"/>
      <c r="P137" s="54"/>
      <c r="Q137" s="54"/>
      <c r="R137" s="54"/>
      <c r="S137" s="54"/>
      <c r="T137" s="54"/>
      <c r="U137" s="54"/>
      <c r="V137" s="54"/>
      <c r="W137" s="54"/>
      <c r="Y137" s="54"/>
      <c r="Z137" s="54"/>
      <c r="AA137" s="54"/>
      <c r="AB137" s="54"/>
      <c r="AC137" s="54"/>
      <c r="AD137" s="54"/>
      <c r="AE137" s="54"/>
      <c r="AH137" s="48"/>
      <c r="AI137" s="48"/>
      <c r="AJ137" s="48"/>
      <c r="AK137" s="48"/>
      <c r="AL137" s="48"/>
      <c r="AM137" s="48"/>
      <c r="AN137" s="48"/>
      <c r="AP137" s="61"/>
      <c r="AQ137" s="61"/>
      <c r="AR137" s="61"/>
      <c r="AS137" s="61"/>
      <c r="AT137" s="61"/>
      <c r="AU137" s="61"/>
      <c r="AV137" s="61"/>
      <c r="AX137" s="52"/>
      <c r="AY137" s="52"/>
      <c r="AZ137" s="52"/>
      <c r="BA137" s="52"/>
      <c r="BB137" s="52"/>
      <c r="BC137" s="52"/>
      <c r="BD137" s="52"/>
      <c r="BE137" s="57"/>
      <c r="BF137" s="52"/>
      <c r="BG137" s="82"/>
      <c r="BH137" s="82"/>
      <c r="BI137" s="52"/>
      <c r="BJ137" s="52"/>
      <c r="BK137" s="52"/>
      <c r="BL137" s="52"/>
      <c r="BM137" s="68"/>
      <c r="BN137" s="52"/>
      <c r="BO137" s="52"/>
      <c r="BP137" s="52"/>
      <c r="BQ137" s="52"/>
      <c r="BR137" s="52"/>
      <c r="BS137" s="52"/>
      <c r="BT137" s="52"/>
      <c r="BV137" s="52"/>
      <c r="BW137" s="52"/>
      <c r="BX137" s="52"/>
      <c r="BY137" s="52"/>
      <c r="BZ137" s="52"/>
      <c r="CA137" s="52"/>
      <c r="CB137" s="52"/>
      <c r="CD137" s="61"/>
      <c r="CE137" s="61"/>
      <c r="CF137" s="61"/>
      <c r="CG137" s="61"/>
      <c r="CH137" s="61"/>
      <c r="CI137" s="61"/>
      <c r="CJ137" s="61"/>
      <c r="CK137" s="4"/>
      <c r="CL137" s="54"/>
      <c r="CM137" s="54"/>
      <c r="CN137" s="54"/>
      <c r="CO137" s="54"/>
      <c r="CP137" s="54"/>
      <c r="CQ137" s="54"/>
      <c r="CR137" s="54"/>
      <c r="CT137" s="54"/>
      <c r="CU137" s="54"/>
      <c r="CV137" s="54"/>
      <c r="CW137" s="54"/>
      <c r="CX137" s="54"/>
      <c r="CY137" s="54"/>
      <c r="CZ137" s="54"/>
      <c r="DB137" s="54"/>
      <c r="DC137" s="54"/>
      <c r="DD137" s="54"/>
      <c r="DE137" s="54"/>
      <c r="DF137" s="54"/>
      <c r="DG137" s="54"/>
      <c r="DH137" s="54"/>
      <c r="DJ137" s="54"/>
      <c r="DK137" s="54"/>
      <c r="DL137" s="54"/>
      <c r="DM137" s="54"/>
      <c r="DN137" s="54"/>
      <c r="DO137" s="54"/>
      <c r="DP137" s="54"/>
      <c r="DR137" s="54"/>
      <c r="DS137" s="54"/>
      <c r="DT137" s="54"/>
      <c r="DU137" s="54"/>
      <c r="DV137" s="54"/>
      <c r="DW137" s="54"/>
      <c r="DX137" s="54"/>
      <c r="DZ137" s="54"/>
      <c r="EA137" s="54"/>
      <c r="EB137" s="54"/>
      <c r="EC137" s="54"/>
      <c r="ED137" s="54"/>
      <c r="EE137" s="54"/>
      <c r="EF137" s="54"/>
      <c r="EH137" s="54">
        <f t="shared" si="661"/>
        <v>0</v>
      </c>
      <c r="EI137" s="54">
        <f t="shared" si="661"/>
        <v>0</v>
      </c>
      <c r="EJ137" s="54">
        <f t="shared" si="661"/>
        <v>0</v>
      </c>
      <c r="EK137" s="54">
        <f t="shared" si="661"/>
        <v>0</v>
      </c>
      <c r="EL137" s="54">
        <f t="shared" si="661"/>
        <v>0</v>
      </c>
      <c r="EM137" s="54">
        <f t="shared" si="661"/>
        <v>0</v>
      </c>
      <c r="EN137" s="54"/>
      <c r="EP137" s="52">
        <f t="shared" ca="1" si="662"/>
        <v>0</v>
      </c>
      <c r="EQ137" s="52">
        <f t="shared" ca="1" si="662"/>
        <v>0</v>
      </c>
      <c r="ER137" s="52">
        <f t="shared" ca="1" si="662"/>
        <v>0</v>
      </c>
      <c r="ES137" s="52">
        <f t="shared" ca="1" si="662"/>
        <v>0</v>
      </c>
      <c r="ET137" s="52">
        <f t="shared" ca="1" si="662"/>
        <v>0</v>
      </c>
      <c r="EU137" s="52">
        <f t="shared" ca="1" si="662"/>
        <v>0</v>
      </c>
      <c r="EV137" s="52"/>
      <c r="EX137" s="52">
        <f t="shared" ca="1" si="663"/>
        <v>0</v>
      </c>
      <c r="EY137" s="52">
        <f t="shared" ca="1" si="664"/>
        <v>0</v>
      </c>
      <c r="EZ137" s="52">
        <f t="shared" ca="1" si="665"/>
        <v>0</v>
      </c>
      <c r="FA137" s="52">
        <f t="shared" ca="1" si="666"/>
        <v>0</v>
      </c>
      <c r="FB137" s="52">
        <f t="shared" ca="1" si="667"/>
        <v>0</v>
      </c>
      <c r="FC137" s="52">
        <f ca="1">BK137+BS137+EE137+EM137+EU137</f>
        <v>0</v>
      </c>
      <c r="FD137" s="52"/>
      <c r="FF137" s="82">
        <f t="shared" si="256"/>
        <v>0</v>
      </c>
      <c r="FG137" s="82">
        <f t="shared" si="257"/>
        <v>0</v>
      </c>
      <c r="FH137" s="82">
        <f t="shared" si="258"/>
        <v>0</v>
      </c>
      <c r="FI137" s="82">
        <f t="shared" si="259"/>
        <v>0</v>
      </c>
      <c r="FJ137" s="82">
        <f t="shared" si="260"/>
        <v>0</v>
      </c>
      <c r="FK137" s="82">
        <f>IF(AE137=1,$K137,)</f>
        <v>0</v>
      </c>
      <c r="FL137" s="82"/>
      <c r="FN137" s="82">
        <f t="shared" si="668"/>
        <v>0</v>
      </c>
      <c r="FO137" s="82">
        <f t="shared" si="669"/>
        <v>0</v>
      </c>
      <c r="FP137" s="82">
        <f t="shared" si="263"/>
        <v>0</v>
      </c>
      <c r="FQ137" s="82">
        <f t="shared" si="264"/>
        <v>0</v>
      </c>
      <c r="FR137" s="82">
        <f t="shared" si="265"/>
        <v>0</v>
      </c>
      <c r="FS137" s="82">
        <f>IF(AE137&lt;1,FR137+CQ137,)</f>
        <v>0</v>
      </c>
      <c r="FT137" s="82"/>
      <c r="FV137" s="82"/>
      <c r="FW137" s="82"/>
      <c r="FX137" s="82"/>
      <c r="FY137" s="82"/>
      <c r="FZ137" s="82"/>
      <c r="GA137" s="82"/>
      <c r="GB137" s="82"/>
    </row>
    <row r="138" spans="2:184" x14ac:dyDescent="0.2">
      <c r="B138" s="58"/>
      <c r="C138" s="48"/>
      <c r="D138" s="5"/>
      <c r="E138" s="5"/>
      <c r="F138" s="5"/>
      <c r="G138" s="59"/>
      <c r="H138" s="59"/>
      <c r="I138" s="54"/>
      <c r="J138" s="66"/>
      <c r="K138" s="66"/>
      <c r="L138" s="64"/>
      <c r="M138" s="64"/>
      <c r="N138" s="18"/>
      <c r="O138" s="75"/>
      <c r="P138" s="54"/>
      <c r="Q138" s="54"/>
      <c r="R138" s="54"/>
      <c r="S138" s="54"/>
      <c r="T138" s="54"/>
      <c r="U138" s="54"/>
      <c r="V138" s="54"/>
      <c r="W138" s="54"/>
      <c r="Y138" s="54"/>
      <c r="Z138" s="54"/>
      <c r="AA138" s="54"/>
      <c r="AB138" s="54"/>
      <c r="AC138" s="54"/>
      <c r="AD138" s="54"/>
      <c r="AE138" s="54"/>
      <c r="AH138" s="48"/>
      <c r="AI138" s="48"/>
      <c r="AJ138" s="48"/>
      <c r="AK138" s="48"/>
      <c r="AL138" s="48"/>
      <c r="AM138" s="48"/>
      <c r="AN138" s="48"/>
      <c r="AP138" s="61"/>
      <c r="AQ138" s="61"/>
      <c r="AR138" s="61"/>
      <c r="AS138" s="61"/>
      <c r="AT138" s="61"/>
      <c r="AU138" s="61"/>
      <c r="AV138" s="61"/>
      <c r="AX138" s="52"/>
      <c r="AY138" s="52"/>
      <c r="AZ138" s="52"/>
      <c r="BA138" s="52"/>
      <c r="BB138" s="52"/>
      <c r="BC138" s="52"/>
      <c r="BD138" s="52"/>
      <c r="BE138" s="57"/>
      <c r="BF138" s="52"/>
      <c r="BG138" s="82"/>
      <c r="BH138" s="82"/>
      <c r="BI138" s="52"/>
      <c r="BJ138" s="52"/>
      <c r="BK138" s="52"/>
      <c r="BL138" s="52"/>
      <c r="BM138" s="68"/>
      <c r="BN138" s="52"/>
      <c r="BO138" s="52"/>
      <c r="BP138" s="52"/>
      <c r="BQ138" s="52"/>
      <c r="BR138" s="52"/>
      <c r="BS138" s="52"/>
      <c r="BT138" s="52"/>
      <c r="BV138" s="52"/>
      <c r="BW138" s="52"/>
      <c r="BX138" s="52"/>
      <c r="BY138" s="52"/>
      <c r="BZ138" s="52"/>
      <c r="CA138" s="52"/>
      <c r="CB138" s="52"/>
      <c r="CD138" s="61"/>
      <c r="CE138" s="61"/>
      <c r="CF138" s="61"/>
      <c r="CG138" s="61"/>
      <c r="CH138" s="61"/>
      <c r="CI138" s="61"/>
      <c r="CJ138" s="61"/>
      <c r="CK138" s="4"/>
      <c r="CL138" s="54"/>
      <c r="CM138" s="54"/>
      <c r="CN138" s="54"/>
      <c r="CO138" s="54"/>
      <c r="CP138" s="54"/>
      <c r="CQ138" s="54"/>
      <c r="CR138" s="54"/>
      <c r="CT138" s="54"/>
      <c r="CU138" s="54"/>
      <c r="CV138" s="54"/>
      <c r="CW138" s="54"/>
      <c r="CX138" s="54"/>
      <c r="CY138" s="54"/>
      <c r="CZ138" s="54"/>
      <c r="DB138" s="54"/>
      <c r="DC138" s="54"/>
      <c r="DD138" s="54"/>
      <c r="DE138" s="54"/>
      <c r="DF138" s="54"/>
      <c r="DG138" s="54"/>
      <c r="DH138" s="54"/>
      <c r="DJ138" s="54"/>
      <c r="DK138" s="54"/>
      <c r="DL138" s="54"/>
      <c r="DM138" s="54"/>
      <c r="DN138" s="54"/>
      <c r="DO138" s="54"/>
      <c r="DP138" s="54"/>
      <c r="DR138" s="54"/>
      <c r="DS138" s="54"/>
      <c r="DT138" s="54"/>
      <c r="DU138" s="54"/>
      <c r="DV138" s="54"/>
      <c r="DW138" s="54"/>
      <c r="DX138" s="54"/>
      <c r="DZ138" s="54"/>
      <c r="EA138" s="54"/>
      <c r="EB138" s="54"/>
      <c r="EC138" s="54"/>
      <c r="ED138" s="54"/>
      <c r="EE138" s="54"/>
      <c r="EF138" s="54"/>
      <c r="EH138" s="54">
        <f t="shared" si="661"/>
        <v>0</v>
      </c>
      <c r="EI138" s="54">
        <f t="shared" si="661"/>
        <v>0</v>
      </c>
      <c r="EJ138" s="54">
        <f t="shared" si="661"/>
        <v>0</v>
      </c>
      <c r="EK138" s="54">
        <f t="shared" si="661"/>
        <v>0</v>
      </c>
      <c r="EL138" s="54">
        <f t="shared" si="661"/>
        <v>0</v>
      </c>
      <c r="EM138" s="54">
        <f t="shared" si="661"/>
        <v>0</v>
      </c>
      <c r="EN138" s="54"/>
      <c r="EP138" s="52">
        <f t="shared" ca="1" si="662"/>
        <v>0</v>
      </c>
      <c r="EQ138" s="52">
        <f t="shared" ca="1" si="662"/>
        <v>0</v>
      </c>
      <c r="ER138" s="52">
        <f t="shared" ca="1" si="662"/>
        <v>0</v>
      </c>
      <c r="ES138" s="52">
        <f t="shared" ca="1" si="662"/>
        <v>0</v>
      </c>
      <c r="ET138" s="52">
        <f t="shared" ca="1" si="662"/>
        <v>0</v>
      </c>
      <c r="EU138" s="52">
        <f t="shared" ca="1" si="662"/>
        <v>0</v>
      </c>
      <c r="EV138" s="52"/>
      <c r="EX138" s="52">
        <f t="shared" ca="1" si="663"/>
        <v>0</v>
      </c>
      <c r="EY138" s="52">
        <f t="shared" ca="1" si="664"/>
        <v>0</v>
      </c>
      <c r="EZ138" s="52">
        <f t="shared" ca="1" si="665"/>
        <v>0</v>
      </c>
      <c r="FA138" s="52">
        <f t="shared" ca="1" si="666"/>
        <v>0</v>
      </c>
      <c r="FB138" s="52">
        <f t="shared" ca="1" si="667"/>
        <v>0</v>
      </c>
      <c r="FC138" s="52">
        <f ca="1">BK138+BS138+EE138+EM138+EU138</f>
        <v>0</v>
      </c>
      <c r="FD138" s="52"/>
      <c r="FF138" s="82">
        <f t="shared" si="256"/>
        <v>0</v>
      </c>
      <c r="FG138" s="82">
        <f t="shared" si="257"/>
        <v>0</v>
      </c>
      <c r="FH138" s="82">
        <f t="shared" si="258"/>
        <v>0</v>
      </c>
      <c r="FI138" s="82">
        <f t="shared" si="259"/>
        <v>0</v>
      </c>
      <c r="FJ138" s="82">
        <f t="shared" si="260"/>
        <v>0</v>
      </c>
      <c r="FK138" s="82">
        <f>IF(AE138=1,$K138,)</f>
        <v>0</v>
      </c>
      <c r="FL138" s="82"/>
      <c r="FN138" s="82">
        <f t="shared" si="668"/>
        <v>0</v>
      </c>
      <c r="FO138" s="82">
        <f t="shared" si="669"/>
        <v>0</v>
      </c>
      <c r="FP138" s="82">
        <f t="shared" si="263"/>
        <v>0</v>
      </c>
      <c r="FQ138" s="82">
        <f t="shared" si="264"/>
        <v>0</v>
      </c>
      <c r="FR138" s="82">
        <f t="shared" si="265"/>
        <v>0</v>
      </c>
      <c r="FS138" s="82">
        <f>IF(AE138&lt;1,FR138+CQ138,)</f>
        <v>0</v>
      </c>
      <c r="FT138" s="82"/>
      <c r="FV138" s="82"/>
      <c r="FW138" s="82"/>
      <c r="FX138" s="82"/>
      <c r="FY138" s="82"/>
      <c r="FZ138" s="82"/>
      <c r="GA138" s="82"/>
      <c r="GB138" s="82"/>
    </row>
    <row r="139" spans="2:184" x14ac:dyDescent="0.2">
      <c r="B139" s="58"/>
      <c r="C139" s="48"/>
      <c r="D139" s="48"/>
      <c r="E139" s="48"/>
      <c r="F139" s="5"/>
      <c r="G139" s="5"/>
      <c r="H139" s="59"/>
      <c r="I139" s="54"/>
      <c r="J139" s="66"/>
      <c r="K139" s="66"/>
      <c r="L139" s="64"/>
      <c r="M139" s="64"/>
      <c r="N139" s="18"/>
      <c r="O139" s="75"/>
      <c r="P139" s="18"/>
      <c r="Q139" s="54"/>
      <c r="R139" s="54"/>
      <c r="S139" s="54"/>
      <c r="T139" s="54"/>
      <c r="U139" s="54"/>
      <c r="V139" s="54"/>
      <c r="W139" s="54"/>
      <c r="Y139" s="60"/>
      <c r="Z139" s="60"/>
      <c r="AA139" s="54"/>
      <c r="AB139" s="54"/>
      <c r="AC139" s="54"/>
      <c r="AD139" s="54"/>
      <c r="AE139" s="54"/>
      <c r="AH139" s="48"/>
      <c r="AI139" s="48"/>
      <c r="AJ139" s="48"/>
      <c r="AK139" s="48"/>
      <c r="AL139" s="48"/>
      <c r="AM139" s="48"/>
      <c r="AN139" s="48"/>
      <c r="AP139" s="61"/>
      <c r="AQ139" s="61"/>
      <c r="AR139" s="61"/>
      <c r="AS139" s="61"/>
      <c r="AT139" s="61"/>
      <c r="AU139" s="61"/>
      <c r="AV139" s="61"/>
      <c r="AX139" s="52"/>
      <c r="AY139" s="52"/>
      <c r="AZ139" s="52"/>
      <c r="BA139" s="52"/>
      <c r="BB139" s="52"/>
      <c r="BC139" s="52"/>
      <c r="BD139" s="52"/>
      <c r="BE139" s="57"/>
      <c r="BF139" s="52"/>
      <c r="BG139" s="82"/>
      <c r="BH139" s="82"/>
      <c r="BI139" s="48"/>
      <c r="BJ139" s="48"/>
      <c r="BK139" s="48"/>
      <c r="BL139" s="48"/>
      <c r="BM139" s="68"/>
      <c r="BN139" s="69"/>
      <c r="BO139" s="69"/>
      <c r="BP139" s="69"/>
      <c r="BQ139" s="69"/>
      <c r="BR139" s="69"/>
      <c r="BS139" s="69"/>
      <c r="BT139" s="69"/>
      <c r="BV139" s="69"/>
      <c r="BW139" s="69"/>
      <c r="BX139" s="69"/>
      <c r="BY139" s="69"/>
      <c r="BZ139" s="69"/>
      <c r="CA139" s="69"/>
      <c r="CB139" s="69"/>
      <c r="CD139" s="69"/>
      <c r="CE139" s="69"/>
      <c r="CF139" s="69"/>
      <c r="CG139" s="69"/>
      <c r="CH139" s="69"/>
      <c r="CI139" s="69"/>
      <c r="CJ139" s="69"/>
      <c r="CL139" s="54"/>
      <c r="CM139" s="54"/>
      <c r="CN139" s="54"/>
      <c r="CO139" s="54"/>
      <c r="CP139" s="54"/>
      <c r="CQ139" s="54"/>
      <c r="CR139" s="54"/>
      <c r="CT139" s="54"/>
      <c r="CU139" s="54"/>
      <c r="CV139" s="54"/>
      <c r="CW139" s="54"/>
      <c r="CX139" s="54"/>
      <c r="CY139" s="54"/>
      <c r="CZ139" s="54"/>
      <c r="DB139" s="54"/>
      <c r="DC139" s="54"/>
      <c r="DD139" s="54"/>
      <c r="DE139" s="54"/>
      <c r="DF139" s="54"/>
      <c r="DG139" s="54"/>
      <c r="DH139" s="54"/>
      <c r="DJ139" s="54"/>
      <c r="DK139" s="54"/>
      <c r="DL139" s="54"/>
      <c r="DM139" s="54"/>
      <c r="DN139" s="54"/>
      <c r="DO139" s="54"/>
      <c r="DP139" s="54"/>
      <c r="DR139" s="54"/>
      <c r="DS139" s="54"/>
      <c r="DT139" s="54"/>
      <c r="DU139" s="54"/>
      <c r="DV139" s="54"/>
      <c r="DW139" s="54"/>
      <c r="DX139" s="54"/>
      <c r="DZ139" s="54"/>
      <c r="EA139" s="54"/>
      <c r="EB139" s="54"/>
      <c r="EC139" s="54"/>
      <c r="ED139" s="54"/>
      <c r="EE139" s="54"/>
      <c r="EF139" s="54"/>
      <c r="EH139" s="48"/>
      <c r="EI139" s="48"/>
      <c r="EJ139" s="48"/>
      <c r="EK139" s="48"/>
      <c r="EL139" s="48"/>
      <c r="EM139" s="48"/>
      <c r="EN139" s="48"/>
      <c r="EP139" s="48"/>
      <c r="EQ139" s="48"/>
      <c r="ER139" s="48"/>
      <c r="ES139" s="48"/>
      <c r="ET139" s="48"/>
      <c r="EU139" s="48"/>
      <c r="EV139" s="48"/>
      <c r="EX139" s="52">
        <f t="shared" ref="EX139" si="670">BF139+BN139+DZ139+EH139+EP139</f>
        <v>0</v>
      </c>
      <c r="EY139" s="52">
        <f t="shared" ref="EY139" si="671">BG139+BO139+EA139+EI139+EQ139</f>
        <v>0</v>
      </c>
      <c r="EZ139" s="52">
        <f t="shared" ref="EZ139" si="672">BH139+BP139+EB139+EJ139+ER139</f>
        <v>0</v>
      </c>
      <c r="FA139" s="52">
        <f t="shared" ref="FA139" si="673">BI139+BQ139+EC139+EK139+ES139</f>
        <v>0</v>
      </c>
      <c r="FB139" s="52">
        <f t="shared" ref="FB139" si="674">BJ139+BR139+ED139+EL139+ET139</f>
        <v>0</v>
      </c>
      <c r="FC139" s="52">
        <f t="shared" ref="FC139" si="675">BK139+BS139+EE139+EM139+EU139</f>
        <v>0</v>
      </c>
      <c r="FD139" s="52"/>
      <c r="FF139" s="82">
        <f t="shared" si="256"/>
        <v>0</v>
      </c>
      <c r="FG139" s="82">
        <f t="shared" si="257"/>
        <v>0</v>
      </c>
      <c r="FH139" s="82">
        <f t="shared" si="258"/>
        <v>0</v>
      </c>
      <c r="FI139" s="82">
        <f t="shared" si="259"/>
        <v>0</v>
      </c>
      <c r="FJ139" s="82">
        <f t="shared" si="260"/>
        <v>0</v>
      </c>
      <c r="FK139" s="82">
        <f>IF(AE139=1,$K139,)</f>
        <v>0</v>
      </c>
      <c r="FL139" s="82"/>
      <c r="FN139" s="82">
        <f>IF(Z139&lt;1,FM139+CL139,)</f>
        <v>0</v>
      </c>
      <c r="FO139" s="82">
        <f>IF(AA139&lt;1,FN139+CM139,)</f>
        <v>0</v>
      </c>
      <c r="FP139" s="82">
        <f>IF(AB139&lt;1,FO139+CN139,)</f>
        <v>0</v>
      </c>
      <c r="FQ139" s="82">
        <f>IF(AC139&lt;1,FP139+CO139,)</f>
        <v>0</v>
      </c>
      <c r="FR139" s="82">
        <f>IF(AD139&lt;1,FQ139+CP139,)</f>
        <v>0</v>
      </c>
      <c r="FS139" s="82">
        <f t="shared" ref="FS139" si="676">IF(AE139&lt;1,FR139+CQ139,)</f>
        <v>0</v>
      </c>
      <c r="FT139" s="82"/>
      <c r="FV139" s="82"/>
      <c r="FW139" s="82"/>
      <c r="FX139" s="82"/>
      <c r="FY139" s="82"/>
      <c r="FZ139" s="82"/>
      <c r="GA139" s="82"/>
      <c r="GB139" s="82"/>
    </row>
    <row r="140" spans="2:184" x14ac:dyDescent="0.2">
      <c r="B140" s="77"/>
      <c r="F140" s="1"/>
      <c r="G140" s="1"/>
      <c r="H140" s="53"/>
      <c r="I140" s="55"/>
      <c r="J140" s="78"/>
      <c r="K140" s="78"/>
      <c r="L140" s="67"/>
      <c r="M140" s="67"/>
      <c r="N140" s="75"/>
      <c r="O140" s="75"/>
      <c r="P140" s="75"/>
      <c r="Q140" s="55"/>
      <c r="R140" s="55"/>
      <c r="S140" s="55"/>
      <c r="T140" s="55"/>
      <c r="U140" s="55"/>
      <c r="V140" s="55"/>
      <c r="W140" s="55"/>
      <c r="Y140" s="79"/>
      <c r="Z140" s="79"/>
      <c r="AA140" s="55"/>
      <c r="AB140" s="55"/>
      <c r="AC140" s="55"/>
      <c r="AD140" s="55"/>
      <c r="AE140" s="55"/>
      <c r="AH140" s="181">
        <f t="shared" ref="AH140:AM140" si="677">SUM(AH53:AH139)</f>
        <v>2540</v>
      </c>
      <c r="AI140" s="181">
        <f t="shared" si="677"/>
        <v>2962</v>
      </c>
      <c r="AJ140" s="181">
        <f t="shared" si="677"/>
        <v>15520</v>
      </c>
      <c r="AK140" s="181">
        <f t="shared" si="677"/>
        <v>22370</v>
      </c>
      <c r="AL140" s="181">
        <f t="shared" si="677"/>
        <v>32020</v>
      </c>
      <c r="AM140" s="181">
        <f t="shared" si="677"/>
        <v>32820</v>
      </c>
      <c r="AN140" s="181"/>
      <c r="AP140" s="57"/>
      <c r="AQ140" s="57"/>
      <c r="AR140" s="57"/>
      <c r="AS140" s="57"/>
      <c r="AT140" s="57"/>
      <c r="AU140" s="57"/>
      <c r="AV140" s="57"/>
      <c r="AX140" s="80"/>
      <c r="AY140" s="80"/>
      <c r="AZ140" s="80"/>
      <c r="BA140" s="80"/>
      <c r="BB140" s="80"/>
      <c r="BC140" s="80"/>
      <c r="BD140" s="80"/>
      <c r="BE140" s="57"/>
      <c r="BF140" s="80"/>
      <c r="BM140" s="68"/>
      <c r="BN140" s="81"/>
      <c r="BO140" s="81"/>
      <c r="BP140" s="81"/>
      <c r="BQ140" s="81"/>
      <c r="BR140" s="81"/>
      <c r="BS140" s="81"/>
      <c r="BT140" s="81"/>
      <c r="BV140" s="81"/>
      <c r="BW140" s="81"/>
      <c r="BX140" s="81"/>
      <c r="BY140" s="81"/>
      <c r="BZ140" s="81"/>
      <c r="CA140" s="81"/>
      <c r="CB140" s="81"/>
      <c r="CD140" s="81"/>
      <c r="CE140" s="81"/>
      <c r="CF140" s="81"/>
      <c r="CG140" s="81"/>
      <c r="CH140" s="81"/>
      <c r="CI140" s="81"/>
      <c r="CJ140" s="81"/>
      <c r="CL140" s="184">
        <f t="shared" ref="CL140:CQ140" si="678">+SUM(CL88:CL135)</f>
        <v>0</v>
      </c>
      <c r="CM140" s="184">
        <f t="shared" si="678"/>
        <v>0</v>
      </c>
      <c r="CN140" s="184">
        <f t="shared" si="678"/>
        <v>192571.4250224547</v>
      </c>
      <c r="CO140" s="184">
        <f t="shared" si="678"/>
        <v>218628.94844382344</v>
      </c>
      <c r="CP140" s="184">
        <f t="shared" si="678"/>
        <v>146730.25973052488</v>
      </c>
      <c r="CQ140" s="184">
        <f t="shared" si="678"/>
        <v>44030.095759233925</v>
      </c>
      <c r="CR140" s="184"/>
      <c r="CS140" s="79">
        <f>SUM(CM140:CQ140)</f>
        <v>601960.72895603697</v>
      </c>
      <c r="CT140" s="55"/>
      <c r="CU140" s="55"/>
      <c r="CV140" s="55"/>
      <c r="CW140" s="55"/>
      <c r="CX140" s="55"/>
      <c r="CY140" s="55"/>
      <c r="CZ140" s="55"/>
      <c r="DB140" s="55"/>
      <c r="DC140" s="55"/>
      <c r="DD140" s="55"/>
      <c r="DE140" s="55"/>
      <c r="DF140" s="55"/>
      <c r="DG140" s="55"/>
      <c r="DH140" s="55"/>
      <c r="DJ140" s="55"/>
      <c r="DK140" s="55"/>
      <c r="DL140" s="55"/>
      <c r="DM140" s="55"/>
      <c r="DN140" s="55"/>
      <c r="DO140" s="55"/>
      <c r="DP140" s="55"/>
      <c r="DR140" s="55"/>
      <c r="DS140" s="55"/>
      <c r="DT140" s="55"/>
      <c r="DU140" s="55"/>
      <c r="DV140" s="55"/>
      <c r="DW140" s="55"/>
      <c r="DX140" s="55"/>
      <c r="DZ140" s="55"/>
      <c r="EA140" s="55"/>
      <c r="EB140" s="55"/>
      <c r="EC140" s="55"/>
      <c r="ED140" s="55"/>
      <c r="EE140" s="55"/>
      <c r="EF140" s="55"/>
    </row>
    <row r="141" spans="2:184" x14ac:dyDescent="0.2">
      <c r="B141" s="77"/>
      <c r="F141" s="1"/>
      <c r="G141" s="1"/>
      <c r="H141" s="53"/>
      <c r="I141" s="55"/>
      <c r="J141" s="78"/>
      <c r="K141" s="78"/>
      <c r="L141" s="67"/>
      <c r="M141" s="67"/>
      <c r="N141" s="75"/>
      <c r="O141" s="75"/>
      <c r="P141" s="75"/>
      <c r="Q141" s="55"/>
      <c r="R141" s="55"/>
      <c r="S141" s="55"/>
      <c r="T141" s="55"/>
      <c r="U141" s="55"/>
      <c r="V141" s="55"/>
      <c r="W141" s="55"/>
      <c r="Y141" s="79"/>
      <c r="Z141" s="79"/>
      <c r="AA141" s="55"/>
      <c r="AB141" s="55"/>
      <c r="AC141" s="55"/>
      <c r="AD141" s="55"/>
      <c r="AE141" s="55"/>
      <c r="AH141" s="181"/>
      <c r="AI141" s="181"/>
      <c r="AJ141" s="181"/>
      <c r="AK141" s="181"/>
      <c r="AL141" s="181"/>
      <c r="AM141" s="181"/>
      <c r="AN141" s="181"/>
      <c r="AP141" s="57"/>
      <c r="AQ141" s="57"/>
      <c r="AR141" s="57"/>
      <c r="AS141" s="57"/>
      <c r="AT141" s="57"/>
      <c r="AU141" s="57"/>
      <c r="AV141" s="57"/>
      <c r="AX141" s="80"/>
      <c r="AY141" s="80"/>
      <c r="AZ141" s="80"/>
      <c r="BA141" s="80"/>
      <c r="BB141" s="80"/>
      <c r="BC141" s="80"/>
      <c r="BD141" s="80"/>
      <c r="BE141" s="57"/>
      <c r="BF141" s="80"/>
      <c r="BM141" s="68"/>
      <c r="BN141" s="81"/>
      <c r="BO141" s="81"/>
      <c r="BP141" s="81"/>
      <c r="BQ141" s="81"/>
      <c r="BR141" s="81"/>
      <c r="BS141" s="81"/>
      <c r="BT141" s="81"/>
      <c r="BV141" s="81"/>
      <c r="BW141" s="81"/>
      <c r="BX141" s="81"/>
      <c r="BY141" s="81"/>
      <c r="BZ141" s="81"/>
      <c r="CA141" s="81"/>
      <c r="CB141" s="81"/>
      <c r="CD141" s="81"/>
      <c r="CE141" s="81"/>
      <c r="CF141" s="81"/>
      <c r="CG141" s="81"/>
      <c r="CH141" s="81"/>
      <c r="CI141" s="81"/>
      <c r="CJ141" s="81"/>
      <c r="CL141" s="184"/>
      <c r="CM141" s="184"/>
      <c r="CN141" s="184"/>
      <c r="CO141" s="184"/>
      <c r="CP141" s="184"/>
      <c r="CQ141" s="184"/>
      <c r="CR141" s="184"/>
      <c r="CS141" s="79"/>
      <c r="CT141" s="55"/>
      <c r="CU141" s="55"/>
      <c r="CV141" s="55"/>
      <c r="CW141" s="55"/>
      <c r="CX141" s="55"/>
      <c r="CY141" s="55"/>
      <c r="CZ141" s="55"/>
      <c r="DB141" s="55"/>
      <c r="DC141" s="55"/>
      <c r="DD141" s="55"/>
      <c r="DE141" s="55"/>
      <c r="DF141" s="55"/>
      <c r="DG141" s="55"/>
      <c r="DH141" s="55"/>
      <c r="DJ141" s="55"/>
      <c r="DK141" s="55"/>
      <c r="DL141" s="55"/>
      <c r="DM141" s="55"/>
      <c r="DN141" s="55"/>
      <c r="DO141" s="55"/>
      <c r="DP141" s="55"/>
      <c r="DR141" s="55"/>
      <c r="DS141" s="55"/>
      <c r="DT141" s="55"/>
      <c r="DU141" s="55"/>
      <c r="DV141" s="55"/>
      <c r="DW141" s="55"/>
      <c r="DX141" s="55"/>
      <c r="DZ141" s="55"/>
      <c r="EA141" s="55"/>
      <c r="EB141" s="55"/>
      <c r="EC141" s="55"/>
      <c r="ED141" s="55"/>
      <c r="EE141" s="55"/>
      <c r="EF141" s="55"/>
    </row>
    <row r="142" spans="2:184" x14ac:dyDescent="0.2">
      <c r="B142" s="77"/>
      <c r="F142" s="1"/>
      <c r="G142" s="1"/>
      <c r="H142" s="53"/>
      <c r="I142" s="55"/>
      <c r="J142" s="78"/>
      <c r="K142" s="78"/>
      <c r="L142" s="67"/>
      <c r="M142" s="67"/>
      <c r="N142" s="75"/>
      <c r="O142" s="75"/>
      <c r="P142" s="75"/>
      <c r="Q142" s="55"/>
      <c r="R142" s="55"/>
      <c r="S142" s="55"/>
      <c r="T142" s="55"/>
      <c r="U142" s="55"/>
      <c r="V142" s="55"/>
      <c r="W142" s="55"/>
      <c r="Y142" s="79"/>
      <c r="Z142" s="79"/>
      <c r="AA142" s="55"/>
      <c r="AB142" s="55"/>
      <c r="AC142" s="55"/>
      <c r="AD142" s="55"/>
      <c r="AE142" s="55"/>
      <c r="AH142" s="181"/>
      <c r="AI142" s="181"/>
      <c r="AJ142" s="181"/>
      <c r="AK142" s="181"/>
      <c r="AL142" s="181"/>
      <c r="AM142" s="181"/>
      <c r="AN142" s="181"/>
      <c r="AP142" s="57"/>
      <c r="AQ142" s="57"/>
      <c r="AR142" s="57"/>
      <c r="AS142" s="57"/>
      <c r="AT142" s="57"/>
      <c r="AU142" s="57"/>
      <c r="AV142" s="57"/>
      <c r="AX142" s="80"/>
      <c r="AY142" s="80"/>
      <c r="AZ142" s="80"/>
      <c r="BA142" s="80"/>
      <c r="BB142" s="80"/>
      <c r="BC142" s="80"/>
      <c r="BD142" s="80"/>
      <c r="BE142" s="57"/>
      <c r="BF142" s="80"/>
      <c r="BM142" s="68"/>
      <c r="BN142" s="81"/>
      <c r="BO142" s="81"/>
      <c r="BP142" s="81"/>
      <c r="BQ142" s="81"/>
      <c r="BR142" s="81"/>
      <c r="BS142" s="81"/>
      <c r="BT142" s="81"/>
      <c r="BV142" s="81"/>
      <c r="BW142" s="81"/>
      <c r="BX142" s="81"/>
      <c r="BY142" s="81"/>
      <c r="BZ142" s="81"/>
      <c r="CA142" s="81"/>
      <c r="CB142" s="81"/>
      <c r="CD142" s="81"/>
      <c r="CE142" s="81"/>
      <c r="CF142" s="81"/>
      <c r="CG142" s="81"/>
      <c r="CH142" s="81"/>
      <c r="CI142" s="81"/>
      <c r="CJ142" s="81"/>
      <c r="CL142" s="184"/>
      <c r="CM142" s="184"/>
      <c r="CN142" s="184"/>
      <c r="CO142" s="184"/>
      <c r="CP142" s="184"/>
      <c r="CQ142" s="184"/>
      <c r="CR142" s="184"/>
      <c r="CS142" s="79"/>
      <c r="CT142" s="55"/>
      <c r="CU142" s="55"/>
      <c r="CV142" s="55"/>
      <c r="CW142" s="55"/>
      <c r="CX142" s="55"/>
      <c r="CY142" s="55"/>
      <c r="CZ142" s="55"/>
      <c r="DB142" s="55"/>
      <c r="DC142" s="55"/>
      <c r="DD142" s="55"/>
      <c r="DE142" s="55"/>
      <c r="DF142" s="55"/>
      <c r="DG142" s="55"/>
      <c r="DH142" s="55"/>
      <c r="DJ142" s="55"/>
      <c r="DK142" s="55"/>
      <c r="DL142" s="55"/>
      <c r="DM142" s="55"/>
      <c r="DN142" s="55"/>
      <c r="DO142" s="55"/>
      <c r="DP142" s="55"/>
      <c r="DR142" s="55"/>
      <c r="DS142" s="55"/>
      <c r="DT142" s="55"/>
      <c r="DU142" s="55"/>
      <c r="DV142" s="55"/>
      <c r="DW142" s="55"/>
      <c r="DX142" s="55"/>
      <c r="DZ142" s="55"/>
      <c r="EA142" s="55"/>
      <c r="EB142" s="55"/>
      <c r="EC142" s="55"/>
      <c r="ED142" s="55"/>
      <c r="EE142" s="55"/>
      <c r="EF142" s="55"/>
    </row>
    <row r="143" spans="2:184" x14ac:dyDescent="0.2">
      <c r="B143" s="77"/>
      <c r="F143" s="1"/>
      <c r="G143" s="1"/>
      <c r="H143" s="53"/>
      <c r="I143" s="55"/>
      <c r="J143" s="78"/>
      <c r="K143" s="78"/>
      <c r="L143" s="67"/>
      <c r="M143" s="67"/>
      <c r="N143" s="75"/>
      <c r="O143" s="75"/>
      <c r="P143" s="75"/>
      <c r="Q143" s="55"/>
      <c r="R143" s="55"/>
      <c r="S143" s="55"/>
      <c r="T143" s="55"/>
      <c r="U143" s="55"/>
      <c r="V143" s="55"/>
      <c r="W143" s="55"/>
      <c r="Y143" s="79"/>
      <c r="Z143" s="79"/>
      <c r="AA143" s="55"/>
      <c r="AB143" s="55"/>
      <c r="AC143" s="55"/>
      <c r="AD143" s="55"/>
      <c r="AE143" s="55"/>
      <c r="AH143" s="181"/>
      <c r="AI143" s="181"/>
      <c r="AJ143" s="181"/>
      <c r="AK143" s="181"/>
      <c r="AL143" s="181"/>
      <c r="AM143" s="181"/>
      <c r="AN143" s="181"/>
      <c r="AP143" s="57"/>
      <c r="AQ143" s="57"/>
      <c r="AR143" s="57"/>
      <c r="AS143" s="57"/>
      <c r="AT143" s="57"/>
      <c r="AU143" s="57"/>
      <c r="AV143" s="57"/>
      <c r="AX143" s="80"/>
      <c r="AY143" s="80"/>
      <c r="AZ143" s="80"/>
      <c r="BA143" s="80"/>
      <c r="BB143" s="80"/>
      <c r="BC143" s="80"/>
      <c r="BD143" s="80"/>
      <c r="BE143" s="57"/>
      <c r="BF143" s="80"/>
      <c r="BM143" s="68"/>
      <c r="BN143" s="81"/>
      <c r="BO143" s="81"/>
      <c r="BP143" s="81"/>
      <c r="BQ143" s="81"/>
      <c r="BR143" s="81"/>
      <c r="BS143" s="81"/>
      <c r="BT143" s="81"/>
      <c r="BV143" s="81"/>
      <c r="BW143" s="81"/>
      <c r="BX143" s="81"/>
      <c r="BY143" s="81"/>
      <c r="BZ143" s="81"/>
      <c r="CA143" s="81"/>
      <c r="CB143" s="81"/>
      <c r="CD143" s="81"/>
      <c r="CE143" s="81"/>
      <c r="CF143" s="81"/>
      <c r="CG143" s="81"/>
      <c r="CH143" s="81"/>
      <c r="CI143" s="81"/>
      <c r="CJ143" s="81"/>
      <c r="CL143" s="184"/>
      <c r="CM143" s="184"/>
      <c r="CN143" s="184"/>
      <c r="CO143" s="184"/>
      <c r="CP143" s="184"/>
      <c r="CQ143" s="184"/>
      <c r="CR143" s="184"/>
      <c r="CS143" s="79"/>
      <c r="CT143" s="55"/>
      <c r="CU143" s="55"/>
      <c r="CV143" s="55"/>
      <c r="CW143" s="55"/>
      <c r="CX143" s="55"/>
      <c r="CY143" s="55"/>
      <c r="CZ143" s="55"/>
      <c r="DB143" s="55"/>
      <c r="DC143" s="55"/>
      <c r="DD143" s="55"/>
      <c r="DE143" s="55"/>
      <c r="DF143" s="55"/>
      <c r="DG143" s="55"/>
      <c r="DH143" s="55"/>
      <c r="DJ143" s="55"/>
      <c r="DK143" s="55"/>
      <c r="DL143" s="55"/>
      <c r="DM143" s="55"/>
      <c r="DN143" s="55"/>
      <c r="DO143" s="55"/>
      <c r="DP143" s="55"/>
      <c r="DR143" s="55"/>
      <c r="DS143" s="55"/>
      <c r="DT143" s="55"/>
      <c r="DU143" s="55"/>
      <c r="DV143" s="55"/>
      <c r="DW143" s="55"/>
      <c r="DX143" s="55"/>
      <c r="DZ143" s="55"/>
      <c r="EA143" s="55"/>
      <c r="EB143" s="55"/>
      <c r="EC143" s="55"/>
      <c r="ED143" s="55"/>
      <c r="EE143" s="55"/>
      <c r="EF143" s="55"/>
    </row>
    <row r="144" spans="2:184" x14ac:dyDescent="0.2">
      <c r="B144" s="77"/>
      <c r="F144" s="1"/>
      <c r="G144" s="1"/>
      <c r="H144" s="53"/>
      <c r="I144" s="55"/>
      <c r="J144" s="78"/>
      <c r="K144" s="78"/>
      <c r="L144" s="67"/>
      <c r="M144" s="67"/>
      <c r="N144" s="75"/>
      <c r="O144" s="75"/>
      <c r="P144" s="75"/>
      <c r="Q144" s="55"/>
      <c r="R144" s="55"/>
      <c r="S144" s="55"/>
      <c r="T144" s="55"/>
      <c r="U144" s="55"/>
      <c r="V144" s="55"/>
      <c r="W144" s="55"/>
      <c r="Y144" s="79"/>
      <c r="Z144" s="79"/>
      <c r="AA144" s="55"/>
      <c r="AB144" s="55"/>
      <c r="AC144" s="55"/>
      <c r="AD144" s="55"/>
      <c r="AE144" s="55"/>
      <c r="AH144" s="181"/>
      <c r="AI144" s="181"/>
      <c r="AJ144" s="181"/>
      <c r="AK144" s="181"/>
      <c r="AL144" s="181"/>
      <c r="AM144" s="181"/>
      <c r="AN144" s="181"/>
      <c r="AP144" s="57"/>
      <c r="AQ144" s="57"/>
      <c r="AR144" s="57"/>
      <c r="AS144" s="57"/>
      <c r="AT144" s="57"/>
      <c r="AU144" s="57"/>
      <c r="AV144" s="57"/>
      <c r="AX144" s="80"/>
      <c r="AY144" s="80"/>
      <c r="AZ144" s="80"/>
      <c r="BA144" s="80"/>
      <c r="BB144" s="80"/>
      <c r="BC144" s="80"/>
      <c r="BD144" s="80"/>
      <c r="BE144" s="57"/>
      <c r="BF144" s="80"/>
      <c r="BM144" s="68"/>
      <c r="BN144" s="81"/>
      <c r="BO144" s="81"/>
      <c r="BP144" s="81"/>
      <c r="BQ144" s="81"/>
      <c r="BR144" s="81"/>
      <c r="BS144" s="81"/>
      <c r="BT144" s="81"/>
      <c r="BV144" s="81"/>
      <c r="BW144" s="81"/>
      <c r="BX144" s="81"/>
      <c r="BY144" s="81"/>
      <c r="BZ144" s="81"/>
      <c r="CA144" s="81"/>
      <c r="CB144" s="81"/>
      <c r="CD144" s="81"/>
      <c r="CE144" s="81"/>
      <c r="CF144" s="81"/>
      <c r="CG144" s="81"/>
      <c r="CH144" s="81"/>
      <c r="CI144" s="81"/>
      <c r="CJ144" s="81"/>
      <c r="CL144" s="184"/>
      <c r="CM144" s="184"/>
      <c r="CN144" s="184"/>
      <c r="CO144" s="184"/>
      <c r="CP144" s="184"/>
      <c r="CQ144" s="184"/>
      <c r="CR144" s="184"/>
      <c r="CS144" s="79"/>
      <c r="CT144" s="55"/>
      <c r="CU144" s="55"/>
      <c r="CV144" s="55"/>
      <c r="CW144" s="55"/>
      <c r="CX144" s="55"/>
      <c r="CY144" s="55"/>
      <c r="CZ144" s="55"/>
      <c r="DB144" s="55"/>
      <c r="DC144" s="55"/>
      <c r="DD144" s="55"/>
      <c r="DE144" s="55"/>
      <c r="DF144" s="55"/>
      <c r="DG144" s="55"/>
      <c r="DH144" s="55"/>
      <c r="DJ144" s="55"/>
      <c r="DK144" s="55"/>
      <c r="DL144" s="55"/>
      <c r="DM144" s="55"/>
      <c r="DN144" s="55"/>
      <c r="DO144" s="55"/>
      <c r="DP144" s="55"/>
      <c r="DR144" s="55"/>
      <c r="DS144" s="55"/>
      <c r="DT144" s="55"/>
      <c r="DU144" s="55"/>
      <c r="DV144" s="55"/>
      <c r="DW144" s="55"/>
      <c r="DX144" s="55"/>
      <c r="DZ144" s="55"/>
      <c r="EA144" s="55"/>
      <c r="EB144" s="55"/>
      <c r="EC144" s="55"/>
      <c r="ED144" s="55"/>
      <c r="EE144" s="55"/>
      <c r="EF144" s="55"/>
    </row>
    <row r="145" spans="2:136" x14ac:dyDescent="0.2">
      <c r="B145" s="77"/>
      <c r="F145" s="1"/>
      <c r="G145" s="1"/>
      <c r="H145" s="53"/>
      <c r="I145" s="55"/>
      <c r="J145" s="78"/>
      <c r="K145" s="78"/>
      <c r="L145" s="67"/>
      <c r="M145" s="67"/>
      <c r="N145" s="75"/>
      <c r="O145" s="75"/>
      <c r="P145" s="75"/>
      <c r="Q145" s="55"/>
      <c r="R145" s="55"/>
      <c r="S145" s="55"/>
      <c r="T145" s="55"/>
      <c r="U145" s="55"/>
      <c r="V145" s="55"/>
      <c r="W145" s="55"/>
      <c r="Y145" s="79"/>
      <c r="Z145" s="79"/>
      <c r="AA145" s="55"/>
      <c r="AB145" s="55"/>
      <c r="AC145" s="55"/>
      <c r="AD145" s="55"/>
      <c r="AE145" s="55"/>
      <c r="AH145" s="181"/>
      <c r="AI145" s="181"/>
      <c r="AJ145" s="181"/>
      <c r="AK145" s="181"/>
      <c r="AL145" s="181"/>
      <c r="AM145" s="181"/>
      <c r="AN145" s="181"/>
      <c r="AP145" s="57"/>
      <c r="AQ145" s="57"/>
      <c r="AR145" s="57"/>
      <c r="AS145" s="57"/>
      <c r="AT145" s="57"/>
      <c r="AU145" s="57"/>
      <c r="AV145" s="57"/>
      <c r="AX145" s="80"/>
      <c r="AY145" s="80"/>
      <c r="AZ145" s="80"/>
      <c r="BA145" s="80"/>
      <c r="BB145" s="80"/>
      <c r="BC145" s="80"/>
      <c r="BD145" s="80"/>
      <c r="BE145" s="57"/>
      <c r="BF145" s="80"/>
      <c r="BM145" s="68"/>
      <c r="BN145" s="81"/>
      <c r="BO145" s="81"/>
      <c r="BP145" s="81"/>
      <c r="BQ145" s="81"/>
      <c r="BR145" s="81"/>
      <c r="BS145" s="81"/>
      <c r="BT145" s="81"/>
      <c r="BV145" s="81"/>
      <c r="BW145" s="81"/>
      <c r="BX145" s="81"/>
      <c r="BY145" s="81"/>
      <c r="BZ145" s="81"/>
      <c r="CA145" s="81"/>
      <c r="CB145" s="81"/>
      <c r="CD145" s="81"/>
      <c r="CE145" s="81"/>
      <c r="CF145" s="81"/>
      <c r="CG145" s="81"/>
      <c r="CH145" s="81"/>
      <c r="CI145" s="81"/>
      <c r="CJ145" s="81"/>
      <c r="CL145" s="184"/>
      <c r="CM145" s="184"/>
      <c r="CN145" s="184"/>
      <c r="CO145" s="184"/>
      <c r="CP145" s="184"/>
      <c r="CQ145" s="184"/>
      <c r="CR145" s="184"/>
      <c r="CS145" s="79"/>
      <c r="CT145" s="55"/>
      <c r="CU145" s="55"/>
      <c r="CV145" s="55"/>
      <c r="CW145" s="55"/>
      <c r="CX145" s="55"/>
      <c r="CY145" s="55"/>
      <c r="CZ145" s="55"/>
      <c r="DB145" s="55"/>
      <c r="DC145" s="55"/>
      <c r="DD145" s="55"/>
      <c r="DE145" s="55"/>
      <c r="DF145" s="55"/>
      <c r="DG145" s="55"/>
      <c r="DH145" s="55"/>
      <c r="DJ145" s="55"/>
      <c r="DK145" s="55"/>
      <c r="DL145" s="55"/>
      <c r="DM145" s="55"/>
      <c r="DN145" s="55"/>
      <c r="DO145" s="55"/>
      <c r="DP145" s="55"/>
      <c r="DR145" s="55"/>
      <c r="DS145" s="55"/>
      <c r="DT145" s="55"/>
      <c r="DU145" s="55"/>
      <c r="DV145" s="55"/>
      <c r="DW145" s="55"/>
      <c r="DX145" s="55"/>
      <c r="DZ145" s="55"/>
      <c r="EA145" s="55"/>
      <c r="EB145" s="55"/>
      <c r="EC145" s="55"/>
      <c r="ED145" s="55"/>
      <c r="EE145" s="55"/>
      <c r="EF145" s="55"/>
    </row>
    <row r="146" spans="2:136" x14ac:dyDescent="0.2">
      <c r="B146" s="77"/>
      <c r="F146" s="1"/>
      <c r="G146" s="1"/>
      <c r="H146" s="53"/>
      <c r="I146" s="55"/>
      <c r="J146" s="78"/>
      <c r="K146" s="78"/>
      <c r="L146" s="67"/>
      <c r="M146" s="67"/>
      <c r="N146" s="75"/>
      <c r="O146" s="75"/>
      <c r="P146" s="75"/>
      <c r="Q146" s="55"/>
      <c r="R146" s="55"/>
      <c r="S146" s="55"/>
      <c r="T146" s="55"/>
      <c r="U146" s="55"/>
      <c r="V146" s="55"/>
      <c r="W146" s="55"/>
      <c r="Y146" s="79"/>
      <c r="Z146" s="79"/>
      <c r="AA146" s="55"/>
      <c r="AB146" s="55"/>
      <c r="AC146" s="55"/>
      <c r="AD146" s="55"/>
      <c r="AE146" s="55"/>
      <c r="AH146" s="181"/>
      <c r="AI146" s="181"/>
      <c r="AJ146" s="181"/>
      <c r="AK146" s="181"/>
      <c r="AL146" s="181"/>
      <c r="AM146" s="181"/>
      <c r="AN146" s="181"/>
      <c r="AP146" s="57"/>
      <c r="AQ146" s="57"/>
      <c r="AR146" s="57"/>
      <c r="AS146" s="57"/>
      <c r="AT146" s="57"/>
      <c r="AU146" s="57"/>
      <c r="AV146" s="57"/>
      <c r="AX146" s="80"/>
      <c r="AY146" s="80"/>
      <c r="AZ146" s="80"/>
      <c r="BA146" s="80"/>
      <c r="BB146" s="80"/>
      <c r="BC146" s="80"/>
      <c r="BD146" s="80"/>
      <c r="BE146" s="57"/>
      <c r="BF146" s="80"/>
      <c r="BM146" s="68"/>
      <c r="BN146" s="81"/>
      <c r="BO146" s="81"/>
      <c r="BP146" s="81"/>
      <c r="BQ146" s="81"/>
      <c r="BR146" s="81"/>
      <c r="BS146" s="81"/>
      <c r="BT146" s="81"/>
      <c r="BV146" s="81"/>
      <c r="BW146" s="81"/>
      <c r="BX146" s="81"/>
      <c r="BY146" s="81"/>
      <c r="BZ146" s="81"/>
      <c r="CA146" s="81"/>
      <c r="CB146" s="81"/>
      <c r="CD146" s="81"/>
      <c r="CE146" s="81"/>
      <c r="CF146" s="81"/>
      <c r="CG146" s="81"/>
      <c r="CH146" s="81"/>
      <c r="CI146" s="81"/>
      <c r="CJ146" s="81"/>
      <c r="CL146" s="184"/>
      <c r="CM146" s="184"/>
      <c r="CN146" s="184"/>
      <c r="CO146" s="184"/>
      <c r="CP146" s="184"/>
      <c r="CQ146" s="184"/>
      <c r="CR146" s="184"/>
      <c r="CS146" s="79"/>
      <c r="CT146" s="55"/>
      <c r="CU146" s="55"/>
      <c r="CV146" s="55"/>
      <c r="CW146" s="55"/>
      <c r="CX146" s="55"/>
      <c r="CY146" s="55"/>
      <c r="CZ146" s="55"/>
      <c r="DB146" s="55"/>
      <c r="DC146" s="55"/>
      <c r="DD146" s="55"/>
      <c r="DE146" s="55"/>
      <c r="DF146" s="55"/>
      <c r="DG146" s="55"/>
      <c r="DH146" s="55"/>
      <c r="DJ146" s="55"/>
      <c r="DK146" s="55"/>
      <c r="DL146" s="55"/>
      <c r="DM146" s="55"/>
      <c r="DN146" s="55"/>
      <c r="DO146" s="55"/>
      <c r="DP146" s="55"/>
      <c r="DR146" s="55"/>
      <c r="DS146" s="55"/>
      <c r="DT146" s="55"/>
      <c r="DU146" s="55"/>
      <c r="DV146" s="55"/>
      <c r="DW146" s="55"/>
      <c r="DX146" s="55"/>
      <c r="DZ146" s="55"/>
      <c r="EA146" s="55"/>
      <c r="EB146" s="55"/>
      <c r="EC146" s="55"/>
      <c r="ED146" s="55"/>
      <c r="EE146" s="55"/>
      <c r="EF146" s="55"/>
    </row>
    <row r="147" spans="2:136" x14ac:dyDescent="0.2">
      <c r="B147" s="77"/>
      <c r="F147" s="1"/>
      <c r="G147" s="1"/>
      <c r="H147" s="53"/>
      <c r="I147" s="55"/>
      <c r="J147" s="78"/>
      <c r="K147" s="78"/>
      <c r="L147" s="67"/>
      <c r="M147" s="67"/>
      <c r="N147" s="75"/>
      <c r="O147" s="75"/>
      <c r="P147" s="75"/>
      <c r="Q147" s="55"/>
      <c r="R147" s="55"/>
      <c r="S147" s="55"/>
      <c r="T147" s="55"/>
      <c r="U147" s="55"/>
      <c r="V147" s="55"/>
      <c r="W147" s="55"/>
      <c r="Y147" s="79"/>
      <c r="Z147" s="79"/>
      <c r="AA147" s="55"/>
      <c r="AB147" s="55"/>
      <c r="AC147" s="55"/>
      <c r="AD147" s="55"/>
      <c r="AE147" s="55"/>
      <c r="AH147" s="181"/>
      <c r="AI147" s="181"/>
      <c r="AJ147" s="181"/>
      <c r="AK147" s="181"/>
      <c r="AL147" s="181"/>
      <c r="AM147" s="181"/>
      <c r="AN147" s="181"/>
      <c r="AP147" s="57"/>
      <c r="AQ147" s="57"/>
      <c r="AR147" s="57"/>
      <c r="AS147" s="57"/>
      <c r="AT147" s="57"/>
      <c r="AU147" s="57"/>
      <c r="AV147" s="57"/>
      <c r="AX147" s="80"/>
      <c r="AY147" s="80"/>
      <c r="AZ147" s="80"/>
      <c r="BA147" s="80"/>
      <c r="BB147" s="80"/>
      <c r="BC147" s="80"/>
      <c r="BD147" s="80"/>
      <c r="BE147" s="57"/>
      <c r="BF147" s="80"/>
      <c r="BM147" s="68"/>
      <c r="BN147" s="81"/>
      <c r="BO147" s="81"/>
      <c r="BP147" s="81"/>
      <c r="BQ147" s="81"/>
      <c r="BR147" s="81"/>
      <c r="BS147" s="81"/>
      <c r="BT147" s="81"/>
      <c r="BV147" s="81"/>
      <c r="BW147" s="81"/>
      <c r="BX147" s="81"/>
      <c r="BY147" s="81"/>
      <c r="BZ147" s="81"/>
      <c r="CA147" s="81"/>
      <c r="CB147" s="81"/>
      <c r="CD147" s="81"/>
      <c r="CE147" s="81"/>
      <c r="CF147" s="81"/>
      <c r="CG147" s="81"/>
      <c r="CH147" s="81"/>
      <c r="CI147" s="81"/>
      <c r="CJ147" s="81"/>
      <c r="CL147" s="184"/>
      <c r="CM147" s="184"/>
      <c r="CN147" s="184"/>
      <c r="CO147" s="184"/>
      <c r="CP147" s="184"/>
      <c r="CQ147" s="184"/>
      <c r="CR147" s="184"/>
      <c r="CS147" s="79"/>
      <c r="CT147" s="55"/>
      <c r="CU147" s="55"/>
      <c r="CV147" s="55"/>
      <c r="CW147" s="55"/>
      <c r="CX147" s="55"/>
      <c r="CY147" s="55"/>
      <c r="CZ147" s="55"/>
      <c r="DB147" s="55"/>
      <c r="DC147" s="55"/>
      <c r="DD147" s="55"/>
      <c r="DE147" s="55"/>
      <c r="DF147" s="55"/>
      <c r="DG147" s="55"/>
      <c r="DH147" s="55"/>
      <c r="DJ147" s="55"/>
      <c r="DK147" s="55"/>
      <c r="DL147" s="55"/>
      <c r="DM147" s="55"/>
      <c r="DN147" s="55"/>
      <c r="DO147" s="55"/>
      <c r="DP147" s="55"/>
      <c r="DR147" s="55"/>
      <c r="DS147" s="55"/>
      <c r="DT147" s="55"/>
      <c r="DU147" s="55"/>
      <c r="DV147" s="55"/>
      <c r="DW147" s="55"/>
      <c r="DX147" s="55"/>
      <c r="DZ147" s="55"/>
      <c r="EA147" s="55"/>
      <c r="EB147" s="55"/>
      <c r="EC147" s="55"/>
      <c r="ED147" s="55"/>
      <c r="EE147" s="55"/>
      <c r="EF147" s="55"/>
    </row>
    <row r="148" spans="2:136" x14ac:dyDescent="0.2">
      <c r="B148" s="77"/>
      <c r="F148" s="1"/>
      <c r="G148" s="1"/>
      <c r="H148" s="53"/>
      <c r="I148" s="55"/>
      <c r="J148" s="78"/>
      <c r="K148" s="78"/>
      <c r="L148" s="67"/>
      <c r="M148" s="67"/>
      <c r="N148" s="75"/>
      <c r="O148" s="75"/>
      <c r="P148" s="75"/>
      <c r="Q148" s="55"/>
      <c r="R148" s="55"/>
      <c r="S148" s="55"/>
      <c r="T148" s="55"/>
      <c r="U148" s="55"/>
      <c r="V148" s="55"/>
      <c r="W148" s="55"/>
      <c r="Y148" s="79"/>
      <c r="Z148" s="79"/>
      <c r="AA148" s="55"/>
      <c r="AB148" s="55"/>
      <c r="AC148" s="55"/>
      <c r="AD148" s="55"/>
      <c r="AE148" s="55"/>
      <c r="AH148" s="181"/>
      <c r="AI148" s="181"/>
      <c r="AJ148" s="181"/>
      <c r="AK148" s="181"/>
      <c r="AL148" s="181"/>
      <c r="AM148" s="181"/>
      <c r="AN148" s="181"/>
      <c r="AP148" s="57"/>
      <c r="AQ148" s="57"/>
      <c r="AR148" s="57"/>
      <c r="AS148" s="57"/>
      <c r="AT148" s="57"/>
      <c r="AU148" s="57"/>
      <c r="AV148" s="57"/>
      <c r="AX148" s="80"/>
      <c r="AY148" s="80"/>
      <c r="AZ148" s="80"/>
      <c r="BA148" s="80"/>
      <c r="BB148" s="80"/>
      <c r="BC148" s="80"/>
      <c r="BD148" s="80"/>
      <c r="BE148" s="57"/>
      <c r="BF148" s="80"/>
      <c r="BM148" s="68"/>
      <c r="BN148" s="81"/>
      <c r="BO148" s="81"/>
      <c r="BP148" s="81"/>
      <c r="BQ148" s="81"/>
      <c r="BR148" s="81"/>
      <c r="BS148" s="81"/>
      <c r="BT148" s="81"/>
      <c r="BV148" s="81"/>
      <c r="BW148" s="81"/>
      <c r="BX148" s="81"/>
      <c r="BY148" s="81"/>
      <c r="BZ148" s="81"/>
      <c r="CA148" s="81"/>
      <c r="CB148" s="81"/>
      <c r="CD148" s="81"/>
      <c r="CE148" s="81"/>
      <c r="CF148" s="81"/>
      <c r="CG148" s="81"/>
      <c r="CH148" s="81"/>
      <c r="CI148" s="81"/>
      <c r="CJ148" s="81"/>
      <c r="CL148" s="184"/>
      <c r="CM148" s="184"/>
      <c r="CN148" s="184"/>
      <c r="CO148" s="184"/>
      <c r="CP148" s="184"/>
      <c r="CQ148" s="184"/>
      <c r="CR148" s="184"/>
      <c r="CS148" s="79"/>
      <c r="CT148" s="55"/>
      <c r="CU148" s="55"/>
      <c r="CV148" s="55"/>
      <c r="CW148" s="55"/>
      <c r="CX148" s="55"/>
      <c r="CY148" s="55"/>
      <c r="CZ148" s="55"/>
      <c r="DB148" s="55"/>
      <c r="DC148" s="55"/>
      <c r="DD148" s="55"/>
      <c r="DE148" s="55"/>
      <c r="DF148" s="55"/>
      <c r="DG148" s="55"/>
      <c r="DH148" s="55"/>
      <c r="DJ148" s="55"/>
      <c r="DK148" s="55"/>
      <c r="DL148" s="55"/>
      <c r="DM148" s="55"/>
      <c r="DN148" s="55"/>
      <c r="DO148" s="55"/>
      <c r="DP148" s="55"/>
      <c r="DR148" s="55"/>
      <c r="DS148" s="55"/>
      <c r="DT148" s="55"/>
      <c r="DU148" s="55"/>
      <c r="DV148" s="55"/>
      <c r="DW148" s="55"/>
      <c r="DX148" s="55"/>
      <c r="DZ148" s="55"/>
      <c r="EA148" s="55"/>
      <c r="EB148" s="55"/>
      <c r="EC148" s="55"/>
      <c r="ED148" s="55"/>
      <c r="EE148" s="55"/>
      <c r="EF148" s="55"/>
    </row>
    <row r="149" spans="2:136" x14ac:dyDescent="0.2">
      <c r="B149" s="77"/>
      <c r="F149" s="1"/>
      <c r="G149" s="1"/>
      <c r="H149" s="53"/>
      <c r="I149" s="55"/>
      <c r="J149" s="78"/>
      <c r="K149" s="78"/>
      <c r="L149" s="67"/>
      <c r="M149" s="67"/>
      <c r="N149" s="75"/>
      <c r="O149" s="75"/>
      <c r="P149" s="75"/>
      <c r="Q149" s="55"/>
      <c r="R149" s="55"/>
      <c r="S149" s="55"/>
      <c r="T149" s="55"/>
      <c r="U149" s="55"/>
      <c r="V149" s="55"/>
      <c r="W149" s="55"/>
      <c r="Y149" s="79"/>
      <c r="Z149" s="79"/>
      <c r="AA149" s="55"/>
      <c r="AB149" s="55"/>
      <c r="AC149" s="55"/>
      <c r="AD149" s="55"/>
      <c r="AE149" s="55"/>
      <c r="AH149" s="181"/>
      <c r="AI149" s="181"/>
      <c r="AJ149" s="181"/>
      <c r="AK149" s="181"/>
      <c r="AL149" s="181"/>
      <c r="AM149" s="181"/>
      <c r="AN149" s="181"/>
      <c r="AP149" s="57"/>
      <c r="AQ149" s="57"/>
      <c r="AR149" s="57"/>
      <c r="AS149" s="57"/>
      <c r="AT149" s="57"/>
      <c r="AU149" s="57"/>
      <c r="AV149" s="57"/>
      <c r="AX149" s="80"/>
      <c r="AY149" s="80"/>
      <c r="AZ149" s="80"/>
      <c r="BA149" s="80"/>
      <c r="BB149" s="80"/>
      <c r="BC149" s="80"/>
      <c r="BD149" s="80"/>
      <c r="BE149" s="57"/>
      <c r="BF149" s="80"/>
      <c r="BM149" s="68"/>
      <c r="BN149" s="81"/>
      <c r="BO149" s="81"/>
      <c r="BP149" s="81"/>
      <c r="BQ149" s="81"/>
      <c r="BR149" s="81"/>
      <c r="BS149" s="81"/>
      <c r="BT149" s="81"/>
      <c r="BV149" s="81"/>
      <c r="BW149" s="81"/>
      <c r="BX149" s="81"/>
      <c r="BY149" s="81"/>
      <c r="BZ149" s="81"/>
      <c r="CA149" s="81"/>
      <c r="CB149" s="81"/>
      <c r="CD149" s="81"/>
      <c r="CE149" s="81"/>
      <c r="CF149" s="81"/>
      <c r="CG149" s="81"/>
      <c r="CH149" s="81"/>
      <c r="CI149" s="81"/>
      <c r="CJ149" s="81"/>
      <c r="CL149" s="184"/>
      <c r="CM149" s="184"/>
      <c r="CN149" s="184"/>
      <c r="CO149" s="184"/>
      <c r="CP149" s="184"/>
      <c r="CQ149" s="184"/>
      <c r="CR149" s="184"/>
      <c r="CS149" s="79"/>
      <c r="CT149" s="55"/>
      <c r="CU149" s="55"/>
      <c r="CV149" s="55"/>
      <c r="CW149" s="55"/>
      <c r="CX149" s="55"/>
      <c r="CY149" s="55"/>
      <c r="CZ149" s="55"/>
      <c r="DB149" s="55"/>
      <c r="DC149" s="55"/>
      <c r="DD149" s="55"/>
      <c r="DE149" s="55"/>
      <c r="DF149" s="55"/>
      <c r="DG149" s="55"/>
      <c r="DH149" s="55"/>
      <c r="DJ149" s="55"/>
      <c r="DK149" s="55"/>
      <c r="DL149" s="55"/>
      <c r="DM149" s="55"/>
      <c r="DN149" s="55"/>
      <c r="DO149" s="55"/>
      <c r="DP149" s="55"/>
      <c r="DR149" s="55"/>
      <c r="DS149" s="55"/>
      <c r="DT149" s="55"/>
      <c r="DU149" s="55"/>
      <c r="DV149" s="55"/>
      <c r="DW149" s="55"/>
      <c r="DX149" s="55"/>
      <c r="DZ149" s="55"/>
      <c r="EA149" s="55"/>
      <c r="EB149" s="55"/>
      <c r="EC149" s="55"/>
      <c r="ED149" s="55"/>
      <c r="EE149" s="55"/>
      <c r="EF149" s="55"/>
    </row>
    <row r="150" spans="2:136" x14ac:dyDescent="0.2">
      <c r="B150" s="77"/>
      <c r="F150" s="1"/>
      <c r="G150" s="1"/>
      <c r="H150" s="53"/>
      <c r="I150" s="55"/>
      <c r="J150" s="78"/>
      <c r="K150" s="78"/>
      <c r="L150" s="67"/>
      <c r="M150" s="67"/>
      <c r="N150" s="75"/>
      <c r="O150" s="75"/>
      <c r="P150" s="75"/>
      <c r="Q150" s="55"/>
      <c r="R150" s="55"/>
      <c r="S150" s="55"/>
      <c r="T150" s="55"/>
      <c r="U150" s="55"/>
      <c r="V150" s="55"/>
      <c r="W150" s="55"/>
      <c r="Y150" s="79"/>
      <c r="Z150" s="79"/>
      <c r="AA150" s="55"/>
      <c r="AB150" s="55"/>
      <c r="AC150" s="55"/>
      <c r="AD150" s="55"/>
      <c r="AE150" s="55"/>
      <c r="AH150" s="181"/>
      <c r="AI150" s="181"/>
      <c r="AJ150" s="181"/>
      <c r="AK150" s="181"/>
      <c r="AL150" s="181"/>
      <c r="AM150" s="181"/>
      <c r="AN150" s="181"/>
      <c r="AP150" s="57"/>
      <c r="AQ150" s="57"/>
      <c r="AR150" s="57"/>
      <c r="AS150" s="57"/>
      <c r="AT150" s="57"/>
      <c r="AU150" s="57"/>
      <c r="AV150" s="57"/>
      <c r="AX150" s="80"/>
      <c r="AY150" s="80"/>
      <c r="AZ150" s="80"/>
      <c r="BA150" s="80"/>
      <c r="BB150" s="80"/>
      <c r="BC150" s="80"/>
      <c r="BD150" s="80"/>
      <c r="BE150" s="57"/>
      <c r="BF150" s="80"/>
      <c r="BM150" s="68"/>
      <c r="BN150" s="81"/>
      <c r="BO150" s="81"/>
      <c r="BP150" s="81"/>
      <c r="BQ150" s="81"/>
      <c r="BR150" s="81"/>
      <c r="BS150" s="81"/>
      <c r="BT150" s="81"/>
      <c r="BV150" s="81"/>
      <c r="BW150" s="81"/>
      <c r="BX150" s="81"/>
      <c r="BY150" s="81"/>
      <c r="BZ150" s="81"/>
      <c r="CA150" s="81"/>
      <c r="CB150" s="81"/>
      <c r="CD150" s="81"/>
      <c r="CE150" s="81"/>
      <c r="CF150" s="81"/>
      <c r="CG150" s="81"/>
      <c r="CH150" s="81"/>
      <c r="CI150" s="81"/>
      <c r="CJ150" s="81"/>
      <c r="CL150" s="184"/>
      <c r="CM150" s="184"/>
      <c r="CN150" s="184"/>
      <c r="CO150" s="184"/>
      <c r="CP150" s="184"/>
      <c r="CQ150" s="184"/>
      <c r="CR150" s="184"/>
      <c r="CS150" s="79"/>
      <c r="CT150" s="55"/>
      <c r="CU150" s="55"/>
      <c r="CV150" s="55"/>
      <c r="CW150" s="55"/>
      <c r="CX150" s="55"/>
      <c r="CY150" s="55"/>
      <c r="CZ150" s="55"/>
      <c r="DB150" s="55"/>
      <c r="DC150" s="55"/>
      <c r="DD150" s="55"/>
      <c r="DE150" s="55"/>
      <c r="DF150" s="55"/>
      <c r="DG150" s="55"/>
      <c r="DH150" s="55"/>
      <c r="DJ150" s="55"/>
      <c r="DK150" s="55"/>
      <c r="DL150" s="55"/>
      <c r="DM150" s="55"/>
      <c r="DN150" s="55"/>
      <c r="DO150" s="55"/>
      <c r="DP150" s="55"/>
      <c r="DR150" s="55"/>
      <c r="DS150" s="55"/>
      <c r="DT150" s="55"/>
      <c r="DU150" s="55"/>
      <c r="DV150" s="55"/>
      <c r="DW150" s="55"/>
      <c r="DX150" s="55"/>
      <c r="DZ150" s="55"/>
      <c r="EA150" s="55"/>
      <c r="EB150" s="55"/>
      <c r="EC150" s="55"/>
      <c r="ED150" s="55"/>
      <c r="EE150" s="55"/>
      <c r="EF150" s="55"/>
    </row>
    <row r="151" spans="2:136" x14ac:dyDescent="0.2">
      <c r="B151" s="77"/>
      <c r="F151" s="1"/>
      <c r="G151" s="1"/>
      <c r="H151" s="53"/>
      <c r="I151" s="55"/>
      <c r="J151" s="78"/>
      <c r="K151" s="78"/>
      <c r="L151" s="67"/>
      <c r="M151" s="67"/>
      <c r="N151" s="75"/>
      <c r="O151" s="75"/>
      <c r="P151" s="75"/>
      <c r="Q151" s="55"/>
      <c r="R151" s="55"/>
      <c r="S151" s="55"/>
      <c r="T151" s="55"/>
      <c r="U151" s="55"/>
      <c r="V151" s="55"/>
      <c r="W151" s="55"/>
      <c r="Y151" s="79"/>
      <c r="Z151" s="79"/>
      <c r="AA151" s="55"/>
      <c r="AB151" s="55"/>
      <c r="AC151" s="55"/>
      <c r="AD151" s="55"/>
      <c r="AE151" s="55"/>
      <c r="AH151" s="181"/>
      <c r="AI151" s="181"/>
      <c r="AJ151" s="181"/>
      <c r="AK151" s="181"/>
      <c r="AL151" s="181"/>
      <c r="AM151" s="181"/>
      <c r="AN151" s="181"/>
      <c r="AP151" s="57"/>
      <c r="AQ151" s="57"/>
      <c r="AR151" s="57"/>
      <c r="AS151" s="57"/>
      <c r="AT151" s="57"/>
      <c r="AU151" s="57"/>
      <c r="AV151" s="57"/>
      <c r="AX151" s="80"/>
      <c r="AY151" s="80"/>
      <c r="AZ151" s="80"/>
      <c r="BA151" s="80"/>
      <c r="BB151" s="80"/>
      <c r="BC151" s="80"/>
      <c r="BD151" s="80"/>
      <c r="BE151" s="57"/>
      <c r="BF151" s="80"/>
      <c r="BM151" s="68"/>
      <c r="BN151" s="81"/>
      <c r="BO151" s="81"/>
      <c r="BP151" s="81"/>
      <c r="BQ151" s="81"/>
      <c r="BR151" s="81"/>
      <c r="BS151" s="81"/>
      <c r="BT151" s="81"/>
      <c r="BV151" s="81"/>
      <c r="BW151" s="81"/>
      <c r="BX151" s="81"/>
      <c r="BY151" s="81"/>
      <c r="BZ151" s="81"/>
      <c r="CA151" s="81"/>
      <c r="CB151" s="81"/>
      <c r="CD151" s="81"/>
      <c r="CE151" s="81"/>
      <c r="CF151" s="81"/>
      <c r="CG151" s="81"/>
      <c r="CH151" s="81"/>
      <c r="CI151" s="81"/>
      <c r="CJ151" s="81"/>
      <c r="CL151" s="184"/>
      <c r="CM151" s="184"/>
      <c r="CN151" s="184"/>
      <c r="CO151" s="184"/>
      <c r="CP151" s="184"/>
      <c r="CQ151" s="184"/>
      <c r="CR151" s="184"/>
      <c r="CS151" s="79"/>
      <c r="CT151" s="55"/>
      <c r="CU151" s="55"/>
      <c r="CV151" s="55"/>
      <c r="CW151" s="55"/>
      <c r="CX151" s="55"/>
      <c r="CY151" s="55"/>
      <c r="CZ151" s="55"/>
      <c r="DB151" s="55"/>
      <c r="DC151" s="55"/>
      <c r="DD151" s="55"/>
      <c r="DE151" s="55"/>
      <c r="DF151" s="55"/>
      <c r="DG151" s="55"/>
      <c r="DH151" s="55"/>
      <c r="DJ151" s="55"/>
      <c r="DK151" s="55"/>
      <c r="DL151" s="55"/>
      <c r="DM151" s="55"/>
      <c r="DN151" s="55"/>
      <c r="DO151" s="55"/>
      <c r="DP151" s="55"/>
      <c r="DR151" s="55"/>
      <c r="DS151" s="55"/>
      <c r="DT151" s="55"/>
      <c r="DU151" s="55"/>
      <c r="DV151" s="55"/>
      <c r="DW151" s="55"/>
      <c r="DX151" s="55"/>
      <c r="DZ151" s="55"/>
      <c r="EA151" s="55"/>
      <c r="EB151" s="55"/>
      <c r="EC151" s="55"/>
      <c r="ED151" s="55"/>
      <c r="EE151" s="55"/>
      <c r="EF151" s="55"/>
    </row>
    <row r="152" spans="2:136" x14ac:dyDescent="0.2">
      <c r="B152" s="77"/>
      <c r="F152" s="1"/>
      <c r="G152" s="1"/>
      <c r="H152" s="53"/>
      <c r="I152" s="55"/>
      <c r="J152" s="78"/>
      <c r="K152" s="78"/>
      <c r="L152" s="67"/>
      <c r="M152" s="67"/>
      <c r="N152" s="75"/>
      <c r="O152" s="75"/>
      <c r="P152" s="75"/>
      <c r="Q152" s="55"/>
      <c r="R152" s="55"/>
      <c r="S152" s="55"/>
      <c r="T152" s="55"/>
      <c r="U152" s="55"/>
      <c r="V152" s="55"/>
      <c r="W152" s="55"/>
      <c r="Y152" s="79"/>
      <c r="Z152" s="79"/>
      <c r="AA152" s="55"/>
      <c r="AB152" s="55"/>
      <c r="AC152" s="55"/>
      <c r="AD152" s="55"/>
      <c r="AE152" s="55"/>
      <c r="AH152" s="181"/>
      <c r="AI152" s="181"/>
      <c r="AJ152" s="181"/>
      <c r="AK152" s="181"/>
      <c r="AL152" s="181"/>
      <c r="AM152" s="181"/>
      <c r="AN152" s="181"/>
      <c r="AP152" s="57"/>
      <c r="AQ152" s="57"/>
      <c r="AR152" s="57"/>
      <c r="AS152" s="57"/>
      <c r="AT152" s="57"/>
      <c r="AU152" s="57"/>
      <c r="AV152" s="57"/>
      <c r="AX152" s="80"/>
      <c r="AY152" s="80"/>
      <c r="AZ152" s="80"/>
      <c r="BA152" s="80"/>
      <c r="BB152" s="80"/>
      <c r="BC152" s="80"/>
      <c r="BD152" s="80"/>
      <c r="BE152" s="57"/>
      <c r="BF152" s="80"/>
      <c r="BM152" s="68"/>
      <c r="BN152" s="81"/>
      <c r="BO152" s="81"/>
      <c r="BP152" s="81"/>
      <c r="BQ152" s="81"/>
      <c r="BR152" s="81"/>
      <c r="BS152" s="81"/>
      <c r="BT152" s="81"/>
      <c r="BV152" s="81"/>
      <c r="BW152" s="81"/>
      <c r="BX152" s="81"/>
      <c r="BY152" s="81"/>
      <c r="BZ152" s="81"/>
      <c r="CA152" s="81"/>
      <c r="CB152" s="81"/>
      <c r="CD152" s="81"/>
      <c r="CE152" s="81"/>
      <c r="CF152" s="81"/>
      <c r="CG152" s="81"/>
      <c r="CH152" s="81"/>
      <c r="CI152" s="81"/>
      <c r="CJ152" s="81"/>
      <c r="CL152" s="184"/>
      <c r="CM152" s="184"/>
      <c r="CN152" s="184"/>
      <c r="CO152" s="184"/>
      <c r="CP152" s="184"/>
      <c r="CQ152" s="184"/>
      <c r="CR152" s="184"/>
      <c r="CS152" s="79"/>
      <c r="CT152" s="55"/>
      <c r="CU152" s="55"/>
      <c r="CV152" s="55"/>
      <c r="CW152" s="55"/>
      <c r="CX152" s="55"/>
      <c r="CY152" s="55"/>
      <c r="CZ152" s="55"/>
      <c r="DB152" s="55"/>
      <c r="DC152" s="55"/>
      <c r="DD152" s="55"/>
      <c r="DE152" s="55"/>
      <c r="DF152" s="55"/>
      <c r="DG152" s="55"/>
      <c r="DH152" s="55"/>
      <c r="DJ152" s="55"/>
      <c r="DK152" s="55"/>
      <c r="DL152" s="55"/>
      <c r="DM152" s="55"/>
      <c r="DN152" s="55"/>
      <c r="DO152" s="55"/>
      <c r="DP152" s="55"/>
      <c r="DR152" s="55"/>
      <c r="DS152" s="55"/>
      <c r="DT152" s="55"/>
      <c r="DU152" s="55"/>
      <c r="DV152" s="55"/>
      <c r="DW152" s="55"/>
      <c r="DX152" s="55"/>
      <c r="DZ152" s="55"/>
      <c r="EA152" s="55"/>
      <c r="EB152" s="55"/>
      <c r="EC152" s="55"/>
      <c r="ED152" s="55"/>
      <c r="EE152" s="55"/>
      <c r="EF152" s="55"/>
    </row>
    <row r="153" spans="2:136" x14ac:dyDescent="0.2">
      <c r="B153" s="77"/>
      <c r="F153" s="1"/>
      <c r="G153" s="1"/>
      <c r="H153" s="53"/>
      <c r="I153" s="55"/>
      <c r="J153" s="78"/>
      <c r="K153" s="78"/>
      <c r="L153" s="67"/>
      <c r="M153" s="67"/>
      <c r="N153" s="75"/>
      <c r="O153" s="75"/>
      <c r="P153" s="75"/>
      <c r="Q153" s="55"/>
      <c r="R153" s="55"/>
      <c r="S153" s="55"/>
      <c r="T153" s="55"/>
      <c r="U153" s="55"/>
      <c r="V153" s="55"/>
      <c r="W153" s="55"/>
      <c r="Y153" s="79"/>
      <c r="Z153" s="79"/>
      <c r="AA153" s="55"/>
      <c r="AB153" s="55"/>
      <c r="AC153" s="55"/>
      <c r="AD153" s="55"/>
      <c r="AE153" s="55"/>
      <c r="AH153" s="181"/>
      <c r="AI153" s="181"/>
      <c r="AJ153" s="181"/>
      <c r="AK153" s="181"/>
      <c r="AL153" s="181"/>
      <c r="AM153" s="181"/>
      <c r="AN153" s="181"/>
      <c r="AP153" s="57"/>
      <c r="AQ153" s="57"/>
      <c r="AR153" s="57"/>
      <c r="AS153" s="57"/>
      <c r="AT153" s="57"/>
      <c r="AU153" s="57"/>
      <c r="AV153" s="57"/>
      <c r="AX153" s="80"/>
      <c r="AY153" s="80"/>
      <c r="AZ153" s="80"/>
      <c r="BA153" s="80"/>
      <c r="BB153" s="80"/>
      <c r="BC153" s="80"/>
      <c r="BD153" s="80"/>
      <c r="BE153" s="57"/>
      <c r="BF153" s="80"/>
      <c r="BM153" s="68"/>
      <c r="BN153" s="81"/>
      <c r="BO153" s="81"/>
      <c r="BP153" s="81"/>
      <c r="BQ153" s="81"/>
      <c r="BR153" s="81"/>
      <c r="BS153" s="81"/>
      <c r="BT153" s="81"/>
      <c r="BV153" s="81"/>
      <c r="BW153" s="81"/>
      <c r="BX153" s="81"/>
      <c r="BY153" s="81"/>
      <c r="BZ153" s="81"/>
      <c r="CA153" s="81"/>
      <c r="CB153" s="81"/>
      <c r="CD153" s="81"/>
      <c r="CE153" s="81"/>
      <c r="CF153" s="81"/>
      <c r="CG153" s="81"/>
      <c r="CH153" s="81"/>
      <c r="CI153" s="81"/>
      <c r="CJ153" s="81"/>
      <c r="CL153" s="184"/>
      <c r="CM153" s="184"/>
      <c r="CN153" s="184"/>
      <c r="CO153" s="184"/>
      <c r="CP153" s="184"/>
      <c r="CQ153" s="184"/>
      <c r="CR153" s="184"/>
      <c r="CS153" s="79"/>
      <c r="CT153" s="55"/>
      <c r="CU153" s="55"/>
      <c r="CV153" s="55"/>
      <c r="CW153" s="55"/>
      <c r="CX153" s="55"/>
      <c r="CY153" s="55"/>
      <c r="CZ153" s="55"/>
      <c r="DB153" s="55"/>
      <c r="DC153" s="55"/>
      <c r="DD153" s="55"/>
      <c r="DE153" s="55"/>
      <c r="DF153" s="55"/>
      <c r="DG153" s="55"/>
      <c r="DH153" s="55"/>
      <c r="DJ153" s="55"/>
      <c r="DK153" s="55"/>
      <c r="DL153" s="55"/>
      <c r="DM153" s="55"/>
      <c r="DN153" s="55"/>
      <c r="DO153" s="55"/>
      <c r="DP153" s="55"/>
      <c r="DR153" s="55"/>
      <c r="DS153" s="55"/>
      <c r="DT153" s="55"/>
      <c r="DU153" s="55"/>
      <c r="DV153" s="55"/>
      <c r="DW153" s="55"/>
      <c r="DX153" s="55"/>
      <c r="DZ153" s="55"/>
      <c r="EA153" s="55"/>
      <c r="EB153" s="55"/>
      <c r="EC153" s="55"/>
      <c r="ED153" s="55"/>
      <c r="EE153" s="55"/>
      <c r="EF153" s="55"/>
    </row>
    <row r="154" spans="2:136" x14ac:dyDescent="0.2">
      <c r="B154" s="77"/>
      <c r="F154" s="1"/>
      <c r="G154" s="1"/>
      <c r="H154" s="53"/>
      <c r="I154" s="55"/>
      <c r="J154" s="78"/>
      <c r="K154" s="78"/>
      <c r="L154" s="67"/>
      <c r="M154" s="67"/>
      <c r="N154" s="75"/>
      <c r="O154" s="75"/>
      <c r="P154" s="75"/>
      <c r="Q154" s="55"/>
      <c r="R154" s="55"/>
      <c r="S154" s="55"/>
      <c r="T154" s="55"/>
      <c r="U154" s="55"/>
      <c r="V154" s="55"/>
      <c r="W154" s="55"/>
      <c r="Y154" s="79"/>
      <c r="Z154" s="79"/>
      <c r="AA154" s="55"/>
      <c r="AB154" s="55"/>
      <c r="AC154" s="55"/>
      <c r="AD154" s="55"/>
      <c r="AE154" s="55"/>
      <c r="AH154" s="181"/>
      <c r="AI154" s="181"/>
      <c r="AJ154" s="181"/>
      <c r="AK154" s="181"/>
      <c r="AL154" s="181"/>
      <c r="AM154" s="181"/>
      <c r="AN154" s="181"/>
      <c r="AP154" s="57"/>
      <c r="AQ154" s="57"/>
      <c r="AR154" s="57"/>
      <c r="AS154" s="57"/>
      <c r="AT154" s="57"/>
      <c r="AU154" s="57"/>
      <c r="AV154" s="57"/>
      <c r="AX154" s="80"/>
      <c r="AY154" s="80"/>
      <c r="AZ154" s="80"/>
      <c r="BA154" s="80"/>
      <c r="BB154" s="80"/>
      <c r="BC154" s="80"/>
      <c r="BD154" s="80"/>
      <c r="BE154" s="57"/>
      <c r="BF154" s="80"/>
      <c r="BM154" s="68"/>
      <c r="BN154" s="81"/>
      <c r="BO154" s="81"/>
      <c r="BP154" s="81"/>
      <c r="BQ154" s="81"/>
      <c r="BR154" s="81"/>
      <c r="BS154" s="81"/>
      <c r="BT154" s="81"/>
      <c r="BV154" s="81"/>
      <c r="BW154" s="81"/>
      <c r="BX154" s="81"/>
      <c r="BY154" s="81"/>
      <c r="BZ154" s="81"/>
      <c r="CA154" s="81"/>
      <c r="CB154" s="81"/>
      <c r="CD154" s="81"/>
      <c r="CE154" s="81"/>
      <c r="CF154" s="81"/>
      <c r="CG154" s="81"/>
      <c r="CH154" s="81"/>
      <c r="CI154" s="81"/>
      <c r="CJ154" s="81"/>
      <c r="CL154" s="184"/>
      <c r="CM154" s="184"/>
      <c r="CN154" s="184"/>
      <c r="CO154" s="184"/>
      <c r="CP154" s="184"/>
      <c r="CQ154" s="184"/>
      <c r="CR154" s="184"/>
      <c r="CS154" s="79"/>
      <c r="CT154" s="55"/>
      <c r="CU154" s="55"/>
      <c r="CV154" s="55"/>
      <c r="CW154" s="55"/>
      <c r="CX154" s="55"/>
      <c r="CY154" s="55"/>
      <c r="CZ154" s="55"/>
      <c r="DB154" s="55"/>
      <c r="DC154" s="55"/>
      <c r="DD154" s="55"/>
      <c r="DE154" s="55"/>
      <c r="DF154" s="55"/>
      <c r="DG154" s="55"/>
      <c r="DH154" s="55"/>
      <c r="DJ154" s="55"/>
      <c r="DK154" s="55"/>
      <c r="DL154" s="55"/>
      <c r="DM154" s="55"/>
      <c r="DN154" s="55"/>
      <c r="DO154" s="55"/>
      <c r="DP154" s="55"/>
      <c r="DR154" s="55"/>
      <c r="DS154" s="55"/>
      <c r="DT154" s="55"/>
      <c r="DU154" s="55"/>
      <c r="DV154" s="55"/>
      <c r="DW154" s="55"/>
      <c r="DX154" s="55"/>
      <c r="DZ154" s="55"/>
      <c r="EA154" s="55"/>
      <c r="EB154" s="55"/>
      <c r="EC154" s="55"/>
      <c r="ED154" s="55"/>
      <c r="EE154" s="55"/>
      <c r="EF154" s="55"/>
    </row>
    <row r="155" spans="2:136" x14ac:dyDescent="0.2">
      <c r="B155" s="77"/>
      <c r="F155" s="1"/>
      <c r="G155" s="1"/>
      <c r="H155" s="53"/>
      <c r="I155" s="55"/>
      <c r="J155" s="78"/>
      <c r="K155" s="78"/>
      <c r="L155" s="67"/>
      <c r="M155" s="67"/>
      <c r="N155" s="75"/>
      <c r="O155" s="75"/>
      <c r="P155" s="75"/>
      <c r="Q155" s="55"/>
      <c r="R155" s="55"/>
      <c r="S155" s="55"/>
      <c r="T155" s="55"/>
      <c r="U155" s="55"/>
      <c r="V155" s="55"/>
      <c r="W155" s="55"/>
      <c r="Y155" s="79"/>
      <c r="Z155" s="79"/>
      <c r="AA155" s="55"/>
      <c r="AB155" s="55"/>
      <c r="AC155" s="55"/>
      <c r="AD155" s="55"/>
      <c r="AE155" s="55"/>
      <c r="AH155" s="181"/>
      <c r="AI155" s="181"/>
      <c r="AJ155" s="181"/>
      <c r="AK155" s="181"/>
      <c r="AL155" s="181"/>
      <c r="AM155" s="181"/>
      <c r="AN155" s="181"/>
      <c r="AP155" s="57"/>
      <c r="AQ155" s="57"/>
      <c r="AR155" s="57"/>
      <c r="AS155" s="57"/>
      <c r="AT155" s="57"/>
      <c r="AU155" s="57"/>
      <c r="AV155" s="57"/>
      <c r="AX155" s="80"/>
      <c r="AY155" s="80"/>
      <c r="AZ155" s="80"/>
      <c r="BA155" s="80"/>
      <c r="BB155" s="80"/>
      <c r="BC155" s="80"/>
      <c r="BD155" s="80"/>
      <c r="BE155" s="57"/>
      <c r="BF155" s="80"/>
      <c r="BM155" s="68"/>
      <c r="BN155" s="81"/>
      <c r="BO155" s="81"/>
      <c r="BP155" s="81"/>
      <c r="BQ155" s="81"/>
      <c r="BR155" s="81"/>
      <c r="BS155" s="81"/>
      <c r="BT155" s="81"/>
      <c r="BV155" s="81"/>
      <c r="BW155" s="81"/>
      <c r="BX155" s="81"/>
      <c r="BY155" s="81"/>
      <c r="BZ155" s="81"/>
      <c r="CA155" s="81"/>
      <c r="CB155" s="81"/>
      <c r="CD155" s="81"/>
      <c r="CE155" s="81"/>
      <c r="CF155" s="81"/>
      <c r="CG155" s="81"/>
      <c r="CH155" s="81"/>
      <c r="CI155" s="81"/>
      <c r="CJ155" s="81"/>
      <c r="CL155" s="184"/>
      <c r="CM155" s="184"/>
      <c r="CN155" s="184"/>
      <c r="CO155" s="184"/>
      <c r="CP155" s="184"/>
      <c r="CQ155" s="184"/>
      <c r="CR155" s="184"/>
      <c r="CS155" s="79"/>
      <c r="CT155" s="55"/>
      <c r="CU155" s="55"/>
      <c r="CV155" s="55"/>
      <c r="CW155" s="55"/>
      <c r="CX155" s="55"/>
      <c r="CY155" s="55"/>
      <c r="CZ155" s="55"/>
      <c r="DB155" s="55"/>
      <c r="DC155" s="55"/>
      <c r="DD155" s="55"/>
      <c r="DE155" s="55"/>
      <c r="DF155" s="55"/>
      <c r="DG155" s="55"/>
      <c r="DH155" s="55"/>
      <c r="DJ155" s="55"/>
      <c r="DK155" s="55"/>
      <c r="DL155" s="55"/>
      <c r="DM155" s="55"/>
      <c r="DN155" s="55"/>
      <c r="DO155" s="55"/>
      <c r="DP155" s="55"/>
      <c r="DR155" s="55"/>
      <c r="DS155" s="55"/>
      <c r="DT155" s="55"/>
      <c r="DU155" s="55"/>
      <c r="DV155" s="55"/>
      <c r="DW155" s="55"/>
      <c r="DX155" s="55"/>
      <c r="DZ155" s="55"/>
      <c r="EA155" s="55"/>
      <c r="EB155" s="55"/>
      <c r="EC155" s="55"/>
      <c r="ED155" s="55"/>
      <c r="EE155" s="55"/>
      <c r="EF155" s="55"/>
    </row>
    <row r="156" spans="2:136" x14ac:dyDescent="0.2">
      <c r="B156" s="77"/>
      <c r="F156" s="1"/>
      <c r="G156" s="1"/>
      <c r="H156" s="53"/>
      <c r="I156" s="55"/>
      <c r="J156" s="78"/>
      <c r="K156" s="78"/>
      <c r="L156" s="67"/>
      <c r="M156" s="67"/>
      <c r="N156" s="75"/>
      <c r="O156" s="75"/>
      <c r="P156" s="75"/>
      <c r="Q156" s="55"/>
      <c r="R156" s="55"/>
      <c r="S156" s="55"/>
      <c r="T156" s="55"/>
      <c r="U156" s="55"/>
      <c r="V156" s="55"/>
      <c r="W156" s="55"/>
      <c r="Y156" s="79"/>
      <c r="Z156" s="79"/>
      <c r="AA156" s="55"/>
      <c r="AB156" s="55"/>
      <c r="AC156" s="55"/>
      <c r="AD156" s="55"/>
      <c r="AE156" s="55"/>
      <c r="AI156" s="81">
        <f>AI140-AH140</f>
        <v>422</v>
      </c>
      <c r="AJ156" s="81">
        <f t="shared" ref="AJ156:AM156" si="679">AJ140-AI140</f>
        <v>12558</v>
      </c>
      <c r="AK156" s="81">
        <f t="shared" si="679"/>
        <v>6850</v>
      </c>
      <c r="AL156" s="81">
        <f t="shared" si="679"/>
        <v>9650</v>
      </c>
      <c r="AM156" s="81">
        <f t="shared" si="679"/>
        <v>800</v>
      </c>
      <c r="AN156" s="81"/>
      <c r="AP156" s="57"/>
      <c r="AQ156" s="57"/>
      <c r="AR156" s="57"/>
      <c r="AS156" s="57"/>
      <c r="AT156" s="57"/>
      <c r="AU156" s="57"/>
      <c r="AV156" s="57"/>
      <c r="AX156" s="80"/>
      <c r="AY156" s="80"/>
      <c r="AZ156" s="80"/>
      <c r="BA156" s="80"/>
      <c r="BB156" s="80"/>
      <c r="BC156" s="80"/>
      <c r="BD156" s="80"/>
      <c r="BE156" s="57"/>
      <c r="BF156" s="80"/>
      <c r="BM156" s="68"/>
      <c r="BN156" s="81"/>
      <c r="BO156" s="81"/>
      <c r="BP156" s="81"/>
      <c r="BQ156" s="81"/>
      <c r="BR156" s="81"/>
      <c r="BS156" s="81"/>
      <c r="BT156" s="81"/>
      <c r="BV156" s="81"/>
      <c r="BW156" s="81"/>
      <c r="BX156" s="81"/>
      <c r="BY156" s="81"/>
      <c r="BZ156" s="81"/>
      <c r="CA156" s="81"/>
      <c r="CB156" s="81"/>
      <c r="CD156" s="81"/>
      <c r="CE156" s="81"/>
      <c r="CF156" s="81"/>
      <c r="CG156" s="81"/>
      <c r="CH156" s="81"/>
      <c r="CI156" s="81"/>
      <c r="CJ156" s="81"/>
      <c r="CL156" s="55"/>
      <c r="CM156" s="55"/>
      <c r="CN156" s="55"/>
      <c r="CO156" s="55"/>
      <c r="CP156" s="55"/>
      <c r="CQ156" s="55"/>
      <c r="CR156" s="55"/>
      <c r="CT156" s="55"/>
      <c r="CU156" s="55"/>
      <c r="CV156" s="55"/>
      <c r="CW156" s="55"/>
      <c r="CX156" s="55"/>
      <c r="CY156" s="55"/>
      <c r="CZ156" s="55"/>
      <c r="DB156" s="55"/>
      <c r="DC156" s="55"/>
      <c r="DD156" s="55"/>
      <c r="DE156" s="55"/>
      <c r="DF156" s="55"/>
      <c r="DG156" s="55"/>
      <c r="DH156" s="55"/>
      <c r="DJ156" s="55"/>
      <c r="DK156" s="55"/>
      <c r="DL156" s="55"/>
      <c r="DM156" s="55"/>
      <c r="DN156" s="55"/>
      <c r="DO156" s="55"/>
      <c r="DP156" s="55"/>
      <c r="DR156" s="55"/>
      <c r="DS156" s="55"/>
      <c r="DT156" s="55"/>
      <c r="DU156" s="55"/>
      <c r="DV156" s="55"/>
      <c r="DW156" s="55"/>
      <c r="DX156" s="55"/>
      <c r="DZ156" s="55"/>
      <c r="EA156" s="55"/>
      <c r="EB156" s="55"/>
      <c r="EC156" s="55"/>
      <c r="ED156" s="55"/>
      <c r="EE156" s="55"/>
      <c r="EF156" s="55"/>
    </row>
    <row r="157" spans="2:136" x14ac:dyDescent="0.2">
      <c r="B157" s="77"/>
      <c r="E157" s="179" t="s">
        <v>368</v>
      </c>
      <c r="F157" s="180" t="s">
        <v>369</v>
      </c>
      <c r="G157" s="1"/>
      <c r="H157" s="53"/>
      <c r="I157" s="55"/>
      <c r="J157" s="78"/>
      <c r="K157" s="78"/>
      <c r="L157" s="67"/>
      <c r="M157" s="67"/>
      <c r="N157" s="75"/>
      <c r="O157" s="75"/>
      <c r="P157" s="75"/>
      <c r="Q157" s="55"/>
      <c r="R157" s="55"/>
      <c r="S157" s="55"/>
      <c r="T157" s="55"/>
      <c r="U157" s="55"/>
      <c r="V157" s="55"/>
      <c r="W157" s="55"/>
      <c r="Y157" s="79"/>
      <c r="Z157" s="79"/>
      <c r="AA157" s="55"/>
      <c r="AB157" s="55"/>
      <c r="AC157" s="55"/>
      <c r="AD157" s="55"/>
      <c r="AE157" s="55"/>
      <c r="AP157" s="57"/>
      <c r="AQ157" s="57"/>
      <c r="AR157" s="57"/>
      <c r="AS157" s="57"/>
      <c r="AT157" s="57"/>
      <c r="AU157" s="57"/>
      <c r="AV157" s="57"/>
      <c r="AX157" s="80"/>
      <c r="AY157" s="80"/>
      <c r="AZ157" s="80"/>
      <c r="BA157" s="80"/>
      <c r="BB157" s="80"/>
      <c r="BC157" s="80"/>
      <c r="BD157" s="80"/>
      <c r="BE157" s="57"/>
      <c r="BF157" s="80"/>
      <c r="BM157" s="68"/>
      <c r="BN157" s="81"/>
      <c r="BO157" s="81"/>
      <c r="BP157" s="81"/>
      <c r="BQ157" s="81"/>
      <c r="BR157" s="81"/>
      <c r="BS157" s="81"/>
      <c r="BT157" s="81"/>
      <c r="BV157" s="81"/>
      <c r="BW157" s="81"/>
      <c r="BX157" s="81"/>
      <c r="BY157" s="81"/>
      <c r="BZ157" s="81"/>
      <c r="CA157" s="81"/>
      <c r="CB157" s="81"/>
      <c r="CD157" s="81"/>
      <c r="CE157" s="81"/>
      <c r="CF157" s="81"/>
      <c r="CG157" s="81"/>
      <c r="CH157" s="81"/>
      <c r="CI157" s="81"/>
      <c r="CJ157" s="81"/>
      <c r="CL157" s="55"/>
      <c r="CM157" s="55"/>
      <c r="CN157" s="55"/>
      <c r="CO157" s="55"/>
      <c r="CP157" s="55"/>
      <c r="CQ157" s="55"/>
      <c r="CR157" s="55"/>
      <c r="CT157" s="55"/>
      <c r="CU157" s="55"/>
      <c r="CV157" s="55"/>
      <c r="CW157" s="55"/>
      <c r="CX157" s="55"/>
      <c r="CY157" s="55"/>
      <c r="CZ157" s="55"/>
      <c r="DB157" s="55"/>
      <c r="DC157" s="55"/>
      <c r="DD157" s="55"/>
      <c r="DE157" s="55"/>
      <c r="DF157" s="55"/>
      <c r="DG157" s="55"/>
      <c r="DH157" s="55"/>
      <c r="DJ157" s="55"/>
      <c r="DK157" s="55"/>
      <c r="DL157" s="55"/>
      <c r="DM157" s="55"/>
      <c r="DN157" s="55"/>
      <c r="DO157" s="55"/>
      <c r="DP157" s="55"/>
      <c r="DR157" s="55"/>
      <c r="DS157" s="55"/>
      <c r="DT157" s="55"/>
      <c r="DU157" s="55"/>
      <c r="DV157" s="55"/>
      <c r="DW157" s="55"/>
      <c r="DX157" s="55"/>
      <c r="DZ157" s="55"/>
      <c r="EA157" s="55"/>
      <c r="EB157" s="55"/>
      <c r="EC157" s="55"/>
      <c r="ED157" s="55"/>
      <c r="EE157" s="55"/>
      <c r="EF157" s="55"/>
    </row>
    <row r="158" spans="2:136" x14ac:dyDescent="0.2">
      <c r="B158" s="77"/>
      <c r="E158" s="177">
        <v>900</v>
      </c>
      <c r="F158" s="178">
        <v>1890</v>
      </c>
      <c r="G158" s="1"/>
      <c r="H158" s="53"/>
      <c r="I158" s="55"/>
      <c r="J158" s="78"/>
      <c r="K158" s="78"/>
      <c r="L158" s="67"/>
      <c r="M158" s="67"/>
      <c r="N158" s="75"/>
      <c r="O158" s="75"/>
      <c r="P158" s="75"/>
      <c r="Q158" s="55"/>
      <c r="R158" s="55"/>
      <c r="S158" s="55"/>
      <c r="T158" s="55"/>
      <c r="U158" s="55"/>
      <c r="V158" s="55"/>
      <c r="W158" s="55"/>
      <c r="Y158" s="79"/>
      <c r="Z158" s="79"/>
      <c r="AA158" s="55"/>
      <c r="AB158" s="55"/>
      <c r="AC158" s="55"/>
      <c r="AD158" s="55"/>
      <c r="AE158" s="55"/>
      <c r="AP158" s="57"/>
      <c r="AQ158" s="57"/>
      <c r="AR158" s="57"/>
      <c r="AS158" s="57"/>
      <c r="AT158" s="57"/>
      <c r="AU158" s="57"/>
      <c r="AV158" s="57"/>
      <c r="AX158" s="80"/>
      <c r="AY158" s="80"/>
      <c r="AZ158" s="80"/>
      <c r="BA158" s="80"/>
      <c r="BB158" s="80"/>
      <c r="BC158" s="80"/>
      <c r="BD158" s="80"/>
      <c r="BE158" s="57"/>
      <c r="BF158" s="80"/>
      <c r="BM158" s="68"/>
      <c r="BN158" s="81"/>
      <c r="BO158" s="81"/>
      <c r="BP158" s="81"/>
      <c r="BQ158" s="81"/>
      <c r="BR158" s="81"/>
      <c r="BS158" s="81"/>
      <c r="BT158" s="81"/>
      <c r="BV158" s="81"/>
      <c r="BW158" s="81"/>
      <c r="BX158" s="81"/>
      <c r="BY158" s="81"/>
      <c r="BZ158" s="81"/>
      <c r="CA158" s="81"/>
      <c r="CB158" s="81"/>
      <c r="CD158" s="81"/>
      <c r="CE158" s="81"/>
      <c r="CF158" s="81"/>
      <c r="CG158" s="81"/>
      <c r="CH158" s="81"/>
      <c r="CI158" s="81"/>
      <c r="CJ158" s="81"/>
      <c r="CL158" s="55"/>
      <c r="CM158" s="55"/>
      <c r="CN158" s="55"/>
      <c r="CO158" s="55"/>
      <c r="CP158" s="55"/>
      <c r="CQ158" s="55"/>
      <c r="CR158" s="55"/>
      <c r="CT158" s="55"/>
      <c r="CU158" s="55"/>
      <c r="CV158" s="55"/>
      <c r="CW158" s="55"/>
      <c r="CX158" s="55"/>
      <c r="CY158" s="55"/>
      <c r="CZ158" s="55"/>
      <c r="DB158" s="55"/>
      <c r="DC158" s="55"/>
      <c r="DD158" s="55"/>
      <c r="DE158" s="55"/>
      <c r="DF158" s="55"/>
      <c r="DG158" s="55"/>
      <c r="DH158" s="55"/>
      <c r="DJ158" s="55"/>
      <c r="DK158" s="55"/>
      <c r="DL158" s="55"/>
      <c r="DM158" s="55"/>
      <c r="DN158" s="55"/>
      <c r="DO158" s="55"/>
      <c r="DP158" s="55"/>
      <c r="DR158" s="55"/>
      <c r="DS158" s="55"/>
      <c r="DT158" s="55"/>
      <c r="DU158" s="55"/>
      <c r="DV158" s="55"/>
      <c r="DW158" s="55"/>
      <c r="DX158" s="55"/>
      <c r="DZ158" s="55"/>
      <c r="EA158" s="55"/>
      <c r="EB158" s="55"/>
      <c r="EC158" s="55"/>
      <c r="ED158" s="55"/>
      <c r="EE158" s="55"/>
      <c r="EF158" s="55"/>
    </row>
    <row r="159" spans="2:136" x14ac:dyDescent="0.2">
      <c r="B159" s="77"/>
      <c r="F159" s="1"/>
      <c r="G159" s="1"/>
      <c r="H159" s="53"/>
      <c r="I159" s="55"/>
      <c r="J159" s="78"/>
      <c r="K159" s="78"/>
      <c r="L159" s="67"/>
      <c r="M159" s="67"/>
      <c r="N159" s="75"/>
      <c r="O159" s="75"/>
      <c r="P159" s="75"/>
      <c r="Q159" s="55"/>
      <c r="R159" s="55"/>
      <c r="S159" s="55"/>
      <c r="T159" s="55"/>
      <c r="U159" s="55"/>
      <c r="V159" s="55"/>
      <c r="W159" s="55"/>
      <c r="Y159" s="79"/>
      <c r="Z159" s="79"/>
      <c r="AA159" s="55"/>
      <c r="AB159" s="55"/>
      <c r="AC159" s="55"/>
      <c r="AD159" s="55"/>
      <c r="AE159" s="55"/>
      <c r="AP159" s="57"/>
      <c r="AQ159" s="57"/>
      <c r="AR159" s="57"/>
      <c r="AS159" s="57"/>
      <c r="AT159" s="57"/>
      <c r="AU159" s="57"/>
      <c r="AV159" s="57"/>
      <c r="AX159" s="80"/>
      <c r="AY159" s="80"/>
      <c r="AZ159" s="80"/>
      <c r="BA159" s="80"/>
      <c r="BB159" s="80"/>
      <c r="BC159" s="80"/>
      <c r="BD159" s="80"/>
      <c r="BE159" s="57"/>
      <c r="BF159" s="80"/>
      <c r="BM159" s="68"/>
      <c r="BN159" s="81"/>
      <c r="BO159" s="81"/>
      <c r="BP159" s="81"/>
      <c r="BQ159" s="81"/>
      <c r="BR159" s="81"/>
      <c r="BS159" s="81"/>
      <c r="BT159" s="81"/>
      <c r="BW159" s="81"/>
      <c r="BX159" s="81"/>
      <c r="BY159" s="81"/>
      <c r="BZ159" s="81"/>
      <c r="CA159" s="81"/>
      <c r="CB159" s="81"/>
      <c r="CD159" s="81"/>
      <c r="CE159" s="81"/>
      <c r="CF159" s="81"/>
      <c r="CG159" s="81"/>
      <c r="CH159" s="81"/>
      <c r="CI159" s="81"/>
      <c r="CJ159" s="81"/>
      <c r="CL159" s="55"/>
      <c r="CM159" s="55"/>
      <c r="CN159" s="55"/>
      <c r="CO159" s="55"/>
      <c r="CP159" s="55"/>
      <c r="CQ159" s="55"/>
      <c r="CR159" s="55"/>
      <c r="CT159" s="55"/>
      <c r="CU159" s="55"/>
      <c r="CV159" s="55"/>
      <c r="CW159" s="55"/>
      <c r="CX159" s="55"/>
      <c r="CY159" s="55"/>
      <c r="CZ159" s="55"/>
      <c r="DB159" s="55"/>
      <c r="DC159" s="55"/>
      <c r="DD159" s="55"/>
      <c r="DE159" s="55"/>
      <c r="DF159" s="55"/>
      <c r="DG159" s="55"/>
      <c r="DH159" s="55"/>
      <c r="DJ159" s="55"/>
      <c r="DK159" s="55"/>
      <c r="DL159" s="55"/>
      <c r="DM159" s="55"/>
      <c r="DN159" s="55"/>
      <c r="DO159" s="55"/>
      <c r="DP159" s="55"/>
      <c r="DR159" s="55"/>
      <c r="DS159" s="55"/>
      <c r="DT159" s="55"/>
      <c r="DU159" s="55"/>
      <c r="DV159" s="55"/>
      <c r="DW159" s="55"/>
      <c r="DX159" s="55"/>
      <c r="DZ159" s="55"/>
      <c r="EA159" s="55"/>
      <c r="EB159" s="55"/>
      <c r="EC159" s="55"/>
      <c r="ED159" s="55"/>
      <c r="EE159" s="55"/>
      <c r="EF159" s="55"/>
    </row>
    <row r="160" spans="2:136" x14ac:dyDescent="0.2">
      <c r="B160" s="77"/>
      <c r="F160" s="180" t="s">
        <v>384</v>
      </c>
      <c r="G160" s="186" t="s">
        <v>385</v>
      </c>
      <c r="H160" s="185"/>
      <c r="I160" s="185"/>
      <c r="J160" s="78"/>
      <c r="K160" s="78"/>
      <c r="L160" s="67"/>
      <c r="M160" s="67"/>
      <c r="N160" s="75"/>
      <c r="O160" s="75"/>
      <c r="P160" s="75"/>
      <c r="Q160" s="55"/>
      <c r="R160" s="55"/>
      <c r="S160" s="55"/>
      <c r="T160" s="55"/>
      <c r="U160" s="55"/>
      <c r="V160" s="55"/>
      <c r="W160" s="55"/>
      <c r="Y160" s="79"/>
      <c r="Z160" s="79"/>
      <c r="AA160" s="55"/>
      <c r="AB160" s="55"/>
      <c r="AC160" s="55"/>
      <c r="AD160" s="55"/>
      <c r="AE160" s="55"/>
      <c r="AP160" s="57"/>
      <c r="AQ160" s="57"/>
      <c r="AR160" s="57"/>
      <c r="AS160" s="57"/>
      <c r="AT160" s="57"/>
      <c r="AU160" s="57"/>
      <c r="AV160" s="57"/>
      <c r="AX160" s="80"/>
      <c r="AY160" s="80"/>
      <c r="AZ160" s="80"/>
      <c r="BA160" s="80"/>
      <c r="BB160" s="80"/>
      <c r="BC160" s="80"/>
      <c r="BD160" s="80"/>
      <c r="BE160" s="57"/>
      <c r="BF160" s="80"/>
      <c r="BM160" s="68"/>
      <c r="BN160" s="81"/>
      <c r="BO160" s="81"/>
      <c r="BP160" s="81"/>
      <c r="BQ160" s="81"/>
      <c r="BR160" s="81"/>
      <c r="BS160" s="81"/>
      <c r="BT160" s="81"/>
      <c r="BV160" s="81"/>
      <c r="BW160" s="81"/>
      <c r="BX160" s="81"/>
      <c r="BY160" s="81"/>
      <c r="BZ160" s="81"/>
      <c r="CA160" s="81"/>
      <c r="CB160" s="81"/>
      <c r="CD160" s="81"/>
      <c r="CE160" s="81"/>
      <c r="CF160" s="81"/>
      <c r="CG160" s="81"/>
      <c r="CH160" s="81"/>
      <c r="CI160" s="81"/>
      <c r="CJ160" s="81"/>
      <c r="CL160" s="55"/>
      <c r="CM160" s="55"/>
      <c r="CN160" s="55"/>
      <c r="CO160" s="55"/>
      <c r="CP160" s="55"/>
      <c r="CQ160" s="55"/>
      <c r="CR160" s="55"/>
      <c r="CT160" s="55"/>
      <c r="CU160" s="55"/>
      <c r="CV160" s="55"/>
      <c r="CW160" s="55"/>
      <c r="CX160" s="55"/>
      <c r="CY160" s="55"/>
      <c r="CZ160" s="55"/>
      <c r="DB160" s="55"/>
      <c r="DC160" s="55"/>
      <c r="DD160" s="55"/>
      <c r="DE160" s="55"/>
      <c r="DF160" s="55"/>
      <c r="DG160" s="55"/>
      <c r="DH160" s="55"/>
      <c r="DJ160" s="55"/>
      <c r="DK160" s="55"/>
      <c r="DL160" s="55"/>
      <c r="DM160" s="55"/>
      <c r="DN160" s="55"/>
      <c r="DO160" s="55"/>
      <c r="DP160" s="55"/>
      <c r="DR160" s="55"/>
      <c r="DS160" s="55"/>
      <c r="DT160" s="55"/>
      <c r="DU160" s="55"/>
      <c r="DV160" s="55"/>
      <c r="DW160" s="55"/>
      <c r="DX160" s="55"/>
      <c r="DZ160" s="55"/>
      <c r="EA160" s="55"/>
      <c r="EB160" s="55"/>
      <c r="EC160" s="55"/>
      <c r="ED160" s="55"/>
      <c r="EE160" s="55"/>
      <c r="EF160" s="55"/>
    </row>
    <row r="161" spans="2:136" x14ac:dyDescent="0.2">
      <c r="B161" s="77"/>
      <c r="F161" s="179" t="s">
        <v>216</v>
      </c>
      <c r="G161" s="187" t="s">
        <v>140</v>
      </c>
      <c r="H161" s="184" t="s">
        <v>214</v>
      </c>
      <c r="I161" s="184" t="s">
        <v>383</v>
      </c>
      <c r="J161" s="78"/>
      <c r="K161" s="78"/>
      <c r="L161" s="67"/>
      <c r="M161" s="67"/>
      <c r="N161" s="75"/>
      <c r="O161" s="75"/>
      <c r="P161" s="75"/>
      <c r="Q161" s="55"/>
      <c r="R161" s="55"/>
      <c r="S161" s="55"/>
      <c r="T161" s="55"/>
      <c r="U161" s="55"/>
      <c r="V161" s="55"/>
      <c r="W161" s="55"/>
      <c r="Y161" s="79"/>
      <c r="Z161" s="79"/>
      <c r="AA161" s="55"/>
      <c r="AB161" s="55"/>
      <c r="AC161" s="55"/>
      <c r="AD161" s="55"/>
      <c r="AE161" s="55"/>
      <c r="AP161" s="57"/>
      <c r="AQ161" s="57"/>
      <c r="AR161" s="57"/>
      <c r="AS161" s="57"/>
      <c r="AT161" s="57"/>
      <c r="AU161" s="57"/>
      <c r="AV161" s="57"/>
      <c r="AX161" s="80"/>
      <c r="AY161" s="80"/>
      <c r="AZ161" s="80"/>
      <c r="BA161" s="80"/>
      <c r="BB161" s="80"/>
      <c r="BC161" s="80"/>
      <c r="BD161" s="80"/>
      <c r="BE161" s="57"/>
      <c r="BF161" s="80"/>
      <c r="BM161" s="68"/>
      <c r="BN161" s="81"/>
      <c r="BO161" s="81"/>
      <c r="BP161" s="81"/>
      <c r="BQ161" s="81"/>
      <c r="BR161" s="81"/>
      <c r="BS161" s="81"/>
      <c r="BT161" s="81"/>
      <c r="BV161" s="81"/>
      <c r="BW161" s="81"/>
      <c r="BX161" s="81"/>
      <c r="BY161" s="81"/>
      <c r="BZ161" s="81"/>
      <c r="CA161" s="81"/>
      <c r="CB161" s="81"/>
      <c r="CD161" s="81"/>
      <c r="CE161" s="81"/>
      <c r="CF161" s="81"/>
      <c r="CG161" s="81"/>
      <c r="CH161" s="81"/>
      <c r="CI161" s="81"/>
      <c r="CJ161" s="81"/>
      <c r="CL161" s="55"/>
      <c r="CM161" s="55"/>
      <c r="CN161" s="55"/>
      <c r="CO161" s="55"/>
      <c r="CP161" s="55"/>
      <c r="CQ161" s="55"/>
      <c r="CR161" s="55"/>
      <c r="CT161" s="55"/>
      <c r="CU161" s="55"/>
      <c r="CV161" s="55"/>
      <c r="CW161" s="55"/>
      <c r="CX161" s="55"/>
      <c r="CY161" s="55"/>
      <c r="CZ161" s="55"/>
      <c r="DB161" s="55"/>
      <c r="DC161" s="55"/>
      <c r="DD161" s="55"/>
      <c r="DE161" s="55"/>
      <c r="DF161" s="55"/>
      <c r="DG161" s="55"/>
      <c r="DH161" s="55"/>
      <c r="DJ161" s="55"/>
      <c r="DK161" s="55"/>
      <c r="DL161" s="55"/>
      <c r="DM161" s="55"/>
      <c r="DN161" s="55"/>
      <c r="DO161" s="55"/>
      <c r="DP161" s="55"/>
      <c r="DR161" s="55"/>
      <c r="DS161" s="55"/>
      <c r="DT161" s="55"/>
      <c r="DU161" s="55"/>
      <c r="DV161" s="55"/>
      <c r="DW161" s="55"/>
      <c r="DX161" s="55"/>
      <c r="DZ161" s="55"/>
      <c r="EA161" s="55"/>
      <c r="EB161" s="55"/>
      <c r="EC161" s="55"/>
      <c r="ED161" s="55"/>
      <c r="EE161" s="55"/>
      <c r="EF161" s="55"/>
    </row>
    <row r="162" spans="2:136" x14ac:dyDescent="0.2">
      <c r="B162" s="77"/>
      <c r="F162" s="1">
        <f>3250</f>
        <v>3250</v>
      </c>
      <c r="G162" s="188">
        <f>5068</f>
        <v>5068</v>
      </c>
      <c r="H162" s="182">
        <v>637</v>
      </c>
      <c r="I162" s="182">
        <v>2756</v>
      </c>
      <c r="J162" s="189" t="s">
        <v>387</v>
      </c>
      <c r="K162" s="78"/>
      <c r="L162" s="67"/>
      <c r="M162" s="67"/>
      <c r="N162" s="75"/>
      <c r="O162" s="75"/>
      <c r="P162" s="75"/>
      <c r="Q162" s="55"/>
      <c r="R162" s="55"/>
      <c r="S162" s="55"/>
      <c r="T162" s="55"/>
      <c r="U162" s="55"/>
      <c r="V162" s="55"/>
      <c r="W162" s="55"/>
      <c r="Y162" s="79"/>
      <c r="Z162" s="79"/>
      <c r="AA162" s="55"/>
      <c r="AB162" s="55"/>
      <c r="AC162" s="55"/>
      <c r="AD162" s="55"/>
      <c r="AE162" s="55"/>
      <c r="AP162" s="57"/>
      <c r="AQ162" s="57"/>
      <c r="AR162" s="57"/>
      <c r="AS162" s="57"/>
      <c r="AT162" s="57"/>
      <c r="AU162" s="57"/>
      <c r="AV162" s="57"/>
      <c r="AX162" s="80"/>
      <c r="AY162" s="80"/>
      <c r="AZ162" s="80"/>
      <c r="BA162" s="80"/>
      <c r="BB162" s="80"/>
      <c r="BC162" s="80"/>
      <c r="BD162" s="80"/>
      <c r="BE162" s="57"/>
      <c r="BF162" s="80"/>
      <c r="BM162" s="68"/>
      <c r="BN162" s="81"/>
      <c r="BO162" s="81"/>
      <c r="BP162" s="81"/>
      <c r="BQ162" s="81"/>
      <c r="BR162" s="81"/>
      <c r="BS162" s="81"/>
      <c r="BT162" s="81"/>
      <c r="BV162" s="81"/>
      <c r="BW162" s="81"/>
      <c r="BX162" s="81"/>
      <c r="BY162" s="81"/>
      <c r="BZ162" s="81"/>
      <c r="CA162" s="81"/>
      <c r="CB162" s="81"/>
      <c r="CD162" s="81"/>
      <c r="CE162" s="81"/>
      <c r="CF162" s="81"/>
      <c r="CG162" s="81"/>
      <c r="CH162" s="81"/>
      <c r="CI162" s="81"/>
      <c r="CJ162" s="81"/>
      <c r="CL162" s="55"/>
      <c r="CM162" s="55"/>
      <c r="CN162" s="55"/>
      <c r="CO162" s="55"/>
      <c r="CP162" s="55"/>
      <c r="CQ162" s="55"/>
      <c r="CR162" s="55"/>
      <c r="CT162" s="55"/>
      <c r="CU162" s="55"/>
      <c r="CV162" s="55"/>
      <c r="CW162" s="55"/>
      <c r="CX162" s="55"/>
      <c r="CY162" s="55"/>
      <c r="CZ162" s="55"/>
      <c r="DB162" s="55"/>
      <c r="DC162" s="55"/>
      <c r="DD162" s="55"/>
      <c r="DE162" s="55"/>
      <c r="DF162" s="55"/>
      <c r="DG162" s="55"/>
      <c r="DH162" s="55"/>
      <c r="DJ162" s="55"/>
      <c r="DK162" s="55"/>
      <c r="DL162" s="55"/>
      <c r="DM162" s="55"/>
      <c r="DN162" s="55"/>
      <c r="DO162" s="55"/>
      <c r="DP162" s="55"/>
      <c r="DR162" s="55"/>
      <c r="DS162" s="55"/>
      <c r="DT162" s="55"/>
      <c r="DU162" s="55"/>
      <c r="DV162" s="55"/>
      <c r="DW162" s="55"/>
      <c r="DX162" s="55"/>
      <c r="DZ162" s="55"/>
      <c r="EA162" s="55"/>
      <c r="EB162" s="55"/>
      <c r="EC162" s="55"/>
      <c r="ED162" s="55"/>
      <c r="EE162" s="55"/>
      <c r="EF162" s="55"/>
    </row>
    <row r="163" spans="2:136" x14ac:dyDescent="0.2">
      <c r="F163" s="1">
        <f>SUM(G163:I163)</f>
        <v>273599</v>
      </c>
      <c r="G163" s="188">
        <f>G162*45</f>
        <v>228060</v>
      </c>
      <c r="H163" s="182">
        <f>H162*65</f>
        <v>41405</v>
      </c>
      <c r="I163" s="182">
        <f>I162*1.5</f>
        <v>4134</v>
      </c>
    </row>
    <row r="164" spans="2:136" x14ac:dyDescent="0.2">
      <c r="E164" s="51" t="s">
        <v>386</v>
      </c>
      <c r="F164" s="183">
        <f>F163/F162</f>
        <v>84.184307692307698</v>
      </c>
    </row>
    <row r="167" spans="2:136" x14ac:dyDescent="0.2">
      <c r="E167" s="51" t="s">
        <v>391</v>
      </c>
      <c r="F167" s="51" t="s">
        <v>392</v>
      </c>
    </row>
    <row r="168" spans="2:136" x14ac:dyDescent="0.2">
      <c r="E168" s="51" t="s">
        <v>393</v>
      </c>
      <c r="F168" s="4">
        <v>0.3</v>
      </c>
      <c r="BJ168" s="56"/>
    </row>
    <row r="170" spans="2:136" x14ac:dyDescent="0.2">
      <c r="G170" s="177" t="s">
        <v>410</v>
      </c>
      <c r="H170" s="177" t="s">
        <v>140</v>
      </c>
      <c r="I170" s="177" t="s">
        <v>411</v>
      </c>
    </row>
    <row r="171" spans="2:136" x14ac:dyDescent="0.2">
      <c r="G171" s="51">
        <v>100</v>
      </c>
      <c r="H171" s="51">
        <v>450</v>
      </c>
      <c r="I171" s="51">
        <f>450/2</f>
        <v>225</v>
      </c>
    </row>
    <row r="172" spans="2:136" x14ac:dyDescent="0.2">
      <c r="H172" s="51">
        <v>45</v>
      </c>
      <c r="I172" s="51">
        <v>2</v>
      </c>
    </row>
    <row r="173" spans="2:136" x14ac:dyDescent="0.2">
      <c r="H173" s="183">
        <f>H171*H172</f>
        <v>20250</v>
      </c>
      <c r="I173" s="183">
        <f>I171*I172</f>
        <v>450</v>
      </c>
      <c r="J173" s="81">
        <f>SUM(H173:I173)</f>
        <v>20700</v>
      </c>
    </row>
    <row r="174" spans="2:136" x14ac:dyDescent="0.2">
      <c r="J174" s="222">
        <f>J173/G171</f>
        <v>207</v>
      </c>
    </row>
  </sheetData>
  <autoFilter ref="B49:N139" xr:uid="{91A174C4-CA73-4335-BDDD-D90554B7F345}"/>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14163-0DB3-4F62-8FC4-D9680F0DFB90}">
  <dimension ref="A2:P48"/>
  <sheetViews>
    <sheetView showGridLines="0" workbookViewId="0">
      <selection activeCell="H27" sqref="H27"/>
    </sheetView>
  </sheetViews>
  <sheetFormatPr defaultColWidth="9.140625" defaultRowHeight="13.35" customHeight="1" x14ac:dyDescent="0.25"/>
  <cols>
    <col min="1" max="1" width="9.140625" style="118"/>
    <col min="2" max="2" width="43.85546875" style="118" customWidth="1"/>
    <col min="3" max="3" width="21.140625" style="118" customWidth="1"/>
    <col min="4" max="4" width="0" style="118" hidden="1" customWidth="1"/>
    <col min="5" max="16384" width="9.140625" style="118"/>
  </cols>
  <sheetData>
    <row r="2" spans="1:16" ht="13.35" customHeight="1" x14ac:dyDescent="0.25">
      <c r="B2" s="108" t="e" vm="1">
        <v>#VALUE!</v>
      </c>
      <c r="C2" s="108"/>
    </row>
    <row r="3" spans="1:16" ht="13.35" customHeight="1" x14ac:dyDescent="0.25">
      <c r="B3" s="94" t="s">
        <v>314</v>
      </c>
      <c r="C3" s="95" cm="1">
        <f t="array" aca="1" ref="C3" ca="1">_FV(B2,"Price")</f>
        <v>372.85</v>
      </c>
      <c r="E3" s="339" t="s">
        <v>551</v>
      </c>
    </row>
    <row r="4" spans="1:16" ht="13.35" customHeight="1" x14ac:dyDescent="0.25">
      <c r="B4" s="97" t="s">
        <v>317</v>
      </c>
      <c r="C4" s="112" cm="1">
        <f t="array" aca="1" ref="C4" ca="1">_FV(B2,"Shares outstanding",TRUE)/10^6</f>
        <v>705.98469999999998</v>
      </c>
      <c r="F4" s="119"/>
      <c r="G4" s="119"/>
      <c r="H4" s="119"/>
    </row>
    <row r="5" spans="1:16" ht="13.35" customHeight="1" x14ac:dyDescent="0.25">
      <c r="B5" s="97" t="s">
        <v>315</v>
      </c>
      <c r="C5" s="112">
        <f ca="1">C3*C4</f>
        <v>263226.395395</v>
      </c>
      <c r="F5" s="120"/>
      <c r="G5" s="120"/>
      <c r="H5" s="120"/>
    </row>
    <row r="7" spans="1:16" ht="13.35" customHeight="1" x14ac:dyDescent="0.25">
      <c r="A7" s="121"/>
      <c r="B7" s="122" t="s">
        <v>329</v>
      </c>
      <c r="C7" s="123"/>
      <c r="D7" s="123"/>
      <c r="E7" s="123"/>
      <c r="F7" s="123"/>
      <c r="G7" s="123"/>
      <c r="H7" s="123"/>
      <c r="I7" s="123"/>
      <c r="J7" s="123"/>
      <c r="K7" s="123"/>
      <c r="L7" s="123"/>
      <c r="M7" s="123"/>
    </row>
    <row r="8" spans="1:16" ht="13.35" customHeight="1" x14ac:dyDescent="0.25">
      <c r="A8" s="121"/>
      <c r="B8" s="94"/>
      <c r="C8" s="95"/>
      <c r="D8" s="96" t="s">
        <v>74</v>
      </c>
      <c r="E8" s="96" t="s">
        <v>390</v>
      </c>
      <c r="F8" s="96" t="s">
        <v>274</v>
      </c>
      <c r="G8" s="96" t="s">
        <v>275</v>
      </c>
      <c r="H8" s="96" t="s">
        <v>276</v>
      </c>
      <c r="I8" s="96" t="s">
        <v>277</v>
      </c>
      <c r="J8" s="96" t="s">
        <v>278</v>
      </c>
      <c r="K8" s="155" t="s">
        <v>275</v>
      </c>
      <c r="L8" s="96" t="s">
        <v>276</v>
      </c>
      <c r="M8" s="96" t="s">
        <v>277</v>
      </c>
    </row>
    <row r="9" spans="1:16" ht="13.35" customHeight="1" x14ac:dyDescent="0.25">
      <c r="A9" s="121"/>
      <c r="B9" s="97" t="s">
        <v>318</v>
      </c>
      <c r="C9" s="124"/>
      <c r="D9" s="112"/>
      <c r="E9" s="112"/>
      <c r="F9" s="112"/>
      <c r="G9" s="112"/>
      <c r="H9" s="112"/>
      <c r="I9" s="112"/>
      <c r="J9" s="112"/>
      <c r="K9" s="125" t="s">
        <v>309</v>
      </c>
      <c r="L9" s="126"/>
      <c r="M9" s="126"/>
      <c r="P9" s="305" t="s">
        <v>137</v>
      </c>
    </row>
    <row r="10" spans="1:16" ht="13.35" customHeight="1" x14ac:dyDescent="0.25">
      <c r="A10" s="121"/>
      <c r="B10" s="127" t="s">
        <v>319</v>
      </c>
      <c r="C10" s="101" t="s">
        <v>320</v>
      </c>
      <c r="D10" s="128"/>
      <c r="E10" s="128">
        <f ca="1">Consolidated!K46/$C$4</f>
        <v>3.8678175320230048</v>
      </c>
      <c r="F10" s="101">
        <f ca="1">Consolidated!L46/$C$4</f>
        <v>7.0290191841267999</v>
      </c>
      <c r="G10" s="101">
        <f ca="1">Consolidated!M46/$C$4</f>
        <v>12.59419176259617</v>
      </c>
      <c r="H10" s="101">
        <f ca="1">Consolidated!N46/$C$4</f>
        <v>24.026100859000458</v>
      </c>
      <c r="I10" s="101">
        <f ca="1">Consolidated!O46/$C$4</f>
        <v>32.73750455363276</v>
      </c>
      <c r="J10" s="101">
        <f ca="1">Consolidated!P46/$C$4</f>
        <v>40.657503292563433</v>
      </c>
      <c r="K10" s="129" t="s">
        <v>273</v>
      </c>
      <c r="L10" s="130" t="s">
        <v>274</v>
      </c>
      <c r="M10" s="130" t="s">
        <v>275</v>
      </c>
    </row>
    <row r="11" spans="1:16" ht="13.35" customHeight="1" x14ac:dyDescent="0.25">
      <c r="A11" s="121"/>
      <c r="B11" s="127" t="str">
        <f ca="1">CONCATENATE("At CMP of Rs. ",ROUND(C3,0),"/share")</f>
        <v>At CMP of Rs. 373/share</v>
      </c>
      <c r="C11" s="101" t="s">
        <v>321</v>
      </c>
      <c r="D11" s="131"/>
      <c r="E11" s="100">
        <f t="shared" ref="E11:J11" ca="1" si="0">$C$3/E10</f>
        <v>96.398032459661124</v>
      </c>
      <c r="F11" s="100">
        <f t="shared" ca="1" si="0"/>
        <v>53.044385031980589</v>
      </c>
      <c r="G11" s="100">
        <f ca="1">$C$3/G10</f>
        <v>29.604916855985735</v>
      </c>
      <c r="H11" s="100">
        <f t="shared" ca="1" si="0"/>
        <v>15.518539699308972</v>
      </c>
      <c r="I11" s="100">
        <f t="shared" ca="1" si="0"/>
        <v>11.389078217283554</v>
      </c>
      <c r="J11" s="100">
        <f t="shared" ca="1" si="0"/>
        <v>9.1705090033946366</v>
      </c>
      <c r="K11" s="132"/>
      <c r="L11" s="128"/>
      <c r="M11" s="128"/>
      <c r="P11" s="305" t="s">
        <v>526</v>
      </c>
    </row>
    <row r="12" spans="1:16" ht="13.35" customHeight="1" x14ac:dyDescent="0.25">
      <c r="A12" s="336">
        <v>10</v>
      </c>
      <c r="B12" s="127" t="str">
        <f>CONCATENATE("-Target Price @",ROUND(A12,0),"x P/E")</f>
        <v>-Target Price @10x P/E</v>
      </c>
      <c r="C12" s="101" t="s">
        <v>320</v>
      </c>
      <c r="D12" s="100"/>
      <c r="E12" s="100">
        <f t="shared" ref="E12:J14" ca="1" si="1">E$10*$A12</f>
        <v>38.678175320230046</v>
      </c>
      <c r="F12" s="100">
        <f t="shared" ca="1" si="1"/>
        <v>70.290191841267998</v>
      </c>
      <c r="G12" s="100">
        <f t="shared" ca="1" si="1"/>
        <v>125.94191762596169</v>
      </c>
      <c r="H12" s="100">
        <f t="shared" ca="1" si="1"/>
        <v>240.26100859000456</v>
      </c>
      <c r="I12" s="100">
        <f t="shared" ca="1" si="1"/>
        <v>327.3750455363276</v>
      </c>
      <c r="J12" s="100">
        <f t="shared" ca="1" si="1"/>
        <v>406.57503292563433</v>
      </c>
      <c r="K12" s="133">
        <f ca="1">G12/$C$3-1</f>
        <v>-0.66221827108498943</v>
      </c>
      <c r="L12" s="134">
        <f ca="1">H12/$C$3-1</f>
        <v>-0.35560947139599153</v>
      </c>
      <c r="M12" s="134">
        <f ca="1">I12/$C$3-1</f>
        <v>-0.12196581591436884</v>
      </c>
      <c r="P12" s="305" t="s">
        <v>521</v>
      </c>
    </row>
    <row r="13" spans="1:16" ht="13.35" customHeight="1" x14ac:dyDescent="0.25">
      <c r="A13" s="336">
        <v>15</v>
      </c>
      <c r="B13" s="127" t="str">
        <f t="shared" ref="B13:B14" si="2">CONCATENATE("-Target Price @",ROUND(A13,0),"x P/E")</f>
        <v>-Target Price @15x P/E</v>
      </c>
      <c r="C13" s="101" t="s">
        <v>320</v>
      </c>
      <c r="D13" s="100"/>
      <c r="E13" s="100">
        <f t="shared" ca="1" si="1"/>
        <v>58.017262980345073</v>
      </c>
      <c r="F13" s="100">
        <f t="shared" ca="1" si="1"/>
        <v>105.435287761902</v>
      </c>
      <c r="G13" s="100">
        <f t="shared" ca="1" si="1"/>
        <v>188.91287643894253</v>
      </c>
      <c r="H13" s="100">
        <f t="shared" ca="1" si="1"/>
        <v>360.39151288500688</v>
      </c>
      <c r="I13" s="100">
        <f t="shared" ca="1" si="1"/>
        <v>491.06256830449138</v>
      </c>
      <c r="J13" s="100">
        <f t="shared" ca="1" si="1"/>
        <v>609.8625493884515</v>
      </c>
      <c r="K13" s="133">
        <f t="shared" ref="K13:K14" ca="1" si="3">G13/$C$3-1</f>
        <v>-0.4933274066274842</v>
      </c>
      <c r="L13" s="134">
        <f t="shared" ref="L13:L14" ca="1" si="4">H13/$C$3-1</f>
        <v>-3.3414207093987236E-2</v>
      </c>
      <c r="M13" s="134">
        <f t="shared" ref="M13:M14" ca="1" si="5">I13/$C$3-1</f>
        <v>0.31705127612844675</v>
      </c>
      <c r="P13" s="118" t="s">
        <v>519</v>
      </c>
    </row>
    <row r="14" spans="1:16" ht="13.35" customHeight="1" x14ac:dyDescent="0.25">
      <c r="A14" s="336">
        <v>20</v>
      </c>
      <c r="B14" s="127" t="str">
        <f t="shared" si="2"/>
        <v>-Target Price @20x P/E</v>
      </c>
      <c r="C14" s="101" t="s">
        <v>320</v>
      </c>
      <c r="D14" s="100"/>
      <c r="E14" s="100">
        <f t="shared" ca="1" si="1"/>
        <v>77.356350640460093</v>
      </c>
      <c r="F14" s="100">
        <f t="shared" ca="1" si="1"/>
        <v>140.580383682536</v>
      </c>
      <c r="G14" s="100">
        <f t="shared" ca="1" si="1"/>
        <v>251.88383525192339</v>
      </c>
      <c r="H14" s="100">
        <f t="shared" ca="1" si="1"/>
        <v>480.52201718000913</v>
      </c>
      <c r="I14" s="100">
        <f t="shared" ca="1" si="1"/>
        <v>654.75009107265521</v>
      </c>
      <c r="J14" s="100">
        <f t="shared" ca="1" si="1"/>
        <v>813.15006585126866</v>
      </c>
      <c r="K14" s="133">
        <f t="shared" ca="1" si="3"/>
        <v>-0.32443654216997886</v>
      </c>
      <c r="L14" s="134">
        <f t="shared" ca="1" si="4"/>
        <v>0.28878105720801694</v>
      </c>
      <c r="M14" s="134">
        <f t="shared" ca="1" si="5"/>
        <v>0.75606836817126233</v>
      </c>
      <c r="P14" s="118" t="s">
        <v>520</v>
      </c>
    </row>
    <row r="15" spans="1:16" ht="13.35" customHeight="1" x14ac:dyDescent="0.25">
      <c r="A15" s="121"/>
      <c r="B15" s="127"/>
      <c r="C15" s="101"/>
      <c r="D15" s="100"/>
      <c r="E15" s="100"/>
      <c r="F15" s="100"/>
      <c r="G15" s="100"/>
      <c r="H15" s="100"/>
      <c r="I15" s="100"/>
      <c r="J15" s="100"/>
      <c r="K15" s="135"/>
      <c r="L15" s="136"/>
      <c r="M15" s="136"/>
      <c r="P15" s="118" t="s">
        <v>280</v>
      </c>
    </row>
    <row r="16" spans="1:16" ht="13.35" customHeight="1" x14ac:dyDescent="0.25">
      <c r="A16" s="121"/>
      <c r="B16" s="99" t="s">
        <v>322</v>
      </c>
      <c r="C16" s="100"/>
      <c r="D16" s="100"/>
      <c r="E16" s="100"/>
      <c r="F16" s="100"/>
      <c r="G16" s="100"/>
      <c r="H16" s="100"/>
      <c r="I16" s="100"/>
      <c r="J16" s="100"/>
      <c r="K16" s="137"/>
      <c r="L16" s="138"/>
      <c r="M16" s="138"/>
      <c r="P16" s="118" t="s">
        <v>4</v>
      </c>
    </row>
    <row r="17" spans="1:16" ht="13.35" customHeight="1" x14ac:dyDescent="0.25">
      <c r="A17" s="121"/>
      <c r="B17" s="127" t="s">
        <v>323</v>
      </c>
      <c r="C17" s="101" t="s">
        <v>320</v>
      </c>
      <c r="D17" s="101">
        <f ca="1">(Consolidated!J56+Consolidated!J57+Consolidated!J58)/Valuation!$C$4</f>
        <v>36.698656500629554</v>
      </c>
      <c r="E17" s="101">
        <f ca="1">(Consolidated!K56+Consolidated!K57+Consolidated!K58)/Valuation!$C$4</f>
        <v>63.890619725894915</v>
      </c>
      <c r="F17" s="101">
        <f ca="1">(Consolidated!L56+Consolidated!L57+Consolidated!L58)/Valuation!$C$4</f>
        <v>71.693933310452763</v>
      </c>
      <c r="G17" s="101">
        <f ca="1">(Consolidated!M56+Consolidated!M57+Consolidated!M58)/Valuation!$C$4</f>
        <v>123.9490408903464</v>
      </c>
      <c r="H17" s="101">
        <f ca="1">(Consolidated!N56+Consolidated!N57+Consolidated!N58)/Valuation!$C$4</f>
        <v>147.97514174934685</v>
      </c>
      <c r="I17" s="101">
        <f ca="1">(Consolidated!O56+Consolidated!O57+Consolidated!O58)/Valuation!$C$4</f>
        <v>180.71264630297961</v>
      </c>
      <c r="J17" s="101">
        <f ca="1">(Consolidated!P56+Consolidated!P57+Consolidated!P58)/Valuation!$C$4</f>
        <v>221.37014959554301</v>
      </c>
      <c r="K17" s="137"/>
      <c r="L17" s="138"/>
      <c r="M17" s="138"/>
      <c r="P17" s="118" t="s">
        <v>485</v>
      </c>
    </row>
    <row r="18" spans="1:16" ht="13.35" customHeight="1" x14ac:dyDescent="0.25">
      <c r="A18" s="121"/>
      <c r="B18" s="127" t="str">
        <f ca="1">CONCATENATE("At CMP of Rs. ",ROUND(C3,0),"/share")</f>
        <v>At CMP of Rs. 373/share</v>
      </c>
      <c r="C18" s="101" t="s">
        <v>324</v>
      </c>
      <c r="D18" s="139">
        <f t="shared" ref="D18:J18" ca="1" si="6">$C$3/D17</f>
        <v>10.159772469970498</v>
      </c>
      <c r="E18" s="131">
        <f t="shared" ca="1" si="6"/>
        <v>5.8357549449294766</v>
      </c>
      <c r="F18" s="131">
        <f t="shared" ca="1" si="6"/>
        <v>5.2005795021102514</v>
      </c>
      <c r="G18" s="131">
        <f ca="1">$C$3/G17</f>
        <v>3.0080910454954473</v>
      </c>
      <c r="H18" s="131">
        <f t="shared" ca="1" si="6"/>
        <v>2.5196799651090434</v>
      </c>
      <c r="I18" s="131">
        <f t="shared" ca="1" si="6"/>
        <v>2.0632202982346146</v>
      </c>
      <c r="J18" s="131">
        <f t="shared" ca="1" si="6"/>
        <v>1.6842830918315774</v>
      </c>
      <c r="K18" s="137"/>
      <c r="L18" s="138"/>
      <c r="M18" s="138"/>
    </row>
    <row r="19" spans="1:16" ht="13.35" customHeight="1" x14ac:dyDescent="0.25">
      <c r="A19" s="121">
        <v>1.5</v>
      </c>
      <c r="B19" s="127" t="str">
        <f>CONCATENATE("-Target Price @",ROUND(A19,0),"x P/BV")</f>
        <v>-Target Price @2x P/BV</v>
      </c>
      <c r="C19" s="101" t="s">
        <v>320</v>
      </c>
      <c r="D19" s="100">
        <f ca="1">D$17*$A19</f>
        <v>55.04798475094433</v>
      </c>
      <c r="E19" s="100">
        <f t="shared" ref="E19:J21" ca="1" si="7">E$17*$A19</f>
        <v>95.835929588842376</v>
      </c>
      <c r="F19" s="100">
        <f t="shared" ca="1" si="7"/>
        <v>107.54089996567915</v>
      </c>
      <c r="G19" s="100">
        <f t="shared" ca="1" si="7"/>
        <v>185.92356133551959</v>
      </c>
      <c r="H19" s="100">
        <f t="shared" ca="1" si="7"/>
        <v>221.96271262402027</v>
      </c>
      <c r="I19" s="100">
        <f t="shared" ca="1" si="7"/>
        <v>271.06896945446942</v>
      </c>
      <c r="J19" s="100">
        <f t="shared" ca="1" si="7"/>
        <v>332.05522439331452</v>
      </c>
      <c r="K19" s="133">
        <f ca="1">G19/$C$3-1</f>
        <v>-0.50134488041968739</v>
      </c>
      <c r="L19" s="134">
        <f ca="1">H19/$C$3-1</f>
        <v>-0.4046863011290861</v>
      </c>
      <c r="M19" s="134">
        <f ca="1">I19/$C$3-1</f>
        <v>-0.2729811735162414</v>
      </c>
      <c r="P19" s="305" t="s">
        <v>522</v>
      </c>
    </row>
    <row r="20" spans="1:16" ht="13.35" customHeight="1" x14ac:dyDescent="0.25">
      <c r="A20" s="121">
        <v>2</v>
      </c>
      <c r="B20" s="127" t="str">
        <f>CONCATENATE("-Target Price @",ROUND(A20,1),"x P/BV")</f>
        <v>-Target Price @2x P/BV</v>
      </c>
      <c r="C20" s="101" t="s">
        <v>320</v>
      </c>
      <c r="D20" s="100">
        <f t="shared" ref="D20:D21" ca="1" si="8">D$17*$A20</f>
        <v>73.397313001259107</v>
      </c>
      <c r="E20" s="100">
        <f t="shared" ca="1" si="7"/>
        <v>127.78123945178983</v>
      </c>
      <c r="F20" s="100">
        <f t="shared" ca="1" si="7"/>
        <v>143.38786662090553</v>
      </c>
      <c r="G20" s="100">
        <f t="shared" ca="1" si="7"/>
        <v>247.89808178069279</v>
      </c>
      <c r="H20" s="100">
        <f t="shared" ca="1" si="7"/>
        <v>295.95028349869369</v>
      </c>
      <c r="I20" s="100">
        <f t="shared" ca="1" si="7"/>
        <v>361.42529260595921</v>
      </c>
      <c r="J20" s="100">
        <f t="shared" ca="1" si="7"/>
        <v>442.74029919108602</v>
      </c>
      <c r="K20" s="133">
        <f t="shared" ref="K20:K21" ca="1" si="9">G20/$C$3-1</f>
        <v>-0.33512650722624981</v>
      </c>
      <c r="L20" s="134">
        <f t="shared" ref="L20:L21" ca="1" si="10">H20/$C$3-1</f>
        <v>-0.2062484015054481</v>
      </c>
      <c r="M20" s="134">
        <f t="shared" ref="M20:M21" ca="1" si="11">I20/$C$3-1</f>
        <v>-3.0641564688321909E-2</v>
      </c>
      <c r="P20" s="118" t="s">
        <v>523</v>
      </c>
    </row>
    <row r="21" spans="1:16" ht="13.35" customHeight="1" x14ac:dyDescent="0.25">
      <c r="A21" s="121">
        <v>2.5</v>
      </c>
      <c r="B21" s="127" t="str">
        <f>CONCATENATE("-Target Price @",ROUND(A21,1),"x P/BV")</f>
        <v>-Target Price @2.5x P/BV</v>
      </c>
      <c r="C21" s="101" t="s">
        <v>320</v>
      </c>
      <c r="D21" s="100">
        <f t="shared" ca="1" si="8"/>
        <v>91.746641251573891</v>
      </c>
      <c r="E21" s="100">
        <f t="shared" ca="1" si="7"/>
        <v>159.7265493147373</v>
      </c>
      <c r="F21" s="100">
        <f t="shared" ca="1" si="7"/>
        <v>179.23483327613189</v>
      </c>
      <c r="G21" s="100">
        <f t="shared" ca="1" si="7"/>
        <v>309.87260222586599</v>
      </c>
      <c r="H21" s="100">
        <f t="shared" ca="1" si="7"/>
        <v>369.93785437336714</v>
      </c>
      <c r="I21" s="100">
        <f t="shared" ca="1" si="7"/>
        <v>451.781615757449</v>
      </c>
      <c r="J21" s="100">
        <f t="shared" ca="1" si="7"/>
        <v>553.42537398885747</v>
      </c>
      <c r="K21" s="133">
        <f t="shared" ca="1" si="9"/>
        <v>-0.16890813403281224</v>
      </c>
      <c r="L21" s="134">
        <f t="shared" ca="1" si="10"/>
        <v>-7.8105018818100946E-3</v>
      </c>
      <c r="M21" s="134">
        <f t="shared" ca="1" si="11"/>
        <v>0.2116980441395977</v>
      </c>
      <c r="P21" s="118" t="s">
        <v>258</v>
      </c>
    </row>
    <row r="22" spans="1:16" ht="13.35" customHeight="1" x14ac:dyDescent="0.25">
      <c r="A22" s="121"/>
      <c r="B22" s="127"/>
      <c r="C22" s="101"/>
      <c r="D22" s="100"/>
      <c r="E22" s="100"/>
      <c r="F22" s="100"/>
      <c r="G22" s="100"/>
      <c r="H22" s="100"/>
      <c r="I22" s="100"/>
      <c r="J22" s="100"/>
      <c r="K22" s="137"/>
      <c r="L22" s="138"/>
      <c r="M22" s="138"/>
      <c r="P22" s="118" t="s">
        <v>524</v>
      </c>
    </row>
    <row r="23" spans="1:16" ht="13.35" customHeight="1" x14ac:dyDescent="0.25">
      <c r="A23" s="121"/>
      <c r="B23" s="99" t="s">
        <v>325</v>
      </c>
      <c r="C23" s="100"/>
      <c r="D23" s="101"/>
      <c r="E23" s="101"/>
      <c r="F23" s="101"/>
      <c r="G23" s="101"/>
      <c r="H23" s="101"/>
      <c r="I23" s="101"/>
      <c r="J23" s="101"/>
      <c r="K23" s="125"/>
      <c r="L23" s="126"/>
      <c r="M23" s="126"/>
      <c r="P23" s="118" t="s">
        <v>525</v>
      </c>
    </row>
    <row r="24" spans="1:16" ht="13.35" customHeight="1" x14ac:dyDescent="0.25">
      <c r="A24" s="121"/>
      <c r="B24" s="127" t="s">
        <v>326</v>
      </c>
      <c r="C24" s="101" t="s">
        <v>295</v>
      </c>
      <c r="D24" s="100">
        <f>Consolidated!J15</f>
        <v>10891.48</v>
      </c>
      <c r="E24" s="100">
        <f>Consolidated!K15</f>
        <v>12354</v>
      </c>
      <c r="F24" s="100">
        <f>Consolidated!L15</f>
        <v>17813.36</v>
      </c>
      <c r="G24" s="100">
        <f>Consolidated!M15</f>
        <v>32975.922456311739</v>
      </c>
      <c r="H24" s="100">
        <f>Consolidated!N15</f>
        <v>60816.343049445059</v>
      </c>
      <c r="I24" s="100">
        <f>Consolidated!O15</f>
        <v>83827.107017828675</v>
      </c>
      <c r="J24" s="100">
        <f>Consolidated!P15</f>
        <v>102681.94831875003</v>
      </c>
      <c r="K24" s="140"/>
      <c r="L24" s="101"/>
      <c r="M24" s="101"/>
    </row>
    <row r="25" spans="1:16" ht="13.35" customHeight="1" x14ac:dyDescent="0.25">
      <c r="A25" s="121"/>
      <c r="B25" s="127" t="s">
        <v>545</v>
      </c>
      <c r="C25" s="101" t="s">
        <v>295</v>
      </c>
      <c r="D25" s="100">
        <f>+Consolidated!J68-Consolidated!J98</f>
        <v>69027.179999999993</v>
      </c>
      <c r="E25" s="100">
        <f>+Consolidated!J68-Consolidated!J98</f>
        <v>69027.179999999993</v>
      </c>
      <c r="F25" s="100">
        <f>+Consolidated!K68-Consolidated!K98</f>
        <v>75066.69</v>
      </c>
      <c r="G25" s="100">
        <f>+Consolidated!L68-Consolidated!L98</f>
        <v>128299.58000000002</v>
      </c>
      <c r="H25" s="100">
        <f>+Consolidated!M68-Consolidated!M98</f>
        <v>275768.44021302537</v>
      </c>
      <c r="I25" s="100">
        <f>+Consolidated!N68-Consolidated!N98</f>
        <v>460371.26537413185</v>
      </c>
      <c r="J25" s="100">
        <f>+Consolidated!O68-Consolidated!O98</f>
        <v>553455.29303108831</v>
      </c>
      <c r="K25" s="140"/>
      <c r="L25" s="101"/>
      <c r="M25" s="101"/>
      <c r="P25" s="305" t="s">
        <v>527</v>
      </c>
    </row>
    <row r="26" spans="1:16" ht="13.35" customHeight="1" x14ac:dyDescent="0.25">
      <c r="A26" s="121"/>
      <c r="B26" s="127" t="s">
        <v>328</v>
      </c>
      <c r="C26" s="101" t="s">
        <v>295</v>
      </c>
      <c r="D26" s="100">
        <f ca="1">$C$5+D25</f>
        <v>332253.57539499999</v>
      </c>
      <c r="E26" s="100">
        <f t="shared" ref="E26:J26" ca="1" si="12">$C$5+E25</f>
        <v>332253.57539499999</v>
      </c>
      <c r="F26" s="100">
        <f t="shared" ca="1" si="12"/>
        <v>338293.085395</v>
      </c>
      <c r="G26" s="100">
        <f t="shared" ca="1" si="12"/>
        <v>391525.97539500002</v>
      </c>
      <c r="H26" s="100">
        <f t="shared" ca="1" si="12"/>
        <v>538994.83560802531</v>
      </c>
      <c r="I26" s="100">
        <f t="shared" ca="1" si="12"/>
        <v>723597.66076913185</v>
      </c>
      <c r="J26" s="100">
        <f t="shared" ca="1" si="12"/>
        <v>816681.68842608831</v>
      </c>
      <c r="K26" s="140"/>
      <c r="L26" s="101"/>
      <c r="M26" s="101"/>
      <c r="P26" s="118" t="s">
        <v>528</v>
      </c>
    </row>
    <row r="27" spans="1:16" ht="13.35" customHeight="1" x14ac:dyDescent="0.25">
      <c r="A27" s="121"/>
      <c r="B27" s="127" t="str">
        <f ca="1">CONCATENATE("At CMP of Rs. ",ROUND(C3,0),"/share")</f>
        <v>At CMP of Rs. 373/share</v>
      </c>
      <c r="C27" s="101" t="s">
        <v>327</v>
      </c>
      <c r="D27" s="100">
        <f ca="1">D26/D24</f>
        <v>30.505824313591908</v>
      </c>
      <c r="E27" s="100">
        <f t="shared" ref="E27:J27" ca="1" si="13">E26/E24</f>
        <v>26.89441277278614</v>
      </c>
      <c r="F27" s="100">
        <f t="shared" ca="1" si="13"/>
        <v>18.990975615773777</v>
      </c>
      <c r="G27" s="100">
        <f ca="1">G26/G24</f>
        <v>11.873086368204392</v>
      </c>
      <c r="H27" s="100">
        <f ca="1">H26/H24</f>
        <v>8.8626643527350915</v>
      </c>
      <c r="I27" s="100">
        <f t="shared" ca="1" si="13"/>
        <v>8.6320247293662931</v>
      </c>
      <c r="J27" s="100">
        <f t="shared" ca="1" si="13"/>
        <v>7.9535079125194184</v>
      </c>
      <c r="K27" s="340" t="s">
        <v>309</v>
      </c>
      <c r="L27" s="341"/>
      <c r="M27" s="341"/>
    </row>
    <row r="28" spans="1:16" ht="13.35" customHeight="1" x14ac:dyDescent="0.25">
      <c r="A28" s="336">
        <v>10</v>
      </c>
      <c r="B28" s="127" t="str">
        <f>CONCATENATE("-Target Price @",ROUND(A28,0),"x EV/EBITDA")</f>
        <v>-Target Price @10x EV/EBITDA</v>
      </c>
      <c r="C28" s="101" t="s">
        <v>320</v>
      </c>
      <c r="D28" s="100">
        <f ca="1">(($A28*D$24)-Consolidated!J$65+Consolidated!J$98)/DCF!$C$4</f>
        <v>56.49926974338112</v>
      </c>
      <c r="E28" s="100">
        <f ca="1">(($A28*E$24)-Consolidated!J$68+Consolidated!J$98)/DCF!$C$4</f>
        <v>77.215299425044208</v>
      </c>
      <c r="F28" s="100">
        <f ca="1">(($A28*F$24)-Consolidated!K$68+Consolidated!K$98)/DCF!$C$4</f>
        <v>145.99028845809266</v>
      </c>
      <c r="G28" s="100">
        <f ca="1">(($A28*G$24)-Consolidated!L$68+Consolidated!L$98)/DCF!$C$4</f>
        <v>285.35978833977191</v>
      </c>
      <c r="H28" s="100">
        <f ca="1">(($A28*H$24)-Consolidated!M$68+Consolidated!M$98)/DCF!$C$4</f>
        <v>470.82463724982318</v>
      </c>
      <c r="I28" s="100">
        <f ca="1">(($A28*I$24)-Consolidated!N$68+Consolidated!N$98)/DCF!$C$4</f>
        <v>535.28044560194428</v>
      </c>
      <c r="J28" s="100">
        <f ca="1">(($A28*J$24)-Consolidated!O$68+Consolidated!O$98)/DCF!$C$4</f>
        <v>670.50205217820144</v>
      </c>
      <c r="K28" s="133">
        <f ca="1">G28/$C$3-1</f>
        <v>-0.23465257250966365</v>
      </c>
      <c r="L28" s="134">
        <f ca="1">H28/$C$3-1</f>
        <v>0.26277226029186851</v>
      </c>
      <c r="M28" s="134">
        <f ca="1">I28/$C$3-1</f>
        <v>0.43564555612697942</v>
      </c>
    </row>
    <row r="29" spans="1:16" ht="13.35" customHeight="1" x14ac:dyDescent="0.25">
      <c r="A29" s="336">
        <v>11</v>
      </c>
      <c r="B29" s="127" t="str">
        <f>CONCATENATE("-Target Price @",ROUND(A29,0),"x EV/EBITDA")</f>
        <v>-Target Price @11x EV/EBITDA</v>
      </c>
      <c r="C29" s="101" t="s">
        <v>320</v>
      </c>
      <c r="D29" s="100">
        <f ca="1">(($A29*D$24)-Consolidated!J$65+Consolidated!J$98)/DCF!$C$4</f>
        <v>71.926629571434063</v>
      </c>
      <c r="E29" s="100">
        <f ca="1">(($A29*E$24)-Consolidated!J$68+Consolidated!J$98)/DCF!$C$4</f>
        <v>94.714262221263454</v>
      </c>
      <c r="F29" s="100">
        <f ca="1">(($A29*F$24)-Consolidated!K$68+Consolidated!K$98)/DCF!$C$4</f>
        <v>171.22222337112976</v>
      </c>
      <c r="G29" s="100">
        <f ca="1">(($A29*G$24)-Consolidated!L$68+Consolidated!L$98)/DCF!$C$4</f>
        <v>332.06890605338776</v>
      </c>
      <c r="H29" s="100">
        <f ca="1">(($A29*H$24)-Consolidated!M$68+Consolidated!M$98)/DCF!$C$4</f>
        <v>556.96863307500905</v>
      </c>
      <c r="I29" s="100">
        <f ca="1">(($A29*I$24)-Consolidated!N$68+Consolidated!N$98)/DCF!$C$4</f>
        <v>654.01829787810368</v>
      </c>
      <c r="J29" s="100">
        <f ca="1">(($A29*J$24)-Consolidated!O$68+Consolidated!O$98)/DCF!$C$4</f>
        <v>815.94705731606086</v>
      </c>
      <c r="K29" s="133">
        <f t="shared" ref="K29:K30" ca="1" si="14">G29/$C$3-1</f>
        <v>-0.10937667680464602</v>
      </c>
      <c r="L29" s="134">
        <f t="shared" ref="L29" ca="1" si="15">H29/$C$3-1</f>
        <v>0.49381422307901035</v>
      </c>
      <c r="M29" s="134">
        <f t="shared" ref="M29" ca="1" si="16">I29/$C$3-1</f>
        <v>0.75410566683144342</v>
      </c>
    </row>
    <row r="30" spans="1:16" ht="13.35" customHeight="1" x14ac:dyDescent="0.25">
      <c r="A30" s="336">
        <v>12</v>
      </c>
      <c r="B30" s="127" t="str">
        <f>CONCATENATE("-Target Price @",ROUND(A30,0),"x EV/EBITDA")</f>
        <v>-Target Price @12x EV/EBITDA</v>
      </c>
      <c r="C30" s="101" t="s">
        <v>320</v>
      </c>
      <c r="D30" s="100">
        <f ca="1">(($A30*D$24)-Consolidated!J$65+Consolidated!J$98)/DCF!$C$4</f>
        <v>87.353989399486991</v>
      </c>
      <c r="E30" s="100">
        <f ca="1">(($A30*E$24)-Consolidated!J$68+Consolidated!J$98)/DCF!$C$4</f>
        <v>112.21322501748269</v>
      </c>
      <c r="F30" s="100">
        <f ca="1">(($A30*F$24)-Consolidated!K$68+Consolidated!K$98)/DCF!$C$4</f>
        <v>196.45415828416679</v>
      </c>
      <c r="G30" s="100">
        <f ca="1">(($A30*G$24)-Consolidated!L$68+Consolidated!L$98)/DCF!$C$4</f>
        <v>378.77802376700356</v>
      </c>
      <c r="H30" s="100">
        <f ca="1">(($A30*H$24)-Consolidated!M$68+Consolidated!M$98)/DCF!$C$4</f>
        <v>643.11262890019475</v>
      </c>
      <c r="I30" s="100">
        <f ca="1">(($A30*I$24)-Consolidated!N$68+Consolidated!N$98)/DCF!$C$4</f>
        <v>772.75615015426297</v>
      </c>
      <c r="J30" s="100">
        <f ca="1">(($A30*J$24)-Consolidated!O$68+Consolidated!O$98)/DCF!$C$4</f>
        <v>961.39206245392018</v>
      </c>
      <c r="K30" s="133">
        <f t="shared" ca="1" si="14"/>
        <v>1.5899218900371492E-2</v>
      </c>
      <c r="L30" s="134">
        <f ca="1">H30/$C$3-1</f>
        <v>0.72485618586615175</v>
      </c>
      <c r="M30" s="134">
        <f ca="1">I30/$C$3-1</f>
        <v>1.0725657775359072</v>
      </c>
    </row>
    <row r="31" spans="1:16" ht="13.35" customHeight="1" x14ac:dyDescent="0.25">
      <c r="A31" s="121"/>
    </row>
    <row r="32" spans="1:16" ht="13.35" customHeight="1" x14ac:dyDescent="0.25">
      <c r="M32" s="156"/>
    </row>
    <row r="34" spans="2:9" ht="13.35" customHeight="1" x14ac:dyDescent="0.25">
      <c r="I34" s="141"/>
    </row>
    <row r="35" spans="2:9" ht="13.35" customHeight="1" x14ac:dyDescent="0.25">
      <c r="B35" s="94" t="s">
        <v>784</v>
      </c>
      <c r="C35" s="529"/>
      <c r="D35" s="526"/>
    </row>
    <row r="36" spans="2:9" ht="13.35" customHeight="1" x14ac:dyDescent="0.25">
      <c r="B36" s="530" t="s">
        <v>785</v>
      </c>
      <c r="C36" s="527">
        <v>100.17889</v>
      </c>
    </row>
    <row r="37" spans="2:9" ht="13.35" customHeight="1" x14ac:dyDescent="0.25">
      <c r="B37" s="530" t="s">
        <v>786</v>
      </c>
      <c r="C37" s="527">
        <v>279.5</v>
      </c>
    </row>
    <row r="38" spans="2:9" ht="13.35" customHeight="1" x14ac:dyDescent="0.25">
      <c r="B38" s="530" t="s">
        <v>787</v>
      </c>
      <c r="C38" s="527">
        <v>2</v>
      </c>
    </row>
    <row r="39" spans="2:9" ht="13.35" customHeight="1" x14ac:dyDescent="0.25">
      <c r="B39" s="530" t="s">
        <v>788</v>
      </c>
      <c r="C39" s="527">
        <f>C37-C38</f>
        <v>277.5</v>
      </c>
    </row>
    <row r="40" spans="2:9" ht="13.35" customHeight="1" x14ac:dyDescent="0.25">
      <c r="B40" s="530"/>
      <c r="C40" s="527">
        <f>C36*C38</f>
        <v>200.35777999999999</v>
      </c>
    </row>
    <row r="41" spans="2:9" ht="13.35" customHeight="1" x14ac:dyDescent="0.25">
      <c r="B41" s="530" t="s">
        <v>789</v>
      </c>
      <c r="C41" s="528">
        <f>C36*C37</f>
        <v>27999.999754999997</v>
      </c>
    </row>
    <row r="42" spans="2:9" ht="13.35" customHeight="1" x14ac:dyDescent="0.25">
      <c r="B42" s="530" t="s">
        <v>790</v>
      </c>
      <c r="C42" s="527">
        <f>C36*C38</f>
        <v>200.35777999999999</v>
      </c>
    </row>
    <row r="43" spans="2:9" ht="13.35" customHeight="1" x14ac:dyDescent="0.25">
      <c r="B43" s="530" t="s">
        <v>791</v>
      </c>
      <c r="C43" s="527">
        <f>C41-C42</f>
        <v>27799.641974999999</v>
      </c>
    </row>
    <row r="44" spans="2:9" ht="13.35" customHeight="1" x14ac:dyDescent="0.25">
      <c r="B44" s="530"/>
      <c r="C44" s="527"/>
    </row>
    <row r="45" spans="2:9" ht="13.35" customHeight="1" x14ac:dyDescent="0.25">
      <c r="B45" s="530" t="s">
        <v>792</v>
      </c>
      <c r="C45" s="527">
        <v>605.97180400000002</v>
      </c>
    </row>
    <row r="46" spans="2:9" ht="13.35" customHeight="1" x14ac:dyDescent="0.25">
      <c r="B46" s="530" t="s">
        <v>793</v>
      </c>
      <c r="C46" s="528">
        <f>C45+C36</f>
        <v>706.15069400000004</v>
      </c>
    </row>
    <row r="47" spans="2:9" ht="13.35" customHeight="1" x14ac:dyDescent="0.25">
      <c r="B47" s="530" t="s">
        <v>794</v>
      </c>
      <c r="C47" s="527">
        <v>1211.943608</v>
      </c>
    </row>
    <row r="48" spans="2:9" ht="13.35" customHeight="1" x14ac:dyDescent="0.25">
      <c r="B48" s="530" t="s">
        <v>795</v>
      </c>
      <c r="C48" s="528">
        <f>C47+C42</f>
        <v>1412.3013880000001</v>
      </c>
    </row>
  </sheetData>
  <mergeCells count="1">
    <mergeCell ref="K27:M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9B3C-73B6-41B4-9841-B6160F8FF979}">
  <dimension ref="B3:I20"/>
  <sheetViews>
    <sheetView showGridLines="0" workbookViewId="0">
      <selection activeCell="C10" sqref="C10"/>
    </sheetView>
  </sheetViews>
  <sheetFormatPr defaultRowHeight="15" x14ac:dyDescent="0.25"/>
  <cols>
    <col min="3" max="3" width="11.85546875" bestFit="1" customWidth="1"/>
  </cols>
  <sheetData>
    <row r="3" spans="2:7" x14ac:dyDescent="0.25">
      <c r="B3" t="s">
        <v>498</v>
      </c>
    </row>
    <row r="4" spans="2:7" x14ac:dyDescent="0.25">
      <c r="B4" t="s">
        <v>499</v>
      </c>
    </row>
    <row r="5" spans="2:7" x14ac:dyDescent="0.25">
      <c r="B5" t="s">
        <v>500</v>
      </c>
    </row>
    <row r="7" spans="2:7" x14ac:dyDescent="0.25">
      <c r="B7" t="s">
        <v>501</v>
      </c>
      <c r="D7" t="s">
        <v>502</v>
      </c>
      <c r="F7">
        <f>100*90</f>
        <v>9000</v>
      </c>
      <c r="G7" t="s">
        <v>504</v>
      </c>
    </row>
    <row r="9" spans="2:7" x14ac:dyDescent="0.25">
      <c r="B9" t="s">
        <v>503</v>
      </c>
      <c r="C9" s="294">
        <f>+F7*1000</f>
        <v>9000000</v>
      </c>
    </row>
    <row r="10" spans="2:7" x14ac:dyDescent="0.25">
      <c r="B10" t="s">
        <v>295</v>
      </c>
      <c r="C10" s="293">
        <f>+C9/10^6</f>
        <v>9</v>
      </c>
    </row>
    <row r="20" spans="9:9" x14ac:dyDescent="0.25">
      <c r="I20">
        <f>4200/1200</f>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F23E-31A3-4011-BE86-EFDA77E55158}">
  <dimension ref="A2:N86"/>
  <sheetViews>
    <sheetView showGridLines="0" topLeftCell="A27" zoomScaleNormal="100" workbookViewId="0">
      <selection activeCell="M50" sqref="M50"/>
    </sheetView>
  </sheetViews>
  <sheetFormatPr defaultColWidth="9.140625" defaultRowHeight="12" x14ac:dyDescent="0.2"/>
  <cols>
    <col min="1" max="1" width="2.85546875" style="1" customWidth="1"/>
    <col min="2" max="2" width="41.85546875" style="1" bestFit="1" customWidth="1"/>
    <col min="3" max="3" width="15.85546875" style="1" customWidth="1"/>
    <col min="4" max="4" width="14.140625" style="1" bestFit="1" customWidth="1"/>
    <col min="5" max="5" width="16.85546875" style="1" customWidth="1"/>
    <col min="6" max="6" width="12.140625" style="1" customWidth="1"/>
    <col min="7" max="7" width="19.140625" style="1" bestFit="1" customWidth="1"/>
    <col min="8" max="8" width="17.85546875" style="1" bestFit="1" customWidth="1"/>
    <col min="9" max="9" width="25.85546875" style="1" bestFit="1" customWidth="1"/>
    <col min="10" max="10" width="31.140625" style="1" bestFit="1" customWidth="1"/>
    <col min="11" max="16384" width="9.140625" style="1"/>
  </cols>
  <sheetData>
    <row r="2" spans="2:11" x14ac:dyDescent="0.2">
      <c r="B2" s="90" t="s">
        <v>137</v>
      </c>
      <c r="C2" s="90"/>
      <c r="D2" s="91"/>
      <c r="E2" s="91"/>
      <c r="F2" s="91"/>
      <c r="G2" s="91"/>
      <c r="H2" s="91"/>
      <c r="I2" s="91"/>
      <c r="J2" s="91"/>
    </row>
    <row r="3" spans="2:11" x14ac:dyDescent="0.2">
      <c r="B3" s="7" t="s">
        <v>195</v>
      </c>
      <c r="C3" s="7"/>
      <c r="D3" s="8"/>
      <c r="E3" s="8"/>
      <c r="F3" s="8"/>
      <c r="G3" s="8"/>
      <c r="H3" s="8"/>
      <c r="I3" s="8"/>
      <c r="J3" s="8"/>
    </row>
    <row r="4" spans="2:11" ht="24" x14ac:dyDescent="0.2">
      <c r="B4" s="9" t="s">
        <v>147</v>
      </c>
      <c r="C4" s="9"/>
      <c r="D4" s="10" t="s">
        <v>155</v>
      </c>
      <c r="E4" s="10" t="s">
        <v>139</v>
      </c>
      <c r="F4" s="10" t="s">
        <v>156</v>
      </c>
      <c r="G4" s="10" t="s">
        <v>157</v>
      </c>
      <c r="H4" s="10" t="s">
        <v>158</v>
      </c>
      <c r="I4" s="9" t="s">
        <v>159</v>
      </c>
      <c r="J4" s="17" t="s">
        <v>160</v>
      </c>
    </row>
    <row r="5" spans="2:11" x14ac:dyDescent="0.2">
      <c r="B5" s="11" t="s">
        <v>161</v>
      </c>
      <c r="C5" s="11" t="s">
        <v>235</v>
      </c>
      <c r="D5" s="11" t="s">
        <v>177</v>
      </c>
      <c r="E5" s="12" t="s">
        <v>140</v>
      </c>
      <c r="F5" s="5">
        <v>15</v>
      </c>
      <c r="G5" s="12" t="s">
        <v>184</v>
      </c>
      <c r="H5" s="13">
        <v>5</v>
      </c>
      <c r="I5" s="92">
        <v>40969</v>
      </c>
      <c r="J5" s="5">
        <v>25</v>
      </c>
      <c r="K5" s="1">
        <v>15</v>
      </c>
    </row>
    <row r="6" spans="2:11" x14ac:dyDescent="0.2">
      <c r="B6" s="5" t="s">
        <v>148</v>
      </c>
      <c r="C6" s="11" t="s">
        <v>235</v>
      </c>
      <c r="D6" s="11" t="s">
        <v>183</v>
      </c>
      <c r="E6" s="12" t="s">
        <v>140</v>
      </c>
      <c r="F6" s="5">
        <v>25</v>
      </c>
      <c r="G6" s="14" t="s">
        <v>185</v>
      </c>
      <c r="H6" s="18">
        <v>8.0500000000000007</v>
      </c>
      <c r="I6" s="92">
        <v>41670</v>
      </c>
      <c r="J6" s="5">
        <v>25</v>
      </c>
      <c r="K6" s="1">
        <v>25</v>
      </c>
    </row>
    <row r="7" spans="2:11" x14ac:dyDescent="0.2">
      <c r="B7" s="5" t="s">
        <v>162</v>
      </c>
      <c r="C7" s="11" t="s">
        <v>235</v>
      </c>
      <c r="D7" s="11" t="s">
        <v>178</v>
      </c>
      <c r="E7" s="12" t="s">
        <v>140</v>
      </c>
      <c r="F7" s="5">
        <v>25</v>
      </c>
      <c r="G7" s="12" t="s">
        <v>157</v>
      </c>
      <c r="H7" s="18">
        <v>7.28</v>
      </c>
      <c r="I7" s="92">
        <v>42156</v>
      </c>
      <c r="J7" s="5">
        <v>25</v>
      </c>
      <c r="K7" s="1">
        <v>25</v>
      </c>
    </row>
    <row r="8" spans="2:11" x14ac:dyDescent="0.2">
      <c r="B8" s="5" t="s">
        <v>163</v>
      </c>
      <c r="C8" s="11" t="s">
        <v>235</v>
      </c>
      <c r="D8" s="5" t="s">
        <v>179</v>
      </c>
      <c r="E8" s="12" t="s">
        <v>140</v>
      </c>
      <c r="F8" s="5">
        <v>30</v>
      </c>
      <c r="G8" s="12" t="s">
        <v>186</v>
      </c>
      <c r="H8" s="18">
        <v>6.46</v>
      </c>
      <c r="I8" s="92">
        <v>42460</v>
      </c>
      <c r="J8" s="5">
        <v>25</v>
      </c>
      <c r="K8" s="1">
        <v>30</v>
      </c>
    </row>
    <row r="9" spans="2:11" x14ac:dyDescent="0.2">
      <c r="B9" s="5" t="s">
        <v>164</v>
      </c>
      <c r="C9" s="11" t="s">
        <v>235</v>
      </c>
      <c r="D9" s="5" t="s">
        <v>180</v>
      </c>
      <c r="E9" s="12" t="s">
        <v>140</v>
      </c>
      <c r="F9" s="5">
        <v>30</v>
      </c>
      <c r="G9" s="5" t="s">
        <v>187</v>
      </c>
      <c r="H9" s="18">
        <v>7.57</v>
      </c>
      <c r="I9" s="92">
        <v>42521</v>
      </c>
      <c r="J9" s="5">
        <v>25</v>
      </c>
      <c r="K9" s="1">
        <v>30</v>
      </c>
    </row>
    <row r="10" spans="2:11" x14ac:dyDescent="0.2">
      <c r="B10" s="5" t="s">
        <v>149</v>
      </c>
      <c r="C10" s="11" t="s">
        <v>235</v>
      </c>
      <c r="D10" s="5" t="s">
        <v>150</v>
      </c>
      <c r="E10" s="12" t="s">
        <v>140</v>
      </c>
      <c r="F10" s="5">
        <v>50</v>
      </c>
      <c r="G10" s="5" t="s">
        <v>188</v>
      </c>
      <c r="H10" s="18">
        <v>5.63</v>
      </c>
      <c r="I10" s="92">
        <v>42460</v>
      </c>
      <c r="J10" s="5">
        <v>25</v>
      </c>
      <c r="K10" s="1">
        <v>50</v>
      </c>
    </row>
    <row r="11" spans="2:11" x14ac:dyDescent="0.2">
      <c r="B11" s="5" t="s">
        <v>165</v>
      </c>
      <c r="C11" s="11" t="s">
        <v>235</v>
      </c>
      <c r="D11" s="5" t="s">
        <v>150</v>
      </c>
      <c r="E11" s="12" t="s">
        <v>140</v>
      </c>
      <c r="F11" s="5">
        <v>20</v>
      </c>
      <c r="G11" s="5" t="s">
        <v>188</v>
      </c>
      <c r="H11" s="18">
        <v>5.63</v>
      </c>
      <c r="I11" s="92">
        <v>42521</v>
      </c>
      <c r="J11" s="5">
        <v>25</v>
      </c>
      <c r="K11" s="1">
        <v>20</v>
      </c>
    </row>
    <row r="12" spans="2:11" x14ac:dyDescent="0.2">
      <c r="B12" s="5" t="s">
        <v>166</v>
      </c>
      <c r="C12" s="11" t="s">
        <v>235</v>
      </c>
      <c r="D12" s="5" t="s">
        <v>150</v>
      </c>
      <c r="E12" s="12" t="s">
        <v>140</v>
      </c>
      <c r="F12" s="5">
        <v>40</v>
      </c>
      <c r="G12" s="5" t="s">
        <v>188</v>
      </c>
      <c r="H12" s="18">
        <v>5.97</v>
      </c>
      <c r="I12" s="92">
        <v>42490</v>
      </c>
      <c r="J12" s="5">
        <v>25</v>
      </c>
      <c r="K12" s="1">
        <v>40</v>
      </c>
    </row>
    <row r="13" spans="2:11" x14ac:dyDescent="0.2">
      <c r="B13" s="5" t="s">
        <v>167</v>
      </c>
      <c r="C13" s="11" t="s">
        <v>235</v>
      </c>
      <c r="D13" s="5" t="s">
        <v>150</v>
      </c>
      <c r="E13" s="12" t="s">
        <v>140</v>
      </c>
      <c r="F13" s="5">
        <v>20</v>
      </c>
      <c r="G13" s="5" t="s">
        <v>188</v>
      </c>
      <c r="H13" s="18">
        <v>5.71</v>
      </c>
      <c r="I13" s="92">
        <v>42460</v>
      </c>
      <c r="J13" s="5">
        <v>25</v>
      </c>
      <c r="K13" s="1">
        <v>20</v>
      </c>
    </row>
    <row r="14" spans="2:11" x14ac:dyDescent="0.2">
      <c r="B14" s="5" t="s">
        <v>168</v>
      </c>
      <c r="C14" s="11" t="s">
        <v>235</v>
      </c>
      <c r="D14" s="5" t="s">
        <v>150</v>
      </c>
      <c r="E14" s="12" t="s">
        <v>140</v>
      </c>
      <c r="F14" s="5">
        <v>30</v>
      </c>
      <c r="G14" s="5" t="s">
        <v>188</v>
      </c>
      <c r="H14" s="18">
        <v>5.71</v>
      </c>
      <c r="I14" s="92">
        <v>42490</v>
      </c>
      <c r="J14" s="5">
        <v>25</v>
      </c>
      <c r="K14" s="1">
        <v>30</v>
      </c>
    </row>
    <row r="15" spans="2:11" x14ac:dyDescent="0.2">
      <c r="B15" s="5" t="s">
        <v>151</v>
      </c>
      <c r="C15" s="11" t="s">
        <v>235</v>
      </c>
      <c r="D15" s="5" t="s">
        <v>152</v>
      </c>
      <c r="E15" s="12" t="s">
        <v>140</v>
      </c>
      <c r="F15" s="5">
        <v>10</v>
      </c>
      <c r="G15" s="5" t="s">
        <v>189</v>
      </c>
      <c r="H15" s="18">
        <v>8.73</v>
      </c>
      <c r="I15" s="92">
        <v>42551</v>
      </c>
      <c r="J15" s="5">
        <v>25</v>
      </c>
      <c r="K15" s="1">
        <v>10</v>
      </c>
    </row>
    <row r="16" spans="2:11" x14ac:dyDescent="0.2">
      <c r="B16" s="5" t="s">
        <v>169</v>
      </c>
      <c r="C16" s="11" t="s">
        <v>235</v>
      </c>
      <c r="D16" s="5" t="s">
        <v>152</v>
      </c>
      <c r="E16" s="12" t="s">
        <v>140</v>
      </c>
      <c r="F16" s="5">
        <v>15</v>
      </c>
      <c r="G16" s="5" t="s">
        <v>189</v>
      </c>
      <c r="H16" s="18">
        <v>8.73</v>
      </c>
      <c r="I16" s="92">
        <v>42551</v>
      </c>
      <c r="J16" s="5">
        <v>25</v>
      </c>
      <c r="K16" s="1">
        <v>15</v>
      </c>
    </row>
    <row r="17" spans="2:11" x14ac:dyDescent="0.2">
      <c r="B17" s="5" t="s">
        <v>153</v>
      </c>
      <c r="C17" s="11" t="s">
        <v>235</v>
      </c>
      <c r="D17" s="5" t="s">
        <v>154</v>
      </c>
      <c r="E17" s="12" t="s">
        <v>140</v>
      </c>
      <c r="F17" s="5">
        <v>30</v>
      </c>
      <c r="G17" s="5" t="s">
        <v>190</v>
      </c>
      <c r="H17" s="18">
        <v>6.8479999999999999</v>
      </c>
      <c r="I17" s="92">
        <v>42581</v>
      </c>
      <c r="J17" s="5">
        <v>25</v>
      </c>
      <c r="K17" s="1">
        <v>30</v>
      </c>
    </row>
    <row r="18" spans="2:11" x14ac:dyDescent="0.2">
      <c r="B18" s="5" t="s">
        <v>170</v>
      </c>
      <c r="C18" s="11" t="s">
        <v>235</v>
      </c>
      <c r="D18" s="5" t="s">
        <v>154</v>
      </c>
      <c r="E18" s="12" t="s">
        <v>140</v>
      </c>
      <c r="F18" s="5">
        <v>50</v>
      </c>
      <c r="G18" s="5" t="s">
        <v>190</v>
      </c>
      <c r="H18" s="18">
        <v>6.7370000000000001</v>
      </c>
      <c r="I18" s="92">
        <v>42612</v>
      </c>
      <c r="J18" s="5">
        <v>25</v>
      </c>
      <c r="K18" s="1">
        <v>50</v>
      </c>
    </row>
    <row r="19" spans="2:11" x14ac:dyDescent="0.2">
      <c r="B19" s="5" t="s">
        <v>171</v>
      </c>
      <c r="C19" s="11" t="s">
        <v>235</v>
      </c>
      <c r="D19" s="5" t="s">
        <v>154</v>
      </c>
      <c r="E19" s="12" t="s">
        <v>140</v>
      </c>
      <c r="F19" s="5">
        <v>50</v>
      </c>
      <c r="G19" s="5" t="s">
        <v>191</v>
      </c>
      <c r="H19" s="18">
        <v>5.5949999999999998</v>
      </c>
      <c r="I19" s="92">
        <v>42977</v>
      </c>
      <c r="J19" s="5">
        <v>25</v>
      </c>
      <c r="K19" s="1">
        <v>50</v>
      </c>
    </row>
    <row r="20" spans="2:11" x14ac:dyDescent="0.2">
      <c r="B20" s="5" t="s">
        <v>172</v>
      </c>
      <c r="C20" s="11" t="s">
        <v>235</v>
      </c>
      <c r="D20" s="5" t="s">
        <v>154</v>
      </c>
      <c r="E20" s="12" t="s">
        <v>140</v>
      </c>
      <c r="F20" s="5">
        <v>50</v>
      </c>
      <c r="G20" s="5" t="s">
        <v>191</v>
      </c>
      <c r="H20" s="18">
        <v>5.59</v>
      </c>
      <c r="I20" s="92">
        <v>43159</v>
      </c>
      <c r="J20" s="5">
        <v>25</v>
      </c>
      <c r="K20" s="1">
        <v>50</v>
      </c>
    </row>
    <row r="21" spans="2:11" x14ac:dyDescent="0.2">
      <c r="B21" s="5" t="s">
        <v>173</v>
      </c>
      <c r="C21" s="11" t="s">
        <v>235</v>
      </c>
      <c r="D21" s="5" t="s">
        <v>154</v>
      </c>
      <c r="E21" s="12" t="s">
        <v>140</v>
      </c>
      <c r="F21" s="5">
        <v>20</v>
      </c>
      <c r="G21" s="5" t="s">
        <v>192</v>
      </c>
      <c r="H21" s="18">
        <v>4.67</v>
      </c>
      <c r="I21" s="92">
        <v>43008</v>
      </c>
      <c r="J21" s="5">
        <v>25</v>
      </c>
      <c r="K21" s="1">
        <v>20</v>
      </c>
    </row>
    <row r="22" spans="2:11" x14ac:dyDescent="0.2">
      <c r="B22" s="5" t="s">
        <v>174</v>
      </c>
      <c r="C22" s="11" t="s">
        <v>235</v>
      </c>
      <c r="D22" s="5" t="s">
        <v>154</v>
      </c>
      <c r="E22" s="12" t="s">
        <v>140</v>
      </c>
      <c r="F22" s="5">
        <v>30</v>
      </c>
      <c r="G22" s="5" t="s">
        <v>192</v>
      </c>
      <c r="H22" s="18">
        <v>4.67</v>
      </c>
      <c r="I22" s="92">
        <v>43008</v>
      </c>
      <c r="J22" s="5">
        <v>25</v>
      </c>
      <c r="K22" s="1">
        <v>30</v>
      </c>
    </row>
    <row r="23" spans="2:11" x14ac:dyDescent="0.2">
      <c r="B23" s="5" t="s">
        <v>175</v>
      </c>
      <c r="C23" s="11" t="s">
        <v>235</v>
      </c>
      <c r="D23" s="5" t="s">
        <v>181</v>
      </c>
      <c r="E23" s="12" t="s">
        <v>140</v>
      </c>
      <c r="F23" s="5">
        <v>30</v>
      </c>
      <c r="G23" s="5" t="s">
        <v>193</v>
      </c>
      <c r="H23" s="18">
        <v>8.93</v>
      </c>
      <c r="I23" s="92">
        <v>42643</v>
      </c>
      <c r="J23" s="6" t="s">
        <v>219</v>
      </c>
      <c r="K23" s="1">
        <v>30</v>
      </c>
    </row>
    <row r="24" spans="2:11" x14ac:dyDescent="0.2">
      <c r="B24" s="5" t="s">
        <v>176</v>
      </c>
      <c r="C24" s="11" t="s">
        <v>235</v>
      </c>
      <c r="D24" s="5" t="s">
        <v>182</v>
      </c>
      <c r="E24" s="12" t="s">
        <v>140</v>
      </c>
      <c r="F24" s="5">
        <v>20</v>
      </c>
      <c r="G24" s="5" t="s">
        <v>194</v>
      </c>
      <c r="H24" s="18">
        <v>2.97</v>
      </c>
      <c r="I24" s="92">
        <v>43768</v>
      </c>
      <c r="J24" s="5">
        <v>25</v>
      </c>
      <c r="K24" s="1">
        <v>20</v>
      </c>
    </row>
    <row r="25" spans="2:11" x14ac:dyDescent="0.2">
      <c r="B25" s="5" t="s">
        <v>196</v>
      </c>
      <c r="C25" s="11" t="s">
        <v>235</v>
      </c>
      <c r="D25" s="5" t="s">
        <v>200</v>
      </c>
      <c r="E25" s="12" t="s">
        <v>140</v>
      </c>
      <c r="F25" s="5">
        <v>100</v>
      </c>
      <c r="G25" s="5" t="s">
        <v>144</v>
      </c>
      <c r="H25" s="18">
        <v>2.44</v>
      </c>
      <c r="I25" s="92">
        <v>43373</v>
      </c>
      <c r="J25" s="5">
        <v>25</v>
      </c>
      <c r="K25" s="1">
        <v>100</v>
      </c>
    </row>
    <row r="26" spans="2:11" x14ac:dyDescent="0.2">
      <c r="B26" s="5" t="s">
        <v>197</v>
      </c>
      <c r="C26" s="11" t="s">
        <v>235</v>
      </c>
      <c r="D26" s="5" t="s">
        <v>200</v>
      </c>
      <c r="E26" s="12" t="s">
        <v>140</v>
      </c>
      <c r="F26" s="5">
        <v>100</v>
      </c>
      <c r="G26" s="5" t="s">
        <v>144</v>
      </c>
      <c r="H26" s="18">
        <v>2.44</v>
      </c>
      <c r="I26" s="92">
        <v>43403</v>
      </c>
      <c r="J26" s="5">
        <v>25</v>
      </c>
      <c r="K26" s="1">
        <v>100</v>
      </c>
    </row>
    <row r="27" spans="2:11" x14ac:dyDescent="0.2">
      <c r="B27" s="5" t="s">
        <v>198</v>
      </c>
      <c r="C27" s="11" t="s">
        <v>235</v>
      </c>
      <c r="D27" s="5" t="s">
        <v>200</v>
      </c>
      <c r="E27" s="12" t="s">
        <v>140</v>
      </c>
      <c r="F27" s="5">
        <v>300</v>
      </c>
      <c r="G27" s="5" t="s">
        <v>201</v>
      </c>
      <c r="H27" s="18">
        <v>2.74</v>
      </c>
      <c r="I27" s="92">
        <v>44711</v>
      </c>
      <c r="J27" s="5">
        <v>25</v>
      </c>
      <c r="K27" s="1">
        <v>300</v>
      </c>
    </row>
    <row r="28" spans="2:11" x14ac:dyDescent="0.2">
      <c r="B28" s="5" t="s">
        <v>199</v>
      </c>
      <c r="C28" s="11" t="s">
        <v>235</v>
      </c>
      <c r="D28" s="5" t="s">
        <v>200</v>
      </c>
      <c r="E28" s="12" t="s">
        <v>140</v>
      </c>
      <c r="F28" s="5">
        <v>250</v>
      </c>
      <c r="G28" s="5" t="s">
        <v>144</v>
      </c>
      <c r="H28" s="18">
        <v>2.48</v>
      </c>
      <c r="I28" s="92">
        <v>45322</v>
      </c>
      <c r="J28" s="5">
        <v>25</v>
      </c>
      <c r="K28" s="1">
        <v>250</v>
      </c>
    </row>
    <row r="29" spans="2:11" x14ac:dyDescent="0.2">
      <c r="B29" s="5" t="s">
        <v>143</v>
      </c>
      <c r="C29" s="11" t="s">
        <v>235</v>
      </c>
      <c r="D29" s="5" t="s">
        <v>200</v>
      </c>
      <c r="E29" s="12" t="s">
        <v>140</v>
      </c>
      <c r="F29" s="5">
        <v>300</v>
      </c>
      <c r="G29" s="5" t="s">
        <v>144</v>
      </c>
      <c r="H29" s="18">
        <v>2.44</v>
      </c>
      <c r="I29" s="92">
        <v>45596</v>
      </c>
      <c r="J29" s="5">
        <v>25</v>
      </c>
      <c r="K29" s="1">
        <v>300</v>
      </c>
    </row>
    <row r="30" spans="2:11" x14ac:dyDescent="0.2">
      <c r="B30" s="5" t="s">
        <v>142</v>
      </c>
      <c r="C30" s="11" t="s">
        <v>235</v>
      </c>
      <c r="D30" s="5" t="s">
        <v>200</v>
      </c>
      <c r="E30" s="12" t="s">
        <v>140</v>
      </c>
      <c r="F30" s="5">
        <v>300</v>
      </c>
      <c r="G30" s="5" t="s">
        <v>144</v>
      </c>
      <c r="H30" s="18">
        <v>2.44</v>
      </c>
      <c r="I30" s="92">
        <v>45596</v>
      </c>
      <c r="J30" s="5">
        <v>25</v>
      </c>
      <c r="K30" s="1">
        <v>300</v>
      </c>
    </row>
    <row r="31" spans="2:11" x14ac:dyDescent="0.2">
      <c r="B31" s="5" t="s">
        <v>145</v>
      </c>
      <c r="C31" s="11" t="s">
        <v>235</v>
      </c>
      <c r="D31" s="5" t="s">
        <v>200</v>
      </c>
      <c r="E31" s="12" t="s">
        <v>140</v>
      </c>
      <c r="F31" s="5">
        <v>300</v>
      </c>
      <c r="G31" s="5" t="s">
        <v>144</v>
      </c>
      <c r="H31" s="18">
        <v>2.44</v>
      </c>
      <c r="I31" s="92">
        <v>45596</v>
      </c>
      <c r="J31" s="5">
        <v>25</v>
      </c>
      <c r="K31" s="1">
        <v>300</v>
      </c>
    </row>
    <row r="32" spans="2:11" x14ac:dyDescent="0.2">
      <c r="B32" s="5" t="s">
        <v>146</v>
      </c>
      <c r="C32" s="11" t="s">
        <v>235</v>
      </c>
      <c r="D32" s="5" t="s">
        <v>200</v>
      </c>
      <c r="E32" s="12" t="s">
        <v>140</v>
      </c>
      <c r="F32" s="5">
        <v>300</v>
      </c>
      <c r="G32" s="5" t="s">
        <v>144</v>
      </c>
      <c r="H32" s="18">
        <v>2.44</v>
      </c>
      <c r="I32" s="92">
        <v>45596</v>
      </c>
      <c r="J32" s="5">
        <v>25</v>
      </c>
      <c r="K32" s="1">
        <v>300</v>
      </c>
    </row>
    <row r="33" spans="1:14" x14ac:dyDescent="0.2">
      <c r="B33" s="5" t="s">
        <v>359</v>
      </c>
      <c r="C33" s="11" t="s">
        <v>235</v>
      </c>
      <c r="D33" s="5" t="s">
        <v>200</v>
      </c>
      <c r="E33" s="12" t="s">
        <v>140</v>
      </c>
      <c r="F33" s="5">
        <v>300</v>
      </c>
      <c r="G33" s="5" t="s">
        <v>144</v>
      </c>
      <c r="H33" s="18">
        <v>3.05</v>
      </c>
      <c r="I33" s="92">
        <v>45792</v>
      </c>
      <c r="J33" s="5">
        <v>25</v>
      </c>
      <c r="K33" s="1">
        <v>300</v>
      </c>
    </row>
    <row r="34" spans="1:14" x14ac:dyDescent="0.2">
      <c r="B34" s="5" t="s">
        <v>203</v>
      </c>
      <c r="C34" s="11" t="s">
        <v>235</v>
      </c>
      <c r="D34" s="5"/>
      <c r="E34" s="12" t="s">
        <v>214</v>
      </c>
      <c r="F34" s="5">
        <v>50</v>
      </c>
      <c r="G34" s="5" t="s">
        <v>184</v>
      </c>
      <c r="H34" s="18">
        <v>2.9</v>
      </c>
      <c r="I34" s="92">
        <v>45792</v>
      </c>
      <c r="J34" s="5">
        <v>25</v>
      </c>
    </row>
    <row r="35" spans="1:14" x14ac:dyDescent="0.2">
      <c r="B35" s="5" t="s">
        <v>487</v>
      </c>
      <c r="C35" s="11" t="s">
        <v>235</v>
      </c>
      <c r="D35" s="5"/>
      <c r="E35" s="12" t="s">
        <v>214</v>
      </c>
      <c r="F35" s="5">
        <v>28</v>
      </c>
      <c r="G35" s="5" t="s">
        <v>184</v>
      </c>
      <c r="H35" s="18">
        <v>3.01</v>
      </c>
      <c r="I35" s="92">
        <v>45945</v>
      </c>
      <c r="J35" s="5"/>
    </row>
    <row r="36" spans="1:14" x14ac:dyDescent="0.2">
      <c r="B36" s="5"/>
      <c r="C36" s="5"/>
      <c r="D36" s="5"/>
      <c r="E36" s="19" t="s">
        <v>220</v>
      </c>
      <c r="F36" s="20"/>
      <c r="G36" s="5"/>
      <c r="H36" s="18"/>
      <c r="I36" s="15"/>
      <c r="J36" s="5"/>
      <c r="K36" s="1">
        <v>50</v>
      </c>
    </row>
    <row r="37" spans="1:14" x14ac:dyDescent="0.2">
      <c r="B37" s="7" t="s">
        <v>202</v>
      </c>
      <c r="C37" s="7"/>
      <c r="D37" s="7"/>
      <c r="E37" s="8"/>
      <c r="F37" s="8"/>
      <c r="G37" s="8"/>
      <c r="H37" s="8"/>
      <c r="I37" s="8"/>
      <c r="J37" s="8"/>
      <c r="K37" s="8"/>
      <c r="L37" s="8"/>
      <c r="M37" s="8"/>
    </row>
    <row r="38" spans="1:14" ht="26.1" customHeight="1" x14ac:dyDescent="0.2">
      <c r="B38" s="16" t="s">
        <v>138</v>
      </c>
      <c r="C38" s="16"/>
      <c r="D38" s="16"/>
      <c r="E38" s="16" t="s">
        <v>139</v>
      </c>
      <c r="F38" s="172" t="s">
        <v>141</v>
      </c>
      <c r="G38" s="172" t="s">
        <v>158</v>
      </c>
      <c r="H38" s="172" t="s">
        <v>371</v>
      </c>
      <c r="I38" s="172" t="s">
        <v>367</v>
      </c>
      <c r="J38" s="171" t="s">
        <v>157</v>
      </c>
      <c r="K38" s="171" t="s">
        <v>160</v>
      </c>
      <c r="L38" s="171" t="s">
        <v>366</v>
      </c>
      <c r="M38" s="171" t="s">
        <v>362</v>
      </c>
      <c r="N38" s="4"/>
    </row>
    <row r="39" spans="1:14" x14ac:dyDescent="0.2">
      <c r="B39" s="5" t="s">
        <v>204</v>
      </c>
      <c r="C39" s="5"/>
      <c r="D39" s="5" t="s">
        <v>214</v>
      </c>
      <c r="E39" s="5" t="s">
        <v>214</v>
      </c>
      <c r="F39" s="6">
        <f>100-F35</f>
        <v>72</v>
      </c>
      <c r="G39" s="174">
        <v>3.01</v>
      </c>
      <c r="H39" s="176"/>
      <c r="I39" s="175">
        <v>45912</v>
      </c>
      <c r="J39" s="6" t="s">
        <v>184</v>
      </c>
      <c r="K39" s="5">
        <v>25</v>
      </c>
      <c r="L39" s="5">
        <f>F39</f>
        <v>72</v>
      </c>
      <c r="M39" s="6" t="s">
        <v>363</v>
      </c>
    </row>
    <row r="40" spans="1:14" x14ac:dyDescent="0.2">
      <c r="B40" s="5" t="s">
        <v>205</v>
      </c>
      <c r="C40" s="5"/>
      <c r="D40" s="5" t="s">
        <v>415</v>
      </c>
      <c r="E40" s="5" t="s">
        <v>215</v>
      </c>
      <c r="F40" s="6">
        <v>250</v>
      </c>
      <c r="G40" s="174">
        <v>4.38</v>
      </c>
      <c r="H40" s="176">
        <v>45245</v>
      </c>
      <c r="I40" s="175">
        <v>46173</v>
      </c>
      <c r="J40" s="6" t="s">
        <v>217</v>
      </c>
      <c r="K40" s="5">
        <v>25</v>
      </c>
      <c r="L40" s="5">
        <f>F40</f>
        <v>250</v>
      </c>
      <c r="M40" s="6" t="s">
        <v>363</v>
      </c>
    </row>
    <row r="41" spans="1:14" x14ac:dyDescent="0.2">
      <c r="B41" s="5" t="s">
        <v>206</v>
      </c>
      <c r="C41" s="5"/>
      <c r="D41" s="5" t="s">
        <v>415</v>
      </c>
      <c r="E41" s="5" t="s">
        <v>215</v>
      </c>
      <c r="F41" s="6">
        <v>320</v>
      </c>
      <c r="G41" s="174">
        <v>4.38</v>
      </c>
      <c r="H41" s="176">
        <v>45245</v>
      </c>
      <c r="I41" s="175">
        <v>46173</v>
      </c>
      <c r="J41" s="6" t="s">
        <v>217</v>
      </c>
      <c r="K41" s="5">
        <v>25</v>
      </c>
      <c r="L41" s="5">
        <f>F41</f>
        <v>320</v>
      </c>
      <c r="M41" s="6" t="s">
        <v>363</v>
      </c>
    </row>
    <row r="42" spans="1:14" x14ac:dyDescent="0.2">
      <c r="A42" s="1" t="s">
        <v>381</v>
      </c>
      <c r="B42" s="5" t="s">
        <v>207</v>
      </c>
      <c r="C42" s="5"/>
      <c r="D42" s="5" t="s">
        <v>415</v>
      </c>
      <c r="E42" s="5" t="s">
        <v>216</v>
      </c>
      <c r="F42" s="6">
        <v>380</v>
      </c>
      <c r="G42" s="174">
        <v>4.7300000000000004</v>
      </c>
      <c r="H42" s="176">
        <v>45031</v>
      </c>
      <c r="I42" s="175">
        <v>46203</v>
      </c>
      <c r="J42" s="6" t="s">
        <v>144</v>
      </c>
      <c r="K42" s="5">
        <v>25</v>
      </c>
      <c r="L42" s="5">
        <v>190</v>
      </c>
      <c r="M42" s="6" t="s">
        <v>363</v>
      </c>
    </row>
    <row r="43" spans="1:14" x14ac:dyDescent="0.2">
      <c r="A43" s="1" t="s">
        <v>380</v>
      </c>
      <c r="B43" s="5" t="s">
        <v>208</v>
      </c>
      <c r="C43" s="5"/>
      <c r="D43" s="5" t="s">
        <v>415</v>
      </c>
      <c r="E43" s="5" t="s">
        <v>216</v>
      </c>
      <c r="F43" s="6">
        <v>300</v>
      </c>
      <c r="G43" s="174">
        <v>3.36</v>
      </c>
      <c r="H43" s="176">
        <v>45275</v>
      </c>
      <c r="I43" s="175">
        <v>46477</v>
      </c>
      <c r="J43" s="6" t="s">
        <v>192</v>
      </c>
      <c r="K43" s="5">
        <v>25</v>
      </c>
      <c r="L43" s="5">
        <f>F43</f>
        <v>300</v>
      </c>
      <c r="M43" s="6" t="s">
        <v>363</v>
      </c>
    </row>
    <row r="44" spans="1:14" x14ac:dyDescent="0.2">
      <c r="A44" s="1" t="s">
        <v>379</v>
      </c>
      <c r="B44" s="5" t="s">
        <v>209</v>
      </c>
      <c r="C44" s="5"/>
      <c r="D44" s="5" t="s">
        <v>415</v>
      </c>
      <c r="E44" s="5" t="s">
        <v>215</v>
      </c>
      <c r="F44" s="6">
        <v>350</v>
      </c>
      <c r="G44" s="174">
        <v>3.42</v>
      </c>
      <c r="H44" s="176">
        <v>45488</v>
      </c>
      <c r="I44" s="175">
        <v>46295</v>
      </c>
      <c r="J44" s="6" t="s">
        <v>144</v>
      </c>
      <c r="K44" s="5">
        <v>25</v>
      </c>
      <c r="L44" s="5">
        <v>150</v>
      </c>
      <c r="M44" s="6" t="s">
        <v>363</v>
      </c>
    </row>
    <row r="45" spans="1:14" x14ac:dyDescent="0.2">
      <c r="A45" s="1" t="s">
        <v>378</v>
      </c>
      <c r="B45" s="5" t="s">
        <v>364</v>
      </c>
      <c r="C45" s="5"/>
      <c r="D45" s="5" t="s">
        <v>415</v>
      </c>
      <c r="E45" s="5" t="s">
        <v>215</v>
      </c>
      <c r="F45" s="6">
        <v>400</v>
      </c>
      <c r="G45" s="174">
        <v>4.6399999999999997</v>
      </c>
      <c r="H45" s="176">
        <v>45337</v>
      </c>
      <c r="I45" s="175">
        <v>46477</v>
      </c>
      <c r="J45" s="6" t="s">
        <v>218</v>
      </c>
      <c r="K45" s="5">
        <v>25</v>
      </c>
      <c r="L45" s="5">
        <f t="shared" ref="L45:L50" si="0">F45</f>
        <v>400</v>
      </c>
      <c r="M45" s="6" t="s">
        <v>363</v>
      </c>
    </row>
    <row r="46" spans="1:14" x14ac:dyDescent="0.2">
      <c r="A46" s="1" t="s">
        <v>378</v>
      </c>
      <c r="B46" s="5" t="s">
        <v>210</v>
      </c>
      <c r="C46" s="5"/>
      <c r="D46" s="5" t="s">
        <v>415</v>
      </c>
      <c r="E46" s="5" t="s">
        <v>215</v>
      </c>
      <c r="F46" s="6">
        <v>280</v>
      </c>
      <c r="G46" s="174">
        <v>4.6399999999999997</v>
      </c>
      <c r="H46" s="176">
        <v>45337</v>
      </c>
      <c r="I46" s="175">
        <f>H46+24*30</f>
        <v>46057</v>
      </c>
      <c r="J46" s="6" t="s">
        <v>218</v>
      </c>
      <c r="K46" s="5">
        <v>25</v>
      </c>
      <c r="L46" s="5">
        <f t="shared" si="0"/>
        <v>280</v>
      </c>
      <c r="M46" s="6" t="s">
        <v>363</v>
      </c>
    </row>
    <row r="47" spans="1:14" x14ac:dyDescent="0.2">
      <c r="A47" s="1" t="s">
        <v>377</v>
      </c>
      <c r="B47" s="5" t="s">
        <v>361</v>
      </c>
      <c r="C47" s="5"/>
      <c r="D47" s="5" t="s">
        <v>415</v>
      </c>
      <c r="E47" s="5" t="s">
        <v>215</v>
      </c>
      <c r="F47" s="6">
        <v>250</v>
      </c>
      <c r="G47" s="174">
        <v>4.5599999999999996</v>
      </c>
      <c r="H47" s="176">
        <v>45641</v>
      </c>
      <c r="I47" s="175">
        <f>H47+24*30</f>
        <v>46361</v>
      </c>
      <c r="J47" s="6" t="s">
        <v>218</v>
      </c>
      <c r="K47" s="5">
        <v>25</v>
      </c>
      <c r="L47" s="5">
        <f t="shared" si="0"/>
        <v>250</v>
      </c>
      <c r="M47" s="6" t="s">
        <v>363</v>
      </c>
    </row>
    <row r="48" spans="1:14" x14ac:dyDescent="0.2">
      <c r="B48" s="5" t="s">
        <v>212</v>
      </c>
      <c r="C48" s="5"/>
      <c r="D48" s="5" t="s">
        <v>415</v>
      </c>
      <c r="E48" s="5" t="s">
        <v>215</v>
      </c>
      <c r="F48" s="6">
        <v>50</v>
      </c>
      <c r="G48" s="174">
        <v>4.43</v>
      </c>
      <c r="H48" s="176"/>
      <c r="I48" s="175"/>
      <c r="J48" s="6"/>
      <c r="K48" s="5"/>
      <c r="L48" s="5">
        <f t="shared" si="0"/>
        <v>50</v>
      </c>
      <c r="M48" s="6" t="s">
        <v>363</v>
      </c>
    </row>
    <row r="49" spans="1:14" x14ac:dyDescent="0.2">
      <c r="B49" s="5" t="s">
        <v>488</v>
      </c>
      <c r="C49" s="5"/>
      <c r="D49" s="5" t="s">
        <v>411</v>
      </c>
      <c r="E49" s="5"/>
      <c r="F49" s="6">
        <v>450</v>
      </c>
      <c r="G49" s="174" t="s">
        <v>489</v>
      </c>
      <c r="H49" s="176"/>
      <c r="I49" s="175"/>
      <c r="J49" s="6"/>
      <c r="K49" s="5"/>
      <c r="L49" s="5">
        <f t="shared" si="0"/>
        <v>450</v>
      </c>
      <c r="M49" s="6" t="s">
        <v>363</v>
      </c>
    </row>
    <row r="50" spans="1:14" x14ac:dyDescent="0.2">
      <c r="B50" s="5" t="s">
        <v>488</v>
      </c>
      <c r="C50" s="5"/>
      <c r="D50" s="5" t="s">
        <v>411</v>
      </c>
      <c r="E50" s="5"/>
      <c r="F50" s="6">
        <v>100</v>
      </c>
      <c r="G50" s="174" t="s">
        <v>490</v>
      </c>
      <c r="H50" s="176"/>
      <c r="I50" s="175"/>
      <c r="J50" s="6"/>
      <c r="K50" s="5"/>
      <c r="L50" s="5">
        <f t="shared" si="0"/>
        <v>100</v>
      </c>
      <c r="M50" s="6" t="s">
        <v>363</v>
      </c>
    </row>
    <row r="51" spans="1:14" x14ac:dyDescent="0.2">
      <c r="A51" s="1" t="s">
        <v>370</v>
      </c>
      <c r="B51" s="190" t="s">
        <v>211</v>
      </c>
      <c r="C51" s="190"/>
      <c r="D51" s="190" t="s">
        <v>415</v>
      </c>
      <c r="E51" s="190" t="s">
        <v>216</v>
      </c>
      <c r="F51" s="279">
        <v>150</v>
      </c>
      <c r="G51" s="280">
        <v>3.32</v>
      </c>
      <c r="H51" s="281">
        <v>45366</v>
      </c>
      <c r="I51" s="280" t="s">
        <v>382</v>
      </c>
      <c r="J51" s="279" t="s">
        <v>192</v>
      </c>
      <c r="K51" s="190">
        <v>25</v>
      </c>
      <c r="L51" s="190">
        <v>0</v>
      </c>
      <c r="M51" s="279" t="s">
        <v>365</v>
      </c>
      <c r="N51" s="1" t="s">
        <v>463</v>
      </c>
    </row>
    <row r="52" spans="1:14" x14ac:dyDescent="0.2">
      <c r="A52" s="1" t="s">
        <v>372</v>
      </c>
      <c r="B52" s="282" t="s">
        <v>212</v>
      </c>
      <c r="C52" s="282"/>
      <c r="D52" s="282" t="s">
        <v>140</v>
      </c>
      <c r="E52" s="282" t="s">
        <v>140</v>
      </c>
      <c r="F52" s="283">
        <v>300</v>
      </c>
      <c r="G52" s="284">
        <v>2.5299999999999998</v>
      </c>
      <c r="H52" s="285">
        <v>45275</v>
      </c>
      <c r="I52" s="284" t="s">
        <v>382</v>
      </c>
      <c r="J52" s="283" t="s">
        <v>192</v>
      </c>
      <c r="K52" s="282">
        <v>25</v>
      </c>
      <c r="L52" s="282">
        <v>0</v>
      </c>
      <c r="M52" s="283" t="s">
        <v>365</v>
      </c>
      <c r="N52" s="1" t="s">
        <v>465</v>
      </c>
    </row>
    <row r="53" spans="1:14" x14ac:dyDescent="0.2">
      <c r="A53" s="1" t="s">
        <v>373</v>
      </c>
      <c r="B53" s="190" t="s">
        <v>213</v>
      </c>
      <c r="C53" s="190"/>
      <c r="D53" s="190" t="s">
        <v>140</v>
      </c>
      <c r="E53" s="190" t="s">
        <v>140</v>
      </c>
      <c r="F53" s="279">
        <v>300</v>
      </c>
      <c r="G53" s="280">
        <v>2.52</v>
      </c>
      <c r="H53" s="281">
        <v>45519</v>
      </c>
      <c r="I53" s="280" t="s">
        <v>382</v>
      </c>
      <c r="J53" s="279" t="s">
        <v>217</v>
      </c>
      <c r="K53" s="190">
        <v>25</v>
      </c>
      <c r="L53" s="190">
        <v>0</v>
      </c>
      <c r="M53" s="279" t="s">
        <v>365</v>
      </c>
      <c r="N53" s="1" t="s">
        <v>462</v>
      </c>
    </row>
    <row r="54" spans="1:14" x14ac:dyDescent="0.2">
      <c r="A54" s="1" t="s">
        <v>376</v>
      </c>
      <c r="B54" s="190" t="s">
        <v>374</v>
      </c>
      <c r="C54" s="190"/>
      <c r="D54" s="190" t="s">
        <v>415</v>
      </c>
      <c r="E54" s="190" t="s">
        <v>216</v>
      </c>
      <c r="F54" s="279">
        <v>300</v>
      </c>
      <c r="G54" s="280">
        <v>3.25</v>
      </c>
      <c r="H54" s="281">
        <v>45580</v>
      </c>
      <c r="I54" s="280" t="s">
        <v>382</v>
      </c>
      <c r="J54" s="279" t="s">
        <v>144</v>
      </c>
      <c r="K54" s="190">
        <v>25</v>
      </c>
      <c r="L54" s="190">
        <v>0</v>
      </c>
      <c r="M54" s="279" t="s">
        <v>365</v>
      </c>
      <c r="N54" s="1" t="s">
        <v>464</v>
      </c>
    </row>
    <row r="55" spans="1:14" x14ac:dyDescent="0.2">
      <c r="A55" s="1" t="s">
        <v>375</v>
      </c>
      <c r="B55" s="190" t="s">
        <v>360</v>
      </c>
      <c r="C55" s="190"/>
      <c r="D55" s="190" t="s">
        <v>415</v>
      </c>
      <c r="E55" s="190" t="s">
        <v>215</v>
      </c>
      <c r="F55" s="279">
        <v>400</v>
      </c>
      <c r="G55" s="280">
        <v>4.7</v>
      </c>
      <c r="H55" s="281">
        <v>45611</v>
      </c>
      <c r="I55" s="280" t="s">
        <v>382</v>
      </c>
      <c r="J55" s="279" t="s">
        <v>192</v>
      </c>
      <c r="K55" s="190">
        <v>25</v>
      </c>
      <c r="L55" s="190">
        <v>0</v>
      </c>
      <c r="M55" s="279" t="s">
        <v>365</v>
      </c>
    </row>
    <row r="56" spans="1:14" x14ac:dyDescent="0.2">
      <c r="B56" s="5"/>
      <c r="C56" s="5"/>
      <c r="D56" s="5"/>
      <c r="E56" s="20" t="s">
        <v>220</v>
      </c>
      <c r="F56" s="173">
        <f>+SUM(F39:F48)</f>
        <v>2652</v>
      </c>
      <c r="G56" s="5"/>
      <c r="H56" s="5"/>
      <c r="I56" s="5"/>
      <c r="J56" s="5"/>
      <c r="K56" s="5"/>
      <c r="L56" s="20">
        <f>SUM(L39:L55)</f>
        <v>2812</v>
      </c>
      <c r="M56" s="170">
        <f>L56/F56</f>
        <v>1.0603318250377074</v>
      </c>
    </row>
    <row r="59" spans="1:14" x14ac:dyDescent="0.2">
      <c r="B59" s="151" t="s">
        <v>139</v>
      </c>
      <c r="C59" s="151"/>
      <c r="D59" s="154" t="s">
        <v>335</v>
      </c>
      <c r="E59" s="154" t="s">
        <v>336</v>
      </c>
      <c r="G59" s="1">
        <f>SUM(F39:F44)-F42-F44+190+150</f>
        <v>1282</v>
      </c>
    </row>
    <row r="60" spans="1:14" x14ac:dyDescent="0.2">
      <c r="B60" s="152" t="s">
        <v>140</v>
      </c>
      <c r="C60" s="152"/>
      <c r="D60" s="150">
        <f>SUMIF($E$5:$E$55,$B60,$F$5:$F$55)</f>
        <v>3440</v>
      </c>
      <c r="E60" s="138">
        <f t="shared" ref="E60:E65" si="1">D60/$D$65</f>
        <v>1.297134238310709</v>
      </c>
      <c r="H60" s="1" t="s">
        <v>460</v>
      </c>
    </row>
    <row r="61" spans="1:14" x14ac:dyDescent="0.2">
      <c r="B61" s="153" t="s">
        <v>214</v>
      </c>
      <c r="C61" s="153"/>
      <c r="D61" s="148">
        <f>SUMIF($E$5:$E$55,$B61,$F$5:$F$55)</f>
        <v>150</v>
      </c>
      <c r="E61" s="136">
        <f t="shared" si="1"/>
        <v>5.6561085972850679E-2</v>
      </c>
      <c r="H61" s="1" t="s">
        <v>461</v>
      </c>
    </row>
    <row r="62" spans="1:14" x14ac:dyDescent="0.2">
      <c r="B62" s="153" t="s">
        <v>216</v>
      </c>
      <c r="C62" s="153"/>
      <c r="D62" s="148">
        <f>SUMIF($E$5:$E$55,$B62,$F$5:$F$55)</f>
        <v>1130</v>
      </c>
      <c r="E62" s="136">
        <f t="shared" si="1"/>
        <v>0.42609351432880843</v>
      </c>
    </row>
    <row r="63" spans="1:14" x14ac:dyDescent="0.2">
      <c r="B63" s="153" t="s">
        <v>215</v>
      </c>
      <c r="C63" s="153"/>
      <c r="D63" s="148">
        <f>SUMIF($E$5:$E$55,$B63,$F$5:$F$55)</f>
        <v>2300</v>
      </c>
      <c r="E63" s="136">
        <f t="shared" si="1"/>
        <v>0.86726998491704377</v>
      </c>
    </row>
    <row r="64" spans="1:14" x14ac:dyDescent="0.2">
      <c r="B64" s="153" t="s">
        <v>228</v>
      </c>
      <c r="C64" s="153"/>
      <c r="D64" s="148">
        <f>D65-SUM(D60:D63)</f>
        <v>-4368</v>
      </c>
      <c r="E64" s="136">
        <f t="shared" si="1"/>
        <v>-1.6470588235294117</v>
      </c>
    </row>
    <row r="65" spans="2:6" x14ac:dyDescent="0.2">
      <c r="B65" s="153" t="s">
        <v>334</v>
      </c>
      <c r="C65" s="153"/>
      <c r="D65" s="147">
        <f>F56+F36</f>
        <v>2652</v>
      </c>
      <c r="E65" s="149">
        <f t="shared" si="1"/>
        <v>1</v>
      </c>
    </row>
    <row r="67" spans="2:6" x14ac:dyDescent="0.2">
      <c r="B67" s="223" t="s">
        <v>416</v>
      </c>
      <c r="C67" s="223"/>
      <c r="D67" s="223"/>
      <c r="E67" s="224" t="s">
        <v>389</v>
      </c>
    </row>
    <row r="68" spans="2:6" x14ac:dyDescent="0.2">
      <c r="B68" s="229" t="s">
        <v>140</v>
      </c>
      <c r="C68" s="229"/>
      <c r="D68" s="225"/>
      <c r="E68" s="226">
        <f>SUM(F5:F33)</f>
        <v>2840</v>
      </c>
    </row>
    <row r="69" spans="2:6" x14ac:dyDescent="0.2">
      <c r="B69" s="229" t="s">
        <v>214</v>
      </c>
      <c r="C69" s="229"/>
      <c r="D69" s="225"/>
      <c r="E69" s="226">
        <v>0</v>
      </c>
    </row>
    <row r="70" spans="2:6" x14ac:dyDescent="0.2">
      <c r="B70" s="229" t="s">
        <v>415</v>
      </c>
      <c r="C70" s="229"/>
      <c r="D70" s="225"/>
      <c r="E70" s="226">
        <v>0</v>
      </c>
    </row>
    <row r="71" spans="2:6" x14ac:dyDescent="0.2">
      <c r="B71" s="227" t="s">
        <v>412</v>
      </c>
      <c r="C71" s="227"/>
      <c r="D71" s="225"/>
      <c r="E71" s="228">
        <f>SUM(E68:E70)</f>
        <v>2840</v>
      </c>
      <c r="F71" s="1" t="s">
        <v>417</v>
      </c>
    </row>
    <row r="72" spans="2:6" x14ac:dyDescent="0.2">
      <c r="B72" s="227"/>
      <c r="C72" s="227"/>
      <c r="D72" s="225"/>
      <c r="E72" s="228"/>
    </row>
    <row r="73" spans="2:6" x14ac:dyDescent="0.2">
      <c r="B73" s="229" t="s">
        <v>140</v>
      </c>
      <c r="C73" s="229"/>
      <c r="D73" s="225"/>
      <c r="E73" s="226">
        <f>SUMIFS($F$39:$F$55,$D$39:$D$55,B73,$M$39:$M$55,"Yes")</f>
        <v>0</v>
      </c>
    </row>
    <row r="74" spans="2:6" x14ac:dyDescent="0.2">
      <c r="B74" s="229" t="s">
        <v>214</v>
      </c>
      <c r="C74" s="229"/>
      <c r="D74" s="225"/>
      <c r="E74" s="226">
        <f>SUMIFS($F$39:$F$55,$D$39:$D$55,B74,$M$39:$M$55,"Yes")</f>
        <v>72</v>
      </c>
    </row>
    <row r="75" spans="2:6" x14ac:dyDescent="0.2">
      <c r="B75" s="229" t="s">
        <v>415</v>
      </c>
      <c r="C75" s="229"/>
      <c r="D75" s="225"/>
      <c r="E75" s="226">
        <f>SUMIFS($F$39:$F$55,$D$39:$D$55,B75,$M$39:$M$55,"Yes")</f>
        <v>2580</v>
      </c>
    </row>
    <row r="76" spans="2:6" x14ac:dyDescent="0.2">
      <c r="B76" s="227" t="s">
        <v>413</v>
      </c>
      <c r="C76" s="227"/>
      <c r="D76" s="225"/>
      <c r="E76" s="228">
        <f>SUM(E73:E75)</f>
        <v>2652</v>
      </c>
    </row>
    <row r="77" spans="2:6" x14ac:dyDescent="0.2">
      <c r="B77" s="227"/>
      <c r="C77" s="227"/>
      <c r="D77" s="225"/>
      <c r="E77" s="228"/>
    </row>
    <row r="78" spans="2:6" x14ac:dyDescent="0.2">
      <c r="B78" s="229" t="s">
        <v>140</v>
      </c>
      <c r="C78" s="229"/>
      <c r="D78" s="225"/>
      <c r="E78" s="226">
        <f>SUMIFS($F$39:$F$55,$D$39:$D$55,B78,$M$39:$M$55,"No")</f>
        <v>600</v>
      </c>
    </row>
    <row r="79" spans="2:6" x14ac:dyDescent="0.2">
      <c r="B79" s="229" t="s">
        <v>214</v>
      </c>
      <c r="C79" s="229"/>
      <c r="D79" s="225"/>
      <c r="E79" s="226">
        <f>SUMIFS($F$39:$F$55,$D$39:$D$55,B79,$M$39:$M$55,"No")</f>
        <v>0</v>
      </c>
    </row>
    <row r="80" spans="2:6" x14ac:dyDescent="0.2">
      <c r="B80" s="229" t="s">
        <v>415</v>
      </c>
      <c r="C80" s="229"/>
      <c r="D80" s="225"/>
      <c r="E80" s="226">
        <f>SUMIFS($F$39:$F$55,$D$39:$D$55,B80,$M$39:$M$55,"No")</f>
        <v>850</v>
      </c>
    </row>
    <row r="81" spans="2:5" x14ac:dyDescent="0.2">
      <c r="B81" s="227" t="s">
        <v>414</v>
      </c>
      <c r="C81" s="227"/>
      <c r="D81" s="225"/>
      <c r="E81" s="228">
        <f>SUM(E78:E80)</f>
        <v>1450</v>
      </c>
    </row>
    <row r="82" spans="2:5" x14ac:dyDescent="0.2">
      <c r="B82" s="227"/>
      <c r="C82" s="227"/>
      <c r="D82" s="225"/>
      <c r="E82" s="228"/>
    </row>
    <row r="83" spans="2:5" x14ac:dyDescent="0.2">
      <c r="B83" s="229" t="s">
        <v>140</v>
      </c>
      <c r="C83" s="229"/>
      <c r="D83" s="225"/>
      <c r="E83" s="226">
        <f>E68+E73+E78</f>
        <v>3440</v>
      </c>
    </row>
    <row r="84" spans="2:5" x14ac:dyDescent="0.2">
      <c r="B84" s="229" t="s">
        <v>214</v>
      </c>
      <c r="C84" s="229"/>
      <c r="D84" s="225"/>
      <c r="E84" s="226">
        <f>E69+E74+E79</f>
        <v>72</v>
      </c>
    </row>
    <row r="85" spans="2:5" x14ac:dyDescent="0.2">
      <c r="B85" s="229" t="s">
        <v>415</v>
      </c>
      <c r="C85" s="229"/>
      <c r="D85" s="225"/>
      <c r="E85" s="226">
        <f>E70+E75+E80</f>
        <v>3430</v>
      </c>
    </row>
    <row r="86" spans="2:5" x14ac:dyDescent="0.2">
      <c r="B86" s="227" t="s">
        <v>334</v>
      </c>
      <c r="C86" s="227"/>
      <c r="D86" s="225"/>
      <c r="E86" s="228">
        <f>SUM(E83:E85)</f>
        <v>6942</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76001-AD02-42D1-8632-5C60AAA75170}">
  <dimension ref="A2:I54"/>
  <sheetViews>
    <sheetView showGridLines="0" topLeftCell="A13" zoomScaleNormal="100" workbookViewId="0">
      <selection activeCell="G49" sqref="G49"/>
    </sheetView>
  </sheetViews>
  <sheetFormatPr defaultRowHeight="15" x14ac:dyDescent="0.25"/>
  <cols>
    <col min="2" max="2" width="49.85546875" bestFit="1" customWidth="1"/>
    <col min="3" max="9" width="12.85546875" customWidth="1"/>
  </cols>
  <sheetData>
    <row r="2" spans="2:9" x14ac:dyDescent="0.25">
      <c r="B2" s="158" t="s">
        <v>529</v>
      </c>
      <c r="C2" s="306" t="str">
        <f>Assumptions!E2</f>
        <v>FY25A</v>
      </c>
      <c r="D2" s="306" t="str">
        <f>Assumptions!F2</f>
        <v>FY26A</v>
      </c>
      <c r="E2" s="306" t="str">
        <f>Assumptions!G2</f>
        <v>FY27E</v>
      </c>
      <c r="F2" s="306" t="str">
        <f>Assumptions!H2</f>
        <v>FY28E</v>
      </c>
      <c r="G2" s="306" t="str">
        <f>Assumptions!I2</f>
        <v>FY29E</v>
      </c>
      <c r="H2" s="306" t="str">
        <f>Assumptions!J2</f>
        <v>FY30E</v>
      </c>
    </row>
    <row r="3" spans="2:9" x14ac:dyDescent="0.25">
      <c r="B3" t="s">
        <v>140</v>
      </c>
      <c r="C3" s="167">
        <v>2540</v>
      </c>
      <c r="D3" s="167">
        <v>2840</v>
      </c>
      <c r="E3" s="167">
        <v>2840</v>
      </c>
      <c r="F3" s="167">
        <v>2840</v>
      </c>
      <c r="G3" s="167">
        <v>3140</v>
      </c>
      <c r="H3" s="167">
        <v>3140</v>
      </c>
    </row>
    <row r="4" spans="2:9" x14ac:dyDescent="0.25">
      <c r="B4" t="s">
        <v>214</v>
      </c>
      <c r="C4" s="167">
        <v>0</v>
      </c>
      <c r="D4" s="167">
        <v>150</v>
      </c>
      <c r="E4" s="167">
        <v>150</v>
      </c>
      <c r="F4" s="167">
        <v>150</v>
      </c>
      <c r="G4" s="167">
        <v>150</v>
      </c>
      <c r="H4" s="167">
        <v>150</v>
      </c>
    </row>
    <row r="5" spans="2:9" x14ac:dyDescent="0.25">
      <c r="B5" t="s">
        <v>411</v>
      </c>
      <c r="C5" s="167">
        <v>0</v>
      </c>
      <c r="D5" s="167">
        <v>0</v>
      </c>
      <c r="E5" s="167">
        <v>275</v>
      </c>
      <c r="F5" s="167">
        <v>275</v>
      </c>
      <c r="G5" s="167">
        <v>275</v>
      </c>
      <c r="H5" s="167">
        <v>275</v>
      </c>
    </row>
    <row r="6" spans="2:9" x14ac:dyDescent="0.25">
      <c r="B6" t="s">
        <v>216</v>
      </c>
      <c r="C6" s="167">
        <v>0</v>
      </c>
      <c r="D6" s="167">
        <v>0</v>
      </c>
      <c r="E6" s="167">
        <v>0</v>
      </c>
      <c r="F6" s="167">
        <v>300</v>
      </c>
      <c r="G6" s="167">
        <v>750</v>
      </c>
      <c r="H6" s="167">
        <v>750</v>
      </c>
    </row>
    <row r="7" spans="2:9" x14ac:dyDescent="0.25">
      <c r="B7" t="s">
        <v>215</v>
      </c>
      <c r="C7" s="167">
        <v>0</v>
      </c>
      <c r="D7" s="167">
        <v>0</v>
      </c>
      <c r="E7" s="167">
        <v>1580</v>
      </c>
      <c r="F7" s="167">
        <v>2280</v>
      </c>
      <c r="G7" s="167">
        <v>3410</v>
      </c>
      <c r="H7" s="167">
        <v>4080</v>
      </c>
    </row>
    <row r="8" spans="2:9" x14ac:dyDescent="0.25">
      <c r="B8" s="158" t="s">
        <v>220</v>
      </c>
      <c r="C8" s="333">
        <f>SUM(C3:C7)</f>
        <v>2540</v>
      </c>
      <c r="D8" s="333">
        <f t="shared" ref="D8:H8" si="0">SUM(D3:D7)</f>
        <v>2990</v>
      </c>
      <c r="E8" s="333">
        <f t="shared" si="0"/>
        <v>4845</v>
      </c>
      <c r="F8" s="333">
        <f t="shared" si="0"/>
        <v>5845</v>
      </c>
      <c r="G8" s="333">
        <f t="shared" si="0"/>
        <v>7725</v>
      </c>
      <c r="H8" s="333">
        <f t="shared" si="0"/>
        <v>8395</v>
      </c>
      <c r="I8" s="334">
        <f>(F8/C8)^(1/3)-1</f>
        <v>0.32023203419494872</v>
      </c>
    </row>
    <row r="9" spans="2:9" x14ac:dyDescent="0.25">
      <c r="C9" s="158"/>
      <c r="F9" s="335">
        <f>+F8-C8</f>
        <v>3305</v>
      </c>
    </row>
    <row r="11" spans="2:9" x14ac:dyDescent="0.25">
      <c r="B11" s="158" t="s">
        <v>530</v>
      </c>
      <c r="C11" s="306" t="str">
        <f t="shared" ref="C11:H11" si="1">C2</f>
        <v>FY25A</v>
      </c>
      <c r="D11" s="306" t="str">
        <f t="shared" si="1"/>
        <v>FY26A</v>
      </c>
      <c r="E11" s="306" t="str">
        <f t="shared" si="1"/>
        <v>FY27E</v>
      </c>
      <c r="F11" s="306" t="str">
        <f t="shared" si="1"/>
        <v>FY28E</v>
      </c>
      <c r="G11" s="306" t="str">
        <f t="shared" si="1"/>
        <v>FY29E</v>
      </c>
      <c r="H11" s="306" t="str">
        <f t="shared" si="1"/>
        <v>FY30E</v>
      </c>
    </row>
    <row r="12" spans="2:9" x14ac:dyDescent="0.25">
      <c r="B12" t="s">
        <v>140</v>
      </c>
      <c r="C12" s="167">
        <f>Assumptions!E20</f>
        <v>1200</v>
      </c>
      <c r="D12" s="167">
        <f>Assumptions!F20</f>
        <v>300</v>
      </c>
      <c r="E12" s="167">
        <f>Assumptions!G20</f>
        <v>0</v>
      </c>
      <c r="F12" s="167">
        <f>Assumptions!H20</f>
        <v>300</v>
      </c>
      <c r="G12" s="167">
        <f>Assumptions!I20</f>
        <v>0</v>
      </c>
      <c r="H12" s="167">
        <f>Assumptions!J20</f>
        <v>0</v>
      </c>
    </row>
    <row r="13" spans="2:9" x14ac:dyDescent="0.25">
      <c r="B13" t="s">
        <v>214</v>
      </c>
      <c r="C13" s="167">
        <f>Assumptions!E21</f>
        <v>0</v>
      </c>
      <c r="D13" s="167">
        <f>Assumptions!F21</f>
        <v>142</v>
      </c>
      <c r="E13" s="167">
        <f>Assumptions!G21</f>
        <v>8</v>
      </c>
      <c r="F13" s="167">
        <f>Assumptions!H21</f>
        <v>0</v>
      </c>
      <c r="G13" s="167">
        <f>Assumptions!I21</f>
        <v>0</v>
      </c>
      <c r="H13" s="167">
        <f>Assumptions!J21</f>
        <v>0</v>
      </c>
    </row>
    <row r="14" spans="2:9" x14ac:dyDescent="0.25">
      <c r="B14" t="s">
        <v>411</v>
      </c>
      <c r="C14" s="167">
        <f>Assumptions!E22</f>
        <v>0</v>
      </c>
      <c r="D14" s="167">
        <f>Assumptions!F22</f>
        <v>1324</v>
      </c>
      <c r="E14" s="167">
        <f>Assumptions!G22</f>
        <v>10184</v>
      </c>
      <c r="F14" s="167">
        <f>Assumptions!H22</f>
        <v>5000</v>
      </c>
      <c r="G14" s="167">
        <f>Assumptions!I22</f>
        <v>7450</v>
      </c>
      <c r="H14" s="167">
        <f>Assumptions!J22</f>
        <v>0</v>
      </c>
    </row>
    <row r="15" spans="2:9" x14ac:dyDescent="0.25">
      <c r="B15" t="s">
        <v>216</v>
      </c>
      <c r="C15" s="167">
        <f>Assumptions!E24</f>
        <v>0</v>
      </c>
      <c r="D15" s="167">
        <f>Assumptions!F24</f>
        <v>0</v>
      </c>
      <c r="E15" s="167">
        <f>Assumptions!G24</f>
        <v>0</v>
      </c>
      <c r="F15" s="167">
        <f>Assumptions!H24</f>
        <v>300</v>
      </c>
      <c r="G15" s="167">
        <f>Assumptions!I24</f>
        <v>450</v>
      </c>
      <c r="H15" s="167">
        <f>Assumptions!J24</f>
        <v>0</v>
      </c>
    </row>
    <row r="16" spans="2:9" x14ac:dyDescent="0.25">
      <c r="B16" t="s">
        <v>215</v>
      </c>
      <c r="C16" s="167">
        <f>Assumptions!E25</f>
        <v>0</v>
      </c>
      <c r="D16" s="167">
        <f>Assumptions!F25</f>
        <v>0</v>
      </c>
      <c r="E16" s="167">
        <f>Assumptions!G25</f>
        <v>1030</v>
      </c>
      <c r="F16" s="167">
        <f>Assumptions!H25</f>
        <v>1250</v>
      </c>
      <c r="G16" s="167">
        <f>Assumptions!I25</f>
        <v>1750</v>
      </c>
      <c r="H16" s="167">
        <f>Assumptions!J25</f>
        <v>800</v>
      </c>
    </row>
    <row r="17" spans="1:9" x14ac:dyDescent="0.25">
      <c r="C17" s="167">
        <f>SUM(C12:C16)</f>
        <v>1200</v>
      </c>
      <c r="D17" s="167">
        <f t="shared" ref="D17:H17" si="2">SUM(D12:D16)</f>
        <v>1766</v>
      </c>
      <c r="E17" s="167">
        <f t="shared" si="2"/>
        <v>11222</v>
      </c>
      <c r="F17" s="167">
        <f t="shared" si="2"/>
        <v>6850</v>
      </c>
      <c r="G17" s="167">
        <f t="shared" si="2"/>
        <v>9650</v>
      </c>
      <c r="H17" s="167">
        <f t="shared" si="2"/>
        <v>800</v>
      </c>
    </row>
    <row r="19" spans="1:9" x14ac:dyDescent="0.25">
      <c r="A19">
        <v>1000</v>
      </c>
      <c r="C19" s="306" t="str">
        <f t="shared" ref="C19:H19" si="3">C11</f>
        <v>FY25A</v>
      </c>
      <c r="D19" s="306" t="str">
        <f t="shared" si="3"/>
        <v>FY26A</v>
      </c>
      <c r="E19" s="306" t="str">
        <f t="shared" si="3"/>
        <v>FY27E</v>
      </c>
      <c r="F19" s="306" t="str">
        <f t="shared" si="3"/>
        <v>FY28E</v>
      </c>
      <c r="G19" s="306" t="str">
        <f t="shared" si="3"/>
        <v>FY29E</v>
      </c>
      <c r="H19" s="306" t="str">
        <f t="shared" si="3"/>
        <v>FY30E</v>
      </c>
    </row>
    <row r="20" spans="1:9" x14ac:dyDescent="0.25">
      <c r="B20" t="s">
        <v>531</v>
      </c>
      <c r="C20" s="294">
        <f>(Consolidated!K5)/1000</f>
        <v>14.051309999999999</v>
      </c>
      <c r="D20" s="294">
        <f>(Consolidated!L5)/1000</f>
        <v>20.233790000000003</v>
      </c>
      <c r="E20" s="294">
        <f>(Consolidated!M5)/1000</f>
        <v>40.060234925230688</v>
      </c>
      <c r="F20" s="294">
        <f>(Consolidated!N5)/1000</f>
        <v>69.18715995147123</v>
      </c>
      <c r="G20" s="294">
        <f>(Consolidated!O5)/1000</f>
        <v>95.080806683963047</v>
      </c>
      <c r="H20" s="294">
        <f>(Consolidated!P5)/1000</f>
        <v>113.59277915400003</v>
      </c>
      <c r="I20" s="334">
        <f t="shared" ref="I20:I21" si="4">(F20/C20)^(1/3)-1</f>
        <v>0.70125558053718207</v>
      </c>
    </row>
    <row r="21" spans="1:9" x14ac:dyDescent="0.25">
      <c r="B21" t="s">
        <v>532</v>
      </c>
      <c r="C21" s="294">
        <f>(Consolidated!K15)/1000</f>
        <v>12.353999999999999</v>
      </c>
      <c r="D21" s="294">
        <f>(Consolidated!L15)/1000</f>
        <v>17.813359999999999</v>
      </c>
      <c r="E21" s="294">
        <f>(Consolidated!M15)/1000</f>
        <v>32.975922456311736</v>
      </c>
      <c r="F21" s="294">
        <f>(Consolidated!N15)/1000</f>
        <v>60.816343049445059</v>
      </c>
      <c r="G21" s="294">
        <f>(Consolidated!O15)/1000</f>
        <v>83.827107017828681</v>
      </c>
      <c r="H21" s="294">
        <f>(Consolidated!P15)/1000</f>
        <v>102.68194831875003</v>
      </c>
      <c r="I21" s="334">
        <f t="shared" si="4"/>
        <v>0.70113025367094983</v>
      </c>
    </row>
    <row r="22" spans="1:9" x14ac:dyDescent="0.25">
      <c r="B22" t="s">
        <v>533</v>
      </c>
      <c r="C22" s="156">
        <f>+C21/C20</f>
        <v>0.87920628041086557</v>
      </c>
      <c r="D22" s="156">
        <f t="shared" ref="D22:H22" si="5">+D21/D20</f>
        <v>0.88037683498741448</v>
      </c>
      <c r="E22" s="156">
        <f t="shared" si="5"/>
        <v>0.8231584891566095</v>
      </c>
      <c r="F22" s="156">
        <f t="shared" si="5"/>
        <v>0.87901198852651896</v>
      </c>
      <c r="G22" s="156">
        <f t="shared" si="5"/>
        <v>0.88164067955859604</v>
      </c>
      <c r="H22" s="156">
        <f t="shared" si="5"/>
        <v>0.90394784847672438</v>
      </c>
    </row>
    <row r="23" spans="1:9" x14ac:dyDescent="0.25">
      <c r="B23" t="s">
        <v>534</v>
      </c>
      <c r="C23" s="294">
        <f>(Consolidated!K43)/1000</f>
        <v>2.5207800000000011</v>
      </c>
      <c r="D23" s="294">
        <f>(Consolidated!L43)/1000</f>
        <v>4.989150000000004</v>
      </c>
      <c r="E23" s="294">
        <f>(Consolidated!M43)/1000</f>
        <v>8.8913066932589278</v>
      </c>
      <c r="F23" s="294">
        <f>(Consolidated!N43)/1000</f>
        <v>16.962059607111179</v>
      </c>
      <c r="G23" s="294">
        <f>(Consolidated!O43)/1000</f>
        <v>23.112177331045061</v>
      </c>
      <c r="H23" s="294">
        <f>(Consolidated!P43)/1000</f>
        <v>28.703575264749404</v>
      </c>
      <c r="I23" s="334">
        <f>(F23/C23)^(1/3)-1</f>
        <v>0.88790968117120039</v>
      </c>
    </row>
    <row r="25" spans="1:9" x14ac:dyDescent="0.25">
      <c r="B25" t="s">
        <v>408</v>
      </c>
      <c r="C25" s="156" t="e">
        <f>Consolidated!#REF!</f>
        <v>#REF!</v>
      </c>
      <c r="D25" s="156" t="e">
        <f>Consolidated!#REF!</f>
        <v>#REF!</v>
      </c>
      <c r="E25" s="156" t="e">
        <f>Consolidated!#REF!</f>
        <v>#REF!</v>
      </c>
      <c r="F25" s="156" t="e">
        <f>Consolidated!#REF!</f>
        <v>#REF!</v>
      </c>
      <c r="G25" s="156" t="e">
        <f>Consolidated!#REF!</f>
        <v>#REF!</v>
      </c>
      <c r="H25" s="156" t="e">
        <f>Consolidated!#REF!</f>
        <v>#REF!</v>
      </c>
    </row>
    <row r="26" spans="1:9" x14ac:dyDescent="0.25">
      <c r="B26" t="s">
        <v>535</v>
      </c>
      <c r="C26" s="156" t="e">
        <f>Consolidated!#REF!</f>
        <v>#REF!</v>
      </c>
      <c r="D26" s="156" t="e">
        <f>Consolidated!#REF!</f>
        <v>#REF!</v>
      </c>
      <c r="E26" s="156" t="e">
        <f>Consolidated!#REF!</f>
        <v>#REF!</v>
      </c>
      <c r="F26" s="156" t="e">
        <f>Consolidated!#REF!</f>
        <v>#REF!</v>
      </c>
      <c r="G26" s="156" t="e">
        <f>Consolidated!#REF!</f>
        <v>#REF!</v>
      </c>
      <c r="H26" s="156" t="e">
        <f>Consolidated!#REF!</f>
        <v>#REF!</v>
      </c>
    </row>
    <row r="28" spans="1:9" x14ac:dyDescent="0.25">
      <c r="B28" t="s">
        <v>536</v>
      </c>
      <c r="C28" s="307" t="e">
        <f>Consolidated!#REF!</f>
        <v>#REF!</v>
      </c>
      <c r="D28" s="307" t="e">
        <f>Consolidated!#REF!</f>
        <v>#REF!</v>
      </c>
      <c r="E28" s="307" t="e">
        <f>Consolidated!#REF!</f>
        <v>#REF!</v>
      </c>
      <c r="F28" s="307" t="e">
        <f>Consolidated!#REF!</f>
        <v>#REF!</v>
      </c>
      <c r="G28" s="307" t="e">
        <f>Consolidated!#REF!</f>
        <v>#REF!</v>
      </c>
      <c r="H28" s="307" t="e">
        <f>Consolidated!#REF!</f>
        <v>#REF!</v>
      </c>
    </row>
    <row r="29" spans="1:9" x14ac:dyDescent="0.25">
      <c r="B29" t="s">
        <v>537</v>
      </c>
      <c r="C29" s="294">
        <f>(Consolidated!K69)/1000</f>
        <v>104.22700999999999</v>
      </c>
      <c r="D29" s="294">
        <f>(Consolidated!L69)/1000</f>
        <v>189.88049000000001</v>
      </c>
      <c r="E29" s="294">
        <f>(Consolidated!M69)/1000</f>
        <v>310.81027026296385</v>
      </c>
      <c r="F29" s="294">
        <f>(Consolidated!N69)/1000</f>
        <v>476.75518901802263</v>
      </c>
      <c r="G29" s="294">
        <f>(Consolidated!O69)/1000</f>
        <v>579.58115680244248</v>
      </c>
      <c r="H29" s="294">
        <f>(Consolidated!P69)/1000</f>
        <v>592.93499340982964</v>
      </c>
      <c r="I29" s="334">
        <f>(F29/C29)^(1/3)-1</f>
        <v>0.65998838705894691</v>
      </c>
    </row>
    <row r="30" spans="1:9" x14ac:dyDescent="0.25">
      <c r="G30" t="s">
        <v>544</v>
      </c>
    </row>
    <row r="31" spans="1:9" x14ac:dyDescent="0.25">
      <c r="B31" t="s">
        <v>473</v>
      </c>
      <c r="C31" s="294">
        <f>(Consolidated!K189)/1000</f>
        <v>32.620660000000001</v>
      </c>
      <c r="D31" s="294">
        <f>(Consolidated!L189)/1000</f>
        <v>53.191629999999996</v>
      </c>
      <c r="E31" s="294">
        <f>(Consolidated!M189)/1000</f>
        <v>197.10733117313961</v>
      </c>
      <c r="F31" s="294">
        <f>(Consolidated!N189)/1000</f>
        <v>218.62894844382342</v>
      </c>
      <c r="G31" s="294">
        <f>+SUM(D31:F31)</f>
        <v>468.92790961696301</v>
      </c>
      <c r="H31" s="294"/>
    </row>
    <row r="33" spans="2:8" ht="15.75" thickBot="1" x14ac:dyDescent="0.3">
      <c r="B33" s="305"/>
      <c r="C33" s="305"/>
      <c r="D33" s="308"/>
      <c r="E33" s="308"/>
      <c r="F33" s="308"/>
      <c r="G33" s="308"/>
      <c r="H33" s="308"/>
    </row>
    <row r="34" spans="2:8" ht="15.75" thickBot="1" x14ac:dyDescent="0.3">
      <c r="B34" s="309" t="s">
        <v>538</v>
      </c>
      <c r="C34" s="310" t="s">
        <v>390</v>
      </c>
      <c r="D34" s="310" t="s">
        <v>274</v>
      </c>
      <c r="E34" s="310" t="s">
        <v>275</v>
      </c>
      <c r="F34" s="310" t="s">
        <v>276</v>
      </c>
      <c r="G34" s="311" t="s">
        <v>542</v>
      </c>
    </row>
    <row r="35" spans="2:8" ht="15.75" thickBot="1" x14ac:dyDescent="0.3">
      <c r="B35" s="312" t="s">
        <v>395</v>
      </c>
      <c r="C35" s="313"/>
      <c r="D35" s="313"/>
      <c r="E35" s="313"/>
      <c r="F35" s="313"/>
      <c r="G35" s="314"/>
    </row>
    <row r="36" spans="2:8" ht="15.75" thickBot="1" x14ac:dyDescent="0.3">
      <c r="B36" s="315" t="s">
        <v>539</v>
      </c>
      <c r="C36" s="316">
        <f>(Consolidated!K180)/1000</f>
        <v>12.635129999999997</v>
      </c>
      <c r="D36" s="316">
        <f>(Consolidated!L180)/1000</f>
        <v>19.150189999999998</v>
      </c>
      <c r="E36" s="316">
        <f>(Consolidated!M180)/1000</f>
        <v>32.975922456311743</v>
      </c>
      <c r="F36" s="316">
        <f>(Consolidated!N180)/1000</f>
        <v>60.816343049445067</v>
      </c>
      <c r="G36" s="317">
        <f>+SUM(D36:F36)</f>
        <v>112.94245550575681</v>
      </c>
    </row>
    <row r="37" spans="2:8" ht="15.75" thickBot="1" x14ac:dyDescent="0.3">
      <c r="B37" s="315" t="s">
        <v>73</v>
      </c>
      <c r="C37" s="316">
        <f>(Consolidated!K183)/1000</f>
        <v>21.388810000000003</v>
      </c>
      <c r="D37" s="316">
        <f>(Consolidated!L183)/1000</f>
        <v>86.77640000000001</v>
      </c>
      <c r="E37" s="316">
        <f>(Consolidated!M183)/1000</f>
        <v>120.92978026296377</v>
      </c>
      <c r="F37" s="316">
        <f>(Consolidated!N183)/1000</f>
        <v>165.94491875505878</v>
      </c>
      <c r="G37" s="317">
        <f>+SUM(D37:F37)</f>
        <v>373.65109901802259</v>
      </c>
    </row>
    <row r="38" spans="2:8" ht="15.75" thickBot="1" x14ac:dyDescent="0.3">
      <c r="B38" s="315" t="s">
        <v>398</v>
      </c>
      <c r="C38" s="316">
        <f>(Consolidated!K182)/1000</f>
        <v>22.932880000000001</v>
      </c>
      <c r="D38" s="316">
        <f>(Consolidated!L182)/1000</f>
        <v>5.9999999999999995E-4</v>
      </c>
      <c r="E38" s="316">
        <f>(Consolidated!M182)/1000</f>
        <v>0</v>
      </c>
      <c r="F38" s="316">
        <f>(Consolidated!N182)/1000</f>
        <v>0</v>
      </c>
      <c r="G38" s="317">
        <f>+SUM(D38:F38)</f>
        <v>5.9999999999999995E-4</v>
      </c>
    </row>
    <row r="39" spans="2:8" ht="15.75" thickBot="1" x14ac:dyDescent="0.3">
      <c r="B39" s="315" t="s">
        <v>228</v>
      </c>
      <c r="C39" s="316">
        <f>(Consolidated!K181)/1000</f>
        <v>1.5303800000000001</v>
      </c>
      <c r="D39" s="316">
        <f>(Consolidated!L181)/1000</f>
        <v>2.66594</v>
      </c>
      <c r="E39" s="316">
        <f>(Consolidated!M181)/1000</f>
        <v>4.2465051054200051</v>
      </c>
      <c r="F39" s="316">
        <f>(Consolidated!N181)/1000</f>
        <v>5.7956284801173261</v>
      </c>
      <c r="G39" s="317">
        <f>+SUM(D39:F39)</f>
        <v>12.708073585537331</v>
      </c>
    </row>
    <row r="40" spans="2:8" ht="15.75" thickBot="1" x14ac:dyDescent="0.3">
      <c r="B40" s="318" t="s">
        <v>220</v>
      </c>
      <c r="C40" s="319">
        <f>SUM(C36:C39)</f>
        <v>58.487199999999994</v>
      </c>
      <c r="D40" s="319">
        <f>SUM(D36:D39)</f>
        <v>108.59313000000002</v>
      </c>
      <c r="E40" s="319">
        <f>SUM(E36:E39)</f>
        <v>158.15220782469552</v>
      </c>
      <c r="F40" s="319">
        <f>SUM(F36:F39)</f>
        <v>232.55689028462118</v>
      </c>
      <c r="G40" s="320">
        <f>SUM(G36:G39)</f>
        <v>499.30222810931673</v>
      </c>
    </row>
    <row r="41" spans="2:8" ht="15.75" thickBot="1" x14ac:dyDescent="0.3">
      <c r="B41" s="321"/>
      <c r="C41" s="322"/>
      <c r="D41" s="322"/>
      <c r="E41" s="322"/>
      <c r="F41" s="322"/>
      <c r="G41" s="317"/>
    </row>
    <row r="42" spans="2:8" ht="15.75" thickBot="1" x14ac:dyDescent="0.3">
      <c r="B42" s="323" t="s">
        <v>540</v>
      </c>
      <c r="C42" s="316"/>
      <c r="D42" s="316"/>
      <c r="E42" s="316"/>
      <c r="F42" s="316"/>
      <c r="G42" s="317"/>
    </row>
    <row r="43" spans="2:8" x14ac:dyDescent="0.25">
      <c r="B43" s="324" t="s">
        <v>541</v>
      </c>
      <c r="C43" s="325">
        <f>(Consolidated!K187)/1000</f>
        <v>-4.1192500000000001</v>
      </c>
      <c r="D43" s="325">
        <f>(Consolidated!L187)/1000</f>
        <v>5.8425999999999991</v>
      </c>
      <c r="E43" s="325">
        <f>(Consolidated!M187)/1000</f>
        <v>-5.5486209502115145</v>
      </c>
      <c r="F43" s="325">
        <f>(Consolidated!N187)/1000</f>
        <v>-1.724521209852349</v>
      </c>
      <c r="G43" s="326">
        <f>+SUM(D43:F43)</f>
        <v>-1.4305421600638644</v>
      </c>
    </row>
    <row r="44" spans="2:8" ht="15.75" thickBot="1" x14ac:dyDescent="0.3">
      <c r="B44" s="327" t="s">
        <v>10</v>
      </c>
      <c r="C44" s="328">
        <f>(Consolidated!K188)/1000</f>
        <v>1.32419</v>
      </c>
      <c r="D44" s="328">
        <f>(Consolidated!L188)/1000</f>
        <v>0.82167999999999997</v>
      </c>
      <c r="E44" s="328">
        <f>(Consolidated!M188)/1000</f>
        <v>3.1955201068219732</v>
      </c>
      <c r="F44" s="328">
        <f>(Consolidated!N188)/1000</f>
        <v>6.09613461750578</v>
      </c>
      <c r="G44" s="314">
        <f>+SUM(D44:F44)</f>
        <v>10.113334724327753</v>
      </c>
    </row>
    <row r="45" spans="2:8" ht="15.75" thickBot="1" x14ac:dyDescent="0.3">
      <c r="B45" s="315" t="s">
        <v>258</v>
      </c>
      <c r="C45" s="316">
        <f>(Consolidated!K189)/1000</f>
        <v>32.620660000000001</v>
      </c>
      <c r="D45" s="316">
        <f>(Consolidated!L189)/1000</f>
        <v>53.191629999999996</v>
      </c>
      <c r="E45" s="316">
        <f>(Consolidated!M189)/1000</f>
        <v>197.10733117313961</v>
      </c>
      <c r="F45" s="316">
        <f>(Consolidated!N189)/1000</f>
        <v>218.62894844382342</v>
      </c>
      <c r="G45" s="317">
        <f>+SUM(D45:F45)</f>
        <v>468.92790961696301</v>
      </c>
    </row>
    <row r="46" spans="2:8" ht="15.75" thickBot="1" x14ac:dyDescent="0.3">
      <c r="B46" s="315" t="s">
        <v>250</v>
      </c>
      <c r="C46" s="316">
        <f>(Consolidated!K192)/1000</f>
        <v>9.6343399999999999</v>
      </c>
      <c r="D46" s="316">
        <f>(Consolidated!L192)/1000</f>
        <v>14.97293</v>
      </c>
      <c r="E46" s="316">
        <f>(Consolidated!M192)/1000</f>
        <v>17.937057200007015</v>
      </c>
      <c r="F46" s="316">
        <f>(Consolidated!N192)/1000</f>
        <v>28.214234839192006</v>
      </c>
      <c r="G46" s="317">
        <f>+SUM(D46:F46)</f>
        <v>61.124222039199026</v>
      </c>
    </row>
    <row r="47" spans="2:8" ht="15.75" thickBot="1" x14ac:dyDescent="0.3">
      <c r="B47" s="315" t="s">
        <v>228</v>
      </c>
      <c r="C47" s="316">
        <f>(Consolidated!K191+Consolidated!K193+Consolidated!K194)/1000</f>
        <v>9.2760700000000007</v>
      </c>
      <c r="D47" s="316">
        <f>(Consolidated!L191+Consolidated!L193+Consolidated!L194)/1000</f>
        <v>24.297549999999998</v>
      </c>
      <c r="E47" s="316">
        <f>(Consolidated!M191+Consolidated!M193+Consolidated!M194)/1000</f>
        <v>0</v>
      </c>
      <c r="F47" s="316">
        <f>(Consolidated!N191+Consolidated!N193+Consolidated!N194)/1000</f>
        <v>0</v>
      </c>
      <c r="G47" s="317">
        <f>+SUM(D47:F47)</f>
        <v>24.297549999999998</v>
      </c>
    </row>
    <row r="48" spans="2:8" x14ac:dyDescent="0.25">
      <c r="B48" s="329" t="s">
        <v>402</v>
      </c>
      <c r="C48" s="330">
        <f t="shared" ref="C48:G48" si="6">SUM(C43:C47)</f>
        <v>48.736010000000007</v>
      </c>
      <c r="D48" s="330">
        <f t="shared" si="6"/>
        <v>99.126390000000001</v>
      </c>
      <c r="E48" s="330">
        <f t="shared" si="6"/>
        <v>212.69128752975709</v>
      </c>
      <c r="F48" s="330">
        <f t="shared" si="6"/>
        <v>251.21479669066886</v>
      </c>
      <c r="G48" s="331">
        <f t="shared" si="6"/>
        <v>563.03247422042591</v>
      </c>
    </row>
    <row r="49" spans="2:7" ht="15.75" thickBot="1" x14ac:dyDescent="0.3">
      <c r="B49" s="327"/>
      <c r="C49" s="328"/>
      <c r="D49" s="328"/>
      <c r="E49" s="328"/>
      <c r="F49" s="328"/>
      <c r="G49" s="314"/>
    </row>
    <row r="50" spans="2:7" ht="15.75" thickBot="1" x14ac:dyDescent="0.3">
      <c r="B50" s="329" t="s">
        <v>403</v>
      </c>
      <c r="C50" s="330">
        <f>+C40-C48</f>
        <v>9.7511899999999869</v>
      </c>
      <c r="D50" s="330">
        <f>+D40-D48</f>
        <v>9.4667400000000157</v>
      </c>
      <c r="E50" s="330">
        <f>+E40-E48</f>
        <v>-54.539079705061567</v>
      </c>
      <c r="F50" s="330">
        <f>+F40-F48</f>
        <v>-18.657906406047687</v>
      </c>
      <c r="G50" s="332">
        <f>+G40-G48</f>
        <v>-63.730246111109182</v>
      </c>
    </row>
    <row r="51" spans="2:7" x14ac:dyDescent="0.25">
      <c r="B51" s="329" t="s">
        <v>301</v>
      </c>
      <c r="C51" s="330">
        <f>+C36+C39-C43-C44-C45</f>
        <v>-15.660090000000004</v>
      </c>
      <c r="D51" s="330">
        <f t="shared" ref="D51:G51" si="7">+D36+D39-D43-D44-D45</f>
        <v>-38.03978</v>
      </c>
      <c r="E51" s="330">
        <f t="shared" si="7"/>
        <v>-157.53180276801834</v>
      </c>
      <c r="F51" s="330">
        <f t="shared" si="7"/>
        <v>-156.38859032191445</v>
      </c>
      <c r="G51" s="332">
        <f t="shared" si="7"/>
        <v>-351.96017308993277</v>
      </c>
    </row>
    <row r="54" spans="2:7" x14ac:dyDescent="0.25">
      <c r="C54">
        <v>1000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BB74-90F8-40EB-B504-A0072F811B1D}">
  <dimension ref="B2:P107"/>
  <sheetViews>
    <sheetView showGridLines="0" workbookViewId="0">
      <pane xSplit="3" ySplit="3" topLeftCell="D4" activePane="bottomRight" state="frozen"/>
      <selection pane="topRight" activeCell="D1" sqref="D1"/>
      <selection pane="bottomLeft" activeCell="A4" sqref="A4"/>
      <selection pane="bottomRight" activeCell="D4" sqref="D4"/>
    </sheetView>
  </sheetViews>
  <sheetFormatPr defaultRowHeight="15" x14ac:dyDescent="0.25"/>
  <cols>
    <col min="1" max="1" width="2.5703125" customWidth="1"/>
    <col min="2" max="2" width="58" bestFit="1" customWidth="1"/>
    <col min="3" max="3" width="15.5703125" customWidth="1"/>
    <col min="4" max="16" width="10.5703125" customWidth="1"/>
    <col min="17" max="17" width="10" bestFit="1" customWidth="1"/>
  </cols>
  <sheetData>
    <row r="2" spans="2:16">
      <c r="B2" s="230" t="inlineStr">
        <is>
          <t>ACME Solar Holdings - quarterly historical data (INR mn unless stated; hard-coded actuals in black)</t>
        </is>
      </c>
      <c r="C2" s="230"/>
      <c r="D2" s="230"/>
      <c r="E2" s="230"/>
      <c r="F2" s="230"/>
      <c r="G2" s="230"/>
      <c r="H2" s="230"/>
      <c r="I2" s="230"/>
      <c r="J2" s="230"/>
      <c r="K2" s="230"/>
      <c r="L2" s="230"/>
      <c r="M2" s="230"/>
      <c r="N2" s="230"/>
      <c r="O2" s="230"/>
      <c r="P2" s="230"/>
    </row>
    <row r="3" spans="2:16">
      <c r="B3" s="230" t="inlineStr">
        <is>
          <t>Quarter</t>
        </is>
      </c>
      <c r="C3" s="230"/>
      <c r="D3" s="232" t="inlineStr">
        <is>
          <t>1QFY24</t>
        </is>
      </c>
      <c r="E3" s="232" t="inlineStr">
        <is>
          <t>2QFY24</t>
        </is>
      </c>
      <c r="F3" s="232" t="inlineStr">
        <is>
          <t>3QFY24</t>
        </is>
      </c>
      <c r="G3" s="232" t="inlineStr">
        <is>
          <t>4QFY24</t>
        </is>
      </c>
      <c r="H3" s="232" t="inlineStr">
        <is>
          <t>1QFY25</t>
        </is>
      </c>
      <c r="I3" s="232" t="inlineStr">
        <is>
          <t>2QFY25</t>
        </is>
      </c>
      <c r="J3" s="232" t="inlineStr">
        <is>
          <t>3QFY25</t>
        </is>
      </c>
      <c r="K3" s="232" t="inlineStr">
        <is>
          <t>4QFY25</t>
        </is>
      </c>
      <c r="L3" s="232" t="inlineStr">
        <is>
          <t>1QFY26</t>
        </is>
      </c>
      <c r="M3" s="232" t="inlineStr">
        <is>
          <t>2QFY26</t>
        </is>
      </c>
      <c r="N3" s="232" t="inlineStr">
        <is>
          <t>3QFY26</t>
        </is>
      </c>
      <c r="O3" s="232" t="inlineStr">
        <is>
          <t>4QFY26</t>
        </is>
      </c>
      <c r="P3" s="232" t="inlineStr">
        <is>
          <t>1QFY27</t>
        </is>
      </c>
    </row>
    <row r="5" spans="2:16">
      <c r="B5" s="230" t="inlineStr">
        <is>
          <t>A. Consolidated P&amp;L (INR mn)</t>
        </is>
      </c>
      <c r="C5" s="230"/>
      <c r="D5" s="230"/>
      <c r="E5" s="230"/>
      <c r="F5" s="230"/>
      <c r="G5" s="230"/>
      <c r="H5" s="230"/>
      <c r="I5" s="230"/>
      <c r="J5" s="230"/>
      <c r="K5" s="230"/>
      <c r="L5" s="230"/>
      <c r="M5" s="230"/>
      <c r="N5" s="230"/>
      <c r="O5" s="230"/>
      <c r="P5" s="230"/>
    </row>
    <row r="6" spans="2:16">
      <c r="B6" s="235" t="inlineStr">
        <is>
          <t>Revenue from operations</t>
        </is>
      </c>
      <c r="C6" s="233"/>
      <c r="D6" s="532">
        <v>3691.32</v>
      </c>
      <c r="E6" s="532">
        <v>3233.23</v>
      </c>
      <c r="F6" s="532">
        <v>3316.34</v>
      </c>
      <c r="G6" s="532">
        <v>2951.61</v>
      </c>
      <c r="H6" s="532">
        <v>3096.4</v>
      </c>
      <c r="I6" s="532">
        <v>2595.92</v>
      </c>
      <c r="J6" s="532">
        <v>3490.12</v>
      </c>
      <c r="K6" s="532">
        <v>4868.87</v>
      </c>
      <c r="L6" s="532">
        <v>5109.84</v>
      </c>
      <c r="M6" s="532">
        <v>4677.48</v>
      </c>
      <c r="N6" s="532">
        <v>4967.93</v>
      </c>
      <c r="O6" s="532">
        <v>5478.54</v>
      </c>
      <c r="P6" s="532">
        <v>8575.0</v>
      </c>
    </row>
    <row r="7" spans="2:16">
      <c r="B7" s="233" t="inlineStr">
        <is>
          <t>Other income</t>
        </is>
      </c>
      <c r="C7" s="233"/>
      <c r="D7" s="531">
        <v>574.3</v>
      </c>
      <c r="E7" s="531">
        <v>336.36</v>
      </c>
      <c r="F7" s="531">
        <v>330.3</v>
      </c>
      <c r="G7" s="531">
        <v>229.21</v>
      </c>
      <c r="H7" s="531">
        <v>303.74</v>
      </c>
      <c r="I7" s="531">
        <v>355.54</v>
      </c>
      <c r="J7" s="531">
        <v>518.14</v>
      </c>
      <c r="K7" s="531">
        <v>523.68</v>
      </c>
      <c r="L7" s="531">
        <v>730.06</v>
      </c>
      <c r="M7" s="531">
        <v>1336.18</v>
      </c>
      <c r="N7" s="531">
        <v>1200.19</v>
      </c>
      <c r="O7" s="531">
        <v>1570.58</v>
      </c>
      <c r="P7" s="531">
        <v>962.73</v>
      </c>
    </row>
    <row r="8" spans="2:16">
      <c r="B8" s="235" t="inlineStr">
        <is>
          <t>Total income</t>
        </is>
      </c>
      <c r="C8" s="233"/>
      <c r="D8" s="532">
        <v>4265.62</v>
      </c>
      <c r="E8" s="532">
        <v>3569.59</v>
      </c>
      <c r="F8" s="532">
        <v>3646.64</v>
      </c>
      <c r="G8" s="532">
        <v>3180.82</v>
      </c>
      <c r="H8" s="532">
        <v>3400.14</v>
      </c>
      <c r="I8" s="532">
        <v>2951.46</v>
      </c>
      <c r="J8" s="532">
        <v>4008.26</v>
      </c>
      <c r="K8" s="532">
        <v>5392.55</v>
      </c>
      <c r="L8" s="532">
        <v>5839.9</v>
      </c>
      <c r="M8" s="532">
        <v>6013.66</v>
      </c>
      <c r="N8" s="532">
        <v>6168.12</v>
      </c>
      <c r="O8" s="532">
        <v>7049.12</v>
      </c>
      <c r="P8" s="532">
        <v>9537.73</v>
      </c>
    </row>
    <row r="9" spans="2:16">
      <c r="B9" s="233" t="inlineStr">
        <is>
          <t>Cost of materials consumed / power purchased / construction expenses</t>
        </is>
      </c>
      <c r="C9" s="233"/>
      <c r="D9" s="531">
        <v>0</v>
      </c>
      <c r="E9" s="531">
        <v>0</v>
      </c>
      <c r="F9" s="531">
        <v>0</v>
      </c>
      <c r="G9" s="531">
        <v>0</v>
      </c>
      <c r="H9" s="531">
        <v>0</v>
      </c>
      <c r="I9" s="531">
        <v>0</v>
      </c>
      <c r="J9" s="531">
        <v>0</v>
      </c>
      <c r="K9" s="531">
        <v>0</v>
      </c>
      <c r="L9" s="531">
        <v>0</v>
      </c>
      <c r="M9" s="531">
        <v>0</v>
      </c>
      <c r="N9" s="531">
        <v>0</v>
      </c>
      <c r="O9" s="531">
        <v>0</v>
      </c>
      <c r="P9" s="531">
        <v>389.51</v>
      </c>
    </row>
    <row r="10" spans="2:16">
      <c r="B10" s="233" t="inlineStr">
        <is>
          <t>Employee benefits expense</t>
        </is>
      </c>
      <c r="C10" s="233"/>
      <c r="D10" s="531">
        <v>132.78</v>
      </c>
      <c r="E10" s="531">
        <v>116.95</v>
      </c>
      <c r="F10" s="531">
        <v>166.02</v>
      </c>
      <c r="G10" s="531">
        <v>174.2</v>
      </c>
      <c r="H10" s="531">
        <v>150.05</v>
      </c>
      <c r="I10" s="531">
        <v>160.17</v>
      </c>
      <c r="J10" s="531">
        <v>166.51</v>
      </c>
      <c r="K10" s="531">
        <v>172.72</v>
      </c>
      <c r="L10" s="531">
        <v>158.04</v>
      </c>
      <c r="M10" s="531">
        <v>154.5</v>
      </c>
      <c r="N10" s="531">
        <v>158.3</v>
      </c>
      <c r="O10" s="531">
        <v>148.85</v>
      </c>
      <c r="P10" s="531">
        <v>177.45</v>
      </c>
    </row>
    <row r="11" spans="2:16">
      <c r="B11" s="233" t="inlineStr">
        <is>
          <t>Other expenses</t>
        </is>
      </c>
      <c r="C11" s="233"/>
      <c r="D11" s="531">
        <v>341.56</v>
      </c>
      <c r="E11" s="531">
        <v>220.44</v>
      </c>
      <c r="F11" s="531">
        <v>378.35</v>
      </c>
      <c r="G11" s="531">
        <v>770.72</v>
      </c>
      <c r="H11" s="531">
        <v>229.13</v>
      </c>
      <c r="I11" s="531">
        <v>228.13</v>
      </c>
      <c r="J11" s="531">
        <v>251.62</v>
      </c>
      <c r="K11" s="531">
        <v>338.68</v>
      </c>
      <c r="L11" s="531">
        <v>373.68</v>
      </c>
      <c r="M11" s="531">
        <v>520.88</v>
      </c>
      <c r="N11" s="531">
        <v>364.85</v>
      </c>
      <c r="O11" s="531">
        <v>541.33</v>
      </c>
      <c r="P11" s="531">
        <v>665.43</v>
      </c>
    </row>
    <row r="12" spans="2:16">
      <c r="B12" s="235" t="inlineStr">
        <is>
          <t>Total expenses (excl. finance costs and D&amp;A)</t>
        </is>
      </c>
      <c r="C12" s="233"/>
      <c r="D12" s="532">
        <v>3118.31</v>
      </c>
      <c r="E12" s="532">
        <v>337.39</v>
      </c>
      <c r="F12" s="532">
        <v>544.37</v>
      </c>
      <c r="G12" s="532">
        <v>944.92</v>
      </c>
      <c r="H12" s="532">
        <v>379.18</v>
      </c>
      <c r="I12" s="532">
        <v>388.3</v>
      </c>
      <c r="J12" s="532">
        <v>418.13</v>
      </c>
      <c r="K12" s="532">
        <v>511.4</v>
      </c>
      <c r="L12" s="532">
        <v>531.72</v>
      </c>
      <c r="M12" s="532">
        <v>675.38</v>
      </c>
      <c r="N12" s="532">
        <v>523.15</v>
      </c>
      <c r="O12" s="532">
        <v>690.18</v>
      </c>
      <c r="P12" s="532">
        <v>1232.39</v>
      </c>
    </row>
    <row r="13" spans="2:16">
      <c r="B13" s="235" t="inlineStr">
        <is>
          <t>EBITDA (as reported: total income less total expenses)</t>
        </is>
      </c>
      <c r="C13" s="233"/>
      <c r="D13" s="532">
        <v>0</v>
      </c>
      <c r="E13" s="532">
        <v>3232.2</v>
      </c>
      <c r="F13" s="532">
        <v>3102.27</v>
      </c>
      <c r="G13" s="532">
        <v>2235.9</v>
      </c>
      <c r="H13" s="532">
        <v>3020.96</v>
      </c>
      <c r="I13" s="532">
        <v>2563.16</v>
      </c>
      <c r="J13" s="532">
        <v>3590.13</v>
      </c>
      <c r="K13" s="532">
        <v>4881.15</v>
      </c>
      <c r="L13" s="532">
        <v>5308.18</v>
      </c>
      <c r="M13" s="532">
        <v>5338.28</v>
      </c>
      <c r="N13" s="532">
        <v>5644.97</v>
      </c>
      <c r="O13" s="532">
        <v>6358.94</v>
      </c>
      <c r="P13" s="532">
        <v>8305.34</v>
      </c>
    </row>
    <row r="14" spans="2:16">
      <c r="B14" s="233" t="inlineStr">
        <is>
          <t>Finance costs</t>
        </is>
      </c>
      <c r="C14" s="233"/>
      <c r="D14" s="531">
        <v>1878.4</v>
      </c>
      <c r="E14" s="531">
        <v>1997.4</v>
      </c>
      <c r="F14" s="531">
        <v>2023.83</v>
      </c>
      <c r="G14" s="531">
        <v>1773.3</v>
      </c>
      <c r="H14" s="531">
        <v>1962.83</v>
      </c>
      <c r="I14" s="531">
        <v>1783.0</v>
      </c>
      <c r="J14" s="531">
        <v>1790.78</v>
      </c>
      <c r="K14" s="531">
        <v>2055.46</v>
      </c>
      <c r="L14" s="531">
        <v>2329.63</v>
      </c>
      <c r="M14" s="531">
        <v>2645.21</v>
      </c>
      <c r="N14" s="531">
        <v>2880.26</v>
      </c>
      <c r="O14" s="531">
        <v>3374.78</v>
      </c>
      <c r="P14" s="531">
        <v>3442.71</v>
      </c>
    </row>
    <row r="15" spans="2:16">
      <c r="B15" s="233" t="inlineStr">
        <is>
          <t>Depreciation and amortisation</t>
        </is>
      </c>
      <c r="C15" s="233"/>
      <c r="D15" s="531">
        <v>765.57</v>
      </c>
      <c r="E15" s="531">
        <v>856.01</v>
      </c>
      <c r="F15" s="531">
        <v>847.31</v>
      </c>
      <c r="G15" s="531">
        <v>612.49</v>
      </c>
      <c r="H15" s="531">
        <v>555.62</v>
      </c>
      <c r="I15" s="531">
        <v>598.69</v>
      </c>
      <c r="J15" s="531">
        <v>696.62</v>
      </c>
      <c r="K15" s="531">
        <v>1022.2</v>
      </c>
      <c r="L15" s="531">
        <v>1075.51</v>
      </c>
      <c r="M15" s="531">
        <v>1173.77</v>
      </c>
      <c r="N15" s="531">
        <v>1201.81</v>
      </c>
      <c r="O15" s="531">
        <v>1227.93</v>
      </c>
      <c r="P15" s="531">
        <v>1547.99</v>
      </c>
    </row>
    <row r="16" spans="2:16">
      <c r="B16" s="235" t="inlineStr">
        <is>
          <t>Profit before exceptional items and tax</t>
        </is>
      </c>
      <c r="C16" s="233"/>
      <c r="D16" s="532">
        <v>1147.31</v>
      </c>
      <c r="E16" s="532">
        <v>378.79</v>
      </c>
      <c r="F16" s="532">
        <v>231.13</v>
      </c>
      <c r="G16" s="532">
        <v>-149.89</v>
      </c>
      <c r="H16" s="532">
        <v>502.51</v>
      </c>
      <c r="I16" s="532">
        <v>181.47</v>
      </c>
      <c r="J16" s="532">
        <v>1102.73</v>
      </c>
      <c r="K16" s="532">
        <v>1803.49</v>
      </c>
      <c r="L16" s="532">
        <v>1903.04</v>
      </c>
      <c r="M16" s="532">
        <v>1519.3</v>
      </c>
      <c r="N16" s="532">
        <v>1562.9</v>
      </c>
      <c r="O16" s="532">
        <v>1756.23</v>
      </c>
      <c r="P16" s="532">
        <v>3314.64</v>
      </c>
    </row>
    <row r="17" spans="2:16">
      <c r="B17" s="233" t="inlineStr">
        <is>
          <t>Exceptional items (gain / (loss))</t>
        </is>
      </c>
      <c r="C17" s="233"/>
      <c r="D17" s="531">
        <v>74.47</v>
      </c>
      <c r="E17" s="531">
        <v>394.91</v>
      </c>
      <c r="F17" s="531">
        <v>55.2</v>
      </c>
      <c r="G17" s="531">
        <v>6962.33</v>
      </c>
      <c r="H17" s="531">
        <v>0</v>
      </c>
      <c r="I17" s="531">
        <v>0</v>
      </c>
      <c r="J17" s="531">
        <v>-69.02</v>
      </c>
      <c r="K17" s="531">
        <v>-140.82</v>
      </c>
      <c r="L17" s="531">
        <v>-159.11</v>
      </c>
      <c r="M17" s="531">
        <v>42.49</v>
      </c>
      <c r="N17" s="531">
        <v>0</v>
      </c>
      <c r="O17" s="531">
        <v>143.39</v>
      </c>
      <c r="P17" s="531">
        <v>0</v>
      </c>
    </row>
    <row r="18" spans="2:16">
      <c r="B18" s="235" t="inlineStr">
        <is>
          <t>Profit before tax</t>
        </is>
      </c>
      <c r="C18" s="233"/>
      <c r="D18" s="532">
        <v>1221.78</v>
      </c>
      <c r="E18" s="532">
        <v>773.7</v>
      </c>
      <c r="F18" s="532">
        <v>286.33</v>
      </c>
      <c r="G18" s="532">
        <v>6812.44</v>
      </c>
      <c r="H18" s="532">
        <v>502.51</v>
      </c>
      <c r="I18" s="532">
        <v>181.47</v>
      </c>
      <c r="J18" s="532">
        <v>1033.71</v>
      </c>
      <c r="K18" s="532">
        <v>1662.67</v>
      </c>
      <c r="L18" s="532">
        <v>1743.93</v>
      </c>
      <c r="M18" s="532">
        <v>1561.79</v>
      </c>
      <c r="N18" s="532">
        <v>1562.9</v>
      </c>
      <c r="O18" s="532">
        <v>1899.62</v>
      </c>
      <c r="P18" s="532">
        <v>3314.64</v>
      </c>
    </row>
    <row r="19" spans="2:16">
      <c r="B19" s="233" t="inlineStr">
        <is>
          <t>Current tax</t>
        </is>
      </c>
      <c r="C19" s="233"/>
      <c r="D19" s="531">
        <v>30.560000000000002</v>
      </c>
      <c r="E19" s="531">
        <v>23.35</v>
      </c>
      <c r="F19" s="531">
        <v>158.27</v>
      </c>
      <c r="G19" s="531">
        <v>857.88</v>
      </c>
      <c r="H19" s="531">
        <v>468.64</v>
      </c>
      <c r="I19" s="531">
        <v>167.91</v>
      </c>
      <c r="J19" s="531">
        <v>139.64</v>
      </c>
      <c r="K19" s="531">
        <v>-45.71</v>
      </c>
      <c r="L19" s="531">
        <v>84.6</v>
      </c>
      <c r="M19" s="531">
        <v>101.58</v>
      </c>
      <c r="N19" s="531">
        <v>243.59</v>
      </c>
      <c r="O19" s="531">
        <v>1255.29</v>
      </c>
      <c r="P19" s="531">
        <v>581.86</v>
      </c>
    </row>
    <row r="20" spans="2:16">
      <c r="B20" s="233" t="inlineStr">
        <is>
          <t>Deferred tax</t>
        </is>
      </c>
      <c r="C20" s="233"/>
      <c r="D20" s="531">
        <v>367.91</v>
      </c>
      <c r="E20" s="531">
        <v>364.05</v>
      </c>
      <c r="F20" s="531">
        <v>-316.43</v>
      </c>
      <c r="G20" s="531">
        <v>630.85</v>
      </c>
      <c r="H20" s="531">
        <v>19.98</v>
      </c>
      <c r="I20" s="531">
        <v>-139.43</v>
      </c>
      <c r="J20" s="531">
        <v>-226.51</v>
      </c>
      <c r="K20" s="531">
        <v>487.63</v>
      </c>
      <c r="L20" s="531">
        <v>351.09</v>
      </c>
      <c r="M20" s="531">
        <v>309.56</v>
      </c>
      <c r="N20" s="531">
        <v>182.22</v>
      </c>
      <c r="O20" s="531">
        <v>-738.73</v>
      </c>
      <c r="P20" s="531">
        <v>379.48</v>
      </c>
    </row>
    <row r="21" spans="2:16">
      <c r="B21" s="235" t="inlineStr">
        <is>
          <t>Total tax</t>
        </is>
      </c>
      <c r="C21" s="233"/>
      <c r="D21" s="532">
        <v>398.47</v>
      </c>
      <c r="E21" s="532">
        <v>387.4</v>
      </c>
      <c r="F21" s="532">
        <v>-158.16</v>
      </c>
      <c r="G21" s="532">
        <v>1488.73</v>
      </c>
      <c r="H21" s="532">
        <v>488.62</v>
      </c>
      <c r="I21" s="532">
        <v>28.48</v>
      </c>
      <c r="J21" s="532">
        <v>-86.87</v>
      </c>
      <c r="K21" s="532">
        <v>441.92</v>
      </c>
      <c r="L21" s="532">
        <v>435.69</v>
      </c>
      <c r="M21" s="532">
        <v>411.14</v>
      </c>
      <c r="N21" s="532">
        <v>425.81</v>
      </c>
      <c r="O21" s="532">
        <v>516.56</v>
      </c>
      <c r="P21" s="532">
        <v>961.34</v>
      </c>
    </row>
    <row r="22" spans="2:16">
      <c r="B22" s="235" t="inlineStr">
        <is>
          <t>PAT before minority interest</t>
        </is>
      </c>
      <c r="C22" s="233"/>
      <c r="D22" s="532">
        <v>823.31</v>
      </c>
      <c r="E22" s="532">
        <v>386.3</v>
      </c>
      <c r="F22" s="532">
        <v>444.49</v>
      </c>
      <c r="G22" s="532">
        <v>5323.71</v>
      </c>
      <c r="H22" s="532">
        <v>13.89</v>
      </c>
      <c r="I22" s="532">
        <v>152.99</v>
      </c>
      <c r="J22" s="532">
        <v>1120.58</v>
      </c>
      <c r="K22" s="532">
        <v>1220.75</v>
      </c>
      <c r="L22" s="532">
        <v>1308.24</v>
      </c>
      <c r="M22" s="532">
        <v>1150.65</v>
      </c>
      <c r="N22" s="532">
        <v>1137.09</v>
      </c>
      <c r="O22" s="532">
        <v>1383.06</v>
      </c>
      <c r="P22" s="532">
        <v>2353.3</v>
      </c>
    </row>
    <row r="23" spans="2:16">
      <c r="B23" s="233" t="inlineStr">
        <is>
          <t>Minority interest (share of NCI; negative = loss)</t>
        </is>
      </c>
      <c r="C23" s="233"/>
      <c r="D23" s="531">
        <v>0</v>
      </c>
      <c r="E23" s="531">
        <v>0</v>
      </c>
      <c r="F23" s="531">
        <v>0</v>
      </c>
      <c r="G23" s="531">
        <v>-0.17</v>
      </c>
      <c r="H23" s="531">
        <v>0</v>
      </c>
      <c r="I23" s="531">
        <v>0</v>
      </c>
      <c r="J23" s="531">
        <v>0</v>
      </c>
      <c r="K23" s="531">
        <v>-12.87</v>
      </c>
      <c r="L23" s="531">
        <v>-0.06</v>
      </c>
      <c r="M23" s="531">
        <v>-0.08</v>
      </c>
      <c r="N23" s="531">
        <v>-0.05</v>
      </c>
      <c r="O23" s="531">
        <v>-10.11</v>
      </c>
      <c r="P23" s="531">
        <v>0</v>
      </c>
    </row>
    <row r="24" spans="2:16">
      <c r="B24" s="235" t="inlineStr">
        <is>
          <t>PAT after minority interest (owners)</t>
        </is>
      </c>
      <c r="C24" s="233"/>
      <c r="D24" s="532">
        <v>823.31</v>
      </c>
      <c r="E24" s="532">
        <v>386.3</v>
      </c>
      <c r="F24" s="532">
        <v>444.49</v>
      </c>
      <c r="G24" s="532">
        <v>5323.88</v>
      </c>
      <c r="H24" s="532">
        <v>13.89</v>
      </c>
      <c r="I24" s="532">
        <v>152.99</v>
      </c>
      <c r="J24" s="532">
        <v>1120.58</v>
      </c>
      <c r="K24" s="532">
        <v>1233.62</v>
      </c>
      <c r="L24" s="532">
        <v>1308.3</v>
      </c>
      <c r="M24" s="532">
        <v>1150.73</v>
      </c>
      <c r="N24" s="532">
        <v>1137.14</v>
      </c>
      <c r="O24" s="532">
        <v>1393.17</v>
      </c>
      <c r="P24" s="532">
        <v>2353.3</v>
      </c>
    </row>
    <row r="25" spans="2:16">
      <c r="B25" s="235" t="inlineStr">
        <is>
          <t>Cash PAT (PAT + D&amp;A -/+ exceptional items)</t>
        </is>
      </c>
      <c r="C25" s="233"/>
      <c r="D25" s="532">
        <v>1514.41</v>
      </c>
      <c r="E25" s="532">
        <v>847.3999999999999</v>
      </c>
      <c r="F25" s="532">
        <v>1236.6</v>
      </c>
      <c r="G25" s="532">
        <v>-1026.13</v>
      </c>
      <c r="H25" s="532">
        <v>569.51</v>
      </c>
      <c r="I25" s="532">
        <v>751.6800000000001</v>
      </c>
      <c r="J25" s="532">
        <v>1886.2199999999998</v>
      </c>
      <c r="K25" s="532">
        <v>2383.77</v>
      </c>
      <c r="L25" s="532">
        <v>2542.86</v>
      </c>
      <c r="M25" s="532">
        <v>2281.9300000000003</v>
      </c>
      <c r="N25" s="532">
        <v>2338.8999999999996</v>
      </c>
      <c r="O25" s="532">
        <v>2467.6</v>
      </c>
      <c r="P25" s="532">
        <v>3901.29</v>
      </c>
    </row>
    <row r="27" spans="2:16">
      <c r="B27" s="230" t="inlineStr">
        <is>
          <t>B. Standalone P&amp;L (INR mn) - in-house EPC business</t>
        </is>
      </c>
      <c r="C27" s="230"/>
      <c r="D27" s="230"/>
      <c r="E27" s="230"/>
      <c r="F27" s="230"/>
      <c r="G27" s="230"/>
      <c r="H27" s="230"/>
      <c r="I27" s="230"/>
      <c r="J27" s="230"/>
      <c r="K27" s="230"/>
      <c r="L27" s="230"/>
      <c r="M27" s="230"/>
      <c r="N27" s="230"/>
      <c r="O27" s="230"/>
      <c r="P27" s="230"/>
    </row>
    <row r="28" spans="2:16">
      <c r="B28" s="235" t="inlineStr">
        <is>
          <t>Revenue from operations</t>
        </is>
      </c>
      <c r="C28" s="233"/>
      <c r="D28" s="532">
        <v>0</v>
      </c>
      <c r="E28" s="532">
        <v>1393.29</v>
      </c>
      <c r="F28" s="532">
        <v>823.66</v>
      </c>
      <c r="G28" s="532">
        <v>1897.4</v>
      </c>
      <c r="H28" s="532">
        <v>3693.7</v>
      </c>
      <c r="I28" s="532">
        <v>4351.69</v>
      </c>
      <c r="J28" s="532">
        <v>2787.8</v>
      </c>
      <c r="K28" s="532">
        <v>2687.82</v>
      </c>
      <c r="L28" s="532">
        <v>2826.58</v>
      </c>
      <c r="M28" s="532">
        <v>3324.31</v>
      </c>
      <c r="N28" s="532">
        <v>9176.63</v>
      </c>
      <c r="O28" s="532">
        <v>23781.98</v>
      </c>
      <c r="P28" s="532">
        <v>22663.06</v>
      </c>
    </row>
    <row r="29" spans="2:16">
      <c r="B29" s="233" t="inlineStr">
        <is>
          <t>Other income</t>
        </is>
      </c>
      <c r="C29" s="233"/>
      <c r="D29" s="531">
        <v>0</v>
      </c>
      <c r="E29" s="531">
        <v>338.47</v>
      </c>
      <c r="F29" s="531">
        <v>302.72</v>
      </c>
      <c r="G29" s="531">
        <v>356.45</v>
      </c>
      <c r="H29" s="531">
        <v>348.96</v>
      </c>
      <c r="I29" s="531">
        <v>365.45</v>
      </c>
      <c r="J29" s="531">
        <v>486.33</v>
      </c>
      <c r="K29" s="531">
        <v>396.61</v>
      </c>
      <c r="L29" s="531">
        <v>813.27</v>
      </c>
      <c r="M29" s="531">
        <v>1330.42</v>
      </c>
      <c r="N29" s="531">
        <v>842.99</v>
      </c>
      <c r="O29" s="531">
        <v>1476.69</v>
      </c>
      <c r="P29" s="531">
        <v>919.69</v>
      </c>
    </row>
    <row r="30" spans="2:16">
      <c r="B30" s="235" t="inlineStr">
        <is>
          <t>Total income</t>
        </is>
      </c>
      <c r="C30" s="233"/>
      <c r="D30" s="532">
        <v>0</v>
      </c>
      <c r="E30" s="532">
        <v>1731.76</v>
      </c>
      <c r="F30" s="532">
        <v>1126.38</v>
      </c>
      <c r="G30" s="532">
        <v>2253.85</v>
      </c>
      <c r="H30" s="532">
        <v>4042.66</v>
      </c>
      <c r="I30" s="532">
        <v>4717.14</v>
      </c>
      <c r="J30" s="532">
        <v>3274.13</v>
      </c>
      <c r="K30" s="532">
        <v>3084.43</v>
      </c>
      <c r="L30" s="532">
        <v>3639.85</v>
      </c>
      <c r="M30" s="532">
        <v>4654.73</v>
      </c>
      <c r="N30" s="532">
        <v>10019.62</v>
      </c>
      <c r="O30" s="532">
        <v>25258.67</v>
      </c>
      <c r="P30" s="532">
        <v>23582.75</v>
      </c>
    </row>
    <row r="31" spans="2:16">
      <c r="B31" s="233" t="inlineStr">
        <is>
          <t>Cost of materials consumed / power purchased / construction expenses</t>
        </is>
      </c>
      <c r="C31" s="233"/>
      <c r="D31" s="531">
        <v>0</v>
      </c>
      <c r="E31" s="531">
        <v>1241.12</v>
      </c>
      <c r="F31" s="531">
        <v>797.58</v>
      </c>
      <c r="G31" s="531">
        <v>1819.43</v>
      </c>
      <c r="H31" s="531">
        <v>1323.29</v>
      </c>
      <c r="I31" s="531">
        <v>3359.98</v>
      </c>
      <c r="J31" s="531">
        <v>2279.0</v>
      </c>
      <c r="K31" s="531">
        <v>2113.91</v>
      </c>
      <c r="L31" s="531">
        <v>2217.7</v>
      </c>
      <c r="M31" s="531">
        <v>2608.21</v>
      </c>
      <c r="N31" s="531">
        <v>7882.72</v>
      </c>
      <c r="O31" s="531">
        <v>19685.51</v>
      </c>
      <c r="P31" s="531">
        <v>19830.16</v>
      </c>
    </row>
    <row r="32" spans="2:16">
      <c r="B32" s="233" t="inlineStr">
        <is>
          <t>Employee benefits expense</t>
        </is>
      </c>
      <c r="C32" s="233"/>
      <c r="D32" s="531">
        <v>0</v>
      </c>
      <c r="E32" s="531">
        <v>148.94</v>
      </c>
      <c r="F32" s="531">
        <v>192.17</v>
      </c>
      <c r="G32" s="531">
        <v>212.24</v>
      </c>
      <c r="H32" s="531">
        <v>206.44</v>
      </c>
      <c r="I32" s="531">
        <v>244.19</v>
      </c>
      <c r="J32" s="531">
        <v>356.97</v>
      </c>
      <c r="K32" s="531">
        <v>555.31</v>
      </c>
      <c r="L32" s="531">
        <v>593.51</v>
      </c>
      <c r="M32" s="531">
        <v>610.66</v>
      </c>
      <c r="N32" s="531">
        <v>682.76</v>
      </c>
      <c r="O32" s="531">
        <v>657.52</v>
      </c>
      <c r="P32" s="531">
        <v>805.46</v>
      </c>
    </row>
    <row r="33" spans="2:16">
      <c r="B33" s="233" t="inlineStr">
        <is>
          <t>Other expenses</t>
        </is>
      </c>
      <c r="C33" s="233"/>
      <c r="D33" s="531">
        <v>0</v>
      </c>
      <c r="E33" s="531">
        <v>21.33</v>
      </c>
      <c r="F33" s="531">
        <v>25.37</v>
      </c>
      <c r="G33" s="531">
        <v>56.83</v>
      </c>
      <c r="H33" s="531">
        <v>41.01</v>
      </c>
      <c r="I33" s="531">
        <v>45.44</v>
      </c>
      <c r="J33" s="531">
        <v>105.53</v>
      </c>
      <c r="K33" s="531">
        <v>204.71</v>
      </c>
      <c r="L33" s="531">
        <v>216.26</v>
      </c>
      <c r="M33" s="531">
        <v>373.86</v>
      </c>
      <c r="N33" s="531">
        <v>249.5</v>
      </c>
      <c r="O33" s="531">
        <v>358.95</v>
      </c>
      <c r="P33" s="531">
        <v>324.47</v>
      </c>
    </row>
    <row r="34" spans="2:16">
      <c r="B34" s="235" t="inlineStr">
        <is>
          <t>Total expenses (excl. finance costs and D&amp;A)</t>
        </is>
      </c>
      <c r="C34" s="233"/>
      <c r="D34" s="532">
        <v>0</v>
      </c>
      <c r="E34" s="532">
        <v>1411.39</v>
      </c>
      <c r="F34" s="532">
        <v>1015.12</v>
      </c>
      <c r="G34" s="532">
        <v>2088.5</v>
      </c>
      <c r="H34" s="532">
        <v>1570.74</v>
      </c>
      <c r="I34" s="532">
        <v>3649.61</v>
      </c>
      <c r="J34" s="532">
        <v>2741.5</v>
      </c>
      <c r="K34" s="532">
        <v>2873.93</v>
      </c>
      <c r="L34" s="532">
        <v>3027.47</v>
      </c>
      <c r="M34" s="532">
        <v>3592.73</v>
      </c>
      <c r="N34" s="532">
        <v>8814.98</v>
      </c>
      <c r="O34" s="532">
        <v>20701.98</v>
      </c>
      <c r="P34" s="532">
        <v>20960.09</v>
      </c>
    </row>
    <row r="35" spans="2:16">
      <c r="B35" s="235" t="inlineStr">
        <is>
          <t>EBITDA (as reported: total income less total expenses)</t>
        </is>
      </c>
      <c r="C35" s="233"/>
      <c r="D35" s="532">
        <v>0</v>
      </c>
      <c r="E35" s="532">
        <v>320.37</v>
      </c>
      <c r="F35" s="532">
        <v>111.26</v>
      </c>
      <c r="G35" s="532">
        <v>165.35</v>
      </c>
      <c r="H35" s="532">
        <v>2471.92</v>
      </c>
      <c r="I35" s="532">
        <v>1067.53</v>
      </c>
      <c r="J35" s="532">
        <v>532.63</v>
      </c>
      <c r="K35" s="532">
        <v>210.5</v>
      </c>
      <c r="L35" s="532">
        <v>612.38</v>
      </c>
      <c r="M35" s="532">
        <v>1062.0</v>
      </c>
      <c r="N35" s="532">
        <v>1204.64</v>
      </c>
      <c r="O35" s="532">
        <v>4556.69</v>
      </c>
      <c r="P35" s="532">
        <v>2622.66</v>
      </c>
    </row>
    <row r="36" spans="2:16">
      <c r="B36" s="233" t="inlineStr">
        <is>
          <t>Finance costs</t>
        </is>
      </c>
      <c r="C36" s="233"/>
      <c r="D36" s="531">
        <v>0</v>
      </c>
      <c r="E36" s="531">
        <v>460.21</v>
      </c>
      <c r="F36" s="531">
        <v>451.02</v>
      </c>
      <c r="G36" s="531">
        <v>431.36</v>
      </c>
      <c r="H36" s="531">
        <v>437.58</v>
      </c>
      <c r="I36" s="531">
        <v>482.35</v>
      </c>
      <c r="J36" s="531">
        <v>474.19</v>
      </c>
      <c r="K36" s="531">
        <v>368.52</v>
      </c>
      <c r="L36" s="531">
        <v>600.6</v>
      </c>
      <c r="M36" s="531">
        <v>675.47</v>
      </c>
      <c r="N36" s="531">
        <v>758.77</v>
      </c>
      <c r="O36" s="531">
        <v>996.15</v>
      </c>
      <c r="P36" s="531">
        <v>966.12</v>
      </c>
    </row>
    <row r="37" spans="2:16">
      <c r="B37" s="233" t="inlineStr">
        <is>
          <t>Depreciation and amortisation</t>
        </is>
      </c>
      <c r="C37" s="233"/>
      <c r="D37" s="531">
        <v>0</v>
      </c>
      <c r="E37" s="531">
        <v>0</v>
      </c>
      <c r="F37" s="531">
        <v>0.01</v>
      </c>
      <c r="G37" s="531">
        <v>0.01</v>
      </c>
      <c r="H37" s="531">
        <v>0.01</v>
      </c>
      <c r="I37" s="531">
        <v>0.01</v>
      </c>
      <c r="J37" s="531">
        <v>0.01</v>
      </c>
      <c r="K37" s="531">
        <v>0.06</v>
      </c>
      <c r="L37" s="531">
        <v>0.89</v>
      </c>
      <c r="M37" s="531">
        <v>0.94</v>
      </c>
      <c r="N37" s="531">
        <v>1.21</v>
      </c>
      <c r="O37" s="531">
        <v>2.26</v>
      </c>
      <c r="P37" s="531">
        <v>25.98</v>
      </c>
    </row>
    <row r="38" spans="2:16">
      <c r="B38" s="235" t="inlineStr">
        <is>
          <t>Profit before exceptional items and tax</t>
        </is>
      </c>
      <c r="C38" s="233"/>
      <c r="D38" s="532">
        <v>0</v>
      </c>
      <c r="E38" s="532">
        <v>-139.84</v>
      </c>
      <c r="F38" s="532">
        <v>-339.77</v>
      </c>
      <c r="G38" s="532">
        <v>-266.02</v>
      </c>
      <c r="H38" s="532">
        <v>2034.33</v>
      </c>
      <c r="I38" s="532">
        <v>585.17</v>
      </c>
      <c r="J38" s="532">
        <v>58.43</v>
      </c>
      <c r="K38" s="532">
        <v>-158.08</v>
      </c>
      <c r="L38" s="532">
        <v>10.89</v>
      </c>
      <c r="M38" s="532">
        <v>385.59</v>
      </c>
      <c r="N38" s="532">
        <v>444.66</v>
      </c>
      <c r="O38" s="532">
        <v>3558.28</v>
      </c>
      <c r="P38" s="532">
        <v>1630.56</v>
      </c>
    </row>
    <row r="39" spans="2:16">
      <c r="B39" s="233" t="inlineStr">
        <is>
          <t>Exceptional items (gain / (loss))</t>
        </is>
      </c>
      <c r="C39" s="233"/>
      <c r="D39" s="531">
        <v>0</v>
      </c>
      <c r="E39" s="531">
        <v>390.89</v>
      </c>
      <c r="F39" s="531">
        <v>439.86</v>
      </c>
      <c r="G39" s="531">
        <v>5292.93</v>
      </c>
      <c r="H39" s="531">
        <v>0</v>
      </c>
      <c r="I39" s="531">
        <v>0</v>
      </c>
      <c r="J39" s="531">
        <v>18.45</v>
      </c>
      <c r="K39" s="531">
        <v>-6.49</v>
      </c>
      <c r="L39" s="531">
        <v>0</v>
      </c>
      <c r="M39" s="531">
        <v>24.17</v>
      </c>
      <c r="N39" s="531">
        <v>0</v>
      </c>
      <c r="O39" s="531">
        <v>143.39</v>
      </c>
      <c r="P39" s="531">
        <v>0</v>
      </c>
    </row>
    <row r="40" spans="2:16">
      <c r="B40" s="235" t="inlineStr">
        <is>
          <t>Profit before tax</t>
        </is>
      </c>
      <c r="C40" s="233"/>
      <c r="D40" s="532">
        <v>0</v>
      </c>
      <c r="E40" s="532">
        <v>251.05</v>
      </c>
      <c r="F40" s="532">
        <v>100.09</v>
      </c>
      <c r="G40" s="532">
        <v>5026.91</v>
      </c>
      <c r="H40" s="532">
        <v>2034.33</v>
      </c>
      <c r="I40" s="532">
        <v>585.17</v>
      </c>
      <c r="J40" s="532">
        <v>76.88</v>
      </c>
      <c r="K40" s="532">
        <v>-164.57</v>
      </c>
      <c r="L40" s="532">
        <v>10.89</v>
      </c>
      <c r="M40" s="532">
        <v>409.76</v>
      </c>
      <c r="N40" s="532">
        <v>444.66</v>
      </c>
      <c r="O40" s="532">
        <v>3701.67</v>
      </c>
      <c r="P40" s="532">
        <v>1630.56</v>
      </c>
    </row>
    <row r="41" spans="2:16">
      <c r="B41" s="233" t="inlineStr">
        <is>
          <t>Current tax</t>
        </is>
      </c>
      <c r="C41" s="233"/>
      <c r="D41" s="531">
        <v>0</v>
      </c>
      <c r="E41" s="531">
        <v>0.83</v>
      </c>
      <c r="F41" s="531">
        <v>131.95</v>
      </c>
      <c r="G41" s="531">
        <v>700.3</v>
      </c>
      <c r="H41" s="531">
        <v>426.74</v>
      </c>
      <c r="I41" s="531">
        <v>129.8</v>
      </c>
      <c r="J41" s="531">
        <v>67.26</v>
      </c>
      <c r="K41" s="531">
        <v>-64.69</v>
      </c>
      <c r="L41" s="531">
        <v>10.21</v>
      </c>
      <c r="M41" s="531">
        <v>29.29</v>
      </c>
      <c r="N41" s="531">
        <v>167.71</v>
      </c>
      <c r="O41" s="531">
        <v>852.18</v>
      </c>
      <c r="P41" s="531">
        <v>419.71</v>
      </c>
    </row>
    <row r="42" spans="2:16">
      <c r="B42" s="233" t="inlineStr">
        <is>
          <t>Deferred tax</t>
        </is>
      </c>
      <c r="C42" s="233"/>
      <c r="D42" s="531">
        <v>0</v>
      </c>
      <c r="E42" s="531">
        <v>-46.46</v>
      </c>
      <c r="F42" s="531">
        <v>-33.7</v>
      </c>
      <c r="G42" s="531">
        <v>289.96</v>
      </c>
      <c r="H42" s="531">
        <v>85.65</v>
      </c>
      <c r="I42" s="531">
        <v>-1.54</v>
      </c>
      <c r="J42" s="531">
        <v>-5.37</v>
      </c>
      <c r="K42" s="531">
        <v>6.25</v>
      </c>
      <c r="L42" s="531">
        <v>-7.45</v>
      </c>
      <c r="M42" s="531">
        <v>68.25</v>
      </c>
      <c r="N42" s="531">
        <v>-39.86</v>
      </c>
      <c r="O42" s="531">
        <v>85.07</v>
      </c>
      <c r="P42" s="531">
        <v>-6.18</v>
      </c>
    </row>
    <row r="43" spans="2:16">
      <c r="B43" s="235" t="inlineStr">
        <is>
          <t>Total tax</t>
        </is>
      </c>
      <c r="C43" s="233"/>
      <c r="D43" s="532">
        <v>0</v>
      </c>
      <c r="E43" s="532">
        <v>-45.63</v>
      </c>
      <c r="F43" s="532">
        <v>98.25</v>
      </c>
      <c r="G43" s="532">
        <v>990.26</v>
      </c>
      <c r="H43" s="532">
        <v>512.39</v>
      </c>
      <c r="I43" s="532">
        <v>128.26</v>
      </c>
      <c r="J43" s="532">
        <v>61.89</v>
      </c>
      <c r="K43" s="532">
        <v>-58.44</v>
      </c>
      <c r="L43" s="532">
        <v>2.76</v>
      </c>
      <c r="M43" s="532">
        <v>97.54</v>
      </c>
      <c r="N43" s="532">
        <v>127.85</v>
      </c>
      <c r="O43" s="532">
        <v>937.25</v>
      </c>
      <c r="P43" s="532">
        <v>413.53</v>
      </c>
    </row>
    <row r="44" spans="2:16">
      <c r="B44" s="235" t="inlineStr">
        <is>
          <t>PAT before minority interest</t>
        </is>
      </c>
      <c r="C44" s="233"/>
      <c r="D44" s="532">
        <v>0</v>
      </c>
      <c r="E44" s="532">
        <v>296.68</v>
      </c>
      <c r="F44" s="532">
        <v>1.84</v>
      </c>
      <c r="G44" s="532">
        <v>4036.65</v>
      </c>
      <c r="H44" s="532">
        <v>1521.94</v>
      </c>
      <c r="I44" s="532">
        <v>456.91</v>
      </c>
      <c r="J44" s="532">
        <v>14.99</v>
      </c>
      <c r="K44" s="532">
        <v>-106.13</v>
      </c>
      <c r="L44" s="532">
        <v>8.13</v>
      </c>
      <c r="M44" s="532">
        <v>312.22</v>
      </c>
      <c r="N44" s="532">
        <v>316.81</v>
      </c>
      <c r="O44" s="532">
        <v>2764.42</v>
      </c>
      <c r="P44" s="532">
        <v>1217.03</v>
      </c>
    </row>
    <row r="45" spans="2:16">
      <c r="B45" s="233" t="inlineStr">
        <is>
          <t>Minority interest (share of NCI; negative = loss)</t>
        </is>
      </c>
      <c r="C45" s="233"/>
      <c r="D45" s="531">
        <v>0</v>
      </c>
      <c r="E45" s="531">
        <v>0</v>
      </c>
      <c r="F45" s="531">
        <v>0</v>
      </c>
      <c r="G45" s="531">
        <v>0</v>
      </c>
      <c r="H45" s="531">
        <v>0</v>
      </c>
      <c r="I45" s="531">
        <v>0</v>
      </c>
      <c r="J45" s="531">
        <v>0</v>
      </c>
      <c r="K45" s="531">
        <v>0</v>
      </c>
      <c r="L45" s="531">
        <v>0</v>
      </c>
      <c r="M45" s="531">
        <v>0</v>
      </c>
      <c r="N45" s="531">
        <v>0</v>
      </c>
      <c r="O45" s="531">
        <v>0</v>
      </c>
      <c r="P45" s="531">
        <v>0</v>
      </c>
    </row>
    <row r="46" spans="2:16">
      <c r="B46" s="235" t="inlineStr">
        <is>
          <t>PAT after minority interest (owners)</t>
        </is>
      </c>
      <c r="C46" s="233"/>
      <c r="D46" s="532">
        <v>0</v>
      </c>
      <c r="E46" s="532">
        <v>296.68</v>
      </c>
      <c r="F46" s="532">
        <v>1.84</v>
      </c>
      <c r="G46" s="532">
        <v>4036.65</v>
      </c>
      <c r="H46" s="532">
        <v>1521.94</v>
      </c>
      <c r="I46" s="532">
        <v>456.91</v>
      </c>
      <c r="J46" s="532">
        <v>14.99</v>
      </c>
      <c r="K46" s="532">
        <v>-106.13</v>
      </c>
      <c r="L46" s="532">
        <v>8.13</v>
      </c>
      <c r="M46" s="532">
        <v>312.22</v>
      </c>
      <c r="N46" s="532">
        <v>316.81</v>
      </c>
      <c r="O46" s="532">
        <v>2764.42</v>
      </c>
      <c r="P46" s="532">
        <v>1217.03</v>
      </c>
    </row>
    <row r="47" spans="2:16">
      <c r="B47" s="235" t="inlineStr">
        <is>
          <t>Cash PAT (PAT + D&amp;A -/+ exceptional items)</t>
        </is>
      </c>
      <c r="C47" s="233"/>
      <c r="D47" s="532">
        <v>0</v>
      </c>
      <c r="E47" s="532">
        <v>-94.20999999999998</v>
      </c>
      <c r="F47" s="532">
        <v>-438.01</v>
      </c>
      <c r="G47" s="532">
        <v>-1256.27</v>
      </c>
      <c r="H47" s="532">
        <v>1521.95</v>
      </c>
      <c r="I47" s="532">
        <v>456.92</v>
      </c>
      <c r="J47" s="532">
        <v>-3.4499999999999993</v>
      </c>
      <c r="K47" s="532">
        <v>-99.58</v>
      </c>
      <c r="L47" s="532">
        <v>9.020000000000001</v>
      </c>
      <c r="M47" s="532">
        <v>288.99</v>
      </c>
      <c r="N47" s="532">
        <v>318.02</v>
      </c>
      <c r="O47" s="532">
        <v>2623.2900000000004</v>
      </c>
      <c r="P47" s="532">
        <v>1243.01</v>
      </c>
    </row>
    <row r="49" spans="2:16">
      <c r="B49" s="230" t="inlineStr">
        <is>
          <t>C. Operating metrics</t>
        </is>
      </c>
      <c r="C49" s="230"/>
      <c r="D49" s="230"/>
      <c r="E49" s="230"/>
      <c r="F49" s="230"/>
      <c r="G49" s="230"/>
      <c r="H49" s="230"/>
      <c r="I49" s="230"/>
      <c r="J49" s="230"/>
      <c r="K49" s="230"/>
      <c r="L49" s="230"/>
      <c r="M49" s="230"/>
      <c r="N49" s="230"/>
      <c r="O49" s="230"/>
      <c r="P49" s="230"/>
    </row>
    <row r="50" spans="2:16">
      <c r="B50" s="233" t="inlineStr">
        <is>
          <t>Generation (million units)</t>
        </is>
      </c>
      <c r="C50" s="233"/>
      <c r="D50" s="531">
        <v>0</v>
      </c>
      <c r="E50" s="531">
        <v>0</v>
      </c>
      <c r="F50" s="531">
        <v>0</v>
      </c>
      <c r="G50" s="531">
        <v>0</v>
      </c>
      <c r="H50" s="531">
        <v>790</v>
      </c>
      <c r="I50" s="531">
        <v>658</v>
      </c>
      <c r="J50" s="531">
        <v>1052</v>
      </c>
      <c r="K50" s="531">
        <v>1513</v>
      </c>
      <c r="L50" s="531">
        <v>1636</v>
      </c>
      <c r="M50" s="531">
        <v>1539</v>
      </c>
      <c r="N50" s="531">
        <v>1567</v>
      </c>
      <c r="O50" s="531">
        <v>1720</v>
      </c>
      <c r="P50" s="531">
        <v>2020</v>
      </c>
    </row>
    <row r="51" spans="2:16">
      <c r="B51" s="233" t="inlineStr">
        <is>
          <t>CUF (%)</t>
        </is>
      </c>
      <c r="C51" s="233"/>
      <c r="D51" s="533">
        <v>0</v>
      </c>
      <c r="E51" s="533">
        <v>0</v>
      </c>
      <c r="F51" s="533">
        <v>0</v>
      </c>
      <c r="G51" s="533">
        <v>0</v>
      </c>
      <c r="H51" s="533">
        <v>0.27</v>
      </c>
      <c r="I51" s="533">
        <v>0.222</v>
      </c>
      <c r="J51" s="533">
        <v>0.227</v>
      </c>
      <c r="K51" s="533">
        <v>0.269</v>
      </c>
      <c r="L51" s="533">
        <v>0.285</v>
      </c>
      <c r="M51" s="533">
        <v>0.241</v>
      </c>
      <c r="N51" s="533">
        <v>0.243</v>
      </c>
      <c r="O51" s="533">
        <v>0.279</v>
      </c>
      <c r="P51" s="533">
        <v>0.309</v>
      </c>
    </row>
    <row r="52" spans="2:16">
      <c r="B52" s="233" t="inlineStr">
        <is>
          <t>Plant availability (%)</t>
        </is>
      </c>
      <c r="C52" s="233"/>
      <c r="D52" s="533">
        <v>0</v>
      </c>
      <c r="E52" s="533">
        <v>0</v>
      </c>
      <c r="F52" s="533">
        <v>0</v>
      </c>
      <c r="G52" s="533">
        <v>0</v>
      </c>
      <c r="H52" s="533">
        <v>0.994</v>
      </c>
      <c r="I52" s="533">
        <v>0.993</v>
      </c>
      <c r="J52" s="533">
        <v>0.995</v>
      </c>
      <c r="K52" s="533">
        <v>0.994</v>
      </c>
      <c r="L52" s="533">
        <v>0.994</v>
      </c>
      <c r="M52" s="533">
        <v>0.995</v>
      </c>
      <c r="N52" s="533">
        <v>0.996</v>
      </c>
      <c r="O52" s="533">
        <v>0.993</v>
      </c>
      <c r="P52" s="533">
        <v>0.992</v>
      </c>
    </row>
    <row r="53" spans="2:16">
      <c r="B53" s="233" t="inlineStr">
        <is>
          <t>Grid availability (%)</t>
        </is>
      </c>
      <c r="C53" s="233"/>
      <c r="D53" s="533">
        <v>0</v>
      </c>
      <c r="E53" s="533">
        <v>0</v>
      </c>
      <c r="F53" s="533">
        <v>0</v>
      </c>
      <c r="G53" s="533">
        <v>0</v>
      </c>
      <c r="H53" s="533">
        <v>0.995</v>
      </c>
      <c r="I53" s="533">
        <v>0.993</v>
      </c>
      <c r="J53" s="533">
        <v>0.998</v>
      </c>
      <c r="K53" s="533">
        <v>0.999</v>
      </c>
      <c r="L53" s="533">
        <v>0.987</v>
      </c>
      <c r="M53" s="533">
        <v>0.994</v>
      </c>
      <c r="N53" s="533">
        <v>0.998</v>
      </c>
      <c r="O53" s="533">
        <v>0.988</v>
      </c>
      <c r="P53" s="533">
        <v>0.988</v>
      </c>
    </row>
    <row r="54" spans="2:16">
      <c r="B54" s="233" t="inlineStr">
        <is>
          <t>Rajasthan-based assets: average CUF (%)</t>
        </is>
      </c>
      <c r="C54" s="233"/>
      <c r="D54" s="533">
        <v>0</v>
      </c>
      <c r="E54" s="533">
        <v>0</v>
      </c>
      <c r="F54" s="533">
        <v>0</v>
      </c>
      <c r="G54" s="533">
        <v>0</v>
      </c>
      <c r="H54" s="533">
        <v>0</v>
      </c>
      <c r="I54" s="533">
        <v>0</v>
      </c>
      <c r="J54" s="533">
        <v>0</v>
      </c>
      <c r="K54" s="533">
        <v>0.294</v>
      </c>
      <c r="L54" s="533">
        <v>0.303</v>
      </c>
      <c r="M54" s="533">
        <v>0.258</v>
      </c>
      <c r="N54" s="533">
        <v>0.257</v>
      </c>
      <c r="O54" s="533">
        <v>0.285</v>
      </c>
      <c r="P54" s="533">
        <v>0.325</v>
      </c>
    </row>
    <row r="55" spans="2:16">
      <c r="B55" s="233" t="inlineStr">
        <is>
          <t xml:space="preserve">  contracted capacity the Rajasthan CUF refers to (MW)</t>
        </is>
      </c>
      <c r="C55" s="233"/>
      <c r="D55" s="531">
        <v>0</v>
      </c>
      <c r="E55" s="531">
        <v>0</v>
      </c>
      <c r="F55" s="531">
        <v>0</v>
      </c>
      <c r="G55" s="531">
        <v>0</v>
      </c>
      <c r="H55" s="531">
        <v>0</v>
      </c>
      <c r="I55" s="531">
        <v>0</v>
      </c>
      <c r="J55" s="531">
        <v>0</v>
      </c>
      <c r="K55" s="531">
        <v>1950</v>
      </c>
      <c r="L55" s="531">
        <v>2250</v>
      </c>
      <c r="M55" s="531">
        <v>2250</v>
      </c>
      <c r="N55" s="531">
        <v>2250</v>
      </c>
      <c r="O55" s="531">
        <v>2250</v>
      </c>
      <c r="P55" s="531">
        <v>2250</v>
      </c>
    </row>
    <row r="56" spans="2:16">
      <c r="B56" s="233" t="inlineStr">
        <is>
          <t>Wind assets: average CUF (%)</t>
        </is>
      </c>
      <c r="C56" s="233"/>
      <c r="D56" s="533">
        <v>0</v>
      </c>
      <c r="E56" s="533">
        <v>0</v>
      </c>
      <c r="F56" s="533">
        <v>0</v>
      </c>
      <c r="G56" s="533">
        <v>0</v>
      </c>
      <c r="H56" s="533">
        <v>0</v>
      </c>
      <c r="I56" s="533">
        <v>0</v>
      </c>
      <c r="J56" s="533">
        <v>0</v>
      </c>
      <c r="K56" s="533">
        <v>0</v>
      </c>
      <c r="L56" s="533">
        <v>0</v>
      </c>
      <c r="M56" s="533">
        <v>0</v>
      </c>
      <c r="N56" s="533">
        <v>0</v>
      </c>
      <c r="O56" s="533">
        <v>0</v>
      </c>
      <c r="P56" s="533">
        <v>0.414</v>
      </c>
    </row>
    <row r="57" spans="2:16">
      <c r="B57" s="233" t="inlineStr">
        <is>
          <t xml:space="preserve">  contracted capacity the wind CUF refers to (MW)</t>
        </is>
      </c>
      <c r="C57" s="233"/>
      <c r="D57" s="531">
        <v>0</v>
      </c>
      <c r="E57" s="531">
        <v>0</v>
      </c>
      <c r="F57" s="531">
        <v>0</v>
      </c>
      <c r="G57" s="531">
        <v>0</v>
      </c>
      <c r="H57" s="531">
        <v>0</v>
      </c>
      <c r="I57" s="531">
        <v>0</v>
      </c>
      <c r="J57" s="531">
        <v>0</v>
      </c>
      <c r="K57" s="531">
        <v>0</v>
      </c>
      <c r="L57" s="531">
        <v>0</v>
      </c>
      <c r="M57" s="531">
        <v>0</v>
      </c>
      <c r="N57" s="531">
        <v>0</v>
      </c>
      <c r="O57" s="531">
        <v>0</v>
      </c>
      <c r="P57" s="531">
        <v>150</v>
      </c>
    </row>
    <row r="59" spans="2:16">
      <c r="B59" s="230" t="inlineStr">
        <is>
          <t>D. Capacity (MW at quarter end; BESS in MWh)</t>
        </is>
      </c>
      <c r="C59" s="230"/>
      <c r="D59" s="230"/>
      <c r="E59" s="230"/>
      <c r="F59" s="230"/>
      <c r="G59" s="230"/>
      <c r="H59" s="230"/>
      <c r="I59" s="230"/>
      <c r="J59" s="230"/>
      <c r="K59" s="230"/>
      <c r="L59" s="230"/>
      <c r="M59" s="230"/>
      <c r="N59" s="230"/>
      <c r="O59" s="230"/>
      <c r="P59" s="230"/>
    </row>
    <row r="60" spans="2:16">
      <c r="B60" s="233" t="inlineStr">
        <is>
          <t>Operational capacity - solar (MW)</t>
        </is>
      </c>
      <c r="C60" s="233"/>
      <c r="D60" s="531">
        <v>1459</v>
      </c>
      <c r="E60" s="531">
        <v>0</v>
      </c>
      <c r="F60" s="531">
        <v>0</v>
      </c>
      <c r="G60" s="531">
        <v>1340</v>
      </c>
      <c r="H60" s="531">
        <v>1340</v>
      </c>
      <c r="I60" s="531">
        <v>1340</v>
      </c>
      <c r="J60" s="531">
        <v>2540</v>
      </c>
      <c r="K60" s="531">
        <v>2540</v>
      </c>
      <c r="L60" s="531">
        <v>2840</v>
      </c>
      <c r="M60" s="531">
        <v>2840</v>
      </c>
      <c r="N60" s="531">
        <v>2840</v>
      </c>
      <c r="O60" s="531">
        <v>2840</v>
      </c>
      <c r="P60" s="531">
        <v>2840</v>
      </c>
    </row>
    <row r="61" spans="2:16">
      <c r="B61" s="233" t="inlineStr">
        <is>
          <t>Operational capacity - wind (MW)</t>
        </is>
      </c>
      <c r="C61" s="233"/>
      <c r="D61" s="531">
        <v>0</v>
      </c>
      <c r="E61" s="531">
        <v>0</v>
      </c>
      <c r="F61" s="531">
        <v>0</v>
      </c>
      <c r="G61" s="531">
        <v>0</v>
      </c>
      <c r="H61" s="531">
        <v>0</v>
      </c>
      <c r="I61" s="531">
        <v>0</v>
      </c>
      <c r="J61" s="531">
        <v>0</v>
      </c>
      <c r="K61" s="531">
        <v>0</v>
      </c>
      <c r="L61" s="531">
        <v>50</v>
      </c>
      <c r="M61" s="531">
        <v>78</v>
      </c>
      <c r="N61" s="531">
        <v>122</v>
      </c>
      <c r="O61" s="531">
        <v>142</v>
      </c>
      <c r="P61" s="531">
        <v>150</v>
      </c>
    </row>
    <row r="62" spans="2:16">
      <c r="B62" s="233" t="inlineStr">
        <is>
          <t>Operational capacity - hybrid (MW)</t>
        </is>
      </c>
      <c r="C62" s="233"/>
      <c r="D62" s="531">
        <v>0</v>
      </c>
      <c r="E62" s="531">
        <v>0</v>
      </c>
      <c r="F62" s="531">
        <v>0</v>
      </c>
      <c r="G62" s="531">
        <v>0</v>
      </c>
      <c r="H62" s="531">
        <v>0</v>
      </c>
      <c r="I62" s="531">
        <v>0</v>
      </c>
      <c r="J62" s="531">
        <v>0</v>
      </c>
      <c r="K62" s="531">
        <v>0</v>
      </c>
      <c r="L62" s="531">
        <v>0</v>
      </c>
      <c r="M62" s="531">
        <v>0</v>
      </c>
      <c r="N62" s="531">
        <v>0</v>
      </c>
      <c r="O62" s="531">
        <v>0</v>
      </c>
      <c r="P62" s="531">
        <v>0</v>
      </c>
    </row>
    <row r="63" spans="2:16">
      <c r="B63" s="233" t="inlineStr">
        <is>
          <t>Operational capacity - FDRE (MW)</t>
        </is>
      </c>
      <c r="C63" s="233"/>
      <c r="D63" s="531">
        <v>0</v>
      </c>
      <c r="E63" s="531">
        <v>0</v>
      </c>
      <c r="F63" s="531">
        <v>0</v>
      </c>
      <c r="G63" s="531">
        <v>0</v>
      </c>
      <c r="H63" s="531">
        <v>0</v>
      </c>
      <c r="I63" s="531">
        <v>0</v>
      </c>
      <c r="J63" s="531">
        <v>0</v>
      </c>
      <c r="K63" s="531">
        <v>0</v>
      </c>
      <c r="L63" s="531">
        <v>0</v>
      </c>
      <c r="M63" s="531">
        <v>0</v>
      </c>
      <c r="N63" s="531">
        <v>0</v>
      </c>
      <c r="O63" s="531">
        <v>0</v>
      </c>
      <c r="P63" s="531">
        <v>0</v>
      </c>
    </row>
    <row r="64" spans="2:16">
      <c r="B64" s="235" t="inlineStr">
        <is>
          <t>Total operational capacity (MW)</t>
        </is>
      </c>
      <c r="C64" s="233"/>
      <c r="D64" s="532">
        <v>1459</v>
      </c>
      <c r="E64" s="532">
        <v>0</v>
      </c>
      <c r="F64" s="532">
        <v>0</v>
      </c>
      <c r="G64" s="532">
        <v>1340</v>
      </c>
      <c r="H64" s="532">
        <v>1340</v>
      </c>
      <c r="I64" s="532">
        <v>1340</v>
      </c>
      <c r="J64" s="532">
        <v>2540</v>
      </c>
      <c r="K64" s="532">
        <v>2540</v>
      </c>
      <c r="L64" s="532">
        <v>2890</v>
      </c>
      <c r="M64" s="532">
        <v>2918</v>
      </c>
      <c r="N64" s="532">
        <v>2962</v>
      </c>
      <c r="O64" s="532">
        <v>2982</v>
      </c>
      <c r="P64" s="532">
        <v>2990</v>
      </c>
    </row>
    <row r="65" spans="2:16">
      <c r="B65" s="233" t="inlineStr">
        <is>
          <t>Capacity commissioned during the quarter (MW)</t>
        </is>
      </c>
      <c r="C65" s="233"/>
      <c r="D65" s="531">
        <v>0</v>
      </c>
      <c r="E65" s="531">
        <v>0</v>
      </c>
      <c r="F65" s="531">
        <v>0</v>
      </c>
      <c r="G65" s="531">
        <v>0</v>
      </c>
      <c r="H65" s="531">
        <v>0</v>
      </c>
      <c r="I65" s="531">
        <v>0</v>
      </c>
      <c r="J65" s="531">
        <v>1200</v>
      </c>
      <c r="K65" s="531">
        <v>0</v>
      </c>
      <c r="L65" s="531">
        <v>350</v>
      </c>
      <c r="M65" s="531">
        <v>28</v>
      </c>
      <c r="N65" s="531">
        <v>44</v>
      </c>
      <c r="O65" s="531">
        <v>20</v>
      </c>
      <c r="P65" s="531">
        <v>8</v>
      </c>
    </row>
    <row r="66" spans="2:16">
      <c r="B66" s="233" t="inlineStr">
        <is>
          <t>Commissioned BESS capacity at quarter end (MWh)</t>
        </is>
      </c>
      <c r="C66" s="233"/>
      <c r="D66" s="531">
        <v>0</v>
      </c>
      <c r="E66" s="531">
        <v>0</v>
      </c>
      <c r="F66" s="531">
        <v>0</v>
      </c>
      <c r="G66" s="531">
        <v>0</v>
      </c>
      <c r="H66" s="531">
        <v>0</v>
      </c>
      <c r="I66" s="531">
        <v>0</v>
      </c>
      <c r="J66" s="531">
        <v>0</v>
      </c>
      <c r="K66" s="531">
        <v>0</v>
      </c>
      <c r="L66" s="531">
        <v>0</v>
      </c>
      <c r="M66" s="531">
        <v>0</v>
      </c>
      <c r="N66" s="531">
        <v>10</v>
      </c>
      <c r="O66" s="531">
        <v>1324</v>
      </c>
      <c r="P66" s="531">
        <v>3109</v>
      </c>
    </row>
    <row r="68" spans="2:16">
      <c r="B68" s="230" t="inlineStr">
        <is>
          <t>E. BESS financials (INR mn)</t>
        </is>
      </c>
      <c r="C68" s="230"/>
      <c r="D68" s="230"/>
      <c r="E68" s="230"/>
      <c r="F68" s="230"/>
      <c r="G68" s="230"/>
      <c r="H68" s="230"/>
      <c r="I68" s="230"/>
      <c r="J68" s="230"/>
      <c r="K68" s="230"/>
      <c r="L68" s="230"/>
      <c r="M68" s="230"/>
      <c r="N68" s="230"/>
      <c r="O68" s="230"/>
      <c r="P68" s="230"/>
    </row>
    <row r="69" spans="2:16">
      <c r="B69" s="233" t="inlineStr">
        <is>
          <t>BESS capacity operational for the P&amp;L snapshot (GWh)</t>
        </is>
      </c>
      <c r="C69" s="233"/>
      <c r="D69" s="534">
        <v>0</v>
      </c>
      <c r="E69" s="534">
        <v>0</v>
      </c>
      <c r="F69" s="534">
        <v>0</v>
      </c>
      <c r="G69" s="534">
        <v>0</v>
      </c>
      <c r="H69" s="534">
        <v>0</v>
      </c>
      <c r="I69" s="534">
        <v>0</v>
      </c>
      <c r="J69" s="534">
        <v>0</v>
      </c>
      <c r="K69" s="534">
        <v>0</v>
      </c>
      <c r="L69" s="534">
        <v>0</v>
      </c>
      <c r="M69" s="534">
        <v>0</v>
      </c>
      <c r="N69" s="534">
        <v>0</v>
      </c>
      <c r="O69" s="534">
        <v>0</v>
      </c>
      <c r="P69" s="534">
        <v>3.1</v>
      </c>
    </row>
    <row r="70" spans="2:16">
      <c r="B70" s="233" t="inlineStr">
        <is>
          <t>BESS revenue from sale of power (INR mn)</t>
        </is>
      </c>
      <c r="C70" s="233"/>
      <c r="D70" s="531">
        <v>0</v>
      </c>
      <c r="E70" s="531">
        <v>0</v>
      </c>
      <c r="F70" s="531">
        <v>0</v>
      </c>
      <c r="G70" s="531">
        <v>0</v>
      </c>
      <c r="H70" s="531">
        <v>0</v>
      </c>
      <c r="I70" s="531">
        <v>0</v>
      </c>
      <c r="J70" s="531">
        <v>0</v>
      </c>
      <c r="K70" s="531">
        <v>0</v>
      </c>
      <c r="L70" s="531">
        <v>0</v>
      </c>
      <c r="M70" s="531">
        <v>0</v>
      </c>
      <c r="N70" s="531">
        <v>0</v>
      </c>
      <c r="O70" s="531">
        <v>0</v>
      </c>
      <c r="P70" s="531">
        <v>2260</v>
      </c>
    </row>
    <row r="71" spans="2:16">
      <c r="B71" s="233" t="inlineStr">
        <is>
          <t>Cost of power purchased (INR mn)</t>
        </is>
      </c>
      <c r="C71" s="233"/>
      <c r="D71" s="531">
        <v>0</v>
      </c>
      <c r="E71" s="531">
        <v>0</v>
      </c>
      <c r="F71" s="531">
        <v>0</v>
      </c>
      <c r="G71" s="531">
        <v>0</v>
      </c>
      <c r="H71" s="531">
        <v>0</v>
      </c>
      <c r="I71" s="531">
        <v>0</v>
      </c>
      <c r="J71" s="531">
        <v>0</v>
      </c>
      <c r="K71" s="531">
        <v>0</v>
      </c>
      <c r="L71" s="531">
        <v>0</v>
      </c>
      <c r="M71" s="531">
        <v>0</v>
      </c>
      <c r="N71" s="531">
        <v>0</v>
      </c>
      <c r="O71" s="531">
        <v>0</v>
      </c>
      <c r="P71" s="531">
        <v>390</v>
      </c>
    </row>
    <row r="72" spans="2:16">
      <c r="B72" s="235" t="inlineStr">
        <is>
          <t>BESS EBITDA (INR mn)</t>
        </is>
      </c>
      <c r="C72" s="233"/>
      <c r="D72" s="532">
        <v>0</v>
      </c>
      <c r="E72" s="532">
        <v>0</v>
      </c>
      <c r="F72" s="532">
        <v>0</v>
      </c>
      <c r="G72" s="532">
        <v>0</v>
      </c>
      <c r="H72" s="532">
        <v>0</v>
      </c>
      <c r="I72" s="532">
        <v>0</v>
      </c>
      <c r="J72" s="532">
        <v>0</v>
      </c>
      <c r="K72" s="532">
        <v>0</v>
      </c>
      <c r="L72" s="532">
        <v>0</v>
      </c>
      <c r="M72" s="532">
        <v>0</v>
      </c>
      <c r="N72" s="532">
        <v>0</v>
      </c>
      <c r="O72" s="532">
        <v>0</v>
      </c>
      <c r="P72" s="532">
        <v>1890</v>
      </c>
    </row>
    <row r="73" spans="2:16">
      <c r="B73" s="233" t="inlineStr">
        <is>
          <t>BESS EBITDA margin (%)</t>
        </is>
      </c>
      <c r="C73" s="233"/>
      <c r="D73" s="533">
        <v>0</v>
      </c>
      <c r="E73" s="533">
        <v>0</v>
      </c>
      <c r="F73" s="533">
        <v>0</v>
      </c>
      <c r="G73" s="533">
        <v>0</v>
      </c>
      <c r="H73" s="533">
        <v>0</v>
      </c>
      <c r="I73" s="533">
        <v>0</v>
      </c>
      <c r="J73" s="533">
        <v>0</v>
      </c>
      <c r="K73" s="533">
        <v>0</v>
      </c>
      <c r="L73" s="533">
        <v>0</v>
      </c>
      <c r="M73" s="533">
        <v>0</v>
      </c>
      <c r="N73" s="533">
        <v>0</v>
      </c>
      <c r="O73" s="533">
        <v>0</v>
      </c>
      <c r="P73" s="533">
        <v>0.82</v>
      </c>
    </row>
    <row r="74" spans="2:16">
      <c r="B74" s="233" t="inlineStr">
        <is>
          <t>Capitalised cost of BESS operationalised (INR mn per MWh)</t>
        </is>
      </c>
      <c r="C74" s="233"/>
      <c r="D74" s="531">
        <v>0</v>
      </c>
      <c r="E74" s="531">
        <v>0</v>
      </c>
      <c r="F74" s="531">
        <v>0</v>
      </c>
      <c r="G74" s="531">
        <v>0</v>
      </c>
      <c r="H74" s="531">
        <v>0</v>
      </c>
      <c r="I74" s="531">
        <v>0</v>
      </c>
      <c r="J74" s="531">
        <v>0</v>
      </c>
      <c r="K74" s="531">
        <v>0</v>
      </c>
      <c r="L74" s="531">
        <v>0</v>
      </c>
      <c r="M74" s="531">
        <v>0</v>
      </c>
      <c r="N74" s="531">
        <v>0</v>
      </c>
      <c r="O74" s="531">
        <v>0</v>
      </c>
      <c r="P74" s="531">
        <v>93</v>
      </c>
    </row>
    <row r="75" spans="2:16">
      <c r="B75" s="233" t="inlineStr">
        <is>
          <t>Round-trip efficiency (%)</t>
        </is>
      </c>
      <c r="C75" s="233"/>
      <c r="D75" s="533">
        <v>0</v>
      </c>
      <c r="E75" s="533">
        <v>0</v>
      </c>
      <c r="F75" s="533">
        <v>0</v>
      </c>
      <c r="G75" s="533">
        <v>0</v>
      </c>
      <c r="H75" s="533">
        <v>0</v>
      </c>
      <c r="I75" s="533">
        <v>0</v>
      </c>
      <c r="J75" s="533">
        <v>0</v>
      </c>
      <c r="K75" s="533">
        <v>0</v>
      </c>
      <c r="L75" s="533">
        <v>0</v>
      </c>
      <c r="M75" s="533">
        <v>0</v>
      </c>
      <c r="N75" s="533">
        <v>0</v>
      </c>
      <c r="O75" s="533">
        <v>0.89</v>
      </c>
      <c r="P75" s="533">
        <v>0.89</v>
      </c>
    </row>
    <row r="76" spans="2:16">
      <c r="B76" s="233" t="inlineStr">
        <is>
          <t>Depth of discharge (%)</t>
        </is>
      </c>
      <c r="C76" s="233"/>
      <c r="D76" s="533">
        <v>0</v>
      </c>
      <c r="E76" s="533">
        <v>0</v>
      </c>
      <c r="F76" s="533">
        <v>0</v>
      </c>
      <c r="G76" s="533">
        <v>0</v>
      </c>
      <c r="H76" s="533">
        <v>0</v>
      </c>
      <c r="I76" s="533">
        <v>0</v>
      </c>
      <c r="J76" s="533">
        <v>0</v>
      </c>
      <c r="K76" s="533">
        <v>0</v>
      </c>
      <c r="L76" s="533">
        <v>0</v>
      </c>
      <c r="M76" s="533">
        <v>0</v>
      </c>
      <c r="N76" s="533">
        <v>0</v>
      </c>
      <c r="O76" s="533">
        <v>0</v>
      </c>
      <c r="P76" s="533">
        <v>0.93</v>
      </c>
    </row>
    <row r="77" spans="2:16">
      <c r="B77" s="233" t="inlineStr">
        <is>
          <t>Revenue share - short-term contracts (%)</t>
        </is>
      </c>
      <c r="C77" s="233"/>
      <c r="D77" s="533">
        <v>0</v>
      </c>
      <c r="E77" s="533">
        <v>0</v>
      </c>
      <c r="F77" s="533">
        <v>0</v>
      </c>
      <c r="G77" s="533">
        <v>0</v>
      </c>
      <c r="H77" s="533">
        <v>0</v>
      </c>
      <c r="I77" s="533">
        <v>0</v>
      </c>
      <c r="J77" s="533">
        <v>0</v>
      </c>
      <c r="K77" s="533">
        <v>0</v>
      </c>
      <c r="L77" s="533">
        <v>0</v>
      </c>
      <c r="M77" s="533">
        <v>0</v>
      </c>
      <c r="N77" s="533">
        <v>0</v>
      </c>
      <c r="O77" s="533">
        <v>0</v>
      </c>
      <c r="P77" s="533">
        <v>0.85</v>
      </c>
    </row>
    <row r="78" spans="2:16">
      <c r="B78" s="233" t="inlineStr">
        <is>
          <t>Revenue share - merchant (%)</t>
        </is>
      </c>
      <c r="C78" s="233"/>
      <c r="D78" s="533">
        <v>0</v>
      </c>
      <c r="E78" s="533">
        <v>0</v>
      </c>
      <c r="F78" s="533">
        <v>0</v>
      </c>
      <c r="G78" s="533">
        <v>0</v>
      </c>
      <c r="H78" s="533">
        <v>0</v>
      </c>
      <c r="I78" s="533">
        <v>0</v>
      </c>
      <c r="J78" s="533">
        <v>0</v>
      </c>
      <c r="K78" s="533">
        <v>0</v>
      </c>
      <c r="L78" s="533">
        <v>0</v>
      </c>
      <c r="M78" s="533">
        <v>0</v>
      </c>
      <c r="N78" s="533">
        <v>0</v>
      </c>
      <c r="O78" s="533">
        <v>0</v>
      </c>
      <c r="P78" s="533">
        <v>0.15</v>
      </c>
    </row>
    <row r="80" spans="2:16">
      <c r="B80" s="230" t="inlineStr">
        <is>
          <t>F. Balance sheet (INR mn; presentation figures converted from INR Cr)</t>
        </is>
      </c>
      <c r="C80" s="230"/>
      <c r="D80" s="230"/>
      <c r="E80" s="230"/>
      <c r="F80" s="230"/>
      <c r="G80" s="230"/>
      <c r="H80" s="230"/>
      <c r="I80" s="230"/>
      <c r="J80" s="230"/>
      <c r="K80" s="230"/>
      <c r="L80" s="230"/>
      <c r="M80" s="230"/>
      <c r="N80" s="230"/>
      <c r="O80" s="230"/>
      <c r="P80" s="230"/>
    </row>
    <row r="81" spans="2:16">
      <c r="B81" s="233" t="inlineStr">
        <is>
          <t>Gross block (INR mn)</t>
        </is>
      </c>
      <c r="C81" s="233"/>
      <c r="D81" s="531">
        <v>0</v>
      </c>
      <c r="E81" s="531">
        <v>0</v>
      </c>
      <c r="F81" s="531">
        <v>0</v>
      </c>
      <c r="G81" s="531">
        <v>85620</v>
      </c>
      <c r="H81" s="531">
        <v>85570</v>
      </c>
      <c r="I81" s="531">
        <v>85600</v>
      </c>
      <c r="J81" s="531">
        <v>132280</v>
      </c>
      <c r="K81" s="531">
        <v>141440</v>
      </c>
      <c r="L81" s="531">
        <v>152960</v>
      </c>
      <c r="M81" s="531">
        <v>156300</v>
      </c>
      <c r="N81" s="531">
        <v>162400</v>
      </c>
      <c r="O81" s="531">
        <v>175950</v>
      </c>
      <c r="P81" s="531">
        <v>196130</v>
      </c>
    </row>
    <row r="82" spans="2:16">
      <c r="B82" s="233" t="inlineStr">
        <is>
          <t>Capital work-in-progress (INR mn)</t>
        </is>
      </c>
      <c r="C82" s="233"/>
      <c r="D82" s="531">
        <v>0</v>
      </c>
      <c r="E82" s="531">
        <v>0</v>
      </c>
      <c r="F82" s="531">
        <v>0</v>
      </c>
      <c r="G82" s="531">
        <v>28280</v>
      </c>
      <c r="H82" s="531">
        <v>38500</v>
      </c>
      <c r="I82" s="531">
        <v>57300</v>
      </c>
      <c r="J82" s="531">
        <v>16780</v>
      </c>
      <c r="K82" s="531">
        <v>13620</v>
      </c>
      <c r="L82" s="531">
        <v>10200</v>
      </c>
      <c r="M82" s="531">
        <v>13660</v>
      </c>
      <c r="N82" s="531">
        <v>18210</v>
      </c>
      <c r="O82" s="531">
        <v>43580</v>
      </c>
      <c r="P82" s="531">
        <v>52970</v>
      </c>
    </row>
    <row r="83" spans="2:16">
      <c r="B83" s="235" t="inlineStr">
        <is>
          <t>Total asset base (gross block + CWIP) (INR mn)</t>
        </is>
      </c>
      <c r="C83" s="233"/>
      <c r="D83" s="532">
        <v>0</v>
      </c>
      <c r="E83" s="532">
        <v>0</v>
      </c>
      <c r="F83" s="532">
        <v>0</v>
      </c>
      <c r="G83" s="532">
        <v>113900</v>
      </c>
      <c r="H83" s="532">
        <v>124080</v>
      </c>
      <c r="I83" s="532">
        <v>142900</v>
      </c>
      <c r="J83" s="532">
        <v>149060</v>
      </c>
      <c r="K83" s="532">
        <v>155070</v>
      </c>
      <c r="L83" s="532">
        <v>163160</v>
      </c>
      <c r="M83" s="532">
        <v>169960</v>
      </c>
      <c r="N83" s="532">
        <v>180610</v>
      </c>
      <c r="O83" s="532">
        <v>219520</v>
      </c>
      <c r="P83" s="532">
        <v>249100</v>
      </c>
    </row>
    <row r="84" spans="2:16">
      <c r="B84" s="233" t="inlineStr">
        <is>
          <t>Gross debt (INR mn)</t>
        </is>
      </c>
      <c r="C84" s="233"/>
      <c r="D84" s="531">
        <v>0</v>
      </c>
      <c r="E84" s="531">
        <v>0</v>
      </c>
      <c r="F84" s="531">
        <v>0</v>
      </c>
      <c r="G84" s="531">
        <v>82180</v>
      </c>
      <c r="H84" s="531">
        <v>93200</v>
      </c>
      <c r="I84" s="531">
        <v>103540</v>
      </c>
      <c r="J84" s="531">
        <v>87790</v>
      </c>
      <c r="K84" s="531">
        <v>104230</v>
      </c>
      <c r="L84" s="531">
        <v>107670</v>
      </c>
      <c r="M84" s="531">
        <v>123140</v>
      </c>
      <c r="N84" s="531">
        <v>0</v>
      </c>
      <c r="O84" s="531">
        <v>0</v>
      </c>
      <c r="P84" s="531">
        <v>0</v>
      </c>
    </row>
    <row r="85" spans="2:16">
      <c r="B85" s="233" t="inlineStr">
        <is>
          <t>Cash and bank balances incl. short-term investments (INR mn)</t>
        </is>
      </c>
      <c r="C85" s="233"/>
      <c r="D85" s="531">
        <v>0</v>
      </c>
      <c r="E85" s="531">
        <v>0</v>
      </c>
      <c r="F85" s="531">
        <v>0</v>
      </c>
      <c r="G85" s="531">
        <v>14650</v>
      </c>
      <c r="H85" s="531">
        <v>17740</v>
      </c>
      <c r="I85" s="531">
        <v>15980</v>
      </c>
      <c r="J85" s="531">
        <v>18970</v>
      </c>
      <c r="K85" s="531">
        <v>29160</v>
      </c>
      <c r="L85" s="531">
        <v>29250</v>
      </c>
      <c r="M85" s="531">
        <v>33910</v>
      </c>
      <c r="N85" s="531">
        <v>0</v>
      </c>
      <c r="O85" s="531">
        <v>0</v>
      </c>
      <c r="P85" s="531">
        <v>0</v>
      </c>
    </row>
    <row r="86" spans="2:16">
      <c r="B86" s="235" t="inlineStr">
        <is>
          <t>Net debt (INR mn)</t>
        </is>
      </c>
      <c r="C86" s="233"/>
      <c r="D86" s="532">
        <v>0</v>
      </c>
      <c r="E86" s="532">
        <v>59820</v>
      </c>
      <c r="F86" s="532">
        <v>68520</v>
      </c>
      <c r="G86" s="532">
        <v>67530</v>
      </c>
      <c r="H86" s="532">
        <v>75460</v>
      </c>
      <c r="I86" s="532">
        <v>87550</v>
      </c>
      <c r="J86" s="532">
        <v>68820</v>
      </c>
      <c r="K86" s="532">
        <v>75070</v>
      </c>
      <c r="L86" s="532">
        <v>78420</v>
      </c>
      <c r="M86" s="532">
        <v>89230</v>
      </c>
      <c r="N86" s="532">
        <v>100020</v>
      </c>
      <c r="O86" s="532">
        <v>128300</v>
      </c>
      <c r="P86" s="532">
        <v>126000</v>
      </c>
    </row>
    <row r="87" spans="2:16">
      <c r="B87" s="233" t="inlineStr">
        <is>
          <t xml:space="preserve">  of which net debt - operational projects (INR mn)</t>
        </is>
      </c>
      <c r="C87" s="233"/>
      <c r="D87" s="531">
        <v>0</v>
      </c>
      <c r="E87" s="531">
        <v>57010</v>
      </c>
      <c r="F87" s="531">
        <v>57650</v>
      </c>
      <c r="G87" s="531">
        <v>54130</v>
      </c>
      <c r="H87" s="531">
        <v>55980</v>
      </c>
      <c r="I87" s="531">
        <v>55170</v>
      </c>
      <c r="J87" s="531">
        <v>60690</v>
      </c>
      <c r="K87" s="531">
        <v>62320</v>
      </c>
      <c r="L87" s="531">
        <v>69440</v>
      </c>
      <c r="M87" s="531">
        <v>81470</v>
      </c>
      <c r="N87" s="531">
        <v>88200</v>
      </c>
      <c r="O87" s="531">
        <v>88230</v>
      </c>
      <c r="P87" s="531">
        <v>75500</v>
      </c>
    </row>
    <row r="88" spans="2:16">
      <c r="B88" s="233" t="inlineStr">
        <is>
          <t xml:space="preserve">  of which net debt - under-construction projects (INR mn)</t>
        </is>
      </c>
      <c r="C88" s="233"/>
      <c r="D88" s="531">
        <v>0</v>
      </c>
      <c r="E88" s="531">
        <v>2810</v>
      </c>
      <c r="F88" s="531">
        <v>10880</v>
      </c>
      <c r="G88" s="531">
        <v>13390</v>
      </c>
      <c r="H88" s="531">
        <v>19480</v>
      </c>
      <c r="I88" s="531">
        <v>32380</v>
      </c>
      <c r="J88" s="531">
        <v>8130</v>
      </c>
      <c r="K88" s="531">
        <v>12750</v>
      </c>
      <c r="L88" s="531">
        <v>8970</v>
      </c>
      <c r="M88" s="531">
        <v>7750</v>
      </c>
      <c r="N88" s="531">
        <v>11820</v>
      </c>
      <c r="O88" s="531">
        <v>40070</v>
      </c>
      <c r="P88" s="531">
        <v>50500</v>
      </c>
    </row>
    <row r="89" spans="2:16">
      <c r="B89" s="235" t="inlineStr">
        <is>
          <t>Net worth (INR mn)</t>
        </is>
      </c>
      <c r="C89" s="233"/>
      <c r="D89" s="532">
        <v>0</v>
      </c>
      <c r="E89" s="532">
        <v>0</v>
      </c>
      <c r="F89" s="532">
        <v>0</v>
      </c>
      <c r="G89" s="532">
        <v>25910</v>
      </c>
      <c r="H89" s="532">
        <v>19420</v>
      </c>
      <c r="I89" s="532">
        <v>19580</v>
      </c>
      <c r="J89" s="532">
        <v>43750</v>
      </c>
      <c r="K89" s="532">
        <v>45090</v>
      </c>
      <c r="L89" s="532">
        <v>46470</v>
      </c>
      <c r="M89" s="532">
        <v>47820</v>
      </c>
      <c r="N89" s="532">
        <v>49090</v>
      </c>
      <c r="O89" s="532">
        <v>50600</v>
      </c>
      <c r="P89" s="532">
        <v>80670</v>
      </c>
    </row>
    <row r="91" spans="2:16">
      <c r="B91" s="230" t="inlineStr">
        <is>
          <t>G. Ratios</t>
        </is>
      </c>
      <c r="C91" s="230"/>
      <c r="D91" s="230"/>
      <c r="E91" s="230"/>
      <c r="F91" s="230"/>
      <c r="G91" s="230"/>
      <c r="H91" s="230"/>
      <c r="I91" s="230"/>
      <c r="J91" s="230"/>
      <c r="K91" s="230"/>
      <c r="L91" s="230"/>
      <c r="M91" s="230"/>
      <c r="N91" s="230"/>
      <c r="O91" s="230"/>
      <c r="P91" s="230"/>
    </row>
    <row r="92" spans="2:16">
      <c r="B92" s="233" t="inlineStr">
        <is>
          <t>Operational net debt / TTM EBITDA (x)</t>
        </is>
      </c>
      <c r="C92" s="233"/>
      <c r="D92" s="534">
        <v>0</v>
      </c>
      <c r="E92" s="534">
        <v>5.4</v>
      </c>
      <c r="F92" s="534">
        <v>5.7</v>
      </c>
      <c r="G92" s="534">
        <v>4.4</v>
      </c>
      <c r="H92" s="534">
        <v>4.8</v>
      </c>
      <c r="I92" s="534">
        <v>4.9</v>
      </c>
      <c r="J92" s="534">
        <v>5.0</v>
      </c>
      <c r="K92" s="534">
        <v>4.4</v>
      </c>
      <c r="L92" s="534">
        <v>4.2</v>
      </c>
      <c r="M92" s="534">
        <v>4.3</v>
      </c>
      <c r="N92" s="534">
        <v>4.2</v>
      </c>
      <c r="O92" s="534">
        <v>3.9</v>
      </c>
      <c r="P92" s="534">
        <v>2.9</v>
      </c>
    </row>
    <row r="93" spans="2:16">
      <c r="B93" s="233" t="inlineStr">
        <is>
          <t>TTM (or annualised) EBITDA used (INR mn)</t>
        </is>
      </c>
      <c r="C93" s="233"/>
      <c r="D93" s="531">
        <v>0</v>
      </c>
      <c r="E93" s="531">
        <v>10650</v>
      </c>
      <c r="F93" s="531">
        <v>10100</v>
      </c>
      <c r="G93" s="531">
        <v>12360</v>
      </c>
      <c r="H93" s="531">
        <v>11590</v>
      </c>
      <c r="I93" s="531">
        <v>11170</v>
      </c>
      <c r="J93" s="531">
        <v>12230</v>
      </c>
      <c r="K93" s="531">
        <v>14060</v>
      </c>
      <c r="L93" s="531">
        <v>16340</v>
      </c>
      <c r="M93" s="531">
        <v>19120</v>
      </c>
      <c r="N93" s="531">
        <v>21170</v>
      </c>
      <c r="O93" s="531">
        <v>22650</v>
      </c>
      <c r="P93" s="531">
        <v>25650</v>
      </c>
    </row>
    <row r="94" spans="2:16">
      <c r="B94" s="233" t="inlineStr">
        <is>
          <t>Net debt / net worth (x)</t>
        </is>
      </c>
      <c r="C94" s="233"/>
      <c r="D94" s="534">
        <v>0</v>
      </c>
      <c r="E94" s="534">
        <v>1.7</v>
      </c>
      <c r="F94" s="534">
        <v>3.9</v>
      </c>
      <c r="G94" s="534">
        <v>2.6</v>
      </c>
      <c r="H94" s="534">
        <v>3.9</v>
      </c>
      <c r="I94" s="534">
        <v>2.1</v>
      </c>
      <c r="J94" s="534">
        <v>1.6</v>
      </c>
      <c r="K94" s="534">
        <v>1.7</v>
      </c>
      <c r="L94" s="534">
        <v>1.7</v>
      </c>
      <c r="M94" s="534">
        <v>1.9</v>
      </c>
      <c r="N94" s="534">
        <v>2.0</v>
      </c>
      <c r="O94" s="534">
        <v>2.5</v>
      </c>
      <c r="P94" s="534">
        <v>1.6</v>
      </c>
    </row>
    <row r="95" spans="2:16">
      <c r="B95" s="233" t="inlineStr">
        <is>
          <t>Cash RoE (%)</t>
        </is>
      </c>
      <c r="C95" s="233"/>
      <c r="D95" s="533">
        <v>0</v>
      </c>
      <c r="E95" s="533">
        <v>0.138</v>
      </c>
      <c r="F95" s="533">
        <v>0.152</v>
      </c>
      <c r="G95" s="533">
        <v>0.114</v>
      </c>
      <c r="H95" s="533">
        <v>0.093</v>
      </c>
      <c r="I95" s="533">
        <v>0.155</v>
      </c>
      <c r="J95" s="533">
        <v>0.123</v>
      </c>
      <c r="K95" s="533">
        <v>0.157</v>
      </c>
      <c r="L95" s="533">
        <v>0.23</v>
      </c>
      <c r="M95" s="533">
        <v>0.27</v>
      </c>
      <c r="N95" s="533">
        <v>0.206</v>
      </c>
      <c r="O95" s="533">
        <v>0.201</v>
      </c>
      <c r="P95" s="533">
        <v>0.173</v>
      </c>
    </row>
    <row r="96" spans="2:16">
      <c r="B96" s="233" t="inlineStr">
        <is>
          <t>DSO (days) - as reported (excl. AP discom dues under APERC ruling from Q2FY25; excl. BESS receivables Q1FY27)</t>
        </is>
      </c>
      <c r="C96" s="233"/>
      <c r="D96" s="531">
        <v>140</v>
      </c>
      <c r="E96" s="531">
        <v>135</v>
      </c>
      <c r="F96" s="531">
        <v>147</v>
      </c>
      <c r="G96" s="531">
        <v>117</v>
      </c>
      <c r="H96" s="531">
        <v>112</v>
      </c>
      <c r="I96" s="531">
        <v>67</v>
      </c>
      <c r="J96" s="531">
        <v>72</v>
      </c>
      <c r="K96" s="531">
        <v>42</v>
      </c>
      <c r="L96" s="531">
        <v>36</v>
      </c>
      <c r="M96" s="531">
        <v>27</v>
      </c>
      <c r="N96" s="531">
        <v>23</v>
      </c>
      <c r="O96" s="531">
        <v>14</v>
      </c>
      <c r="P96" s="531">
        <v>20</v>
      </c>
    </row>
    <row r="97" spans="2:16">
      <c r="B97" s="233" t="inlineStr">
        <is>
          <t>DSO (days) - including AP discom dues (Q1FY27: including BESS receivables)</t>
        </is>
      </c>
      <c r="C97" s="233"/>
      <c r="D97" s="531">
        <v>0</v>
      </c>
      <c r="E97" s="531">
        <v>0</v>
      </c>
      <c r="F97" s="531">
        <v>0</v>
      </c>
      <c r="G97" s="531">
        <v>0</v>
      </c>
      <c r="H97" s="531">
        <v>0</v>
      </c>
      <c r="I97" s="531">
        <v>103</v>
      </c>
      <c r="J97" s="531">
        <v>98</v>
      </c>
      <c r="K97" s="531">
        <v>56</v>
      </c>
      <c r="L97" s="531">
        <v>41</v>
      </c>
      <c r="M97" s="531">
        <v>0</v>
      </c>
      <c r="N97" s="531">
        <v>0</v>
      </c>
      <c r="O97" s="531">
        <v>0</v>
      </c>
      <c r="P97" s="531">
        <v>37</v>
      </c>
    </row>
    <row r="98" spans="2:16">
      <c r="B98" s="233" t="inlineStr">
        <is>
          <t>Weighted average tariff - operational portfolio (INR/kWh)</t>
        </is>
      </c>
      <c r="C98" s="233"/>
      <c r="D98" s="534">
        <v>0</v>
      </c>
      <c r="E98" s="534">
        <v>0</v>
      </c>
      <c r="F98" s="534">
        <v>0</v>
      </c>
      <c r="G98" s="534">
        <v>0</v>
      </c>
      <c r="H98" s="534">
        <v>0</v>
      </c>
      <c r="I98" s="534">
        <v>0</v>
      </c>
      <c r="J98" s="534">
        <v>3.46</v>
      </c>
      <c r="K98" s="534">
        <v>3.5</v>
      </c>
      <c r="L98" s="534">
        <v>3.4</v>
      </c>
      <c r="M98" s="534">
        <v>3.4</v>
      </c>
      <c r="N98" s="534">
        <v>3.4</v>
      </c>
      <c r="O98" s="534">
        <v>3.41</v>
      </c>
      <c r="P98" s="534">
        <v>3.4</v>
      </c>
    </row>
    <row r="99" spans="2:16">
      <c r="B99" s="233" t="inlineStr">
        <is>
          <t>Weighted average cost of debt - operational projects (%)</t>
        </is>
      </c>
      <c r="C99" s="233"/>
      <c r="D99" s="533">
        <v>0</v>
      </c>
      <c r="E99" s="533">
        <v>0</v>
      </c>
      <c r="F99" s="533">
        <v>0</v>
      </c>
      <c r="G99" s="533">
        <v>0</v>
      </c>
      <c r="H99" s="533">
        <v>0</v>
      </c>
      <c r="I99" s="533">
        <v>0</v>
      </c>
      <c r="J99" s="533">
        <v>0</v>
      </c>
      <c r="K99" s="533">
        <v>0</v>
      </c>
      <c r="L99" s="533">
        <v>0</v>
      </c>
      <c r="M99" s="533">
        <v>0</v>
      </c>
      <c r="N99" s="533">
        <v>0.0845</v>
      </c>
      <c r="O99" s="533">
        <v>0.084</v>
      </c>
      <c r="P99" s="533">
        <v>0.084</v>
      </c>
    </row>
    <row r="101" spans="2:16">
      <c r="B101" s="230" t="inlineStr">
        <is>
          <t>H. Per share</t>
        </is>
      </c>
      <c r="C101" s="230"/>
      <c r="D101" s="230"/>
      <c r="E101" s="230"/>
      <c r="F101" s="230"/>
      <c r="G101" s="230"/>
      <c r="H101" s="230"/>
      <c r="I101" s="230"/>
      <c r="J101" s="230"/>
      <c r="K101" s="230"/>
      <c r="L101" s="230"/>
      <c r="M101" s="230"/>
      <c r="N101" s="230"/>
      <c r="O101" s="230"/>
      <c r="P101" s="230"/>
    </row>
    <row r="102" spans="2:16">
      <c r="B102" s="233" t="inlineStr">
        <is>
          <t>Shares outstanding at quarter end (mn, face value INR 2)</t>
        </is>
      </c>
      <c r="C102" s="233"/>
      <c r="D102" s="534">
        <v>522.21</v>
      </c>
      <c r="E102" s="534">
        <v>522.21</v>
      </c>
      <c r="F102" s="534">
        <v>522.21</v>
      </c>
      <c r="G102" s="534">
        <v>522.21</v>
      </c>
      <c r="H102" s="534">
        <v>522.21</v>
      </c>
      <c r="I102" s="534">
        <v>522.21</v>
      </c>
      <c r="J102" s="534">
        <v>605.09</v>
      </c>
      <c r="K102" s="534">
        <v>605.09</v>
      </c>
      <c r="L102" s="534">
        <v>605.09</v>
      </c>
      <c r="M102" s="534">
        <v>605.09</v>
      </c>
      <c r="N102" s="534">
        <v>605.3</v>
      </c>
      <c r="O102" s="534">
        <v>605.39</v>
      </c>
      <c r="P102" s="534">
        <v>705.62</v>
      </c>
    </row>
    <row r="103" spans="2:16">
      <c r="B103" s="233" t="inlineStr">
        <is>
          <t>EPS - basic, not annualised (INR)</t>
        </is>
      </c>
      <c r="C103" s="233"/>
      <c r="D103" s="534">
        <v>1.48</v>
      </c>
      <c r="E103" s="534">
        <v>0.69</v>
      </c>
      <c r="F103" s="534">
        <v>0.8</v>
      </c>
      <c r="G103" s="534">
        <v>9.57</v>
      </c>
      <c r="H103" s="534">
        <v>0.03</v>
      </c>
      <c r="I103" s="534">
        <v>0.29</v>
      </c>
      <c r="J103" s="534">
        <v>2.09</v>
      </c>
      <c r="K103" s="534">
        <v>2.15</v>
      </c>
      <c r="L103" s="534">
        <v>2.16</v>
      </c>
      <c r="M103" s="534">
        <v>1.9</v>
      </c>
      <c r="N103" s="534">
        <v>1.88</v>
      </c>
      <c r="O103" s="534">
        <v>2.3</v>
      </c>
      <c r="P103" s="534">
        <v>3.71</v>
      </c>
    </row>
    <row r="104" spans="2:16">
      <c r="B104" s="233" t="inlineStr">
        <is>
          <t>EPS - diluted, not annualised (INR)</t>
        </is>
      </c>
      <c r="C104" s="233"/>
      <c r="D104" s="534">
        <v>1.48</v>
      </c>
      <c r="E104" s="534">
        <v>0.69</v>
      </c>
      <c r="F104" s="534">
        <v>0.8</v>
      </c>
      <c r="G104" s="534">
        <v>9.57</v>
      </c>
      <c r="H104" s="534">
        <v>0.03</v>
      </c>
      <c r="I104" s="534">
        <v>0.29</v>
      </c>
      <c r="J104" s="534">
        <v>2.09</v>
      </c>
      <c r="K104" s="534">
        <v>2.14</v>
      </c>
      <c r="L104" s="534">
        <v>2.14</v>
      </c>
      <c r="M104" s="534">
        <v>1.88</v>
      </c>
      <c r="N104" s="534">
        <v>1.87</v>
      </c>
      <c r="O104" s="534">
        <v>2.27</v>
      </c>
      <c r="P104" s="534">
        <v>3.67</v>
      </c>
    </row>
    <row r="105" spans="2:16">
      <c r="B105" s="233" t="inlineStr">
        <is>
          <t>Cash EPS (INR)</t>
        </is>
      </c>
      <c r="C105" s="233"/>
      <c r="D105" s="534">
        <v>0</v>
      </c>
      <c r="E105" s="534">
        <v>0</v>
      </c>
      <c r="F105" s="534">
        <v>0</v>
      </c>
      <c r="G105" s="534">
        <v>0</v>
      </c>
      <c r="H105" s="534">
        <v>0</v>
      </c>
      <c r="I105" s="534">
        <v>0</v>
      </c>
      <c r="J105" s="534">
        <v>0</v>
      </c>
      <c r="K105" s="534">
        <v>0</v>
      </c>
      <c r="L105" s="534">
        <v>0</v>
      </c>
      <c r="M105" s="534">
        <v>0</v>
      </c>
      <c r="N105" s="534">
        <v>0</v>
      </c>
      <c r="O105" s="534">
        <v>0</v>
      </c>
      <c r="P105" s="534">
        <v>0</v>
      </c>
    </row>
    <row r="106" spans="2:16">
      <c r="B106" s="233" t="inlineStr">
        <is>
          <t>Book value per share (INR)</t>
        </is>
      </c>
      <c r="C106" s="233"/>
      <c r="D106" s="534">
        <v>37.93</v>
      </c>
      <c r="E106" s="534">
        <v>0</v>
      </c>
      <c r="F106" s="534">
        <v>0</v>
      </c>
      <c r="G106" s="534">
        <v>49.61</v>
      </c>
      <c r="H106" s="534">
        <v>37.19</v>
      </c>
      <c r="I106" s="534">
        <v>0</v>
      </c>
      <c r="J106" s="534">
        <v>0</v>
      </c>
      <c r="K106" s="534">
        <v>0</v>
      </c>
      <c r="L106" s="534">
        <v>0</v>
      </c>
      <c r="M106" s="534">
        <v>0</v>
      </c>
      <c r="N106" s="534">
        <v>0</v>
      </c>
      <c r="O106" s="534">
        <v>0</v>
      </c>
      <c r="P106" s="534">
        <v>0</v>
      </c>
    </row>
    <row r="107" spans="2:16">
      <c r="B107" s="233" t="inlineStr">
        <is>
          <t>Dividend declared per share in the quarter (INR)</t>
        </is>
      </c>
      <c r="C107" s="233"/>
      <c r="D107" s="534">
        <v>0</v>
      </c>
      <c r="E107" s="534">
        <v>0</v>
      </c>
      <c r="F107" s="534">
        <v>0</v>
      </c>
      <c r="G107" s="534">
        <v>0</v>
      </c>
      <c r="H107" s="534">
        <v>0</v>
      </c>
      <c r="I107" s="534">
        <v>0</v>
      </c>
      <c r="J107" s="534">
        <v>0</v>
      </c>
      <c r="K107" s="534">
        <v>0.2</v>
      </c>
      <c r="L107" s="534">
        <v>0</v>
      </c>
      <c r="M107" s="534">
        <v>0</v>
      </c>
      <c r="N107" s="534">
        <v>0.2</v>
      </c>
      <c r="O107" s="534">
        <v>0</v>
      </c>
      <c r="P107" s="534">
        <v>0</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09A6-CE14-4FF0-9174-D177F9E6C683}">
  <dimension ref="B2:N31"/>
  <sheetViews>
    <sheetView showGridLines="0" workbookViewId="0">
      <selection activeCell="C4" sqref="C4"/>
    </sheetView>
  </sheetViews>
  <sheetFormatPr defaultColWidth="9.140625" defaultRowHeight="12" customHeight="1" x14ac:dyDescent="0.2"/>
  <cols>
    <col min="1" max="1" width="3.85546875" style="108" customWidth="1"/>
    <col min="2" max="2" width="28.140625" style="108" customWidth="1"/>
    <col min="3" max="3" width="17.140625" style="108" customWidth="1"/>
    <col min="4" max="4" width="9.140625" style="108" customWidth="1"/>
    <col min="5" max="16" width="9.140625" style="108"/>
    <col min="17" max="17" width="9.42578125" style="108" customWidth="1"/>
    <col min="18" max="18" width="10.140625" style="108" customWidth="1"/>
    <col min="19" max="19" width="11.85546875" style="108" customWidth="1"/>
    <col min="20" max="16384" width="9.140625" style="108"/>
  </cols>
  <sheetData>
    <row r="2" spans="2:11" ht="12" customHeight="1" x14ac:dyDescent="0.2">
      <c r="B2" s="108" t="e" vm="1">
        <v>#VALUE!</v>
      </c>
      <c r="F2" s="109"/>
      <c r="G2" s="110"/>
    </row>
    <row r="3" spans="2:11" ht="12" customHeight="1" x14ac:dyDescent="0.2">
      <c r="B3" s="94" t="s">
        <v>314</v>
      </c>
      <c r="C3" s="95" cm="1">
        <f t="array" aca="1" ref="C3" ca="1">_FV(B2,"Price")</f>
        <v>372.85</v>
      </c>
      <c r="G3" s="111"/>
    </row>
    <row r="4" spans="2:11" ht="12" customHeight="1" x14ac:dyDescent="0.2">
      <c r="B4" s="97" t="s">
        <v>317</v>
      </c>
      <c r="C4" s="112" cm="1">
        <f t="array" aca="1" ref="C4" ca="1">_FV(B2,"Shares outstanding",TRUE)/10^6</f>
        <v>705.98469999999998</v>
      </c>
    </row>
    <row r="5" spans="2:11" ht="12" customHeight="1" x14ac:dyDescent="0.2">
      <c r="B5" s="97" t="s">
        <v>315</v>
      </c>
      <c r="C5" s="112">
        <f ca="1">C3*C4</f>
        <v>263226.395395</v>
      </c>
    </row>
    <row r="6" spans="2:11" ht="12" customHeight="1" x14ac:dyDescent="0.2">
      <c r="B6" s="116"/>
      <c r="C6" s="116"/>
    </row>
    <row r="7" spans="2:11" ht="12" customHeight="1" x14ac:dyDescent="0.2">
      <c r="B7" s="116"/>
      <c r="C7" s="116"/>
    </row>
    <row r="8" spans="2:11" ht="12" customHeight="1" x14ac:dyDescent="0.2">
      <c r="B8" s="93" t="s">
        <v>294</v>
      </c>
      <c r="C8" s="93"/>
      <c r="D8" s="93"/>
      <c r="E8" s="93"/>
      <c r="F8" s="93"/>
      <c r="G8" s="93"/>
      <c r="H8" s="93"/>
      <c r="I8" s="93"/>
      <c r="J8" s="93"/>
      <c r="K8" s="93"/>
    </row>
    <row r="9" spans="2:11" ht="12" customHeight="1" x14ac:dyDescent="0.2">
      <c r="B9" s="94" t="s">
        <v>295</v>
      </c>
      <c r="C9" s="95"/>
      <c r="D9" s="96" t="s">
        <v>296</v>
      </c>
      <c r="E9" s="96" t="s">
        <v>74</v>
      </c>
      <c r="F9" s="96" t="s">
        <v>390</v>
      </c>
      <c r="G9" s="96" t="s">
        <v>274</v>
      </c>
      <c r="H9" s="96" t="s">
        <v>275</v>
      </c>
      <c r="I9" s="96" t="s">
        <v>276</v>
      </c>
      <c r="J9" s="96" t="s">
        <v>277</v>
      </c>
      <c r="K9" s="96" t="s">
        <v>278</v>
      </c>
    </row>
    <row r="10" spans="2:11" ht="12" customHeight="1" x14ac:dyDescent="0.2">
      <c r="B10" s="97"/>
      <c r="C10" s="98"/>
      <c r="D10" s="98"/>
      <c r="E10" s="98"/>
      <c r="F10" s="98"/>
      <c r="G10" s="98"/>
      <c r="H10" s="98"/>
      <c r="I10" s="98"/>
      <c r="J10" s="98"/>
      <c r="K10" s="98"/>
    </row>
    <row r="11" spans="2:11" ht="12" customHeight="1" x14ac:dyDescent="0.2">
      <c r="B11" s="99" t="s">
        <v>297</v>
      </c>
      <c r="C11" s="100"/>
      <c r="D11" s="100">
        <f>Consolidated!I43</f>
        <v>-31.409999999999854</v>
      </c>
      <c r="E11" s="100">
        <f>Consolidated!J43</f>
        <v>6977.98</v>
      </c>
      <c r="F11" s="100">
        <f>Consolidated!K43</f>
        <v>2520.7800000000011</v>
      </c>
      <c r="G11" s="100">
        <f>Consolidated!L43</f>
        <v>4989.1500000000042</v>
      </c>
      <c r="H11" s="100">
        <f>Consolidated!M43</f>
        <v>8891.3066932589281</v>
      </c>
      <c r="I11" s="100">
        <f>Consolidated!N43</f>
        <v>16962.05960711118</v>
      </c>
      <c r="J11" s="100">
        <f>Consolidated!O43</f>
        <v>23112.177331045059</v>
      </c>
      <c r="K11" s="100">
        <f>Consolidated!P43</f>
        <v>28703.575264749405</v>
      </c>
    </row>
    <row r="12" spans="2:11" ht="12" customHeight="1" x14ac:dyDescent="0.2">
      <c r="B12" s="99" t="s">
        <v>298</v>
      </c>
      <c r="C12" s="100"/>
      <c r="D12" s="100">
        <f>Consolidated!I20</f>
        <v>4848.0200000000004</v>
      </c>
      <c r="E12" s="100">
        <f>Consolidated!J20</f>
        <v>3081.38</v>
      </c>
      <c r="F12" s="100">
        <f>Consolidated!K20</f>
        <v>2873.13</v>
      </c>
      <c r="G12" s="100">
        <f>Consolidated!L20</f>
        <v>4679.0200000000004</v>
      </c>
      <c r="H12" s="100">
        <f>Consolidated!M20</f>
        <v>7198.5435616438353</v>
      </c>
      <c r="I12" s="100">
        <f>Consolidated!N20</f>
        <v>15339.542465753426</v>
      </c>
      <c r="J12" s="100">
        <f>Consolidated!O20</f>
        <v>21812.594520547951</v>
      </c>
      <c r="K12" s="100">
        <f>Consolidated!P20</f>
        <v>29531.772602739729</v>
      </c>
    </row>
    <row r="13" spans="2:11" ht="12" customHeight="1" x14ac:dyDescent="0.2">
      <c r="B13" s="99" t="s">
        <v>299</v>
      </c>
      <c r="C13" s="100"/>
      <c r="D13" s="100">
        <f>Consolidated!I24*(1-Consolidated!I37)</f>
        <v>1667.472162846562</v>
      </c>
      <c r="E13" s="100">
        <f>Consolidated!J24*(1-Consolidated!J37)</f>
        <v>5887.2636757621576</v>
      </c>
      <c r="F13" s="100">
        <f>Consolidated!K24*(1-Consolidated!K37)</f>
        <v>5633.1036353496693</v>
      </c>
      <c r="G13" s="100">
        <f>Consolidated!L24*(1-Consolidated!L37)</f>
        <v>8260.9198311525597</v>
      </c>
      <c r="H13" s="100">
        <f>Consolidated!M24*(1-Consolidated!M37)</f>
        <v>13194.85083866041</v>
      </c>
      <c r="I13" s="100">
        <f>Consolidated!N24*(1-Consolidated!N37)</f>
        <v>20754.944140442884</v>
      </c>
      <c r="J13" s="100">
        <f>Consolidated!O24*(1-Consolidated!O37)</f>
        <v>27837.942348359426</v>
      </c>
      <c r="K13" s="100">
        <f>Consolidated!P24*(1-Consolidated!P37)</f>
        <v>30899.662897405531</v>
      </c>
    </row>
    <row r="14" spans="2:11" ht="12" customHeight="1" x14ac:dyDescent="0.2">
      <c r="B14" s="99" t="s">
        <v>316</v>
      </c>
      <c r="C14" s="100"/>
      <c r="D14" s="100">
        <f>SUM(Consolidated!I132:I138)</f>
        <v>1439.3299999999997</v>
      </c>
      <c r="E14" s="100">
        <f>SUM(Consolidated!J132:J138)</f>
        <v>3412.3699999999985</v>
      </c>
      <c r="F14" s="100">
        <f>SUM(Consolidated!K132:K138)</f>
        <v>4119.25</v>
      </c>
      <c r="G14" s="100">
        <f>SUM(Consolidated!L132:L138)</f>
        <v>-5842.5999999999995</v>
      </c>
      <c r="H14" s="100">
        <f>SUM(Consolidated!M132:M138)</f>
        <v>5548.6209502115144</v>
      </c>
      <c r="I14" s="100">
        <f>SUM(Consolidated!N132:N138)</f>
        <v>1724.5212098523491</v>
      </c>
      <c r="J14" s="100">
        <f>SUM(Consolidated!O132:O138)</f>
        <v>1533.088128952063</v>
      </c>
      <c r="K14" s="100">
        <f>SUM(Consolidated!P132:P138)</f>
        <v>1096.040489410429</v>
      </c>
    </row>
    <row r="15" spans="2:11" ht="12" customHeight="1" x14ac:dyDescent="0.2">
      <c r="B15" s="99" t="s">
        <v>300</v>
      </c>
      <c r="C15" s="100"/>
      <c r="D15" s="100">
        <f>-(Consolidated!I143-Consolidated!I144)</f>
        <v>7687.83</v>
      </c>
      <c r="E15" s="100">
        <f>-(Consolidated!J143-Consolidated!J144)</f>
        <v>28212.880000000001</v>
      </c>
      <c r="F15" s="100">
        <f>-(Consolidated!K143-Consolidated!K144)</f>
        <v>32659.93</v>
      </c>
      <c r="G15" s="100">
        <f>-(Consolidated!L143-Consolidated!L144)</f>
        <v>53212.04</v>
      </c>
      <c r="H15" s="100">
        <f>-(Consolidated!M143-Consolidated!M144)</f>
        <v>197107.33117313962</v>
      </c>
      <c r="I15" s="100">
        <f>-(Consolidated!N143-Consolidated!N144)</f>
        <v>218628.94844382341</v>
      </c>
      <c r="J15" s="100">
        <f>-(Consolidated!O143-Consolidated!O144)</f>
        <v>139541.88763750164</v>
      </c>
      <c r="K15" s="100">
        <f>-(Consolidated!P143-Consolidated!P144)</f>
        <v>44030.095759233925</v>
      </c>
    </row>
    <row r="16" spans="2:11" ht="12" customHeight="1" x14ac:dyDescent="0.2">
      <c r="B16" s="99" t="s">
        <v>301</v>
      </c>
      <c r="C16" s="101"/>
      <c r="D16" s="101">
        <f>D11+D12+D14-D15+D13</f>
        <v>235.5821628465626</v>
      </c>
      <c r="E16" s="101">
        <f>E11+E12+E14-E15+E13</f>
        <v>-8853.8863242378429</v>
      </c>
      <c r="F16" s="101">
        <f t="shared" ref="F16:K16" si="0">F11+F12+F14-F15+F13</f>
        <v>-17513.666364650329</v>
      </c>
      <c r="G16" s="101">
        <f t="shared" si="0"/>
        <v>-41125.550168847432</v>
      </c>
      <c r="H16" s="101">
        <f t="shared" si="0"/>
        <v>-162274.00912936495</v>
      </c>
      <c r="I16" s="101">
        <f t="shared" si="0"/>
        <v>-163847.88102066357</v>
      </c>
      <c r="J16" s="101">
        <f t="shared" si="0"/>
        <v>-65246.085308597147</v>
      </c>
      <c r="K16" s="101">
        <f t="shared" si="0"/>
        <v>46200.955495071175</v>
      </c>
    </row>
    <row r="17" spans="2:14" ht="12" customHeight="1" x14ac:dyDescent="0.2">
      <c r="B17" s="99"/>
      <c r="C17" s="100"/>
      <c r="D17" s="100"/>
      <c r="E17" s="100"/>
      <c r="F17" s="100"/>
      <c r="G17" s="100"/>
      <c r="H17" s="100"/>
      <c r="I17" s="100"/>
      <c r="J17" s="100"/>
      <c r="K17" s="100"/>
    </row>
    <row r="18" spans="2:14" ht="12" customHeight="1" x14ac:dyDescent="0.2">
      <c r="B18" s="99" t="s">
        <v>302</v>
      </c>
      <c r="C18" s="100"/>
      <c r="D18" s="100">
        <f>NPV($C$28,E16:$K16)</f>
        <v>-248423.02726283119</v>
      </c>
      <c r="E18" s="100">
        <f>NPV($C$28,F16:$K16)</f>
        <v>-272360.98053728702</v>
      </c>
      <c r="F18" s="100">
        <f>NPV($C$28,G16:$K16)</f>
        <v>-290798.96360355866</v>
      </c>
      <c r="G18" s="100">
        <f>NPV($C$28,H16:$K16)</f>
        <v>-288058.87663038104</v>
      </c>
      <c r="H18" s="100">
        <f>NPV($C$28,I16:$K16)</f>
        <v>-163808.63921622641</v>
      </c>
      <c r="I18" s="100">
        <f>NPV($C$28,J16:$K16)</f>
        <v>-21583.498572104781</v>
      </c>
      <c r="J18" s="100">
        <f>NPV($C$28,K16:$K16)</f>
        <v>40813.564924974533</v>
      </c>
      <c r="K18" s="100">
        <f>K16</f>
        <v>46200.955495071175</v>
      </c>
    </row>
    <row r="19" spans="2:14" ht="12" customHeight="1" x14ac:dyDescent="0.2">
      <c r="B19" s="99" t="s">
        <v>303</v>
      </c>
      <c r="C19" s="100"/>
      <c r="D19" s="100">
        <v>0</v>
      </c>
      <c r="E19" s="100">
        <v>0</v>
      </c>
      <c r="F19" s="100">
        <v>0</v>
      </c>
      <c r="G19" s="100">
        <v>0</v>
      </c>
      <c r="H19" s="100">
        <v>0</v>
      </c>
      <c r="I19" s="100">
        <v>0</v>
      </c>
      <c r="J19" s="100">
        <v>0</v>
      </c>
      <c r="K19" s="100">
        <f>K18*((1+$C$31)/($C$28-$C$31))</f>
        <v>522271.67081384809</v>
      </c>
    </row>
    <row r="20" spans="2:14" ht="12" customHeight="1" x14ac:dyDescent="0.2">
      <c r="B20" s="102" t="s">
        <v>304</v>
      </c>
      <c r="C20" s="100"/>
      <c r="D20" s="100">
        <f>NPV($C$28,E19:$K19)</f>
        <v>219266.09462653522</v>
      </c>
      <c r="E20" s="100">
        <f>NPV($C$28,F19:$K19)</f>
        <v>248209.21911723792</v>
      </c>
      <c r="F20" s="100">
        <f>NPV($C$28,G19:$K19)</f>
        <v>280972.83604071336</v>
      </c>
      <c r="G20" s="100">
        <f>NPV($C$28,H19:$K19)</f>
        <v>318061.25039808755</v>
      </c>
      <c r="H20" s="100">
        <f>NPV($C$28,I19:$K19)</f>
        <v>360045.33545063512</v>
      </c>
      <c r="I20" s="100">
        <f>NPV($C$28,J19:$K19)</f>
        <v>407571.31973011896</v>
      </c>
      <c r="J20" s="100">
        <f>NPV($C$28,K19:$K19)</f>
        <v>461370.73393449472</v>
      </c>
      <c r="K20" s="100">
        <f>NPV($C$28,$K19:L19)</f>
        <v>461370.73393449472</v>
      </c>
    </row>
    <row r="21" spans="2:14" ht="12" customHeight="1" x14ac:dyDescent="0.2">
      <c r="B21" s="102" t="s">
        <v>305</v>
      </c>
      <c r="C21" s="103"/>
      <c r="D21" s="103">
        <f t="shared" ref="D21" si="1">D20+D18</f>
        <v>-29156.932636295969</v>
      </c>
      <c r="E21" s="103">
        <f t="shared" ref="E21:K21" si="2">E20+E18</f>
        <v>-24151.761420049093</v>
      </c>
      <c r="F21" s="103">
        <f t="shared" si="2"/>
        <v>-9826.1275628453004</v>
      </c>
      <c r="G21" s="103">
        <f t="shared" si="2"/>
        <v>30002.373767706507</v>
      </c>
      <c r="H21" s="103">
        <f t="shared" si="2"/>
        <v>196236.69623440871</v>
      </c>
      <c r="I21" s="103">
        <f t="shared" si="2"/>
        <v>385987.82115801418</v>
      </c>
      <c r="J21" s="103">
        <f t="shared" si="2"/>
        <v>502184.29885946924</v>
      </c>
      <c r="K21" s="103">
        <f t="shared" si="2"/>
        <v>507571.68942956591</v>
      </c>
    </row>
    <row r="22" spans="2:14" ht="12" customHeight="1" x14ac:dyDescent="0.2">
      <c r="B22" s="102" t="s">
        <v>73</v>
      </c>
      <c r="C22" s="103"/>
      <c r="D22" s="103">
        <f>Consolidated!I68-Consolidated!I98</f>
        <v>73188.91</v>
      </c>
      <c r="E22" s="103">
        <f>Consolidated!J68-Consolidated!J98</f>
        <v>69027.179999999993</v>
      </c>
      <c r="F22" s="103">
        <f>Consolidated!K68-Consolidated!K98</f>
        <v>75066.69</v>
      </c>
      <c r="G22" s="103">
        <f>Consolidated!L68-Consolidated!L98</f>
        <v>128299.58000000002</v>
      </c>
      <c r="H22" s="103">
        <f>Consolidated!M68-Consolidated!M98</f>
        <v>275768.44021302537</v>
      </c>
      <c r="I22" s="103">
        <f>Consolidated!N68-Consolidated!N98</f>
        <v>460371.26537413185</v>
      </c>
      <c r="J22" s="103">
        <f>Consolidated!O68-Consolidated!O98</f>
        <v>553455.29303108831</v>
      </c>
      <c r="K22" s="103">
        <f>Consolidated!P68-Consolidated!P98</f>
        <v>538154.00043342274</v>
      </c>
    </row>
    <row r="23" spans="2:14" ht="12" customHeight="1" x14ac:dyDescent="0.2">
      <c r="B23" s="102" t="s">
        <v>306</v>
      </c>
      <c r="C23" s="103"/>
      <c r="D23" s="103">
        <f t="shared" ref="D23" si="3">D21-D22</f>
        <v>-102345.84263629597</v>
      </c>
      <c r="E23" s="103">
        <f t="shared" ref="E23:K23" si="4">E21-E22</f>
        <v>-93178.941420049086</v>
      </c>
      <c r="F23" s="103">
        <f t="shared" si="4"/>
        <v>-84892.817562845303</v>
      </c>
      <c r="G23" s="103">
        <f t="shared" si="4"/>
        <v>-98297.206232293509</v>
      </c>
      <c r="H23" s="103">
        <f t="shared" si="4"/>
        <v>-79531.743978616665</v>
      </c>
      <c r="I23" s="103">
        <f t="shared" si="4"/>
        <v>-74383.44421611767</v>
      </c>
      <c r="J23" s="103">
        <f t="shared" si="4"/>
        <v>-51270.994171619066</v>
      </c>
      <c r="K23" s="103">
        <f t="shared" si="4"/>
        <v>-30582.311003856827</v>
      </c>
      <c r="M23" s="113"/>
    </row>
    <row r="24" spans="2:14" ht="12" customHeight="1" x14ac:dyDescent="0.2">
      <c r="B24" s="102" t="s">
        <v>307</v>
      </c>
      <c r="C24" s="104"/>
      <c r="D24" s="114">
        <f t="shared" ref="D24:K24" ca="1" si="5">$C$4</f>
        <v>705.98469999999998</v>
      </c>
      <c r="E24" s="114">
        <f t="shared" ca="1" si="5"/>
        <v>705.98469999999998</v>
      </c>
      <c r="F24" s="114">
        <f t="shared" ca="1" si="5"/>
        <v>705.98469999999998</v>
      </c>
      <c r="G24" s="114">
        <f t="shared" ca="1" si="5"/>
        <v>705.98469999999998</v>
      </c>
      <c r="H24" s="114">
        <f t="shared" ca="1" si="5"/>
        <v>705.98469999999998</v>
      </c>
      <c r="I24" s="114">
        <f t="shared" ca="1" si="5"/>
        <v>705.98469999999998</v>
      </c>
      <c r="J24" s="114">
        <f t="shared" ca="1" si="5"/>
        <v>705.98469999999998</v>
      </c>
      <c r="K24" s="114">
        <f t="shared" ca="1" si="5"/>
        <v>705.98469999999998</v>
      </c>
    </row>
    <row r="25" spans="2:14" ht="12" customHeight="1" x14ac:dyDescent="0.2">
      <c r="B25" s="102" t="s">
        <v>308</v>
      </c>
      <c r="C25" s="105"/>
      <c r="D25" s="105">
        <f t="shared" ref="D25" ca="1" si="6">D23/D24</f>
        <v>-144.96892444878193</v>
      </c>
      <c r="E25" s="105">
        <f t="shared" ref="E25:K25" ca="1" si="7">E23/E24</f>
        <v>-131.98436371220097</v>
      </c>
      <c r="F25" s="105">
        <f t="shared" ca="1" si="7"/>
        <v>-120.24739001120747</v>
      </c>
      <c r="G25" s="105">
        <f t="shared" ca="1" si="7"/>
        <v>-139.23418769881772</v>
      </c>
      <c r="H25" s="105">
        <f t="shared" ca="1" si="7"/>
        <v>-112.65363679781824</v>
      </c>
      <c r="I25" s="105">
        <f t="shared" ca="1" si="7"/>
        <v>-105.36126946677126</v>
      </c>
      <c r="J25" s="105">
        <f ca="1">J23/J24</f>
        <v>-72.623378625087867</v>
      </c>
      <c r="K25" s="105">
        <f t="shared" ca="1" si="7"/>
        <v>-43.318659744123103</v>
      </c>
    </row>
    <row r="26" spans="2:14" ht="12" customHeight="1" x14ac:dyDescent="0.2">
      <c r="B26" s="102" t="s">
        <v>309</v>
      </c>
      <c r="C26" s="105"/>
      <c r="D26" s="115">
        <f t="shared" ref="D26" ca="1" si="8">D25/$C$3-1</f>
        <v>-1.3888129930234194</v>
      </c>
      <c r="E26" s="115">
        <f t="shared" ref="E26:K26" ca="1" si="9">E25/$C$3-1</f>
        <v>-1.3539878334778086</v>
      </c>
      <c r="F26" s="115">
        <f t="shared" ca="1" si="9"/>
        <v>-1.322508756902796</v>
      </c>
      <c r="G26" s="115">
        <f t="shared" ca="1" si="9"/>
        <v>-1.3734321783527363</v>
      </c>
      <c r="H26" s="115">
        <f t="shared" ca="1" si="9"/>
        <v>-1.3021419788060031</v>
      </c>
      <c r="I26" s="115">
        <f t="shared" ca="1" si="9"/>
        <v>-1.2825835308214328</v>
      </c>
      <c r="J26" s="115">
        <f t="shared" ca="1" si="9"/>
        <v>-1.1947790763714305</v>
      </c>
      <c r="K26" s="115">
        <f t="shared" ca="1" si="9"/>
        <v>-1.1161825392091274</v>
      </c>
      <c r="L26" s="4"/>
      <c r="M26" s="79"/>
      <c r="N26" s="79"/>
    </row>
    <row r="27" spans="2:14" ht="12" customHeight="1" x14ac:dyDescent="0.2">
      <c r="B27" s="79"/>
      <c r="C27" s="79"/>
      <c r="D27" s="79"/>
      <c r="E27" s="79"/>
      <c r="F27" s="79"/>
      <c r="G27" s="79"/>
      <c r="H27" s="79"/>
      <c r="I27" s="79"/>
      <c r="J27" s="79"/>
      <c r="K27" s="79"/>
      <c r="L27" s="79"/>
      <c r="M27" s="79"/>
      <c r="N27" s="79"/>
    </row>
    <row r="28" spans="2:14" ht="12" customHeight="1" x14ac:dyDescent="0.2">
      <c r="B28" s="102" t="s">
        <v>310</v>
      </c>
      <c r="C28" s="106">
        <f>(C29*D29)+(C30*D30)</f>
        <v>0.13200000000000001</v>
      </c>
      <c r="D28" s="106"/>
      <c r="E28" s="79"/>
      <c r="F28" s="79"/>
      <c r="G28" s="79"/>
      <c r="H28" s="79"/>
      <c r="I28" s="79"/>
      <c r="J28" s="79"/>
      <c r="K28" s="79"/>
      <c r="L28" s="79"/>
      <c r="M28" s="79"/>
      <c r="N28" s="79"/>
    </row>
    <row r="29" spans="2:14" ht="12" customHeight="1" x14ac:dyDescent="0.2">
      <c r="B29" s="102" t="s">
        <v>311</v>
      </c>
      <c r="C29" s="106">
        <v>0.14000000000000001</v>
      </c>
      <c r="D29" s="106">
        <v>0.8</v>
      </c>
      <c r="E29" s="79"/>
      <c r="F29" s="107"/>
      <c r="G29" s="79"/>
      <c r="H29" s="79"/>
      <c r="I29" s="79"/>
      <c r="J29" s="79"/>
      <c r="K29" s="79"/>
      <c r="L29" s="79"/>
      <c r="M29" s="79"/>
      <c r="N29" s="79"/>
    </row>
    <row r="30" spans="2:14" ht="12" customHeight="1" x14ac:dyDescent="0.2">
      <c r="B30" s="102" t="s">
        <v>312</v>
      </c>
      <c r="C30" s="106">
        <v>0.1</v>
      </c>
      <c r="D30" s="106">
        <v>0.2</v>
      </c>
      <c r="E30" s="79"/>
      <c r="F30" s="79"/>
      <c r="G30" s="79"/>
      <c r="H30" s="79"/>
      <c r="I30" s="79"/>
      <c r="J30" s="79"/>
      <c r="K30" s="79"/>
      <c r="L30" s="79"/>
      <c r="M30" s="79"/>
      <c r="N30" s="79"/>
    </row>
    <row r="31" spans="2:14" ht="12" customHeight="1" x14ac:dyDescent="0.2">
      <c r="B31" s="102" t="s">
        <v>313</v>
      </c>
      <c r="C31" s="106">
        <v>0.04</v>
      </c>
      <c r="D31" s="106"/>
      <c r="E31" s="79"/>
      <c r="F31" s="79"/>
      <c r="G31" s="79"/>
      <c r="H31" s="79"/>
      <c r="I31" s="79"/>
      <c r="J31" s="79"/>
      <c r="K31" s="79"/>
      <c r="L31" s="79"/>
      <c r="M31" s="79"/>
      <c r="N31" s="7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BC531-4240-45E9-8B51-A16FA74813FE}">
  <dimension ref="A1:O19"/>
  <sheetViews>
    <sheetView workbookViewId="0">
      <selection activeCell="J21" sqref="J21"/>
    </sheetView>
  </sheetViews>
  <sheetFormatPr defaultRowHeight="15" x14ac:dyDescent="0.25"/>
  <cols>
    <col min="1" max="1" width="13.85546875" bestFit="1" customWidth="1"/>
    <col min="2" max="2" width="13.85546875" style="157" bestFit="1" customWidth="1"/>
    <col min="3" max="3" width="16.85546875" bestFit="1" customWidth="1"/>
    <col min="10" max="10" width="27.85546875" bestFit="1" customWidth="1"/>
    <col min="11" max="11" width="14.140625" style="157" bestFit="1" customWidth="1"/>
    <col min="14" max="14" width="12" bestFit="1" customWidth="1"/>
  </cols>
  <sheetData>
    <row r="1" spans="1:15" x14ac:dyDescent="0.25">
      <c r="C1" s="158" t="s">
        <v>337</v>
      </c>
      <c r="D1" s="158" t="s">
        <v>338</v>
      </c>
    </row>
    <row r="2" spans="1:15" x14ac:dyDescent="0.25">
      <c r="B2" s="157">
        <v>1</v>
      </c>
      <c r="C2" t="s">
        <v>339</v>
      </c>
      <c r="D2" t="s">
        <v>335</v>
      </c>
      <c r="F2" s="159" t="s">
        <v>340</v>
      </c>
      <c r="J2" t="s">
        <v>341</v>
      </c>
      <c r="K2" s="157">
        <f>1*24*365</f>
        <v>8760</v>
      </c>
      <c r="L2" t="s">
        <v>342</v>
      </c>
    </row>
    <row r="3" spans="1:15" x14ac:dyDescent="0.25">
      <c r="A3" t="s">
        <v>343</v>
      </c>
      <c r="B3" s="160">
        <f>B2*8.76*100%</f>
        <v>8.76</v>
      </c>
      <c r="C3" t="s">
        <v>344</v>
      </c>
      <c r="D3" t="s">
        <v>345</v>
      </c>
      <c r="E3" t="s">
        <v>346</v>
      </c>
      <c r="J3" t="s">
        <v>347</v>
      </c>
      <c r="K3" s="157">
        <f>K2*N3</f>
        <v>8760000000</v>
      </c>
      <c r="L3" t="s">
        <v>342</v>
      </c>
      <c r="M3" t="s">
        <v>355</v>
      </c>
      <c r="N3" s="167">
        <f>10^6</f>
        <v>1000000</v>
      </c>
      <c r="O3" t="s">
        <v>356</v>
      </c>
    </row>
    <row r="4" spans="1:15" x14ac:dyDescent="0.25">
      <c r="A4" t="s">
        <v>343</v>
      </c>
      <c r="B4" s="160">
        <f>B3</f>
        <v>8.76</v>
      </c>
      <c r="C4" t="s">
        <v>279</v>
      </c>
      <c r="D4" t="s">
        <v>345</v>
      </c>
      <c r="E4" t="s">
        <v>346</v>
      </c>
      <c r="F4" t="s">
        <v>348</v>
      </c>
      <c r="J4" t="s">
        <v>349</v>
      </c>
      <c r="K4" s="157">
        <f>K3/1000</f>
        <v>8760000</v>
      </c>
      <c r="L4" t="s">
        <v>350</v>
      </c>
      <c r="M4" t="s">
        <v>357</v>
      </c>
      <c r="N4">
        <v>1000</v>
      </c>
      <c r="O4" t="s">
        <v>358</v>
      </c>
    </row>
    <row r="5" spans="1:15" x14ac:dyDescent="0.25">
      <c r="J5" t="s">
        <v>349</v>
      </c>
      <c r="K5" s="157">
        <f>K4</f>
        <v>8760000</v>
      </c>
      <c r="L5" t="s">
        <v>351</v>
      </c>
    </row>
    <row r="6" spans="1:15" ht="15.75" thickBot="1" x14ac:dyDescent="0.3">
      <c r="A6" t="s">
        <v>352</v>
      </c>
      <c r="B6" s="157">
        <v>1400000</v>
      </c>
      <c r="J6" t="s">
        <v>349</v>
      </c>
      <c r="K6" s="160">
        <f>K4/1000000</f>
        <v>8.76</v>
      </c>
      <c r="L6" t="s">
        <v>353</v>
      </c>
    </row>
    <row r="7" spans="1:15" ht="15.75" thickBot="1" x14ac:dyDescent="0.3">
      <c r="J7" s="161" t="s">
        <v>349</v>
      </c>
      <c r="K7" s="162">
        <f>K6</f>
        <v>8.76</v>
      </c>
      <c r="L7" t="s">
        <v>354</v>
      </c>
    </row>
    <row r="9" spans="1:15" x14ac:dyDescent="0.25">
      <c r="K9" s="168"/>
      <c r="L9" s="158"/>
    </row>
    <row r="10" spans="1:15" x14ac:dyDescent="0.25">
      <c r="B10" s="163"/>
      <c r="K10" s="168"/>
      <c r="L10" s="158"/>
    </row>
    <row r="11" spans="1:15" x14ac:dyDescent="0.25">
      <c r="K11" s="168"/>
      <c r="L11" s="158"/>
    </row>
    <row r="12" spans="1:15" x14ac:dyDescent="0.25">
      <c r="B12" s="160"/>
      <c r="K12" s="168"/>
      <c r="L12" s="164"/>
    </row>
    <row r="13" spans="1:15" x14ac:dyDescent="0.25">
      <c r="A13" s="165"/>
      <c r="B13" s="166"/>
      <c r="K13" s="168"/>
      <c r="L13" s="164"/>
    </row>
    <row r="14" spans="1:15" x14ac:dyDescent="0.25">
      <c r="A14" s="158"/>
      <c r="B14" s="166"/>
      <c r="K14" s="168"/>
      <c r="L14" s="164"/>
    </row>
    <row r="15" spans="1:15" x14ac:dyDescent="0.25">
      <c r="B15" s="166"/>
    </row>
    <row r="16" spans="1:15" x14ac:dyDescent="0.25">
      <c r="A16" s="159"/>
      <c r="B16" s="166"/>
      <c r="L16" s="164"/>
    </row>
    <row r="17" spans="2:2" x14ac:dyDescent="0.25">
      <c r="B17" s="166"/>
    </row>
    <row r="18" spans="2:2" x14ac:dyDescent="0.25">
      <c r="B18" s="166"/>
    </row>
    <row r="19" spans="2:2" x14ac:dyDescent="0.25">
      <c r="B19" s="166"/>
    </row>
  </sheetData>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D5C8-2113-4EA6-A1C0-779AE8459742}">
  <dimension ref="B2:J47"/>
  <sheetViews>
    <sheetView showGridLines="0" workbookViewId="0">
      <selection activeCell="H12" sqref="H12"/>
    </sheetView>
  </sheetViews>
  <sheetFormatPr defaultRowHeight="15" x14ac:dyDescent="0.25"/>
  <cols>
    <col min="2" max="2" width="30.85546875" customWidth="1"/>
    <col min="3" max="4" width="10.85546875" customWidth="1"/>
    <col min="10" max="10" width="7.5703125" bestFit="1" customWidth="1"/>
  </cols>
  <sheetData>
    <row r="2" spans="2:10" x14ac:dyDescent="0.25">
      <c r="B2" s="246" t="s">
        <v>553</v>
      </c>
      <c r="C2" s="268" t="str">
        <f>Qtry!$O$3</f>
        <v>4QFY26</v>
      </c>
      <c r="D2" s="268" t="str">
        <f>Qtry!$N$3</f>
        <v>3QFY26</v>
      </c>
      <c r="E2" s="268" t="str">
        <f>Qtry!$K$3</f>
        <v>4QFY25</v>
      </c>
      <c r="F2" s="247" t="s">
        <v>443</v>
      </c>
      <c r="G2" s="247" t="s">
        <v>444</v>
      </c>
      <c r="H2" s="268" t="s">
        <v>368</v>
      </c>
      <c r="I2" s="268" t="s">
        <v>390</v>
      </c>
      <c r="J2" s="247" t="s">
        <v>444</v>
      </c>
    </row>
    <row r="3" spans="2:10" x14ac:dyDescent="0.25">
      <c r="B3" s="248" t="s">
        <v>445</v>
      </c>
      <c r="C3" s="249">
        <f>Qtry!O6</f>
        <v>5478.54</v>
      </c>
      <c r="D3" s="249">
        <f>Qtry!N6</f>
        <v>4967.93</v>
      </c>
      <c r="E3" s="249">
        <f>Qtry!K6</f>
        <v>4868.87</v>
      </c>
      <c r="F3" s="250">
        <f>C3/D3-1</f>
        <v>0.10278123886608692</v>
      </c>
      <c r="G3" s="250">
        <f>C3/E3-1</f>
        <v>0.125217966386451</v>
      </c>
      <c r="H3" s="249">
        <f>+SUM(Qtry!L6:O6)</f>
        <v>20233.79</v>
      </c>
      <c r="I3" s="249">
        <f>+SUM(Qtry!H6:K6)</f>
        <v>14051.309999999998</v>
      </c>
      <c r="J3" s="250">
        <f>+H3/I3-1</f>
        <v>0.43999313942970475</v>
      </c>
    </row>
    <row r="4" spans="2:10" x14ac:dyDescent="0.25">
      <c r="B4" s="248" t="s">
        <v>446</v>
      </c>
      <c r="C4" s="249">
        <v>0</v>
      </c>
      <c r="D4" s="249">
        <v>0</v>
      </c>
      <c r="E4" s="249">
        <v>0</v>
      </c>
      <c r="F4" s="250"/>
      <c r="G4" s="250"/>
      <c r="H4" s="249">
        <v>0</v>
      </c>
      <c r="I4" s="249">
        <v>0</v>
      </c>
      <c r="J4" s="250"/>
    </row>
    <row r="5" spans="2:10" x14ac:dyDescent="0.25">
      <c r="B5" s="251" t="s">
        <v>447</v>
      </c>
      <c r="C5" s="252">
        <f>C3-C4</f>
        <v>5478.54</v>
      </c>
      <c r="D5" s="252">
        <f>D3-D4</f>
        <v>4967.93</v>
      </c>
      <c r="E5" s="252">
        <f>E3-E4</f>
        <v>4868.87</v>
      </c>
      <c r="F5" s="253">
        <f t="shared" ref="F5" si="0">C5/D5-1</f>
        <v>0.10278123886608692</v>
      </c>
      <c r="G5" s="253">
        <f t="shared" ref="G5" si="1">C5/E5-1</f>
        <v>0.125217966386451</v>
      </c>
      <c r="H5" s="252">
        <f>H3-H4</f>
        <v>20233.79</v>
      </c>
      <c r="I5" s="252">
        <f>I3-I4</f>
        <v>14051.309999999998</v>
      </c>
      <c r="J5" s="253"/>
    </row>
    <row r="6" spans="2:10" x14ac:dyDescent="0.25">
      <c r="B6" s="254" t="s">
        <v>448</v>
      </c>
      <c r="C6" s="255">
        <f>C5/C3</f>
        <v>1</v>
      </c>
      <c r="D6" s="255">
        <f t="shared" ref="D6:E6" si="2">D5/D3</f>
        <v>1</v>
      </c>
      <c r="E6" s="255">
        <f t="shared" si="2"/>
        <v>1</v>
      </c>
      <c r="F6" s="256">
        <f>(C6-D6)*10000</f>
        <v>0</v>
      </c>
      <c r="G6" s="256">
        <f>(C6-E6)*10000</f>
        <v>0</v>
      </c>
      <c r="H6" s="255">
        <f t="shared" ref="H6" si="3">H5/H3</f>
        <v>1</v>
      </c>
      <c r="I6" s="255">
        <f t="shared" ref="I6" si="4">I5/I3</f>
        <v>1</v>
      </c>
      <c r="J6" s="256">
        <f>(H6-I6)*10000</f>
        <v>0</v>
      </c>
    </row>
    <row r="7" spans="2:10" x14ac:dyDescent="0.25">
      <c r="B7" s="257" t="s">
        <v>449</v>
      </c>
      <c r="C7" s="249">
        <f>Qtry!O10</f>
        <v>148.85</v>
      </c>
      <c r="D7" s="249">
        <f>Qtry!N10</f>
        <v>158.30000000000001</v>
      </c>
      <c r="E7" s="249">
        <f>Qtry!K10</f>
        <v>172.72</v>
      </c>
      <c r="F7" s="250">
        <f t="shared" ref="F7:F9" si="5">C7/D7-1</f>
        <v>-5.9696778269109352E-2</v>
      </c>
      <c r="G7" s="250">
        <f t="shared" ref="G7:G9" si="6">C7/E7-1</f>
        <v>-0.13820055581287638</v>
      </c>
      <c r="H7" s="249">
        <f>+SUM(Qtry!L10:O10)</f>
        <v>619.68999999999994</v>
      </c>
      <c r="I7" s="249">
        <f>+SUM(Qtry!H10:K10)</f>
        <v>649.45000000000005</v>
      </c>
      <c r="J7" s="250">
        <f t="shared" ref="J7:J9" si="7">+H7/I7-1</f>
        <v>-4.5823389021479866E-2</v>
      </c>
    </row>
    <row r="8" spans="2:10" x14ac:dyDescent="0.25">
      <c r="B8" s="248" t="s">
        <v>450</v>
      </c>
      <c r="C8" s="249">
        <f>Qtry!O11</f>
        <v>541.33000000000004</v>
      </c>
      <c r="D8" s="249">
        <f>Qtry!N11</f>
        <v>364.85</v>
      </c>
      <c r="E8" s="249">
        <f>Qtry!K11</f>
        <v>338.68</v>
      </c>
      <c r="F8" s="250">
        <f t="shared" si="5"/>
        <v>0.4837056324516924</v>
      </c>
      <c r="G8" s="250">
        <f t="shared" si="6"/>
        <v>0.59835242706980041</v>
      </c>
      <c r="H8" s="249">
        <f>+SUM(Qtry!L11:O11)</f>
        <v>1800.7399999999998</v>
      </c>
      <c r="I8" s="249">
        <f>+SUM(Qtry!H11:K11)</f>
        <v>1047.56</v>
      </c>
      <c r="J8" s="250">
        <f t="shared" si="7"/>
        <v>0.7189850700675855</v>
      </c>
    </row>
    <row r="9" spans="2:10" x14ac:dyDescent="0.25">
      <c r="B9" s="258" t="s">
        <v>4</v>
      </c>
      <c r="C9" s="259">
        <f>C5-C7-C8</f>
        <v>4788.3599999999997</v>
      </c>
      <c r="D9" s="259">
        <f>D5-D7-D8</f>
        <v>4444.78</v>
      </c>
      <c r="E9" s="259">
        <f>E5-E7-E8</f>
        <v>4357.4699999999993</v>
      </c>
      <c r="F9" s="250">
        <f t="shared" si="5"/>
        <v>7.7299663875377345E-2</v>
      </c>
      <c r="G9" s="250">
        <f t="shared" si="6"/>
        <v>9.8885362377710173E-2</v>
      </c>
      <c r="H9" s="259">
        <f>H5-H7-H8</f>
        <v>17813.36</v>
      </c>
      <c r="I9" s="259">
        <f>I5-I7-I8</f>
        <v>12354.299999999997</v>
      </c>
      <c r="J9" s="250">
        <f t="shared" si="7"/>
        <v>0.44187529847907236</v>
      </c>
    </row>
    <row r="10" spans="2:10" x14ac:dyDescent="0.25">
      <c r="B10" s="254" t="s">
        <v>448</v>
      </c>
      <c r="C10" s="338">
        <f>C9/C3</f>
        <v>0.87402118082554836</v>
      </c>
      <c r="D10" s="338">
        <f t="shared" ref="D10:E10" si="8">D9/D3</f>
        <v>0.89469457097825444</v>
      </c>
      <c r="E10" s="338">
        <f t="shared" si="8"/>
        <v>0.89496536157260298</v>
      </c>
      <c r="F10" s="256">
        <f>(C10-D10)*10000</f>
        <v>-206.73390152706082</v>
      </c>
      <c r="G10" s="256">
        <f>(C10-E10)*10000</f>
        <v>-209.44180747054619</v>
      </c>
      <c r="H10" s="338">
        <f t="shared" ref="H10" si="9">H9/H3</f>
        <v>0.88037683498741459</v>
      </c>
      <c r="I10" s="338">
        <f t="shared" ref="I10" si="10">I9/I3</f>
        <v>0.87922763073336219</v>
      </c>
      <c r="J10" s="256">
        <f>(H10-I10)*10000</f>
        <v>11.49204254052405</v>
      </c>
    </row>
    <row r="11" spans="2:10" x14ac:dyDescent="0.25">
      <c r="B11" s="248" t="s">
        <v>72</v>
      </c>
      <c r="C11" s="249">
        <f>Qtry!O15</f>
        <v>1227.97</v>
      </c>
      <c r="D11" s="249">
        <f>Qtry!N15</f>
        <v>1201.8009999999999</v>
      </c>
      <c r="E11" s="249">
        <f>Qtry!K15</f>
        <v>1022.2</v>
      </c>
      <c r="F11" s="250">
        <f>C11/D11-1</f>
        <v>2.1774819624879704E-2</v>
      </c>
      <c r="G11" s="250">
        <f>C11/E11-1</f>
        <v>0.20130111524163574</v>
      </c>
      <c r="H11" s="249">
        <f>+SUM(Qtry!L15:O15)</f>
        <v>4679.0509999999995</v>
      </c>
      <c r="I11" s="249">
        <f>+SUM(Qtry!H15:K15)</f>
        <v>2873.13</v>
      </c>
      <c r="J11" s="250">
        <f t="shared" ref="J11:J13" si="11">+H11/I11-1</f>
        <v>0.62855526899235303</v>
      </c>
    </row>
    <row r="12" spans="2:10" x14ac:dyDescent="0.25">
      <c r="B12" s="248" t="s">
        <v>6</v>
      </c>
      <c r="C12" s="249">
        <f>Qtry!O7</f>
        <v>1570.58</v>
      </c>
      <c r="D12" s="249">
        <f>Qtry!N7</f>
        <v>1200.19</v>
      </c>
      <c r="E12" s="249">
        <f>Qtry!K7</f>
        <v>523.67999999999995</v>
      </c>
      <c r="F12" s="250">
        <f t="shared" ref="F12:F18" si="12">C12/D12-1</f>
        <v>0.30860947016722351</v>
      </c>
      <c r="G12" s="250">
        <f t="shared" ref="G12:G18" si="13">C12/E12-1</f>
        <v>1.9991216009776966</v>
      </c>
      <c r="H12" s="249">
        <f>+SUM(Qtry!L7:O7)</f>
        <v>4837.01</v>
      </c>
      <c r="I12" s="249">
        <f>+SUM(Qtry!H7:K7)</f>
        <v>1701.1</v>
      </c>
      <c r="J12" s="250">
        <f t="shared" si="11"/>
        <v>1.8434601140438542</v>
      </c>
    </row>
    <row r="13" spans="2:10" x14ac:dyDescent="0.25">
      <c r="B13" s="251" t="s">
        <v>8</v>
      </c>
      <c r="C13" s="252">
        <f>C9-C11+C12</f>
        <v>5130.9699999999993</v>
      </c>
      <c r="D13" s="252">
        <f>D9-D11+D12</f>
        <v>4443.1689999999999</v>
      </c>
      <c r="E13" s="252">
        <f>E9-E11+E12</f>
        <v>3858.9499999999994</v>
      </c>
      <c r="F13" s="253">
        <f t="shared" si="12"/>
        <v>0.15479964862916518</v>
      </c>
      <c r="G13" s="253">
        <f t="shared" si="13"/>
        <v>0.32962852589434966</v>
      </c>
      <c r="H13" s="252">
        <f>H9-H11+H12</f>
        <v>17971.319000000003</v>
      </c>
      <c r="I13" s="252">
        <f>I9-I11+I12</f>
        <v>11182.269999999999</v>
      </c>
      <c r="J13" s="250">
        <f t="shared" si="11"/>
        <v>0.60712619173030213</v>
      </c>
    </row>
    <row r="14" spans="2:10" x14ac:dyDescent="0.25">
      <c r="B14" s="254" t="s">
        <v>448</v>
      </c>
      <c r="C14" s="255">
        <f>+C13/C3</f>
        <v>0.93655791506496244</v>
      </c>
      <c r="D14" s="255">
        <f>+D13/D3</f>
        <v>0.8943702910467739</v>
      </c>
      <c r="E14" s="255">
        <f>+E13/E3</f>
        <v>0.7925761008201081</v>
      </c>
      <c r="F14" s="256">
        <f>(C14-D14)*10000</f>
        <v>421.87624018188541</v>
      </c>
      <c r="G14" s="256">
        <f>(C14-E14)*10000</f>
        <v>1439.8181424485435</v>
      </c>
      <c r="H14" s="255">
        <f t="shared" ref="H14:I14" si="14">+H13/H3</f>
        <v>0.88818352864194017</v>
      </c>
      <c r="I14" s="255">
        <f t="shared" si="14"/>
        <v>0.79581690248097869</v>
      </c>
      <c r="J14" s="256">
        <f>(H14-I14)*10000</f>
        <v>923.66626160961471</v>
      </c>
    </row>
    <row r="15" spans="2:10" x14ac:dyDescent="0.25">
      <c r="B15" s="248" t="s">
        <v>451</v>
      </c>
      <c r="C15" s="249">
        <f>Qtry!O14</f>
        <v>3374.78</v>
      </c>
      <c r="D15" s="249">
        <f>Qtry!N14</f>
        <v>2880.26</v>
      </c>
      <c r="E15" s="249">
        <f>Qtry!K14</f>
        <v>2055.46</v>
      </c>
      <c r="F15" s="250">
        <f t="shared" si="12"/>
        <v>0.17169283328588381</v>
      </c>
      <c r="G15" s="250">
        <f t="shared" si="13"/>
        <v>0.64186118922285051</v>
      </c>
      <c r="H15" s="249">
        <f>+SUM(Qtry!L14:O14)</f>
        <v>11229.880000000001</v>
      </c>
      <c r="I15" s="249">
        <f>+SUM(Qtry!H14:K14)</f>
        <v>7592.07</v>
      </c>
      <c r="J15" s="250">
        <f t="shared" ref="J15" si="15">+H15/I15-1</f>
        <v>0.47915917529738294</v>
      </c>
    </row>
    <row r="16" spans="2:10" x14ac:dyDescent="0.25">
      <c r="B16" s="251" t="s">
        <v>452</v>
      </c>
      <c r="C16" s="252">
        <f>+C12-C15+C9-C11</f>
        <v>1756.1899999999994</v>
      </c>
      <c r="D16" s="252">
        <f>+D12-D15+D9-D11</f>
        <v>1562.9089999999997</v>
      </c>
      <c r="E16" s="252">
        <f>+E12-E15+E9-E11</f>
        <v>1803.4899999999991</v>
      </c>
      <c r="F16" s="250">
        <f t="shared" si="12"/>
        <v>0.12366746880336588</v>
      </c>
      <c r="G16" s="250">
        <f t="shared" si="13"/>
        <v>-2.6226926681046092E-2</v>
      </c>
      <c r="H16" s="252">
        <f>+H12-H15+H9-H11</f>
        <v>6741.4390000000003</v>
      </c>
      <c r="I16" s="252">
        <f>+I12-I15+I9-I11</f>
        <v>3590.199999999998</v>
      </c>
      <c r="J16" s="250"/>
    </row>
    <row r="17" spans="2:10" x14ac:dyDescent="0.25">
      <c r="B17" s="254" t="s">
        <v>448</v>
      </c>
      <c r="C17" s="255">
        <f>+C16/C3</f>
        <v>0.32055803188440707</v>
      </c>
      <c r="D17" s="255">
        <f>+D16/D3</f>
        <v>0.3145996421044579</v>
      </c>
      <c r="E17" s="255">
        <f>+E16/E3</f>
        <v>0.37041243656125533</v>
      </c>
      <c r="F17" s="256">
        <f>(C17-D17)*10000</f>
        <v>59.583897799491695</v>
      </c>
      <c r="G17" s="256">
        <f>(C17-E17)*10000</f>
        <v>-498.54404676848264</v>
      </c>
      <c r="H17" s="255">
        <f t="shared" ref="H17:I17" si="16">+H16/H3</f>
        <v>0.33317727425262395</v>
      </c>
      <c r="I17" s="255">
        <f t="shared" si="16"/>
        <v>0.2555064260912327</v>
      </c>
      <c r="J17" s="256">
        <f>(H17-I17)*10000</f>
        <v>776.70848161391245</v>
      </c>
    </row>
    <row r="18" spans="2:10" x14ac:dyDescent="0.25">
      <c r="B18" s="248" t="s">
        <v>453</v>
      </c>
      <c r="C18" s="249">
        <f>Qtry!O21</f>
        <v>516.55999999999995</v>
      </c>
      <c r="D18" s="249">
        <f>Qtry!N21</f>
        <v>425.81</v>
      </c>
      <c r="E18" s="249">
        <f>Qtry!K21</f>
        <v>441.92</v>
      </c>
      <c r="F18" s="250">
        <f t="shared" si="12"/>
        <v>0.21312322397313332</v>
      </c>
      <c r="G18" s="250">
        <f t="shared" si="13"/>
        <v>0.16889934829833431</v>
      </c>
      <c r="H18" s="249">
        <f>+SUM(Qtry!L21:O21)</f>
        <v>1789.1999999999998</v>
      </c>
      <c r="I18" s="249">
        <f>+SUM(Qtry!H21:K21)</f>
        <v>872.15000000000009</v>
      </c>
      <c r="J18" s="250">
        <f t="shared" ref="J18" si="17">+H18/I18-1</f>
        <v>1.0514819698446365</v>
      </c>
    </row>
    <row r="19" spans="2:10" x14ac:dyDescent="0.25">
      <c r="B19" s="248" t="s">
        <v>454</v>
      </c>
      <c r="C19" s="249">
        <f>Qtry!O17</f>
        <v>143.38999999999999</v>
      </c>
      <c r="D19" s="249">
        <f>Qtry!N17</f>
        <v>0</v>
      </c>
      <c r="E19" s="249">
        <f>Qtry!K17</f>
        <v>-140.82</v>
      </c>
      <c r="F19" s="250"/>
      <c r="G19" s="250"/>
      <c r="H19" s="249">
        <f>+SUM(Qtry!L17:O17)</f>
        <v>26.769999999999982</v>
      </c>
      <c r="I19" s="249">
        <f>+SUM(Qtry!H17:K17)</f>
        <v>-209.83999999999997</v>
      </c>
      <c r="J19" s="250"/>
    </row>
    <row r="20" spans="2:10" x14ac:dyDescent="0.25">
      <c r="B20" s="248" t="s">
        <v>437</v>
      </c>
      <c r="C20" s="249">
        <f>Qtry!O26</f>
        <v>0</v>
      </c>
      <c r="D20" s="249">
        <f>Qtry!N26</f>
        <v>0</v>
      </c>
      <c r="E20" s="249">
        <f>Qtry!K26</f>
        <v>0</v>
      </c>
      <c r="F20" s="250"/>
      <c r="G20" s="250"/>
      <c r="H20" s="249">
        <f>+SUM(Qtry!L26:O26)</f>
        <v>0</v>
      </c>
      <c r="I20" s="249">
        <f>+SUM(Qtry!H26:K26)</f>
        <v>0</v>
      </c>
      <c r="J20" s="250"/>
    </row>
    <row r="21" spans="2:10" x14ac:dyDescent="0.25">
      <c r="B21" s="251" t="s">
        <v>455</v>
      </c>
      <c r="C21" s="252">
        <f>C16-C18+C19+C20</f>
        <v>1383.0199999999995</v>
      </c>
      <c r="D21" s="252">
        <f>D16-D18+D19+D20</f>
        <v>1137.0989999999997</v>
      </c>
      <c r="E21" s="252">
        <f>E16-E18+E19+E20</f>
        <v>1220.7499999999991</v>
      </c>
      <c r="F21" s="250">
        <f>C21/D21-1</f>
        <v>0.21627052701655702</v>
      </c>
      <c r="G21" s="250">
        <f>C21/E21-1</f>
        <v>0.13292647962318282</v>
      </c>
      <c r="H21" s="252">
        <f>H16-H18+H19+H20</f>
        <v>4979.009</v>
      </c>
      <c r="I21" s="252">
        <f>I16-I18+I19+I20</f>
        <v>2508.2099999999978</v>
      </c>
      <c r="J21" s="250">
        <f t="shared" ref="J21" si="18">+H21/I21-1</f>
        <v>0.98508458223195206</v>
      </c>
    </row>
    <row r="22" spans="2:10" x14ac:dyDescent="0.25">
      <c r="B22" s="254" t="s">
        <v>448</v>
      </c>
      <c r="C22" s="255">
        <f>+C21/C3</f>
        <v>0.25244316916550752</v>
      </c>
      <c r="D22" s="255">
        <f>+D21/D3</f>
        <v>0.22888788690661899</v>
      </c>
      <c r="E22" s="255">
        <f>+E21/E3</f>
        <v>0.25072552768917616</v>
      </c>
      <c r="F22" s="256">
        <f>(C22-D22)*10000</f>
        <v>235.55282258888533</v>
      </c>
      <c r="G22" s="256">
        <f>(C22-E22)*10000</f>
        <v>17.176414763313552</v>
      </c>
      <c r="H22" s="255">
        <f t="shared" ref="H22:I22" si="19">+H21/H3</f>
        <v>0.24607396834700765</v>
      </c>
      <c r="I22" s="255">
        <f t="shared" si="19"/>
        <v>0.17850364129750168</v>
      </c>
      <c r="J22" s="256">
        <f>(H22-I22)*10000</f>
        <v>675.70327049505966</v>
      </c>
    </row>
    <row r="23" spans="2:10" x14ac:dyDescent="0.25">
      <c r="B23" s="248" t="s">
        <v>456</v>
      </c>
      <c r="C23" s="260">
        <f>Qtry!O23</f>
        <v>-10.11</v>
      </c>
      <c r="D23" s="260">
        <f>Qtry!N23</f>
        <v>0</v>
      </c>
      <c r="E23" s="260">
        <f>Qtry!K23</f>
        <v>-12.87</v>
      </c>
      <c r="F23" s="261"/>
      <c r="G23" s="261"/>
      <c r="H23" s="249">
        <f>+SUM(Qtry!L23:O23)</f>
        <v>-10.25</v>
      </c>
      <c r="I23" s="249">
        <f>+SUM(Qtry!H23:K23)</f>
        <v>-12.87</v>
      </c>
      <c r="J23" s="250"/>
    </row>
    <row r="24" spans="2:10" x14ac:dyDescent="0.25">
      <c r="B24" s="258" t="s">
        <v>18</v>
      </c>
      <c r="C24" s="259">
        <f>C21-C23</f>
        <v>1393.1299999999994</v>
      </c>
      <c r="D24" s="259">
        <f>D21-D23</f>
        <v>1137.0989999999997</v>
      </c>
      <c r="E24" s="259">
        <f>E21-E23</f>
        <v>1233.619999999999</v>
      </c>
      <c r="F24" s="250">
        <f>C24/D24-1</f>
        <v>0.22516157344259358</v>
      </c>
      <c r="G24" s="250">
        <f>C24/E24-1</f>
        <v>0.12930237836611003</v>
      </c>
      <c r="H24" s="259">
        <f>H21-H23</f>
        <v>4989.259</v>
      </c>
      <c r="I24" s="259">
        <f>I21-I23</f>
        <v>2521.0799999999977</v>
      </c>
      <c r="J24" s="250">
        <f t="shared" ref="J24" si="20">+H24/I24-1</f>
        <v>0.97901653259714272</v>
      </c>
    </row>
    <row r="25" spans="2:10" x14ac:dyDescent="0.25">
      <c r="B25" s="248" t="s">
        <v>457</v>
      </c>
      <c r="C25" s="262">
        <f ca="1">Valuation!$C$4</f>
        <v>705.98469999999998</v>
      </c>
      <c r="D25" s="262">
        <f t="shared" ref="D25:E25" ca="1" si="21">$C$25</f>
        <v>705.98469999999998</v>
      </c>
      <c r="E25" s="262">
        <f t="shared" ca="1" si="21"/>
        <v>705.98469999999998</v>
      </c>
      <c r="F25" s="262"/>
      <c r="G25" s="262"/>
      <c r="H25" s="262">
        <f t="shared" ref="H25:I25" ca="1" si="22">$C$25</f>
        <v>705.98469999999998</v>
      </c>
      <c r="I25" s="262">
        <f t="shared" ca="1" si="22"/>
        <v>705.98469999999998</v>
      </c>
      <c r="J25" s="262"/>
    </row>
    <row r="26" spans="2:10" x14ac:dyDescent="0.25">
      <c r="B26" s="263" t="s">
        <v>20</v>
      </c>
      <c r="C26" s="264">
        <f ca="1">C24/C25</f>
        <v>1.9733147191433462</v>
      </c>
      <c r="D26" s="264">
        <f ca="1">D24/D25</f>
        <v>1.6106567181980003</v>
      </c>
      <c r="E26" s="264">
        <f ca="1">E24/E25</f>
        <v>1.7473749785229042</v>
      </c>
      <c r="F26" s="264"/>
      <c r="G26" s="264"/>
      <c r="H26" s="264">
        <f ca="1">H24/H25</f>
        <v>7.0670922471832611</v>
      </c>
      <c r="I26" s="264">
        <f ca="1">I24/I25</f>
        <v>3.5710122329846494</v>
      </c>
      <c r="J26" s="264"/>
    </row>
    <row r="27" spans="2:10" x14ac:dyDescent="0.25">
      <c r="B27" s="263" t="s">
        <v>458</v>
      </c>
      <c r="C27" s="265"/>
      <c r="D27" s="265">
        <v>0.2</v>
      </c>
      <c r="E27" s="264">
        <v>0.2</v>
      </c>
      <c r="F27" s="264"/>
      <c r="G27" s="264"/>
      <c r="H27" s="265">
        <v>0.2</v>
      </c>
      <c r="I27" s="265">
        <v>0.2</v>
      </c>
      <c r="J27" s="264"/>
    </row>
    <row r="28" spans="2:10" x14ac:dyDescent="0.25">
      <c r="B28" s="263" t="s">
        <v>441</v>
      </c>
      <c r="C28" s="264"/>
      <c r="D28" s="264"/>
      <c r="E28" s="264"/>
      <c r="F28" s="264"/>
      <c r="G28" s="264"/>
      <c r="H28" s="264"/>
      <c r="I28" s="264"/>
      <c r="J28" s="264"/>
    </row>
    <row r="29" spans="2:10" x14ac:dyDescent="0.25">
      <c r="B29" s="263" t="s">
        <v>459</v>
      </c>
      <c r="C29" s="264"/>
      <c r="D29" s="264"/>
      <c r="E29" s="264"/>
      <c r="F29" s="264"/>
      <c r="G29" s="264"/>
      <c r="H29" s="264"/>
      <c r="I29" s="264"/>
      <c r="J29" s="264"/>
    </row>
    <row r="31" spans="2:10" x14ac:dyDescent="0.25">
      <c r="B31" s="269" t="s">
        <v>470</v>
      </c>
      <c r="C31" s="270" t="s">
        <v>390</v>
      </c>
      <c r="D31" s="270" t="s">
        <v>368</v>
      </c>
    </row>
    <row r="32" spans="2:10" x14ac:dyDescent="0.25">
      <c r="B32" s="271" t="s">
        <v>471</v>
      </c>
      <c r="C32" s="272">
        <f>Consolidated!$K$69</f>
        <v>104227.01</v>
      </c>
      <c r="D32" s="272">
        <f>167398.76+22481.73</f>
        <v>189880.49000000002</v>
      </c>
    </row>
    <row r="33" spans="2:4" x14ac:dyDescent="0.25">
      <c r="B33" s="273" t="s">
        <v>472</v>
      </c>
      <c r="C33" s="272">
        <f>Consolidated!$K$98</f>
        <v>29160.32</v>
      </c>
      <c r="D33" s="272">
        <f>22309.43+39271.48</f>
        <v>61580.91</v>
      </c>
    </row>
    <row r="34" spans="2:4" x14ac:dyDescent="0.25">
      <c r="B34" s="273" t="s">
        <v>73</v>
      </c>
      <c r="C34" s="272">
        <f>+C32-C33</f>
        <v>75066.69</v>
      </c>
      <c r="D34" s="272">
        <f>+D32-D33</f>
        <v>128299.58000000002</v>
      </c>
    </row>
    <row r="35" spans="2:4" x14ac:dyDescent="0.25">
      <c r="B35" s="273" t="s">
        <v>473</v>
      </c>
      <c r="C35" s="272">
        <f>Consolidated!$K$143</f>
        <v>-32659.93</v>
      </c>
      <c r="D35" s="272">
        <v>-53212.04</v>
      </c>
    </row>
    <row r="36" spans="2:4" x14ac:dyDescent="0.25">
      <c r="B36" s="273" t="s">
        <v>474</v>
      </c>
      <c r="C36" s="272">
        <f>+[110]Consol!F70+[110]Consol!F71</f>
        <v>0</v>
      </c>
      <c r="D36" s="272">
        <f>1210.78+49404.04</f>
        <v>50614.82</v>
      </c>
    </row>
    <row r="37" spans="2:4" x14ac:dyDescent="0.25">
      <c r="B37" s="273" t="s">
        <v>475</v>
      </c>
      <c r="C37" s="272">
        <f>Consolidated!$K$81</f>
        <v>123137.15000000001</v>
      </c>
      <c r="D37" s="272">
        <f>146638.28+10677.8</f>
        <v>157316.07999999999</v>
      </c>
    </row>
    <row r="38" spans="2:4" x14ac:dyDescent="0.25">
      <c r="B38" s="273" t="s">
        <v>476</v>
      </c>
      <c r="C38" s="272">
        <f>Consolidated!$K$96</f>
        <v>39.270000000000003</v>
      </c>
      <c r="D38" s="272">
        <v>173.73</v>
      </c>
    </row>
    <row r="39" spans="2:4" x14ac:dyDescent="0.25">
      <c r="B39" s="273" t="s">
        <v>477</v>
      </c>
      <c r="C39" s="272">
        <f>Consolidated!$K$97</f>
        <v>3808.19</v>
      </c>
      <c r="D39" s="272">
        <v>3329.47</v>
      </c>
    </row>
    <row r="40" spans="2:4" x14ac:dyDescent="0.25">
      <c r="B40" s="273" t="s">
        <v>478</v>
      </c>
      <c r="C40" s="272">
        <f>Consolidated!$K$104</f>
        <v>2247.2600000000002</v>
      </c>
      <c r="D40" s="272">
        <f>41.15+111.55</f>
        <v>152.69999999999999</v>
      </c>
    </row>
    <row r="41" spans="2:4" x14ac:dyDescent="0.25">
      <c r="B41" s="274"/>
      <c r="C41" s="275"/>
      <c r="D41" s="275"/>
    </row>
    <row r="42" spans="2:4" x14ac:dyDescent="0.25">
      <c r="B42" s="276" t="s">
        <v>479</v>
      </c>
      <c r="C42" s="277" t="str">
        <f>C31</f>
        <v>FY25</v>
      </c>
      <c r="D42" s="277" t="s">
        <v>368</v>
      </c>
    </row>
    <row r="43" spans="2:4" x14ac:dyDescent="0.25">
      <c r="B43" s="273" t="s">
        <v>480</v>
      </c>
      <c r="C43" s="278">
        <f>Consolidated!$K$141</f>
        <v>15430.189999999997</v>
      </c>
      <c r="D43" s="278">
        <v>12485.91</v>
      </c>
    </row>
    <row r="44" spans="2:4" x14ac:dyDescent="0.25">
      <c r="B44" s="273" t="s">
        <v>481</v>
      </c>
      <c r="C44" s="278">
        <f>+Consolidated!K139-Consolidated!K130</f>
        <v>4119.25</v>
      </c>
      <c r="D44" s="278">
        <f>13307.59-19150.2</f>
        <v>-5842.6100000000006</v>
      </c>
    </row>
    <row r="45" spans="2:4" x14ac:dyDescent="0.25">
      <c r="B45" s="271" t="s">
        <v>482</v>
      </c>
      <c r="C45" s="278">
        <f>Consolidated!$K$139</f>
        <v>16754.379999999997</v>
      </c>
      <c r="D45" s="278">
        <v>13307.59</v>
      </c>
    </row>
    <row r="46" spans="2:4" x14ac:dyDescent="0.25">
      <c r="B46" s="273" t="s">
        <v>473</v>
      </c>
      <c r="C46" s="278">
        <f>C35</f>
        <v>-32659.93</v>
      </c>
      <c r="D46" s="278">
        <v>-53212.04</v>
      </c>
    </row>
    <row r="47" spans="2:4" x14ac:dyDescent="0.25">
      <c r="B47" s="273" t="s">
        <v>483</v>
      </c>
      <c r="C47" s="278">
        <f>+C43+C46</f>
        <v>-17229.740000000005</v>
      </c>
      <c r="D47" s="278">
        <f>+D43+D46</f>
        <v>-40726.130000000005</v>
      </c>
    </row>
  </sheetData>
  <pageMargins left="0.7" right="0.7" top="0.75" bottom="0.75" header="0.3" footer="0.3"/>
  <ignoredErrors>
    <ignoredError sqref="F6:G6 F24:G24 F7:G23 F25:G25" formula="1"/>
    <ignoredError sqref="J23:J24 H24 J10:J22" formula="1" formulaRange="1"/>
    <ignoredError sqref="H25:J25 I24 H26 J26 H21 H16 H13 H9 H7:H8 H11:H12 H15 H18:H20 H23:I23 I18:I20 I15 I11:I12 I7:I8 I9 I13 I16 I21 J8 J7 J9 I3:J5 J6"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543C-90ED-4B42-A197-A81D08CE0643}">
  <dimension ref="B2:E5"/>
  <sheetViews>
    <sheetView showGridLines="0" workbookViewId="0">
      <selection activeCell="B7" sqref="B7"/>
    </sheetView>
  </sheetViews>
  <sheetFormatPr defaultRowHeight="15" x14ac:dyDescent="0.25"/>
  <cols>
    <col min="2" max="2" width="10.42578125" bestFit="1" customWidth="1"/>
    <col min="6" max="6" width="12.85546875" customWidth="1"/>
  </cols>
  <sheetData>
    <row r="2" spans="2:5" x14ac:dyDescent="0.25">
      <c r="B2" s="142"/>
      <c r="C2" s="144" t="s">
        <v>21</v>
      </c>
      <c r="D2" s="144" t="s">
        <v>332</v>
      </c>
      <c r="E2" s="144" t="s">
        <v>333</v>
      </c>
    </row>
    <row r="3" spans="2:5" x14ac:dyDescent="0.25">
      <c r="B3" s="143" t="s">
        <v>137</v>
      </c>
      <c r="C3" s="145">
        <v>16</v>
      </c>
      <c r="D3" s="145">
        <v>6</v>
      </c>
      <c r="E3" s="145">
        <v>17</v>
      </c>
    </row>
    <row r="4" spans="2:5" x14ac:dyDescent="0.25">
      <c r="B4" s="102" t="s">
        <v>330</v>
      </c>
      <c r="C4" s="146">
        <v>167</v>
      </c>
      <c r="D4" s="146">
        <v>7</v>
      </c>
      <c r="E4" s="146">
        <v>54</v>
      </c>
    </row>
    <row r="5" spans="2:5" x14ac:dyDescent="0.25">
      <c r="B5" s="102" t="s">
        <v>331</v>
      </c>
      <c r="C5" s="146">
        <v>103</v>
      </c>
      <c r="D5" s="146">
        <v>14</v>
      </c>
      <c r="E5" s="146">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Key (2)</vt:lpstr>
      <vt:lpstr>Key_New</vt:lpstr>
      <vt:lpstr>Consolidated</vt:lpstr>
      <vt:lpstr>Assumptions</vt:lpstr>
      <vt:lpstr>Valuation</vt:lpstr>
      <vt:lpstr>Sheet1</vt:lpstr>
      <vt:lpstr>Key</vt:lpstr>
      <vt:lpstr>Charts</vt:lpstr>
      <vt:lpstr>Qtry</vt:lpstr>
      <vt:lpstr>DCF</vt:lpstr>
      <vt:lpstr>Power_unit_Conv</vt:lpstr>
      <vt:lpstr>IPRU</vt:lpstr>
      <vt:lpstr>Relative 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Dheeraj Kripalani</dc:creator>
  <cp:lastModifiedBy>Dheeraj Kripalani</cp:lastModifiedBy>
  <dcterms:created xsi:type="dcterms:W3CDTF">2015-06-05T18:17:20Z</dcterms:created>
  <dcterms:modified xsi:type="dcterms:W3CDTF">2026-10-24T14:21:43Z</dcterms:modified>
</cp:coreProperties>
</file>