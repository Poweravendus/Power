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xmlns:r="http://schemas.openxmlformats.org/officeDocument/2006/relationships" name="Solar Module Sold (MW)" sheetId="1" state="visible" r:id="rId1"/>
    <sheet xmlns:r="http://schemas.openxmlformats.org/officeDocument/2006/relationships" name="Solar Cell Sold (MW)" sheetId="2" state="visible" r:id="rId2"/>
  </sheets>
  <externalReferences>
    <externalReference xmlns:r="http://schemas.openxmlformats.org/officeDocument/2006/relationships" r:id="rId3"/>
  </externalReference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sz val="11"/>
    </font>
    <font>
      <name val="Calibri"/>
      <family val="2"/>
      <b val="1"/>
      <color rgb="FF1F4E78"/>
      <sz val="13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4E78"/>
      <sz val="13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3" fillId="3" borderId="1" pivotButton="0" quotePrefix="0" xfId="0"/>
    <xf numFmtId="3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1" fillId="0" borderId="1" pivotButton="0" quotePrefix="0" xfId="0"/>
    <xf numFmtId="3" fontId="0" fillId="0" borderId="1" applyAlignment="1" pivotButton="0" quotePrefix="0" xfId="0">
      <alignment horizontal="center"/>
    </xf>
    <xf numFmtId="0" fontId="1" fillId="5" borderId="1" pivotButton="0" quotePrefix="0" xfId="0"/>
    <xf numFmtId="3" fontId="1" fillId="5" borderId="1" applyAlignment="1" pivotButton="0" quotePrefix="0" xfId="0">
      <alignment horizontal="center"/>
    </xf>
    <xf numFmtId="0" fontId="6" fillId="0" borderId="0" pivotButton="0" quotePrefix="0" xfId="0"/>
    <xf numFmtId="9" fontId="0" fillId="0" borderId="1" applyAlignment="1" pivotButton="0" quotePrefix="0" xfId="0">
      <alignment horizontal="center"/>
    </xf>
    <xf numFmtId="9" fontId="1" fillId="5" borderId="1" applyAlignment="1" pivotButton="0" quotePrefix="0" xfId="0">
      <alignment horizontal="center"/>
    </xf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3" fontId="0" fillId="0" borderId="0" pivotButton="0" quotePrefix="0" xfId="0"/>
    <xf numFmtId="164" fontId="0" fillId="0" borderId="0" pivotButton="0" quotePrefix="0" xfId="0"/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1" pivotButton="0" quotePrefix="0" xfId="0"/>
    <xf numFmtId="3" fontId="3" fillId="5" borderId="1" applyAlignment="1" pivotButton="0" quotePrefix="0" xfId="0">
      <alignment horizontal="center" vertical="center"/>
    </xf>
    <xf numFmtId="0" fontId="6" fillId="6" borderId="0" pivotButton="0" quotePrefix="0" xfId="0"/>
    <xf numFmtId="0" fontId="5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9" fontId="0" fillId="0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DCR - Solar Moules Sold, GW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strRef>
              <f>'Solar Module Sold (MW)'!$A$116</f>
              <strCache>
                <ptCount val="1"/>
                <pt idx="0">
                  <v>Solar Moules Sold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 lIns="38100" tIns="19050" rIns="38100" bIns="19050" anchor="ctr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b="1"/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'Solar Module Sold (MW)'!$B$116:$E$116</f>
              <strCache>
                <ptCount val="4"/>
                <pt idx="0">
                  <v>FY23</v>
                </pt>
                <pt idx="1">
                  <v>FY24</v>
                </pt>
                <pt idx="2">
                  <v>FY25</v>
                </pt>
                <pt idx="3">
                  <v>FY26</v>
                </pt>
              </strCache>
            </strRef>
          </cat>
          <val>
            <numRef>
              <f>'Solar Module Sold (MW)'!$B$117:$E$117</f>
              <numCache>
                <formatCode>#,##0</formatCode>
                <ptCount val="4"/>
                <pt idx="0">
                  <v>0.02372</v>
                </pt>
                <pt idx="1">
                  <v>0.61017</v>
                </pt>
                <pt idx="2">
                  <v>6.721</v>
                </pt>
                <pt idx="3">
                  <v>17.16783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30"/>
        <overlap val="-27"/>
        <axId val="541869951"/>
        <axId val="541872831"/>
      </barChart>
      <catAx>
        <axId val="54186995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crossAx val="541872831"/>
        <crosses val="autoZero"/>
        <auto val="1"/>
        <lblAlgn val="ctr"/>
        <lblOffset val="100"/>
        <noMultiLvlLbl val="0"/>
      </catAx>
      <valAx>
        <axId val="541872831"/>
        <scaling>
          <orientation val="minMax"/>
        </scaling>
        <delete val="1"/>
        <axPos val="l"/>
        <numFmt formatCode="#,##0" sourceLinked="1"/>
        <majorTickMark val="none"/>
        <minorTickMark val="none"/>
        <tickLblPos val="nextTo"/>
        <crossAx val="541869951"/>
        <crosses val="autoZero"/>
        <crossBetween val="between"/>
      </valAx>
    </plotArea>
    <plotVisOnly val="1"/>
    <dispBlanksAs val="gap"/>
  </chart>
  <spPr>
    <a:ln xmlns:a="http://schemas.openxmlformats.org/drawingml/2006/main" w="3175">
      <a:solidFill>
        <a:schemeClr val="accent1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DCR - Solar Moules Sold, GW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strRef>
              <f>'Solar Module Sold (MW)'!$A$119</f>
              <strCache>
                <ptCount val="1"/>
                <pt idx="0">
                  <v>Solar Moules Sold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 lIns="38100" tIns="19050" rIns="38100" bIns="19050" anchor="ctr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b="1"/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'Solar Module Sold (MW)'!$B$119:$C$119</f>
              <strCache>
                <ptCount val="2"/>
                <pt idx="0">
                  <v>YTDFY26</v>
                </pt>
                <pt idx="1">
                  <v>YTDFY27</v>
                </pt>
              </strCache>
            </strRef>
          </cat>
          <val>
            <numRef>
              <f>'Solar Module Sold (MW)'!$B$120:$C$120</f>
              <numCache>
                <formatCode>#,##0.0</formatCode>
                <ptCount val="2"/>
                <pt idx="0">
                  <v>2.252709999999999</v>
                </pt>
                <pt idx="1">
                  <v>2.90342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50"/>
        <overlap val="-27"/>
        <axId val="541869951"/>
        <axId val="541872831"/>
      </barChart>
      <catAx>
        <axId val="54186995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crossAx val="541872831"/>
        <crosses val="autoZero"/>
        <auto val="1"/>
        <lblAlgn val="ctr"/>
        <lblOffset val="100"/>
        <noMultiLvlLbl val="0"/>
      </catAx>
      <valAx>
        <axId val="541872831"/>
        <scaling>
          <orientation val="minMax"/>
        </scaling>
        <delete val="1"/>
        <axPos val="l"/>
        <numFmt formatCode="#,##0.0" sourceLinked="1"/>
        <majorTickMark val="none"/>
        <minorTickMark val="none"/>
        <tickLblPos val="nextTo"/>
        <crossAx val="541869951"/>
        <crosses val="autoZero"/>
        <crossBetween val="between"/>
      </valAx>
    </plotArea>
    <plotVisOnly val="1"/>
    <dispBlanksAs val="gap"/>
  </chart>
  <spPr>
    <a:ln xmlns:a="http://schemas.openxmlformats.org/drawingml/2006/main" w="3175">
      <a:solidFill>
        <a:schemeClr val="accent1"/>
      </a:solidFill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DCR - Solar Cells Sold, GW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strRef>
              <f>'Solar Cell Sold (MW)'!$A$56</f>
              <strCache>
                <ptCount val="1"/>
                <pt idx="0">
                  <v>Solar Cells Sold, GW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 lIns="38100" tIns="19050" rIns="38100" bIns="19050" anchor="ctr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b="1"/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'Solar Cell Sold (MW)'!$B$55:$E$55</f>
              <strCache>
                <ptCount val="4"/>
                <pt idx="0">
                  <v>FY23</v>
                </pt>
                <pt idx="1">
                  <v>FY24</v>
                </pt>
                <pt idx="2">
                  <v>FY25</v>
                </pt>
                <pt idx="3">
                  <v>FY26</v>
                </pt>
              </strCache>
            </strRef>
          </cat>
          <val>
            <numRef>
              <f>'Solar Cell Sold (MW)'!$B$56:$E$56</f>
              <numCache>
                <formatCode>#,##0</formatCode>
                <ptCount val="4"/>
                <pt idx="0">
                  <v>0.04228</v>
                </pt>
                <pt idx="1">
                  <v>0.79554</v>
                </pt>
                <pt idx="2">
                  <v>3.117</v>
                </pt>
                <pt idx="3">
                  <v>5.741420000000002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30"/>
        <overlap val="-27"/>
        <axId val="788236895"/>
        <axId val="788228735"/>
      </barChart>
      <catAx>
        <axId val="78823689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crossAx val="788228735"/>
        <crosses val="autoZero"/>
        <auto val="1"/>
        <lblAlgn val="ctr"/>
        <lblOffset val="100"/>
        <noMultiLvlLbl val="0"/>
      </catAx>
      <valAx>
        <axId val="788228735"/>
        <scaling>
          <orientation val="minMax"/>
        </scaling>
        <delete val="1"/>
        <axPos val="l"/>
        <numFmt formatCode="#,##0" sourceLinked="1"/>
        <majorTickMark val="none"/>
        <minorTickMark val="none"/>
        <tickLblPos val="nextTo"/>
        <crossAx val="788236895"/>
        <crosses val="autoZero"/>
        <crossBetween val="between"/>
      </valAx>
    </plotArea>
    <plotVisOnly val="1"/>
    <dispBlanksAs val="gap"/>
  </chart>
  <spPr>
    <a:ln xmlns:a="http://schemas.openxmlformats.org/drawingml/2006/main" w="3175">
      <a:solidFill>
        <a:schemeClr val="accent1"/>
      </a:solidFill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>None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strRef>
              <f>'Solar Cell Sold (MW)'!$A$59</f>
              <strCache>
                <ptCount val="1"/>
                <pt idx="0">
                  <v>Solar Moules Sold, GW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 lIns="38100" tIns="19050" rIns="38100" bIns="19050" anchor="ctr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b="1"/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'Solar Cell Sold (MW)'!$B$58:$C$58</f>
              <strCache>
                <ptCount val="2"/>
                <pt idx="0">
                  <v>YTDFY26</v>
                </pt>
                <pt idx="1">
                  <v>YTDFY27</v>
                </pt>
              </strCache>
            </strRef>
          </cat>
          <val>
            <numRef>
              <f>'Solar Cell Sold (MW)'!$B$59:$C$59</f>
              <numCache>
                <formatCode>#,##0.0</formatCode>
                <ptCount val="2"/>
                <pt idx="0">
                  <v>0.59834</v>
                </pt>
                <pt idx="1">
                  <v>1.52882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30"/>
        <overlap val="-27"/>
        <axId val="788236895"/>
        <axId val="788228735"/>
      </barChart>
      <catAx>
        <axId val="78823689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crossAx val="788228735"/>
        <crosses val="autoZero"/>
        <auto val="1"/>
        <lblAlgn val="ctr"/>
        <lblOffset val="100"/>
        <noMultiLvlLbl val="0"/>
      </catAx>
      <valAx>
        <axId val="788228735"/>
        <scaling>
          <orientation val="minMax"/>
        </scaling>
        <delete val="1"/>
        <axPos val="l"/>
        <numFmt formatCode="#,##0.0" sourceLinked="1"/>
        <majorTickMark val="none"/>
        <minorTickMark val="none"/>
        <tickLblPos val="nextTo"/>
        <crossAx val="788236895"/>
        <crosses val="autoZero"/>
        <crossBetween val="between"/>
      </valAx>
    </plotArea>
    <plotVisOnly val="1"/>
    <dispBlanksAs val="gap"/>
  </chart>
  <spPr>
    <a:ln xmlns:a="http://schemas.openxmlformats.org/drawingml/2006/main" w="3175">
      <a:solidFill>
        <a:schemeClr val="accent1"/>
      </a:solidFill>
      <a:prstDash val="solid"/>
    </a:ln>
  </spPr>
</chartSpace>
</file>

<file path=xl/comments/comment1.xml><?xml version="1.0" encoding="utf-8"?>
<comments xmlns="http://schemas.openxmlformats.org/spreadsheetml/2006/main">
  <authors>
    <author>Dheeraj Kripalani</author>
  </authors>
  <commentList>
    <comment ref="A81" authorId="0" shapeId="0">
      <text>
        <t>Dheeraj Kripalani:
Tata Power Renewable Energy Limited + TP Solar Limited</t>
      </text>
    </comment>
    <comment ref="A82" authorId="0" shapeId="0">
      <text>
        <t>Dheeraj Kripalani:
Mundra Solar Energy Limited + Mundra Solar PV Limited</t>
      </text>
    </comment>
    <comment ref="A85" authorId="0" shapeId="0">
      <text>
        <t>Dheeraj Kripalani:
Premier Energies Photovoltaic Pvt Ltd + Premier Energies Global Environment Pvt Ltd</t>
      </text>
    </comment>
    <comment ref="A86" authorId="0" shapeId="0">
      <text>
        <t>Dheeraj Kripalani:
Emmvee Energy Private Limited + Emmvee Photovoltaic Power Limited</t>
      </text>
    </comment>
    <comment ref="A91" authorId="0" shapeId="0">
      <text>
        <t>Dheeraj Kripalani:
Goldi Solar Private Limited + Goldi Sun Private Limited</t>
      </text>
    </comment>
    <comment ref="A93" authorId="0" shapeId="0">
      <text>
        <t>Dheeraj Kripalani:
Saatvik Green Energy Private Limited + Saatvik Solar Industries Private Limited</t>
      </text>
    </comment>
  </commentList>
</comments>
</file>

<file path=xl/comments/comment2.xml><?xml version="1.0" encoding="utf-8"?>
<comments xmlns="http://schemas.openxmlformats.org/spreadsheetml/2006/main">
  <authors>
    <author>Dheeraj Kripalani</author>
  </authors>
  <commentList>
    <comment ref="A28" authorId="0" shapeId="0">
      <text>
        <t>Dheeraj Kripalani:
Mundra Solar Energy Limited + Mundra Solar PV Limited</t>
      </text>
    </comment>
    <comment ref="A31" authorId="0" shapeId="0">
      <text>
        <t>Dheeraj Kripalani:
Premier Energies International Pvt Ltd + Premier Energies Photovoltaic Pvt Ltd</t>
      </text>
    </comment>
    <comment ref="A32" authorId="0" shapeId="0">
      <text>
        <t>Dheeraj Kripalani:
Jupiter International Limited + Jupiter Solartech Private Limited (wholly owned subsidiary)</t>
      </text>
    </comment>
    <comment ref="A34" authorId="0" shapeId="0">
      <text>
        <t>Dheeraj Kripalani:
Formerly CETC Renewable Energy Technology (India) Private Limited</t>
      </text>
    </comment>
    <comment ref="A37" authorId="0" shapeId="0">
      <text>
        <t>Dheeraj Kripalani:
Jupiter Solartech Pvt Ltd + Renewsys India Pvt Ltd + Fujiyama Power Systems Ltd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twoCellAnchor>
    <from>
      <col>10</col>
      <colOff>390525</colOff>
      <row>103</row>
      <rowOff>4762</rowOff>
    </from>
    <to>
      <col>16</col>
      <colOff>139875</colOff>
      <row>117</row>
      <rowOff>34162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11</col>
      <colOff>438150</colOff>
      <row>120</row>
      <rowOff>0</rowOff>
    </from>
    <to>
      <col>14</col>
      <colOff>239025</colOff>
      <row>133</row>
      <rowOff>155100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6</col>
      <colOff>171456</colOff>
      <row>53</row>
      <rowOff>100012</rowOff>
    </from>
    <to>
      <col>10</col>
      <colOff>672156</colOff>
      <row>67</row>
      <rowOff>129412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6</col>
      <colOff>0</colOff>
      <row>69</row>
      <rowOff>0</rowOff>
    </from>
    <to>
      <col>8</col>
      <colOff>241350</colOff>
      <row>83</row>
      <rowOff>29400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\\192.168.20.12\spark%20nas\Broking\9%20Broking\Bharani\2022\Sector%20Masters%20and%20Databases\Power\India%20Power%20Sector_DataBase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India - Installed Capacity"/>
      <sheetName val="India - Capacity Additions"/>
      <sheetName val="StateWise - Installed Capacity"/>
      <sheetName val="Supply Demand"/>
      <sheetName val="Generation"/>
      <sheetName val="Renewables"/>
      <sheetName val="Solar - Statewise"/>
      <sheetName val="Wind - Statewise"/>
      <sheetName val="PM Kusum"/>
      <sheetName val="Statewise Renewables"/>
      <sheetName val="PLFs"/>
      <sheetName val="Private plant-wise monthly"/>
      <sheetName val="Central plant-wise monthly"/>
      <sheetName val="Hydro monthly plant-wise"/>
      <sheetName val="Gas monthly"/>
      <sheetName val="Solar Module Sold (MW)"/>
      <sheetName val="Solar Cell Sold (MW)"/>
      <sheetName val="DCR"/>
      <sheetName val="Power COnsolidation"/>
      <sheetName val="Overdues &amp; Outstanding - SEBS"/>
      <sheetName val="Merchant Plants"/>
      <sheetName val="Qtrly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16">
          <cell r="A116" t="str">
            <v>Solar Moules Sold</v>
          </cell>
          <cell r="B116" t="str">
            <v>FY23</v>
          </cell>
          <cell r="C116" t="str">
            <v>FY24</v>
          </cell>
          <cell r="D116" t="str">
            <v>FY25</v>
          </cell>
          <cell r="E116" t="str">
            <v>FY26</v>
          </cell>
        </row>
        <row r="117">
          <cell r="B117">
            <v>2.3719999999999998E-2</v>
          </cell>
          <cell r="C117">
            <v>0.61016999999999999</v>
          </cell>
          <cell r="D117">
            <v>6.7210000000000001</v>
          </cell>
          <cell r="E117">
            <v>17.167829999999999</v>
          </cell>
        </row>
        <row r="119">
          <cell r="A119" t="str">
            <v>Solar Moules Sold</v>
          </cell>
          <cell r="B119" t="str">
            <v>YTDFY26</v>
          </cell>
          <cell r="C119" t="str">
            <v>YTDFY27</v>
          </cell>
        </row>
        <row r="120">
          <cell r="B120">
            <v>2.2527099999999991</v>
          </cell>
          <cell r="C120">
            <v>2.9034200000000001</v>
          </cell>
        </row>
      </sheetData>
      <sheetData sheetId="17">
        <row r="55">
          <cell r="B55" t="str">
            <v>FY23</v>
          </cell>
          <cell r="C55" t="str">
            <v>FY24</v>
          </cell>
          <cell r="D55" t="str">
            <v>FY25</v>
          </cell>
          <cell r="E55" t="str">
            <v>FY26</v>
          </cell>
        </row>
        <row r="56">
          <cell r="A56" t="str">
            <v>Solar Cells Sold, GW</v>
          </cell>
          <cell r="B56">
            <v>4.2279999999999998E-2</v>
          </cell>
          <cell r="C56">
            <v>0.79554000000000002</v>
          </cell>
          <cell r="D56">
            <v>3.117</v>
          </cell>
          <cell r="E56">
            <v>5.7414200000000015</v>
          </cell>
        </row>
        <row r="58">
          <cell r="B58" t="str">
            <v>YTDFY26</v>
          </cell>
          <cell r="C58" t="str">
            <v>YTDFY27</v>
          </cell>
        </row>
        <row r="59">
          <cell r="A59" t="str">
            <v>Solar Moules Sold, GW</v>
          </cell>
          <cell r="B59">
            <v>0.59833999999999998</v>
          </cell>
          <cell r="C59">
            <v>1.5288199999999996</v>
          </cell>
        </row>
      </sheetData>
      <sheetData sheetId="18">
        <row r="101">
          <cell r="R101">
            <v>2.3719999999999998E-2</v>
          </cell>
          <cell r="S101">
            <v>0.61016999999999999</v>
          </cell>
          <cell r="AD101">
            <v>4.2279999999999998E-2</v>
          </cell>
          <cell r="AE101">
            <v>0.79554000000000002</v>
          </cell>
        </row>
      </sheetData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Spark New Colors">
      <a:dk1>
        <a:srgbClr val="000000"/>
      </a:dk1>
      <a:lt1>
        <a:srgbClr val="FFFFFF"/>
      </a:lt1>
      <a:dk2>
        <a:srgbClr val="000000"/>
      </a:dk2>
      <a:lt2>
        <a:srgbClr val="4D4D4D"/>
      </a:lt2>
      <a:accent1>
        <a:srgbClr val="336699"/>
      </a:accent1>
      <a:accent2>
        <a:srgbClr val="0EAFE2"/>
      </a:accent2>
      <a:accent3>
        <a:srgbClr val="0A83A9"/>
      </a:accent3>
      <a:accent4>
        <a:srgbClr val="4D4D4D"/>
      </a:accent4>
      <a:accent5>
        <a:srgbClr val="999999"/>
      </a:accent5>
      <a:accent6>
        <a:srgbClr val="75A3D1"/>
      </a:accent6>
      <a:hlink>
        <a:srgbClr val="000000"/>
      </a:hlink>
      <a:folHlink>
        <a:srgbClr val="4D4D4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V120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E114" sqref="E114"/>
    </sheetView>
  </sheetViews>
  <sheetFormatPr baseColWidth="8" defaultRowHeight="15"/>
  <cols>
    <col width="51.42578125" bestFit="1" customWidth="1" min="1" max="1"/>
    <col width="10.7109375" customWidth="1" min="2" max="18"/>
    <col width="13" customWidth="1" min="18" max="18"/>
    <col width="13" customWidth="1" min="19" max="19"/>
    <col width="13" customWidth="1" min="20" max="20"/>
  </cols>
  <sheetData>
    <row r="2">
      <c r="A2" s="2" t="inlineStr">
        <is>
          <t>Module Manufacturers</t>
        </is>
      </c>
      <c r="B2" s="2" t="inlineStr">
        <is>
          <t>2025 (MW)</t>
        </is>
      </c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6" t="n"/>
      <c r="N2" s="2" t="inlineStr">
        <is>
          <t>2026 (MW)</t>
        </is>
      </c>
      <c r="O2" s="35" t="n"/>
      <c r="P2" s="35" t="n"/>
      <c r="Q2" s="35" t="n"/>
      <c r="R2" s="35" t="n"/>
      <c r="S2" s="35" t="n"/>
      <c r="T2" s="35" t="n"/>
      <c r="U2" s="35" t="n"/>
      <c r="V2" s="36" t="n"/>
    </row>
    <row r="3">
      <c r="A3" s="37" t="n"/>
      <c r="B3" s="2" t="inlineStr">
        <is>
          <t>Jan</t>
        </is>
      </c>
      <c r="C3" s="2" t="inlineStr">
        <is>
          <t>Feb</t>
        </is>
      </c>
      <c r="D3" s="2" t="inlineStr">
        <is>
          <t>Mar</t>
        </is>
      </c>
      <c r="E3" s="2" t="inlineStr">
        <is>
          <t>Apr</t>
        </is>
      </c>
      <c r="F3" s="2" t="inlineStr">
        <is>
          <t>May</t>
        </is>
      </c>
      <c r="G3" s="2" t="inlineStr">
        <is>
          <t>Jun</t>
        </is>
      </c>
      <c r="H3" s="2" t="inlineStr">
        <is>
          <t>Jul</t>
        </is>
      </c>
      <c r="I3" s="2" t="inlineStr">
        <is>
          <t>Aug</t>
        </is>
      </c>
      <c r="J3" s="2" t="inlineStr">
        <is>
          <t>Sep</t>
        </is>
      </c>
      <c r="K3" s="2" t="inlineStr">
        <is>
          <t>Oct</t>
        </is>
      </c>
      <c r="L3" s="2" t="inlineStr">
        <is>
          <t>Nov</t>
        </is>
      </c>
      <c r="M3" s="2" t="inlineStr">
        <is>
          <t>Dec</t>
        </is>
      </c>
      <c r="N3" s="2" t="inlineStr">
        <is>
          <t>Jan</t>
        </is>
      </c>
      <c r="O3" s="2" t="inlineStr">
        <is>
          <t>Feb</t>
        </is>
      </c>
      <c r="P3" s="2" t="inlineStr">
        <is>
          <t>Mar</t>
        </is>
      </c>
      <c r="Q3" s="2" t="inlineStr">
        <is>
          <t>Apr</t>
        </is>
      </c>
      <c r="R3" s="2" t="inlineStr">
        <is>
          <t>May</t>
        </is>
      </c>
      <c r="S3" s="2" t="inlineStr">
        <is>
          <t>Jun</t>
        </is>
      </c>
      <c r="T3" s="2" t="inlineStr">
        <is>
          <t>Jul</t>
        </is>
      </c>
      <c r="U3" s="2" t="inlineStr">
        <is>
          <t>Aug</t>
        </is>
      </c>
      <c r="V3" s="2" t="inlineStr">
        <is>
          <t>Sep</t>
        </is>
      </c>
    </row>
    <row r="4">
      <c r="A4" s="3" t="inlineStr">
        <is>
          <t>Aatmanirbar Solar Private Limited</t>
        </is>
      </c>
      <c r="B4" s="4" t="n">
        <v>0</v>
      </c>
      <c r="C4" s="4" t="n">
        <v>0.5600000000000001</v>
      </c>
      <c r="D4" s="4" t="n">
        <v>0.74</v>
      </c>
      <c r="E4" s="4" t="n">
        <v>0.45</v>
      </c>
      <c r="F4" s="4" t="n">
        <v>0.05</v>
      </c>
      <c r="G4" s="4" t="n">
        <v>0.25</v>
      </c>
      <c r="H4" s="4" t="n">
        <v>1.56</v>
      </c>
      <c r="I4" s="4" t="n">
        <v>1.57</v>
      </c>
      <c r="J4" s="4" t="n">
        <v>0.2</v>
      </c>
      <c r="K4" s="4" t="n">
        <v>0.1</v>
      </c>
      <c r="L4" s="4" t="n">
        <v>0.13</v>
      </c>
      <c r="M4" s="4" t="n">
        <v>0.51</v>
      </c>
      <c r="N4" s="4" t="n">
        <v>0.26</v>
      </c>
      <c r="O4" s="4" t="n">
        <v>0.83</v>
      </c>
      <c r="P4" s="4" t="n">
        <v>1.49</v>
      </c>
      <c r="Q4" s="4" t="n">
        <v>0.33</v>
      </c>
      <c r="R4" s="4" t="n">
        <v>0.88</v>
      </c>
      <c r="S4" s="4" t="n">
        <v>2.11</v>
      </c>
      <c r="T4" s="4" t="n">
        <v>4.21</v>
      </c>
      <c r="U4" s="4" t="n">
        <v>2.01</v>
      </c>
      <c r="V4" s="4" t="n">
        <v>1.78</v>
      </c>
    </row>
    <row r="5">
      <c r="A5" s="3" t="inlineStr">
        <is>
          <t>Abhishek Solar Industries Private Limited</t>
        </is>
      </c>
      <c r="B5" s="4" t="n">
        <v>2.31</v>
      </c>
      <c r="C5" s="4" t="n">
        <v>1.08</v>
      </c>
      <c r="D5" s="4" t="n">
        <v>2.69</v>
      </c>
      <c r="E5" s="4" t="n">
        <v>1.03</v>
      </c>
      <c r="F5" s="4" t="n">
        <v>1.23</v>
      </c>
      <c r="G5" s="4" t="n">
        <v>0</v>
      </c>
      <c r="H5" s="4" t="n">
        <v>1.82</v>
      </c>
      <c r="I5" s="4" t="n">
        <v>1.59</v>
      </c>
      <c r="J5" s="4" t="n">
        <v>2.44</v>
      </c>
      <c r="K5" s="4" t="n">
        <v>0.67</v>
      </c>
      <c r="L5" s="4" t="n">
        <v>2.57</v>
      </c>
      <c r="M5" s="4" t="n">
        <v>6.79</v>
      </c>
      <c r="N5" s="4" t="n">
        <v>0.68</v>
      </c>
      <c r="O5" s="4" t="n">
        <v>1.12</v>
      </c>
      <c r="P5" s="4" t="n">
        <v>1.68</v>
      </c>
      <c r="Q5" s="4" t="n">
        <v>1.04</v>
      </c>
      <c r="R5" s="4" t="n">
        <v>3.11</v>
      </c>
      <c r="S5" s="4" t="n">
        <v>6.16</v>
      </c>
      <c r="T5" s="4" t="n">
        <v>5.16</v>
      </c>
      <c r="U5" s="4" t="n">
        <v>8.109999999999999</v>
      </c>
      <c r="V5" s="4" t="n">
        <v>1.85</v>
      </c>
    </row>
    <row r="6">
      <c r="A6" s="3" t="inlineStr">
        <is>
          <t>ADM Solar Power And Infrastructure Private Limited</t>
        </is>
      </c>
      <c r="B6" s="4" t="n">
        <v>7.23</v>
      </c>
      <c r="C6" s="4" t="n">
        <v>21.67</v>
      </c>
      <c r="D6" s="4" t="n">
        <v>19.47</v>
      </c>
      <c r="E6" s="4" t="n">
        <v>6.31</v>
      </c>
      <c r="F6" s="4" t="n">
        <v>11.82</v>
      </c>
      <c r="G6" s="4" t="n">
        <v>11.62</v>
      </c>
      <c r="H6" s="4" t="n">
        <v>12.02</v>
      </c>
      <c r="I6" s="4" t="n">
        <v>13.53</v>
      </c>
      <c r="J6" s="4" t="n">
        <v>21.47</v>
      </c>
      <c r="K6" s="4" t="n">
        <v>15.65</v>
      </c>
      <c r="L6" s="4" t="n">
        <v>8.449999999999999</v>
      </c>
      <c r="M6" s="4" t="n">
        <v>13.65</v>
      </c>
      <c r="N6" s="4" t="n">
        <v>24.9</v>
      </c>
      <c r="O6" s="4" t="n">
        <v>22.37</v>
      </c>
      <c r="P6" s="4" t="n">
        <v>26.43</v>
      </c>
      <c r="Q6" s="4" t="n">
        <v>11.7</v>
      </c>
      <c r="R6" s="4" t="n">
        <v>14.98</v>
      </c>
      <c r="S6" s="4" t="n">
        <v>14.16</v>
      </c>
      <c r="T6" s="4" t="n">
        <v>21.59</v>
      </c>
      <c r="U6" s="4" t="n">
        <v>18.83</v>
      </c>
      <c r="V6" s="4" t="n">
        <v>12.33</v>
      </c>
    </row>
    <row r="7">
      <c r="A7" s="3" t="inlineStr">
        <is>
          <t>Agrawal Renewable Energy Private Limited</t>
        </is>
      </c>
      <c r="B7" s="4" t="n">
        <v>0.03</v>
      </c>
      <c r="C7" s="4" t="n">
        <v>0.02</v>
      </c>
      <c r="D7" s="4" t="n">
        <v>0</v>
      </c>
      <c r="E7" s="4" t="n">
        <v>1.27</v>
      </c>
      <c r="F7" s="4" t="n">
        <v>1.33</v>
      </c>
      <c r="G7" s="4" t="n">
        <v>0.98</v>
      </c>
      <c r="H7" s="4" t="n">
        <v>1.15</v>
      </c>
      <c r="I7" s="4" t="n">
        <v>2.22</v>
      </c>
      <c r="J7" s="4" t="n">
        <v>1.11</v>
      </c>
      <c r="K7" s="4" t="n">
        <v>0.99</v>
      </c>
      <c r="L7" s="4" t="n">
        <v>0.57</v>
      </c>
      <c r="M7" s="4" t="n">
        <v>0.44</v>
      </c>
      <c r="N7" s="4" t="n">
        <v>3.06</v>
      </c>
      <c r="O7" s="4" t="n">
        <v>0.78</v>
      </c>
      <c r="P7" s="4" t="n">
        <v>2.09</v>
      </c>
      <c r="Q7" s="4" t="n">
        <v>0.31</v>
      </c>
      <c r="R7" s="4" t="n">
        <v>0.13</v>
      </c>
      <c r="S7" s="4" t="n">
        <v>0.11</v>
      </c>
      <c r="T7" s="4" t="n">
        <v>0.12</v>
      </c>
      <c r="U7" s="4" t="n">
        <v>0.11</v>
      </c>
      <c r="V7" s="4" t="n">
        <v>0.1</v>
      </c>
    </row>
    <row r="8">
      <c r="A8" s="3" t="inlineStr">
        <is>
          <t>Akshaya Solar Power (India) Private Limited</t>
        </is>
      </c>
      <c r="B8" s="4" t="n">
        <v>2.77</v>
      </c>
      <c r="C8" s="4" t="n">
        <v>0</v>
      </c>
      <c r="D8" s="4" t="n">
        <v>3.36</v>
      </c>
      <c r="E8" s="4" t="n">
        <v>0.52</v>
      </c>
      <c r="F8" s="4" t="n">
        <v>0.71</v>
      </c>
      <c r="G8" s="4" t="n">
        <v>0.53</v>
      </c>
      <c r="H8" s="4" t="n">
        <v>0</v>
      </c>
      <c r="I8" s="4" t="n">
        <v>0.99</v>
      </c>
      <c r="J8" s="4" t="n">
        <v>0</v>
      </c>
      <c r="K8" s="4" t="n">
        <v>0</v>
      </c>
      <c r="L8" s="4" t="n">
        <v>0</v>
      </c>
      <c r="M8" s="4" t="n">
        <v>0.7</v>
      </c>
      <c r="N8" s="4" t="n">
        <v>1.62</v>
      </c>
      <c r="O8" s="4" t="n">
        <v>8.970000000000001</v>
      </c>
      <c r="P8" s="4" t="n">
        <v>9.34</v>
      </c>
      <c r="Q8" s="4" t="n">
        <v>1.37</v>
      </c>
      <c r="R8" s="4" t="n">
        <v>17.16</v>
      </c>
      <c r="S8" s="4" t="n">
        <v>1.05</v>
      </c>
      <c r="T8" s="4" t="n">
        <v>7.21</v>
      </c>
      <c r="U8" s="4" t="n">
        <v>2.84</v>
      </c>
      <c r="V8" s="4" t="n">
        <v>0.65</v>
      </c>
    </row>
    <row r="9">
      <c r="A9" s="3" t="inlineStr">
        <is>
          <t>Alpex Solar Limited</t>
        </is>
      </c>
      <c r="B9" s="4" t="n">
        <v>7.07</v>
      </c>
      <c r="C9" s="4" t="n">
        <v>2.35</v>
      </c>
      <c r="D9" s="4" t="n">
        <v>4.47</v>
      </c>
      <c r="E9" s="4" t="n">
        <v>6.91</v>
      </c>
      <c r="F9" s="4" t="n">
        <v>20.77</v>
      </c>
      <c r="G9" s="4" t="n">
        <v>13.82</v>
      </c>
      <c r="H9" s="4" t="n">
        <v>59.51</v>
      </c>
      <c r="I9" s="4" t="n">
        <v>36.92</v>
      </c>
      <c r="J9" s="4" t="n">
        <v>41.12</v>
      </c>
      <c r="K9" s="4" t="n">
        <v>43.42</v>
      </c>
      <c r="L9" s="4" t="n">
        <v>28.87</v>
      </c>
      <c r="M9" s="4" t="n">
        <v>48.68</v>
      </c>
      <c r="N9" s="4" t="n">
        <v>81.23</v>
      </c>
      <c r="O9" s="4" t="n">
        <v>95.02</v>
      </c>
      <c r="P9" s="4" t="n">
        <v>106.64</v>
      </c>
      <c r="Q9" s="4" t="n">
        <v>43.76</v>
      </c>
      <c r="R9" s="4" t="n">
        <v>45.05</v>
      </c>
      <c r="S9" s="4" t="n">
        <v>60.77</v>
      </c>
      <c r="T9" s="4" t="n">
        <v>56.94</v>
      </c>
      <c r="U9" s="4" t="n">
        <v>42.12</v>
      </c>
      <c r="V9" s="4" t="n">
        <v>63.52</v>
      </c>
    </row>
    <row r="10">
      <c r="A10" s="3" t="inlineStr">
        <is>
          <t>Ankur Traders &amp; Engineers Private Limited</t>
        </is>
      </c>
      <c r="B10" s="4" t="n">
        <v>1.1</v>
      </c>
      <c r="C10" s="4" t="n">
        <v>2.5</v>
      </c>
      <c r="D10" s="4" t="n">
        <v>2.76</v>
      </c>
      <c r="E10" s="4" t="n">
        <v>3.29</v>
      </c>
      <c r="F10" s="4" t="n">
        <v>5.77</v>
      </c>
      <c r="G10" s="4" t="n">
        <v>5.62</v>
      </c>
      <c r="H10" s="4" t="n">
        <v>3.34</v>
      </c>
      <c r="I10" s="4" t="n">
        <v>2.38</v>
      </c>
      <c r="J10" s="4" t="n">
        <v>1.98</v>
      </c>
      <c r="K10" s="4" t="n">
        <v>1.45</v>
      </c>
      <c r="L10" s="4" t="n">
        <v>1.48</v>
      </c>
      <c r="M10" s="4" t="n">
        <v>1.65</v>
      </c>
      <c r="N10" s="4" t="n">
        <v>2.61</v>
      </c>
      <c r="O10" s="4" t="n">
        <v>1.98</v>
      </c>
      <c r="P10" s="4" t="n">
        <v>2.58</v>
      </c>
      <c r="Q10" s="4" t="n">
        <v>2.04</v>
      </c>
      <c r="R10" s="4" t="n">
        <v>4.93</v>
      </c>
      <c r="S10" s="4" t="n">
        <v>5.55</v>
      </c>
      <c r="T10" s="4" t="n">
        <v>4.29</v>
      </c>
      <c r="U10" s="4" t="n">
        <v>4.04</v>
      </c>
      <c r="V10" s="4" t="n">
        <v>3.02</v>
      </c>
    </row>
    <row r="11">
      <c r="A11" s="3" t="inlineStr">
        <is>
          <t>Australian Premium Solar (India) Limited</t>
        </is>
      </c>
      <c r="B11" s="4" t="n">
        <v>12.36</v>
      </c>
      <c r="C11" s="4" t="n">
        <v>12.32</v>
      </c>
      <c r="D11" s="4" t="n">
        <v>14</v>
      </c>
      <c r="E11" s="4" t="n">
        <v>6.13</v>
      </c>
      <c r="F11" s="4" t="n">
        <v>8.119999999999999</v>
      </c>
      <c r="G11" s="4" t="n">
        <v>6.61</v>
      </c>
      <c r="H11" s="4" t="n">
        <v>5.74</v>
      </c>
      <c r="I11" s="4" t="n">
        <v>4.39</v>
      </c>
      <c r="J11" s="4" t="n">
        <v>7.52</v>
      </c>
      <c r="K11" s="4" t="n">
        <v>4.49</v>
      </c>
      <c r="L11" s="4" t="n">
        <v>12.52</v>
      </c>
      <c r="M11" s="4" t="n">
        <v>11.37</v>
      </c>
      <c r="N11" s="4" t="n">
        <v>9.640000000000001</v>
      </c>
      <c r="O11" s="4" t="n">
        <v>10.28</v>
      </c>
      <c r="P11" s="4" t="n">
        <v>6.73</v>
      </c>
      <c r="Q11" s="4" t="n">
        <v>9.17</v>
      </c>
      <c r="R11" s="4" t="n">
        <v>16.43</v>
      </c>
      <c r="S11" s="4" t="n">
        <v>24.04</v>
      </c>
      <c r="T11" s="4" t="n">
        <v>23.94</v>
      </c>
      <c r="U11" s="4" t="n">
        <v>16.61</v>
      </c>
      <c r="V11" s="4" t="n">
        <v>12.6</v>
      </c>
    </row>
    <row r="12">
      <c r="A12" s="3" t="inlineStr">
        <is>
          <t>Bluebird Solar Private Limited</t>
        </is>
      </c>
      <c r="B12" s="4" t="n">
        <v>0.75</v>
      </c>
      <c r="C12" s="4" t="n">
        <v>1.11</v>
      </c>
      <c r="D12" s="4" t="n">
        <v>0.71</v>
      </c>
      <c r="E12" s="4" t="n">
        <v>0.61</v>
      </c>
      <c r="F12" s="4" t="n">
        <v>1.07</v>
      </c>
      <c r="G12" s="4" t="n">
        <v>0.91</v>
      </c>
      <c r="H12" s="4" t="n">
        <v>0.73</v>
      </c>
      <c r="I12" s="4" t="n">
        <v>0.35</v>
      </c>
      <c r="J12" s="4" t="n">
        <v>0.08</v>
      </c>
      <c r="K12" s="4" t="n">
        <v>0.1</v>
      </c>
      <c r="L12" s="4" t="n">
        <v>0.02</v>
      </c>
      <c r="M12" s="4" t="n">
        <v>0.02</v>
      </c>
      <c r="N12" s="4" t="n">
        <v>0.21</v>
      </c>
      <c r="O12" s="4" t="n">
        <v>0.24</v>
      </c>
      <c r="P12" s="4" t="n">
        <v>0.06</v>
      </c>
      <c r="Q12" s="4" t="n">
        <v>0.12</v>
      </c>
      <c r="R12" s="4" t="n">
        <v>0.13</v>
      </c>
      <c r="S12" s="4" t="n">
        <v>0.62</v>
      </c>
      <c r="T12" s="4" t="n">
        <v>0.17</v>
      </c>
      <c r="U12" s="4" t="n">
        <v>0.35</v>
      </c>
      <c r="V12" s="4" t="n">
        <v>0.18</v>
      </c>
    </row>
    <row r="13">
      <c r="A13" s="3" t="inlineStr">
        <is>
          <t>Citizen Solar Private Limited</t>
        </is>
      </c>
      <c r="B13" s="4" t="n">
        <v>3.13</v>
      </c>
      <c r="C13" s="4" t="n">
        <v>3.84</v>
      </c>
      <c r="D13" s="4" t="n">
        <v>5.59</v>
      </c>
      <c r="E13" s="4" t="n">
        <v>4.2</v>
      </c>
      <c r="F13" s="4" t="n">
        <v>12.39</v>
      </c>
      <c r="G13" s="4" t="n">
        <v>11.4</v>
      </c>
      <c r="H13" s="4" t="n">
        <v>10.27</v>
      </c>
      <c r="I13" s="4" t="n">
        <v>5.7</v>
      </c>
      <c r="J13" s="4" t="n">
        <v>2.73</v>
      </c>
      <c r="K13" s="4" t="n">
        <v>2.05</v>
      </c>
      <c r="L13" s="4" t="n">
        <v>8.289999999999999</v>
      </c>
      <c r="M13" s="4" t="n">
        <v>5.11</v>
      </c>
      <c r="N13" s="4" t="n">
        <v>11.15</v>
      </c>
      <c r="O13" s="4" t="n">
        <v>12.19</v>
      </c>
      <c r="P13" s="4" t="n">
        <v>13.17</v>
      </c>
      <c r="Q13" s="4" t="n">
        <v>5.24</v>
      </c>
      <c r="R13" s="4" t="n">
        <v>9.6</v>
      </c>
      <c r="S13" s="4" t="n">
        <v>5.74</v>
      </c>
      <c r="T13" s="4" t="n">
        <v>8.460000000000001</v>
      </c>
      <c r="U13" s="4" t="n">
        <v>11.36</v>
      </c>
      <c r="V13" s="4" t="n">
        <v>7.26</v>
      </c>
    </row>
    <row r="14">
      <c r="A14" s="3" t="inlineStr">
        <is>
          <t>Contendre Greenergy Private Limited</t>
        </is>
      </c>
      <c r="B14" s="4" t="n">
        <v>0.32</v>
      </c>
      <c r="C14" s="4" t="n">
        <v>0.09</v>
      </c>
      <c r="D14" s="4" t="n">
        <v>0.06</v>
      </c>
      <c r="E14" s="4" t="n">
        <v>0.06</v>
      </c>
      <c r="F14" s="4" t="n">
        <v>0.35</v>
      </c>
      <c r="G14" s="4" t="n">
        <v>0.11</v>
      </c>
      <c r="H14" s="4" t="n">
        <v>0.23</v>
      </c>
      <c r="I14" s="4" t="n">
        <v>0.18</v>
      </c>
      <c r="J14" s="4" t="n">
        <v>1.09</v>
      </c>
      <c r="K14" s="4" t="n">
        <v>0.93</v>
      </c>
      <c r="L14" s="4" t="n">
        <v>0.96</v>
      </c>
      <c r="M14" s="4" t="n">
        <v>0.07000000000000001</v>
      </c>
      <c r="N14" s="4" t="n">
        <v>0.15</v>
      </c>
      <c r="O14" s="4" t="n">
        <v>0.31</v>
      </c>
      <c r="P14" s="4" t="n">
        <v>0.6899999999999999</v>
      </c>
      <c r="Q14" s="4" t="n">
        <v>0</v>
      </c>
      <c r="R14" s="4" t="n">
        <v>0.25</v>
      </c>
      <c r="S14" s="4" t="n">
        <v>0.09</v>
      </c>
      <c r="T14" s="4" t="n">
        <v>0.14</v>
      </c>
      <c r="U14" s="4" t="n">
        <v>0.15</v>
      </c>
      <c r="V14" s="4" t="n">
        <v>0.03</v>
      </c>
    </row>
    <row r="15">
      <c r="A15" s="3" t="inlineStr">
        <is>
          <t>COSMIC PV Power Limited</t>
        </is>
      </c>
      <c r="B15" s="4" t="n">
        <v>0.55</v>
      </c>
      <c r="C15" s="4" t="n">
        <v>0.31</v>
      </c>
      <c r="D15" s="4" t="n">
        <v>0.6899999999999999</v>
      </c>
      <c r="E15" s="4" t="n">
        <v>0.23</v>
      </c>
      <c r="F15" s="4" t="n">
        <v>0.57</v>
      </c>
      <c r="G15" s="4" t="n">
        <v>0.52</v>
      </c>
      <c r="H15" s="4" t="n">
        <v>0.3</v>
      </c>
      <c r="I15" s="4" t="n">
        <v>0.19</v>
      </c>
      <c r="J15" s="4" t="n">
        <v>0.23</v>
      </c>
      <c r="K15" s="4" t="n">
        <v>0.08</v>
      </c>
      <c r="L15" s="4" t="n">
        <v>0.09</v>
      </c>
      <c r="M15" s="4" t="n">
        <v>0.11</v>
      </c>
      <c r="N15" s="4" t="n">
        <v>0.95</v>
      </c>
      <c r="O15" s="4" t="n">
        <v>0.46</v>
      </c>
      <c r="P15" s="4" t="n">
        <v>1.94</v>
      </c>
      <c r="Q15" s="4" t="n">
        <v>0.26</v>
      </c>
      <c r="R15" s="4" t="n">
        <v>0.44</v>
      </c>
      <c r="S15" s="4" t="n">
        <v>3.63</v>
      </c>
      <c r="T15" s="4" t="n">
        <v>0.44</v>
      </c>
      <c r="U15" s="4" t="n">
        <v>0.35</v>
      </c>
      <c r="V15" s="4" t="n">
        <v>0.3</v>
      </c>
    </row>
    <row r="16">
      <c r="A16" s="3" t="inlineStr">
        <is>
          <t>Eastman Green Technologies Private Limited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14.27</v>
      </c>
      <c r="O16" s="4" t="n">
        <v>42.49</v>
      </c>
      <c r="P16" s="4" t="n">
        <v>9.869999999999999</v>
      </c>
      <c r="Q16" s="4" t="n">
        <v>5.64</v>
      </c>
      <c r="R16" s="4" t="n">
        <v>9.52</v>
      </c>
      <c r="S16" s="4" t="n">
        <v>30.43</v>
      </c>
      <c r="T16" s="4" t="n">
        <v>45.6</v>
      </c>
      <c r="U16" s="4" t="n">
        <v>16.45</v>
      </c>
      <c r="V16" s="4" t="n">
        <v>5.64</v>
      </c>
    </row>
    <row r="17">
      <c r="A17" s="3" t="inlineStr">
        <is>
          <t>Easy Photo Voltech Private Limited</t>
        </is>
      </c>
      <c r="B17" s="4" t="n">
        <v>0</v>
      </c>
      <c r="C17" s="4" t="n">
        <v>0</v>
      </c>
      <c r="D17" s="4" t="n">
        <v>0.05</v>
      </c>
      <c r="E17" s="4" t="n">
        <v>0.55</v>
      </c>
      <c r="F17" s="4" t="n">
        <v>2.14</v>
      </c>
      <c r="G17" s="4" t="n">
        <v>3.41</v>
      </c>
      <c r="H17" s="4" t="n">
        <v>2.86</v>
      </c>
      <c r="I17" s="4" t="n">
        <v>2.62</v>
      </c>
      <c r="J17" s="4" t="n">
        <v>2.87</v>
      </c>
      <c r="K17" s="4" t="n">
        <v>0.82</v>
      </c>
      <c r="L17" s="4" t="n">
        <v>0.55</v>
      </c>
      <c r="M17" s="4" t="n">
        <v>1.11</v>
      </c>
      <c r="N17" s="4" t="n">
        <v>2.33</v>
      </c>
      <c r="O17" s="4" t="n">
        <v>1.35</v>
      </c>
      <c r="P17" s="4" t="n">
        <v>0.83</v>
      </c>
      <c r="Q17" s="4" t="n">
        <v>0.9399999999999999</v>
      </c>
      <c r="R17" s="4" t="n">
        <v>1.32</v>
      </c>
      <c r="S17" s="4" t="n">
        <v>2.91</v>
      </c>
      <c r="T17" s="4" t="n">
        <v>2.46</v>
      </c>
      <c r="U17" s="4" t="n">
        <v>2.6</v>
      </c>
      <c r="V17" s="4" t="n">
        <v>1.17</v>
      </c>
    </row>
    <row r="18">
      <c r="A18" s="3" t="inlineStr">
        <is>
          <t>ECE India Energies Private Limited</t>
        </is>
      </c>
      <c r="B18" s="4" t="n">
        <v>3.78</v>
      </c>
      <c r="C18" s="4" t="n">
        <v>3.27</v>
      </c>
      <c r="D18" s="4" t="n">
        <v>7.87</v>
      </c>
      <c r="E18" s="4" t="n">
        <v>2.51</v>
      </c>
      <c r="F18" s="4" t="n">
        <v>3.8</v>
      </c>
      <c r="G18" s="4" t="n">
        <v>5.08</v>
      </c>
      <c r="H18" s="4" t="n">
        <v>3.17</v>
      </c>
      <c r="I18" s="4" t="n">
        <v>0.95</v>
      </c>
      <c r="J18" s="4" t="n">
        <v>2.08</v>
      </c>
      <c r="K18" s="4" t="n">
        <v>1.32</v>
      </c>
      <c r="L18" s="4" t="n">
        <v>0.65</v>
      </c>
      <c r="M18" s="4" t="n">
        <v>2.87</v>
      </c>
      <c r="N18" s="4" t="n">
        <v>0.23</v>
      </c>
      <c r="O18" s="4" t="n">
        <v>0.83</v>
      </c>
      <c r="P18" s="4" t="n">
        <v>3.32</v>
      </c>
      <c r="Q18" s="4" t="n">
        <v>1.78</v>
      </c>
      <c r="R18" s="4" t="n">
        <v>2.86</v>
      </c>
      <c r="S18" s="4" t="n">
        <v>4.07</v>
      </c>
      <c r="T18" s="4" t="n">
        <v>3.32</v>
      </c>
      <c r="U18" s="4" t="n">
        <v>4.31</v>
      </c>
      <c r="V18" s="4" t="n">
        <v>3.15</v>
      </c>
    </row>
    <row r="19">
      <c r="A19" s="3" t="inlineStr">
        <is>
          <t>Emmvee  Photovoltaic Power Limited</t>
        </is>
      </c>
      <c r="B19" s="4" t="n">
        <v>0</v>
      </c>
      <c r="C19" s="4" t="n">
        <v>0.34</v>
      </c>
      <c r="D19" s="4" t="n">
        <v>5.03</v>
      </c>
      <c r="E19" s="4" t="n">
        <v>7.81</v>
      </c>
      <c r="F19" s="4" t="n">
        <v>12.99</v>
      </c>
      <c r="G19" s="4" t="n">
        <v>2.31</v>
      </c>
      <c r="H19" s="4" t="n">
        <v>26.42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2.12</v>
      </c>
      <c r="Q19" s="4" t="n">
        <v>0</v>
      </c>
      <c r="R19" s="4" t="n">
        <v>0</v>
      </c>
      <c r="S19" s="4" t="n">
        <v>0</v>
      </c>
      <c r="T19" s="4" t="n">
        <v>21.32</v>
      </c>
      <c r="U19" s="4" t="n">
        <v>32.57</v>
      </c>
      <c r="V19" s="4" t="n">
        <v>34.72</v>
      </c>
    </row>
    <row r="20">
      <c r="A20" s="3" t="inlineStr">
        <is>
          <t>Emmvee Energy Private Limited</t>
        </is>
      </c>
      <c r="B20" s="4" t="n">
        <v>93.37</v>
      </c>
      <c r="C20" s="4" t="n">
        <v>103.58</v>
      </c>
      <c r="D20" s="4" t="n">
        <v>102.93</v>
      </c>
      <c r="E20" s="4" t="n">
        <v>69.48</v>
      </c>
      <c r="F20" s="4" t="n">
        <v>55.33</v>
      </c>
      <c r="G20" s="4" t="n">
        <v>96.98</v>
      </c>
      <c r="H20" s="4" t="n">
        <v>119.45</v>
      </c>
      <c r="I20" s="4" t="n">
        <v>69.79000000000001</v>
      </c>
      <c r="J20" s="4" t="n">
        <v>18.63</v>
      </c>
      <c r="K20" s="4" t="n">
        <v>44.85</v>
      </c>
      <c r="L20" s="4" t="n">
        <v>20.36</v>
      </c>
      <c r="M20" s="4" t="n">
        <v>34.97</v>
      </c>
      <c r="N20" s="4" t="n">
        <v>40.66</v>
      </c>
      <c r="O20" s="4" t="n">
        <v>33.52</v>
      </c>
      <c r="P20" s="4" t="n">
        <v>128.29</v>
      </c>
      <c r="Q20" s="4" t="n">
        <v>24.87</v>
      </c>
      <c r="R20" s="4" t="n">
        <v>66.7</v>
      </c>
      <c r="S20" s="4" t="n">
        <v>121.9</v>
      </c>
      <c r="T20" s="4" t="n">
        <v>61.65</v>
      </c>
      <c r="U20" s="4" t="n">
        <v>44.17</v>
      </c>
      <c r="V20" s="4" t="n">
        <v>64.56</v>
      </c>
    </row>
    <row r="21">
      <c r="A21" s="3" t="inlineStr">
        <is>
          <t>FS India Solar Ventures Private Limited</t>
        </is>
      </c>
      <c r="B21" s="4" t="n">
        <v>0.26</v>
      </c>
      <c r="C21" s="4" t="n">
        <v>151.53</v>
      </c>
      <c r="D21" s="4" t="n">
        <v>33.22</v>
      </c>
      <c r="E21" s="4" t="n">
        <v>187.7</v>
      </c>
      <c r="F21" s="4" t="n">
        <v>264.31</v>
      </c>
      <c r="G21" s="4" t="n">
        <v>257.61</v>
      </c>
      <c r="H21" s="4" t="n">
        <v>230.02</v>
      </c>
      <c r="I21" s="4" t="n">
        <v>211.49</v>
      </c>
      <c r="J21" s="4" t="n">
        <v>37.38</v>
      </c>
      <c r="K21" s="4" t="n">
        <v>43.31</v>
      </c>
      <c r="L21" s="4" t="n">
        <v>278.25</v>
      </c>
      <c r="M21" s="4" t="n">
        <v>294.94</v>
      </c>
      <c r="N21" s="4" t="n">
        <v>244.78</v>
      </c>
      <c r="O21" s="4" t="n">
        <v>182.66</v>
      </c>
      <c r="P21" s="4" t="n">
        <v>335.06</v>
      </c>
      <c r="Q21" s="4" t="n">
        <v>47.88</v>
      </c>
      <c r="R21" s="4" t="n">
        <v>18.39</v>
      </c>
      <c r="S21" s="4" t="n">
        <v>39.57</v>
      </c>
      <c r="T21" s="4" t="n">
        <v>59.91</v>
      </c>
      <c r="U21" s="4" t="n">
        <v>3.32</v>
      </c>
      <c r="V21" s="4" t="n">
        <v>26.65</v>
      </c>
    </row>
    <row r="22">
      <c r="A22" s="3" t="inlineStr">
        <is>
          <t>Fujiyama Power Systems Limited</t>
        </is>
      </c>
      <c r="B22" s="4" t="n">
        <v>14.47</v>
      </c>
      <c r="C22" s="4" t="n">
        <v>19</v>
      </c>
      <c r="D22" s="4" t="n">
        <v>28.89</v>
      </c>
      <c r="E22" s="4" t="n">
        <v>6.84</v>
      </c>
      <c r="F22" s="4" t="n">
        <v>7.8</v>
      </c>
      <c r="G22" s="4" t="n">
        <v>12.85</v>
      </c>
      <c r="H22" s="4" t="n">
        <v>17.36</v>
      </c>
      <c r="I22" s="4" t="n">
        <v>15.58</v>
      </c>
      <c r="J22" s="4" t="n">
        <v>24.45</v>
      </c>
      <c r="K22" s="4" t="n">
        <v>21.84</v>
      </c>
      <c r="L22" s="4" t="n">
        <v>22.5</v>
      </c>
      <c r="M22" s="4" t="n">
        <v>38.57</v>
      </c>
      <c r="N22" s="4" t="n">
        <v>43.84</v>
      </c>
      <c r="O22" s="4" t="n">
        <v>45.56</v>
      </c>
      <c r="P22" s="4" t="n">
        <v>54.96</v>
      </c>
      <c r="Q22" s="4" t="n">
        <v>49.07</v>
      </c>
      <c r="R22" s="4" t="n">
        <v>73.7</v>
      </c>
      <c r="S22" s="4" t="n">
        <v>90.84</v>
      </c>
      <c r="T22" s="4" t="n">
        <v>78.16</v>
      </c>
      <c r="U22" s="4" t="n">
        <v>92.06</v>
      </c>
      <c r="V22" s="4" t="n">
        <v>75.3</v>
      </c>
    </row>
    <row r="23">
      <c r="A23" s="3" t="inlineStr">
        <is>
          <t>Ganesh Green Bharat Limited</t>
        </is>
      </c>
      <c r="B23" s="4" t="n">
        <v>0.67</v>
      </c>
      <c r="C23" s="4" t="n">
        <v>0</v>
      </c>
      <c r="D23" s="4" t="n">
        <v>0.67</v>
      </c>
      <c r="E23" s="4" t="n">
        <v>0.19</v>
      </c>
      <c r="F23" s="4" t="n">
        <v>0.28</v>
      </c>
      <c r="G23" s="4" t="n">
        <v>0.24</v>
      </c>
      <c r="H23" s="4" t="n">
        <v>0.11</v>
      </c>
      <c r="I23" s="4" t="n">
        <v>0.04</v>
      </c>
      <c r="J23" s="4" t="n">
        <v>0.4</v>
      </c>
      <c r="K23" s="4" t="n">
        <v>0.41</v>
      </c>
      <c r="L23" s="4" t="n">
        <v>0.31</v>
      </c>
      <c r="M23" s="4" t="n">
        <v>0.78</v>
      </c>
      <c r="N23" s="4" t="n">
        <v>0.19</v>
      </c>
      <c r="O23" s="4" t="n">
        <v>2.19</v>
      </c>
      <c r="P23" s="4" t="n">
        <v>8.18</v>
      </c>
      <c r="Q23" s="4" t="n">
        <v>6.68</v>
      </c>
      <c r="R23" s="4" t="n">
        <v>1.07</v>
      </c>
      <c r="S23" s="4" t="n">
        <v>12.32</v>
      </c>
      <c r="T23" s="4" t="n">
        <v>18.65</v>
      </c>
      <c r="U23" s="4" t="n">
        <v>3.63</v>
      </c>
      <c r="V23" s="4" t="n">
        <v>3.88</v>
      </c>
    </row>
    <row r="24">
      <c r="A24" s="3" t="inlineStr">
        <is>
          <t>Gautam Solar Private Limited</t>
        </is>
      </c>
      <c r="B24" s="4" t="n">
        <v>6.71</v>
      </c>
      <c r="C24" s="4" t="n">
        <v>0.35</v>
      </c>
      <c r="D24" s="4" t="n">
        <v>0.92</v>
      </c>
      <c r="E24" s="4" t="n">
        <v>6.77</v>
      </c>
      <c r="F24" s="4" t="n">
        <v>9.779999999999999</v>
      </c>
      <c r="G24" s="4" t="n">
        <v>10.94</v>
      </c>
      <c r="H24" s="4" t="n">
        <v>10.68</v>
      </c>
      <c r="I24" s="4" t="n">
        <v>10.11</v>
      </c>
      <c r="J24" s="4" t="n">
        <v>22.31</v>
      </c>
      <c r="K24" s="4" t="n">
        <v>12.76</v>
      </c>
      <c r="L24" s="4" t="n">
        <v>12.33</v>
      </c>
      <c r="M24" s="4" t="n">
        <v>16.53</v>
      </c>
      <c r="N24" s="4" t="n">
        <v>6.16</v>
      </c>
      <c r="O24" s="4" t="n">
        <v>4.12</v>
      </c>
      <c r="P24" s="4" t="n">
        <v>4.83</v>
      </c>
      <c r="Q24" s="4" t="n">
        <v>5.78</v>
      </c>
      <c r="R24" s="4" t="n">
        <v>8.109999999999999</v>
      </c>
      <c r="S24" s="4" t="n">
        <v>23.69</v>
      </c>
      <c r="T24" s="4" t="n">
        <v>15.82</v>
      </c>
      <c r="U24" s="4" t="n">
        <v>11.55</v>
      </c>
      <c r="V24" s="4" t="n">
        <v>6.23</v>
      </c>
    </row>
    <row r="25">
      <c r="A25" s="3" t="inlineStr">
        <is>
          <t>Goldi Solar Private Limited</t>
        </is>
      </c>
      <c r="B25" s="4" t="n">
        <v>4.46</v>
      </c>
      <c r="C25" s="4" t="n">
        <v>1.53</v>
      </c>
      <c r="D25" s="4" t="n">
        <v>4.56</v>
      </c>
      <c r="E25" s="4" t="n">
        <v>3.89</v>
      </c>
      <c r="F25" s="4" t="n">
        <v>5.3</v>
      </c>
      <c r="G25" s="4" t="n">
        <v>2.57</v>
      </c>
      <c r="H25" s="4" t="n">
        <v>2.66</v>
      </c>
      <c r="I25" s="4" t="n">
        <v>1.4</v>
      </c>
      <c r="J25" s="4" t="n">
        <v>0.35</v>
      </c>
      <c r="K25" s="4" t="n">
        <v>4.87</v>
      </c>
      <c r="L25" s="4" t="n">
        <v>3.66</v>
      </c>
      <c r="M25" s="4" t="n">
        <v>2.46</v>
      </c>
      <c r="N25" s="4" t="n">
        <v>0.71</v>
      </c>
      <c r="O25" s="4" t="n">
        <v>0.37</v>
      </c>
      <c r="P25" s="4" t="n">
        <v>15</v>
      </c>
      <c r="Q25" s="4" t="n">
        <v>4.15</v>
      </c>
      <c r="R25" s="4" t="n">
        <v>1.5</v>
      </c>
      <c r="S25" s="4" t="n">
        <v>1.97</v>
      </c>
      <c r="T25" s="4" t="n">
        <v>0</v>
      </c>
      <c r="U25" s="4" t="n">
        <v>0</v>
      </c>
      <c r="V25" s="4" t="n">
        <v>0.01</v>
      </c>
    </row>
    <row r="26">
      <c r="A26" s="3" t="inlineStr">
        <is>
          <t>Goldi Sun Private Limited</t>
        </is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1.43</v>
      </c>
      <c r="I26" s="4" t="n">
        <v>2.15</v>
      </c>
      <c r="J26" s="4" t="n">
        <v>0.84</v>
      </c>
      <c r="K26" s="4" t="n">
        <v>2.33</v>
      </c>
      <c r="L26" s="4" t="n">
        <v>1.47</v>
      </c>
      <c r="M26" s="4" t="n">
        <v>1.29</v>
      </c>
      <c r="N26" s="4" t="n">
        <v>1.2</v>
      </c>
      <c r="O26" s="4" t="n">
        <v>1.11</v>
      </c>
      <c r="P26" s="4" t="n">
        <v>4.79</v>
      </c>
      <c r="Q26" s="4" t="n">
        <v>5.6</v>
      </c>
      <c r="R26" s="4" t="n">
        <v>16.78</v>
      </c>
      <c r="S26" s="4" t="n">
        <v>13.25</v>
      </c>
      <c r="T26" s="4" t="n">
        <v>18.18</v>
      </c>
      <c r="U26" s="4" t="n">
        <v>4</v>
      </c>
      <c r="V26" s="4" t="n">
        <v>2.95</v>
      </c>
    </row>
    <row r="27">
      <c r="A27" s="3" t="inlineStr">
        <is>
          <t>Green Brilliance Renewable Energy LLP</t>
        </is>
      </c>
      <c r="B27" s="4" t="n">
        <v>1.89</v>
      </c>
      <c r="C27" s="4" t="n">
        <v>0.22</v>
      </c>
      <c r="D27" s="4" t="n">
        <v>0.4</v>
      </c>
      <c r="E27" s="4" t="n">
        <v>0.21</v>
      </c>
      <c r="F27" s="4" t="n">
        <v>2.02</v>
      </c>
      <c r="G27" s="4" t="n">
        <v>2.79</v>
      </c>
      <c r="H27" s="4" t="n">
        <v>3.88</v>
      </c>
      <c r="I27" s="4" t="n">
        <v>2.54</v>
      </c>
      <c r="J27" s="4" t="n">
        <v>3.33</v>
      </c>
      <c r="K27" s="4" t="n">
        <v>1.51</v>
      </c>
      <c r="L27" s="4" t="n">
        <v>3.44</v>
      </c>
      <c r="M27" s="4" t="n">
        <v>5.47</v>
      </c>
      <c r="N27" s="4" t="n">
        <v>1.82</v>
      </c>
      <c r="O27" s="4" t="n">
        <v>3.65</v>
      </c>
      <c r="P27" s="4" t="n">
        <v>5.82</v>
      </c>
      <c r="Q27" s="4" t="n">
        <v>1.17</v>
      </c>
      <c r="R27" s="4" t="n">
        <v>5.9</v>
      </c>
      <c r="S27" s="4" t="n">
        <v>7.07</v>
      </c>
      <c r="T27" s="4" t="n">
        <v>8.31</v>
      </c>
      <c r="U27" s="4" t="n">
        <v>4.33</v>
      </c>
      <c r="V27" s="4" t="n">
        <v>3.88</v>
      </c>
    </row>
    <row r="28">
      <c r="A28" s="3" t="inlineStr">
        <is>
          <t>HR Solar Solution Private Limited</t>
        </is>
      </c>
      <c r="B28" s="4" t="n">
        <v>1.31</v>
      </c>
      <c r="C28" s="4" t="n">
        <v>1.09</v>
      </c>
      <c r="D28" s="4" t="n">
        <v>0.08</v>
      </c>
      <c r="E28" s="4" t="n">
        <v>0.01</v>
      </c>
      <c r="F28" s="4" t="n">
        <v>0</v>
      </c>
      <c r="G28" s="4" t="n">
        <v>0.36</v>
      </c>
      <c r="H28" s="4" t="n">
        <v>1.02</v>
      </c>
      <c r="I28" s="4" t="n">
        <v>2.35</v>
      </c>
      <c r="J28" s="4" t="n">
        <v>1.78</v>
      </c>
      <c r="K28" s="4" t="n">
        <v>2.05</v>
      </c>
      <c r="L28" s="4" t="n">
        <v>2.83</v>
      </c>
      <c r="M28" s="4" t="n">
        <v>5.68</v>
      </c>
      <c r="N28" s="4" t="n">
        <v>3.31</v>
      </c>
      <c r="O28" s="4" t="n">
        <v>6.87</v>
      </c>
      <c r="P28" s="4" t="n">
        <v>7.68</v>
      </c>
      <c r="Q28" s="4" t="n">
        <v>6.75</v>
      </c>
      <c r="R28" s="4" t="n">
        <v>7.88</v>
      </c>
      <c r="S28" s="4" t="n">
        <v>13.25</v>
      </c>
      <c r="T28" s="4" t="n">
        <v>14.03</v>
      </c>
      <c r="U28" s="4" t="n">
        <v>12.86</v>
      </c>
      <c r="V28" s="4" t="n">
        <v>8.130000000000001</v>
      </c>
    </row>
    <row r="29">
      <c r="A29" s="3" t="inlineStr">
        <is>
          <t>Icon Solar-En Power Technologies Private Limited</t>
        </is>
      </c>
      <c r="B29" s="4" t="n">
        <v>21.9</v>
      </c>
      <c r="C29" s="4" t="n">
        <v>21.4</v>
      </c>
      <c r="D29" s="4" t="n">
        <v>17.03</v>
      </c>
      <c r="E29" s="4" t="n">
        <v>16.09</v>
      </c>
      <c r="F29" s="4" t="n">
        <v>22.8</v>
      </c>
      <c r="G29" s="4" t="n">
        <v>30.38</v>
      </c>
      <c r="H29" s="4" t="n">
        <v>27.96</v>
      </c>
      <c r="I29" s="4" t="n">
        <v>33.18</v>
      </c>
      <c r="J29" s="4" t="n">
        <v>32.75</v>
      </c>
      <c r="K29" s="4" t="n">
        <v>31.08</v>
      </c>
      <c r="L29" s="4" t="n">
        <v>19.35</v>
      </c>
      <c r="M29" s="4" t="n">
        <v>22.4</v>
      </c>
      <c r="N29" s="4" t="n">
        <v>30.64</v>
      </c>
      <c r="O29" s="4" t="n">
        <v>47.28</v>
      </c>
      <c r="P29" s="4" t="n">
        <v>59.91</v>
      </c>
      <c r="Q29" s="4" t="n">
        <v>28.28</v>
      </c>
      <c r="R29" s="4" t="n">
        <v>33.03</v>
      </c>
      <c r="S29" s="4" t="n">
        <v>31.74</v>
      </c>
      <c r="T29" s="4" t="n">
        <v>44.13</v>
      </c>
      <c r="U29" s="4" t="n">
        <v>34.38</v>
      </c>
      <c r="V29" s="4" t="n">
        <v>35.26</v>
      </c>
    </row>
    <row r="30">
      <c r="A30" s="3" t="inlineStr">
        <is>
          <t>Insolation Green Energy Private Limited</t>
        </is>
      </c>
      <c r="B30" s="4" t="n">
        <v>7.89</v>
      </c>
      <c r="C30" s="4" t="n">
        <v>6.41</v>
      </c>
      <c r="D30" s="4" t="n">
        <v>13.2</v>
      </c>
      <c r="E30" s="4" t="n">
        <v>5.73</v>
      </c>
      <c r="F30" s="4" t="n">
        <v>7.09</v>
      </c>
      <c r="G30" s="4" t="n">
        <v>16.3</v>
      </c>
      <c r="H30" s="4" t="n">
        <v>11.59</v>
      </c>
      <c r="I30" s="4" t="n">
        <v>10.88</v>
      </c>
      <c r="J30" s="4" t="n">
        <v>4.55</v>
      </c>
      <c r="K30" s="4" t="n">
        <v>3.73</v>
      </c>
      <c r="L30" s="4" t="n">
        <v>15.11</v>
      </c>
      <c r="M30" s="4" t="n">
        <v>18.82</v>
      </c>
      <c r="N30" s="4" t="n">
        <v>10.66</v>
      </c>
      <c r="O30" s="4" t="n">
        <v>6.9</v>
      </c>
      <c r="P30" s="4" t="n">
        <v>27.61</v>
      </c>
      <c r="Q30" s="4" t="n">
        <v>13.04</v>
      </c>
      <c r="R30" s="4" t="n">
        <v>47.71</v>
      </c>
      <c r="S30" s="4" t="n">
        <v>55.28</v>
      </c>
      <c r="T30" s="4" t="n">
        <v>37.9</v>
      </c>
      <c r="U30" s="4" t="n">
        <v>44.89</v>
      </c>
      <c r="V30" s="4" t="n">
        <v>37.43</v>
      </c>
    </row>
    <row r="31">
      <c r="A31" s="3" t="inlineStr">
        <is>
          <t>Integrated Batteries India Private Limited (Ib Solar)</t>
        </is>
      </c>
      <c r="B31" s="4" t="n">
        <v>2.07</v>
      </c>
      <c r="C31" s="4" t="n">
        <v>1.32</v>
      </c>
      <c r="D31" s="4" t="n">
        <v>3.17</v>
      </c>
      <c r="E31" s="4" t="n">
        <v>1.11</v>
      </c>
      <c r="F31" s="4" t="n">
        <v>3.3</v>
      </c>
      <c r="G31" s="4" t="n">
        <v>6.21</v>
      </c>
      <c r="H31" s="4" t="n">
        <v>6.02</v>
      </c>
      <c r="I31" s="4" t="n">
        <v>5.17</v>
      </c>
      <c r="J31" s="4" t="n">
        <v>8.050000000000001</v>
      </c>
      <c r="K31" s="4" t="n">
        <v>8.470000000000001</v>
      </c>
      <c r="L31" s="4" t="n">
        <v>7.93</v>
      </c>
      <c r="M31" s="4" t="n">
        <v>8.720000000000001</v>
      </c>
      <c r="N31" s="4" t="n">
        <v>13.28</v>
      </c>
      <c r="O31" s="4" t="n">
        <v>14.47</v>
      </c>
      <c r="P31" s="4" t="n">
        <v>19.7</v>
      </c>
      <c r="Q31" s="4" t="n">
        <v>5.99</v>
      </c>
      <c r="R31" s="4" t="n">
        <v>13.62</v>
      </c>
      <c r="S31" s="4" t="n">
        <v>13.32</v>
      </c>
      <c r="T31" s="4" t="n">
        <v>13.73</v>
      </c>
      <c r="U31" s="4" t="n">
        <v>11.31</v>
      </c>
      <c r="V31" s="4" t="n">
        <v>10.27</v>
      </c>
    </row>
    <row r="32">
      <c r="A32" s="3" t="inlineStr">
        <is>
          <t>Inter Solar Systems Private Limited</t>
        </is>
      </c>
      <c r="B32" s="4" t="n">
        <v>0.52</v>
      </c>
      <c r="C32" s="4" t="n">
        <v>0.67</v>
      </c>
      <c r="D32" s="4" t="n">
        <v>0.8100000000000001</v>
      </c>
      <c r="E32" s="4" t="n">
        <v>1.21</v>
      </c>
      <c r="F32" s="4" t="n">
        <v>1.48</v>
      </c>
      <c r="G32" s="4" t="n">
        <v>0.99</v>
      </c>
      <c r="H32" s="4" t="n">
        <v>0.88</v>
      </c>
      <c r="I32" s="4" t="n">
        <v>0.58</v>
      </c>
      <c r="J32" s="4" t="n">
        <v>0.89</v>
      </c>
      <c r="K32" s="4" t="n">
        <v>0.8</v>
      </c>
      <c r="L32" s="4" t="n">
        <v>0.91</v>
      </c>
      <c r="M32" s="4" t="n">
        <v>0.73</v>
      </c>
      <c r="N32" s="4" t="n">
        <v>0.44</v>
      </c>
      <c r="O32" s="4" t="n">
        <v>0.5</v>
      </c>
      <c r="P32" s="4" t="n">
        <v>0.53</v>
      </c>
      <c r="Q32" s="4" t="n">
        <v>0.28</v>
      </c>
      <c r="R32" s="4" t="n">
        <v>0.46</v>
      </c>
      <c r="S32" s="4" t="n">
        <v>0.51</v>
      </c>
      <c r="T32" s="4" t="n">
        <v>0.38</v>
      </c>
      <c r="U32" s="4" t="n">
        <v>0.47</v>
      </c>
      <c r="V32" s="4" t="n">
        <v>0.44</v>
      </c>
    </row>
    <row r="33">
      <c r="A33" s="3" t="inlineStr">
        <is>
          <t>Jakson Engineers Limited</t>
        </is>
      </c>
      <c r="B33" s="4" t="n">
        <v>1.1</v>
      </c>
      <c r="C33" s="4" t="n">
        <v>1.27</v>
      </c>
      <c r="D33" s="4" t="n">
        <v>0.18</v>
      </c>
      <c r="E33" s="4" t="n">
        <v>0</v>
      </c>
      <c r="F33" s="4" t="n">
        <v>1.58</v>
      </c>
      <c r="G33" s="4" t="n">
        <v>0.96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</row>
    <row r="34">
      <c r="A34" s="3" t="inlineStr">
        <is>
          <t>Junna Solar Systems Limited</t>
        </is>
      </c>
      <c r="B34" s="4" t="n">
        <v>0</v>
      </c>
      <c r="C34" s="4" t="n">
        <v>1.08</v>
      </c>
      <c r="D34" s="4" t="n">
        <v>0.8</v>
      </c>
      <c r="E34" s="4" t="n">
        <v>0.45</v>
      </c>
      <c r="F34" s="4" t="n">
        <v>1.04</v>
      </c>
      <c r="G34" s="4" t="n">
        <v>0.1</v>
      </c>
      <c r="H34" s="4" t="n">
        <v>1.41</v>
      </c>
      <c r="I34" s="4" t="n">
        <v>4.17</v>
      </c>
      <c r="J34" s="4" t="n">
        <v>1.63</v>
      </c>
      <c r="K34" s="4" t="n">
        <v>1.4</v>
      </c>
      <c r="L34" s="4" t="n">
        <v>1.59</v>
      </c>
      <c r="M34" s="4" t="n">
        <v>5.95</v>
      </c>
      <c r="N34" s="4" t="n">
        <v>5.04</v>
      </c>
      <c r="O34" s="4" t="n">
        <v>2.94</v>
      </c>
      <c r="P34" s="4" t="n">
        <v>13.73</v>
      </c>
      <c r="Q34" s="4" t="n">
        <v>12.95</v>
      </c>
      <c r="R34" s="4" t="n">
        <v>6.04</v>
      </c>
      <c r="S34" s="4" t="n">
        <v>3.61</v>
      </c>
      <c r="T34" s="4" t="n">
        <v>6.85</v>
      </c>
      <c r="U34" s="4" t="n">
        <v>7.5</v>
      </c>
      <c r="V34" s="4" t="n">
        <v>1.18</v>
      </c>
    </row>
    <row r="35">
      <c r="A35" s="3" t="inlineStr">
        <is>
          <t>KLK Ventures Private Limited</t>
        </is>
      </c>
      <c r="B35" s="4" t="n">
        <v>0</v>
      </c>
      <c r="C35" s="4" t="n">
        <v>0</v>
      </c>
      <c r="D35" s="4" t="n">
        <v>0</v>
      </c>
      <c r="E35" s="4" t="n">
        <v>0.49</v>
      </c>
      <c r="F35" s="4" t="n">
        <v>0.8100000000000001</v>
      </c>
      <c r="G35" s="4" t="n">
        <v>0</v>
      </c>
      <c r="H35" s="4" t="n">
        <v>1.51</v>
      </c>
      <c r="I35" s="4" t="n">
        <v>0.34</v>
      </c>
      <c r="J35" s="4" t="n">
        <v>1.21</v>
      </c>
      <c r="K35" s="4" t="n">
        <v>4.86</v>
      </c>
      <c r="L35" s="4" t="n">
        <v>4.93</v>
      </c>
      <c r="M35" s="4" t="n">
        <v>0.6899999999999999</v>
      </c>
      <c r="N35" s="4" t="n">
        <v>4.72</v>
      </c>
      <c r="O35" s="4" t="n">
        <v>4.02</v>
      </c>
      <c r="P35" s="4" t="n">
        <v>6.29</v>
      </c>
      <c r="Q35" s="4" t="n">
        <v>0.02</v>
      </c>
      <c r="R35" s="4" t="n">
        <v>1.72</v>
      </c>
      <c r="S35" s="4" t="n">
        <v>3.45</v>
      </c>
      <c r="T35" s="4" t="n">
        <v>2.22</v>
      </c>
      <c r="U35" s="4" t="n">
        <v>1.64</v>
      </c>
      <c r="V35" s="4" t="n">
        <v>4.95</v>
      </c>
    </row>
    <row r="36">
      <c r="A36" s="3" t="inlineStr">
        <is>
          <t>Knack Energy Private Limited</t>
        </is>
      </c>
      <c r="B36" s="4" t="n">
        <v>0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2.27</v>
      </c>
      <c r="M36" s="4" t="n">
        <v>3.8</v>
      </c>
      <c r="N36" s="4" t="n">
        <v>0</v>
      </c>
      <c r="O36" s="4" t="n">
        <v>0</v>
      </c>
      <c r="P36" s="4" t="n">
        <v>0</v>
      </c>
      <c r="Q36" s="4" t="n">
        <v>5.91</v>
      </c>
      <c r="R36" s="4" t="n">
        <v>2.12</v>
      </c>
      <c r="S36" s="4" t="n">
        <v>5.07</v>
      </c>
      <c r="T36" s="4" t="n">
        <v>12.1</v>
      </c>
      <c r="U36" s="4" t="n">
        <v>3.26</v>
      </c>
      <c r="V36" s="4" t="n">
        <v>6.01</v>
      </c>
    </row>
    <row r="37">
      <c r="A37" s="3" t="inlineStr">
        <is>
          <t>Kosol Energie Private Limited</t>
        </is>
      </c>
      <c r="B37" s="4" t="n">
        <v>0.1</v>
      </c>
      <c r="C37" s="4" t="n">
        <v>0.08</v>
      </c>
      <c r="D37" s="4" t="n">
        <v>2.02</v>
      </c>
      <c r="E37" s="4" t="n">
        <v>0.31</v>
      </c>
      <c r="F37" s="4" t="n">
        <v>0.52</v>
      </c>
      <c r="G37" s="4" t="n">
        <v>0.9</v>
      </c>
      <c r="H37" s="4" t="n">
        <v>3.3</v>
      </c>
      <c r="I37" s="4" t="n">
        <v>0.25</v>
      </c>
      <c r="J37" s="4" t="n">
        <v>2.48</v>
      </c>
      <c r="K37" s="4" t="n">
        <v>0.49</v>
      </c>
      <c r="L37" s="4" t="n">
        <v>2.18</v>
      </c>
      <c r="M37" s="4" t="n">
        <v>1.26</v>
      </c>
      <c r="N37" s="4" t="n">
        <v>1.92</v>
      </c>
      <c r="O37" s="4" t="n">
        <v>1.21</v>
      </c>
      <c r="P37" s="4" t="n">
        <v>50.77</v>
      </c>
      <c r="Q37" s="4" t="n">
        <v>2.41</v>
      </c>
      <c r="R37" s="4" t="n">
        <v>3.24</v>
      </c>
      <c r="S37" s="4" t="n">
        <v>9.02</v>
      </c>
      <c r="T37" s="4" t="n">
        <v>9.6</v>
      </c>
      <c r="U37" s="4" t="n">
        <v>25.4</v>
      </c>
      <c r="V37" s="4" t="n">
        <v>0.8100000000000001</v>
      </c>
    </row>
    <row r="38">
      <c r="A38" s="3" t="inlineStr">
        <is>
          <t>Laxmi Solar Power System Private Limited</t>
        </is>
      </c>
      <c r="B38" s="4" t="n">
        <v>0.32</v>
      </c>
      <c r="C38" s="4" t="n">
        <v>1.01</v>
      </c>
      <c r="D38" s="4" t="n">
        <v>8.02</v>
      </c>
      <c r="E38" s="4" t="n">
        <v>7.74</v>
      </c>
      <c r="F38" s="4" t="n">
        <v>8.699999999999999</v>
      </c>
      <c r="G38" s="4" t="n">
        <v>5.88</v>
      </c>
      <c r="H38" s="4" t="n">
        <v>19.82</v>
      </c>
      <c r="I38" s="4" t="n">
        <v>4.91</v>
      </c>
      <c r="J38" s="4" t="n">
        <v>7.66</v>
      </c>
      <c r="K38" s="4" t="n">
        <v>2.28</v>
      </c>
      <c r="L38" s="4" t="n">
        <v>3.67</v>
      </c>
      <c r="M38" s="4" t="n">
        <v>0.23</v>
      </c>
      <c r="N38" s="4" t="n">
        <v>3.22</v>
      </c>
      <c r="O38" s="4" t="n">
        <v>2.88</v>
      </c>
      <c r="P38" s="4" t="n">
        <v>5.51</v>
      </c>
      <c r="Q38" s="4" t="n">
        <v>7.26</v>
      </c>
      <c r="R38" s="4" t="n">
        <v>2.57</v>
      </c>
      <c r="S38" s="4" t="n">
        <v>9.65</v>
      </c>
      <c r="T38" s="4" t="n">
        <v>2.05</v>
      </c>
      <c r="U38" s="4" t="n">
        <v>3.4</v>
      </c>
      <c r="V38" s="4" t="n">
        <v>5.16</v>
      </c>
    </row>
    <row r="39">
      <c r="A39" s="3" t="inlineStr">
        <is>
          <t>Loom Solar Private Limited</t>
        </is>
      </c>
      <c r="B39" s="4" t="n">
        <v>1.06</v>
      </c>
      <c r="C39" s="4" t="n">
        <v>0.48</v>
      </c>
      <c r="D39" s="4" t="n">
        <v>1.41</v>
      </c>
      <c r="E39" s="4" t="n">
        <v>2.86</v>
      </c>
      <c r="F39" s="4" t="n">
        <v>3.7</v>
      </c>
      <c r="G39" s="4" t="n">
        <v>4.81</v>
      </c>
      <c r="H39" s="4" t="n">
        <v>2.9</v>
      </c>
      <c r="I39" s="4" t="n">
        <v>2.64</v>
      </c>
      <c r="J39" s="4" t="n">
        <v>2.32</v>
      </c>
      <c r="K39" s="4" t="n">
        <v>2.58</v>
      </c>
      <c r="L39" s="4" t="n">
        <v>3.44</v>
      </c>
      <c r="M39" s="4" t="n">
        <v>5.62</v>
      </c>
      <c r="N39" s="4" t="n">
        <v>4.29</v>
      </c>
      <c r="O39" s="4" t="n">
        <v>4.48</v>
      </c>
      <c r="P39" s="4" t="n">
        <v>4.25</v>
      </c>
      <c r="Q39" s="4" t="n">
        <v>6.59</v>
      </c>
      <c r="R39" s="4" t="n">
        <v>19.16</v>
      </c>
      <c r="S39" s="4" t="n">
        <v>15.74</v>
      </c>
      <c r="T39" s="4" t="n">
        <v>14.42</v>
      </c>
      <c r="U39" s="4" t="n">
        <v>8.84</v>
      </c>
      <c r="V39" s="4" t="n">
        <v>10.13</v>
      </c>
    </row>
    <row r="40">
      <c r="A40" s="3" t="inlineStr">
        <is>
          <t>Luminous Power Technologies Private Limited</t>
        </is>
      </c>
      <c r="B40" s="4" t="n">
        <v>6.1</v>
      </c>
      <c r="C40" s="4" t="n">
        <v>10.62</v>
      </c>
      <c r="D40" s="4" t="n">
        <v>10.3</v>
      </c>
      <c r="E40" s="4" t="n">
        <v>14.49</v>
      </c>
      <c r="F40" s="4" t="n">
        <v>21.17</v>
      </c>
      <c r="G40" s="4" t="n">
        <v>31.7</v>
      </c>
      <c r="H40" s="4" t="n">
        <v>27.14</v>
      </c>
      <c r="I40" s="4" t="n">
        <v>18.14</v>
      </c>
      <c r="J40" s="4" t="n">
        <v>18.67</v>
      </c>
      <c r="K40" s="4" t="n">
        <v>19.35</v>
      </c>
      <c r="L40" s="4" t="n">
        <v>34.05</v>
      </c>
      <c r="M40" s="4" t="n">
        <v>27.43</v>
      </c>
      <c r="N40" s="4" t="n">
        <v>24.42</v>
      </c>
      <c r="O40" s="4" t="n">
        <v>27.24</v>
      </c>
      <c r="P40" s="4" t="n">
        <v>33.05</v>
      </c>
      <c r="Q40" s="4" t="n">
        <v>38.34</v>
      </c>
      <c r="R40" s="4" t="n">
        <v>53.2</v>
      </c>
      <c r="S40" s="4" t="n">
        <v>79.64</v>
      </c>
      <c r="T40" s="4" t="n">
        <v>36.25</v>
      </c>
      <c r="U40" s="4" t="n">
        <v>33.49</v>
      </c>
      <c r="V40" s="4" t="n">
        <v>34.59</v>
      </c>
    </row>
    <row r="41">
      <c r="A41" s="3" t="inlineStr">
        <is>
          <t>Mundra Solar Energy Limited</t>
        </is>
      </c>
      <c r="B41" s="4" t="n">
        <v>64.52</v>
      </c>
      <c r="C41" s="4" t="n">
        <v>71.20999999999999</v>
      </c>
      <c r="D41" s="4" t="n">
        <v>88.47</v>
      </c>
      <c r="E41" s="4" t="n">
        <v>31.94</v>
      </c>
      <c r="F41" s="4" t="n">
        <v>128.45</v>
      </c>
      <c r="G41" s="4" t="n">
        <v>133.4</v>
      </c>
      <c r="H41" s="4" t="n">
        <v>138.63</v>
      </c>
      <c r="I41" s="4" t="n">
        <v>139.85</v>
      </c>
      <c r="J41" s="4" t="n">
        <v>127.89</v>
      </c>
      <c r="K41" s="4" t="n">
        <v>138.98</v>
      </c>
      <c r="L41" s="4" t="n">
        <v>136.25</v>
      </c>
      <c r="M41" s="4" t="n">
        <v>141.82</v>
      </c>
      <c r="N41" s="4" t="n">
        <v>147.98</v>
      </c>
      <c r="O41" s="4" t="n">
        <v>130.54</v>
      </c>
      <c r="P41" s="4" t="n">
        <v>178.67</v>
      </c>
      <c r="Q41" s="4" t="n">
        <v>161.71</v>
      </c>
      <c r="R41" s="4" t="n">
        <v>137.26</v>
      </c>
      <c r="S41" s="4" t="n">
        <v>174.05</v>
      </c>
      <c r="T41" s="4" t="n">
        <v>163.53</v>
      </c>
      <c r="U41" s="4" t="n">
        <v>161.22</v>
      </c>
      <c r="V41" s="4" t="n">
        <v>133.97</v>
      </c>
    </row>
    <row r="42">
      <c r="A42" s="3" t="inlineStr">
        <is>
          <t>Mundra Solar PV Limited</t>
        </is>
      </c>
      <c r="B42" s="4" t="n">
        <v>126.85</v>
      </c>
      <c r="C42" s="4" t="n">
        <v>123.89</v>
      </c>
      <c r="D42" s="4" t="n">
        <v>59.33</v>
      </c>
      <c r="E42" s="4" t="n">
        <v>67.61</v>
      </c>
      <c r="F42" s="4" t="n">
        <v>71.90000000000001</v>
      </c>
      <c r="G42" s="4" t="n">
        <v>100.23</v>
      </c>
      <c r="H42" s="4" t="n">
        <v>121.21</v>
      </c>
      <c r="I42" s="4" t="n">
        <v>89.17</v>
      </c>
      <c r="J42" s="4" t="n">
        <v>42.88</v>
      </c>
      <c r="K42" s="4" t="n">
        <v>100.19</v>
      </c>
      <c r="L42" s="4" t="n">
        <v>96.98</v>
      </c>
      <c r="M42" s="4" t="n">
        <v>113.64</v>
      </c>
      <c r="N42" s="4" t="n">
        <v>144.04</v>
      </c>
      <c r="O42" s="4" t="n">
        <v>215.59</v>
      </c>
      <c r="P42" s="4" t="n">
        <v>243.41</v>
      </c>
      <c r="Q42" s="4" t="n">
        <v>119.68</v>
      </c>
      <c r="R42" s="4" t="n">
        <v>183.92</v>
      </c>
      <c r="S42" s="4" t="n">
        <v>149.53</v>
      </c>
      <c r="T42" s="4" t="n">
        <v>141.63</v>
      </c>
      <c r="U42" s="4" t="n">
        <v>154.4</v>
      </c>
      <c r="V42" s="4" t="n">
        <v>117.75</v>
      </c>
    </row>
    <row r="43">
      <c r="A43" s="3" t="inlineStr">
        <is>
          <t>Navitas Green Solutions Private Limited</t>
        </is>
      </c>
      <c r="B43" s="4" t="n">
        <v>3.16</v>
      </c>
      <c r="C43" s="4" t="n">
        <v>2.02</v>
      </c>
      <c r="D43" s="4" t="n">
        <v>6.09</v>
      </c>
      <c r="E43" s="4" t="n">
        <v>4.93</v>
      </c>
      <c r="F43" s="4" t="n">
        <v>8.83</v>
      </c>
      <c r="G43" s="4" t="n">
        <v>5.54</v>
      </c>
      <c r="H43" s="4" t="n">
        <v>7.49</v>
      </c>
      <c r="I43" s="4" t="n">
        <v>6.1</v>
      </c>
      <c r="J43" s="4" t="n">
        <v>3.37</v>
      </c>
      <c r="K43" s="4" t="n">
        <v>3.99</v>
      </c>
      <c r="L43" s="4" t="n">
        <v>8.48</v>
      </c>
      <c r="M43" s="4" t="n">
        <v>5.04</v>
      </c>
      <c r="N43" s="4" t="n">
        <v>3.74</v>
      </c>
      <c r="O43" s="4" t="n">
        <v>16.21</v>
      </c>
      <c r="P43" s="4" t="n">
        <v>16.66</v>
      </c>
      <c r="Q43" s="4" t="n">
        <v>2.33</v>
      </c>
      <c r="R43" s="4" t="n">
        <v>6.14</v>
      </c>
      <c r="S43" s="4" t="n">
        <v>3.34</v>
      </c>
      <c r="T43" s="4" t="n">
        <v>7.36</v>
      </c>
      <c r="U43" s="4" t="n">
        <v>3.48</v>
      </c>
      <c r="V43" s="4" t="n">
        <v>1.17</v>
      </c>
    </row>
    <row r="44">
      <c r="A44" s="3" t="inlineStr">
        <is>
          <t>Navitas Solar Private Limited</t>
        </is>
      </c>
      <c r="B44" s="4" t="n">
        <v>0</v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0.06</v>
      </c>
      <c r="O44" s="4" t="n">
        <v>6.42</v>
      </c>
      <c r="P44" s="4" t="n">
        <v>5.78</v>
      </c>
      <c r="Q44" s="4" t="n">
        <v>3.64</v>
      </c>
      <c r="R44" s="4" t="n">
        <v>0.6</v>
      </c>
      <c r="S44" s="4" t="n">
        <v>0.23</v>
      </c>
      <c r="T44" s="4" t="n">
        <v>0.06</v>
      </c>
      <c r="U44" s="4" t="n">
        <v>0.08</v>
      </c>
      <c r="V44" s="4" t="n">
        <v>0</v>
      </c>
    </row>
    <row r="45">
      <c r="A45" s="3" t="inlineStr">
        <is>
          <t>Novasys Greenergy Limited</t>
        </is>
      </c>
      <c r="B45" s="4" t="n">
        <v>5.17</v>
      </c>
      <c r="C45" s="4" t="n">
        <v>5.77</v>
      </c>
      <c r="D45" s="4" t="n">
        <v>4.98</v>
      </c>
      <c r="E45" s="4" t="n">
        <v>3.44</v>
      </c>
      <c r="F45" s="4" t="n">
        <v>7.18</v>
      </c>
      <c r="G45" s="4" t="n">
        <v>8.65</v>
      </c>
      <c r="H45" s="4" t="n">
        <v>9.029999999999999</v>
      </c>
      <c r="I45" s="4" t="n">
        <v>8.630000000000001</v>
      </c>
      <c r="J45" s="4" t="n">
        <v>6.15</v>
      </c>
      <c r="K45" s="4" t="n">
        <v>4.27</v>
      </c>
      <c r="L45" s="4" t="n">
        <v>6.89</v>
      </c>
      <c r="M45" s="4" t="n">
        <v>4.72</v>
      </c>
      <c r="N45" s="4" t="n">
        <v>7.21</v>
      </c>
      <c r="O45" s="4" t="n">
        <v>9.550000000000001</v>
      </c>
      <c r="P45" s="4" t="n">
        <v>21.9</v>
      </c>
      <c r="Q45" s="4" t="n">
        <v>7.04</v>
      </c>
      <c r="R45" s="4" t="n">
        <v>5.81</v>
      </c>
      <c r="S45" s="4" t="n">
        <v>11.48</v>
      </c>
      <c r="T45" s="4" t="n">
        <v>9.66</v>
      </c>
      <c r="U45" s="4" t="n">
        <v>12.93</v>
      </c>
      <c r="V45" s="4" t="n">
        <v>7.55</v>
      </c>
    </row>
    <row r="46">
      <c r="A46" s="3" t="inlineStr">
        <is>
          <t>Oswal Solar Energy Private Limited</t>
        </is>
      </c>
      <c r="B46" s="4" t="n">
        <v>16.19</v>
      </c>
      <c r="C46" s="4" t="n">
        <v>13.37</v>
      </c>
      <c r="D46" s="4" t="n">
        <v>21.88</v>
      </c>
      <c r="E46" s="4" t="n">
        <v>15.25</v>
      </c>
      <c r="F46" s="4" t="n">
        <v>22.72</v>
      </c>
      <c r="G46" s="4" t="n">
        <v>21.88</v>
      </c>
      <c r="H46" s="4" t="n">
        <v>26.98</v>
      </c>
      <c r="I46" s="4" t="n">
        <v>25.92</v>
      </c>
      <c r="J46" s="4" t="n">
        <v>27.35</v>
      </c>
      <c r="K46" s="4" t="n">
        <v>26.85</v>
      </c>
      <c r="L46" s="4" t="n">
        <v>22.23</v>
      </c>
      <c r="M46" s="4" t="n">
        <v>25.72</v>
      </c>
      <c r="N46" s="4" t="n">
        <v>31.79</v>
      </c>
      <c r="O46" s="4" t="n">
        <v>28.53</v>
      </c>
      <c r="P46" s="4" t="n">
        <v>29.45</v>
      </c>
      <c r="Q46" s="4" t="n">
        <v>25.62</v>
      </c>
      <c r="R46" s="4" t="n">
        <v>31.3</v>
      </c>
      <c r="S46" s="4" t="n">
        <v>33.83</v>
      </c>
      <c r="T46" s="4" t="n">
        <v>27.2</v>
      </c>
      <c r="U46" s="4" t="n">
        <v>48.66</v>
      </c>
      <c r="V46" s="4" t="n">
        <v>64.04000000000001</v>
      </c>
    </row>
    <row r="47">
      <c r="A47" s="3" t="inlineStr">
        <is>
          <t>Pahal Solar Private Limited</t>
        </is>
      </c>
      <c r="B47" s="4" t="n">
        <v>6.58</v>
      </c>
      <c r="C47" s="4" t="n">
        <v>6.88</v>
      </c>
      <c r="D47" s="4" t="n">
        <v>4.85</v>
      </c>
      <c r="E47" s="4" t="n">
        <v>6.01</v>
      </c>
      <c r="F47" s="4" t="n">
        <v>3.29</v>
      </c>
      <c r="G47" s="4" t="n">
        <v>3.23</v>
      </c>
      <c r="H47" s="4" t="n">
        <v>4</v>
      </c>
      <c r="I47" s="4" t="n">
        <v>3.18</v>
      </c>
      <c r="J47" s="4" t="n">
        <v>2.89</v>
      </c>
      <c r="K47" s="4" t="n">
        <v>5.9</v>
      </c>
      <c r="L47" s="4" t="n">
        <v>3.05</v>
      </c>
      <c r="M47" s="4" t="n">
        <v>6.25</v>
      </c>
      <c r="N47" s="4" t="n">
        <v>4.68</v>
      </c>
      <c r="O47" s="4" t="n">
        <v>7.04</v>
      </c>
      <c r="P47" s="4" t="n">
        <v>6.72</v>
      </c>
      <c r="Q47" s="4" t="n">
        <v>5.93</v>
      </c>
      <c r="R47" s="4" t="n">
        <v>7.12</v>
      </c>
      <c r="S47" s="4" t="n">
        <v>9.51</v>
      </c>
      <c r="T47" s="4" t="n">
        <v>7.68</v>
      </c>
      <c r="U47" s="4" t="n">
        <v>4.72</v>
      </c>
      <c r="V47" s="4" t="n">
        <v>3.7</v>
      </c>
    </row>
    <row r="48">
      <c r="A48" s="3" t="inlineStr">
        <is>
          <t>Pixon Green Energy Private Limited</t>
        </is>
      </c>
      <c r="B48" s="4" t="n">
        <v>0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0.02</v>
      </c>
      <c r="J48" s="4" t="n">
        <v>0.04</v>
      </c>
      <c r="K48" s="4" t="n">
        <v>0.01</v>
      </c>
      <c r="L48" s="4" t="n">
        <v>0.01</v>
      </c>
      <c r="M48" s="4" t="n">
        <v>0.67</v>
      </c>
      <c r="N48" s="4" t="n">
        <v>1.14</v>
      </c>
      <c r="O48" s="4" t="n">
        <v>0.89</v>
      </c>
      <c r="P48" s="4" t="n">
        <v>5.06</v>
      </c>
      <c r="Q48" s="4" t="n">
        <v>0.09</v>
      </c>
      <c r="R48" s="4" t="n">
        <v>1.02</v>
      </c>
      <c r="S48" s="4" t="n">
        <v>1.31</v>
      </c>
      <c r="T48" s="4" t="n">
        <v>0.48</v>
      </c>
      <c r="U48" s="4" t="n">
        <v>1.1</v>
      </c>
      <c r="V48" s="4" t="n">
        <v>1.46</v>
      </c>
    </row>
    <row r="49">
      <c r="A49" s="3" t="inlineStr">
        <is>
          <t>Pravanya Solar India Private Limited</t>
        </is>
      </c>
      <c r="B49" s="4" t="n">
        <v>0.01</v>
      </c>
      <c r="C49" s="4" t="n">
        <v>0.02</v>
      </c>
      <c r="D49" s="4" t="n">
        <v>0.03</v>
      </c>
      <c r="E49" s="4" t="n">
        <v>0.03</v>
      </c>
      <c r="F49" s="4" t="n">
        <v>0.46</v>
      </c>
      <c r="G49" s="4" t="n">
        <v>1.79</v>
      </c>
      <c r="H49" s="4" t="n">
        <v>0.99</v>
      </c>
      <c r="I49" s="4" t="n">
        <v>1.09</v>
      </c>
      <c r="J49" s="4" t="n">
        <v>2.06</v>
      </c>
      <c r="K49" s="4" t="n">
        <v>0.45</v>
      </c>
      <c r="L49" s="4" t="n">
        <v>1.12</v>
      </c>
      <c r="M49" s="4" t="n">
        <v>0.96</v>
      </c>
      <c r="N49" s="4" t="n">
        <v>1.52</v>
      </c>
      <c r="O49" s="4" t="n">
        <v>2.05</v>
      </c>
      <c r="P49" s="4" t="n">
        <v>0.73</v>
      </c>
      <c r="Q49" s="4" t="n">
        <v>1.57</v>
      </c>
      <c r="R49" s="4" t="n">
        <v>2.24</v>
      </c>
      <c r="S49" s="4" t="n">
        <v>2.25</v>
      </c>
      <c r="T49" s="4" t="n">
        <v>1.66</v>
      </c>
      <c r="U49" s="4" t="n">
        <v>1.03</v>
      </c>
      <c r="V49" s="4" t="n">
        <v>1.53</v>
      </c>
    </row>
    <row r="50">
      <c r="A50" s="3" t="inlineStr">
        <is>
          <t>Premier Energies Global Environment Private Limited</t>
        </is>
      </c>
      <c r="B50" s="4" t="n">
        <v>0</v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0.37</v>
      </c>
      <c r="L50" s="4" t="n">
        <v>0.74</v>
      </c>
      <c r="M50" s="4" t="n">
        <v>46.41</v>
      </c>
      <c r="N50" s="4" t="n">
        <v>12.17</v>
      </c>
      <c r="O50" s="4" t="n">
        <v>85.15000000000001</v>
      </c>
      <c r="P50" s="4" t="n">
        <v>136.58</v>
      </c>
      <c r="Q50" s="4" t="n">
        <v>53.51</v>
      </c>
      <c r="R50" s="4" t="n">
        <v>82.75</v>
      </c>
      <c r="S50" s="4" t="n">
        <v>86.87</v>
      </c>
      <c r="T50" s="4" t="n">
        <v>103.71</v>
      </c>
      <c r="U50" s="4" t="n">
        <v>71.23999999999999</v>
      </c>
      <c r="V50" s="4" t="n">
        <v>74.56999999999999</v>
      </c>
    </row>
    <row r="51">
      <c r="A51" s="3" t="inlineStr">
        <is>
          <t>Premier Energies Photovoltaic Private Limited</t>
        </is>
      </c>
      <c r="B51" s="4" t="n">
        <v>72.56999999999999</v>
      </c>
      <c r="C51" s="4" t="n">
        <v>62.81</v>
      </c>
      <c r="D51" s="4" t="n">
        <v>74.33</v>
      </c>
      <c r="E51" s="4" t="n">
        <v>87.67</v>
      </c>
      <c r="F51" s="4" t="n">
        <v>85.55</v>
      </c>
      <c r="G51" s="4" t="n">
        <v>74.81999999999999</v>
      </c>
      <c r="H51" s="4" t="n">
        <v>93</v>
      </c>
      <c r="I51" s="4" t="n">
        <v>40.05</v>
      </c>
      <c r="J51" s="4" t="n">
        <v>66.56999999999999</v>
      </c>
      <c r="K51" s="4" t="n">
        <v>55.38</v>
      </c>
      <c r="L51" s="4" t="n">
        <v>43.77</v>
      </c>
      <c r="M51" s="4" t="n">
        <v>40.33</v>
      </c>
      <c r="N51" s="4" t="n">
        <v>36.2</v>
      </c>
      <c r="O51" s="4" t="n">
        <v>71.84999999999999</v>
      </c>
      <c r="P51" s="4" t="n">
        <v>93.15000000000001</v>
      </c>
      <c r="Q51" s="4" t="n">
        <v>59.81</v>
      </c>
      <c r="R51" s="4" t="n">
        <v>97.22</v>
      </c>
      <c r="S51" s="4" t="n">
        <v>174.51</v>
      </c>
      <c r="T51" s="4" t="n">
        <v>100.9</v>
      </c>
      <c r="U51" s="4" t="n">
        <v>150.74</v>
      </c>
      <c r="V51" s="4" t="n">
        <v>130.37</v>
      </c>
    </row>
    <row r="52">
      <c r="A52" s="3" t="inlineStr">
        <is>
          <t>Raajratna Ventures Limited</t>
        </is>
      </c>
      <c r="B52" s="4" t="n">
        <v>1</v>
      </c>
      <c r="C52" s="4" t="n">
        <v>1.54</v>
      </c>
      <c r="D52" s="4" t="n">
        <v>2.02</v>
      </c>
      <c r="E52" s="4" t="n">
        <v>1.78</v>
      </c>
      <c r="F52" s="4" t="n">
        <v>1.98</v>
      </c>
      <c r="G52" s="4" t="n">
        <v>7.49</v>
      </c>
      <c r="H52" s="4" t="n">
        <v>2.1</v>
      </c>
      <c r="I52" s="4" t="n">
        <v>5.62</v>
      </c>
      <c r="J52" s="4" t="n">
        <v>3.07</v>
      </c>
      <c r="K52" s="4" t="n">
        <v>3.58</v>
      </c>
      <c r="L52" s="4" t="n">
        <v>4.04</v>
      </c>
      <c r="M52" s="4" t="n">
        <v>4.01</v>
      </c>
      <c r="N52" s="4" t="n">
        <v>4.25</v>
      </c>
      <c r="O52" s="4" t="n">
        <v>6.41</v>
      </c>
      <c r="P52" s="4" t="n">
        <v>6.2</v>
      </c>
      <c r="Q52" s="4" t="n">
        <v>1.87</v>
      </c>
      <c r="R52" s="4" t="n">
        <v>3.46</v>
      </c>
      <c r="S52" s="4" t="n">
        <v>5.02</v>
      </c>
      <c r="T52" s="4" t="n">
        <v>4.59</v>
      </c>
      <c r="U52" s="4" t="n">
        <v>5.84</v>
      </c>
      <c r="V52" s="4" t="n">
        <v>4.18</v>
      </c>
    </row>
    <row r="53">
      <c r="A53" s="3" t="inlineStr">
        <is>
          <t>Rayon Illumination Solar Solution Private Limited</t>
        </is>
      </c>
      <c r="B53" s="4" t="n">
        <v>0.09</v>
      </c>
      <c r="C53" s="4" t="n">
        <v>0.19</v>
      </c>
      <c r="D53" s="4" t="n">
        <v>0.37</v>
      </c>
      <c r="E53" s="4" t="n">
        <v>0.72</v>
      </c>
      <c r="F53" s="4" t="n">
        <v>1.02</v>
      </c>
      <c r="G53" s="4" t="n">
        <v>0.9399999999999999</v>
      </c>
      <c r="H53" s="4" t="n">
        <v>2.11</v>
      </c>
      <c r="I53" s="4" t="n">
        <v>1.2</v>
      </c>
      <c r="J53" s="4" t="n">
        <v>0.98</v>
      </c>
      <c r="K53" s="4" t="n">
        <v>2.18</v>
      </c>
      <c r="L53" s="4" t="n">
        <v>0.31</v>
      </c>
      <c r="M53" s="4" t="n">
        <v>1.18</v>
      </c>
      <c r="N53" s="4" t="n">
        <v>0.41</v>
      </c>
      <c r="O53" s="4" t="n">
        <v>2.82</v>
      </c>
      <c r="P53" s="4" t="n">
        <v>3.96</v>
      </c>
      <c r="Q53" s="4" t="n">
        <v>1.55</v>
      </c>
      <c r="R53" s="4" t="n">
        <v>2.08</v>
      </c>
      <c r="S53" s="4" t="n">
        <v>3.54</v>
      </c>
      <c r="T53" s="4" t="n">
        <v>1.75</v>
      </c>
      <c r="U53" s="4" t="n">
        <v>1.41</v>
      </c>
      <c r="V53" s="4" t="n">
        <v>1.49</v>
      </c>
    </row>
    <row r="54">
      <c r="A54" s="3" t="inlineStr">
        <is>
          <t>Rayzon Solar Limited</t>
        </is>
      </c>
      <c r="B54" s="4" t="n">
        <v>13.87</v>
      </c>
      <c r="C54" s="4" t="n">
        <v>7.84</v>
      </c>
      <c r="D54" s="4" t="n">
        <v>9.130000000000001</v>
      </c>
      <c r="E54" s="4" t="n">
        <v>6.06</v>
      </c>
      <c r="F54" s="4" t="n">
        <v>10.93</v>
      </c>
      <c r="G54" s="4" t="n">
        <v>10.3</v>
      </c>
      <c r="H54" s="4" t="n">
        <v>13.58</v>
      </c>
      <c r="I54" s="4" t="n">
        <v>9.949999999999999</v>
      </c>
      <c r="J54" s="4" t="n">
        <v>10.18</v>
      </c>
      <c r="K54" s="4" t="n">
        <v>10.89</v>
      </c>
      <c r="L54" s="4" t="n">
        <v>14.32</v>
      </c>
      <c r="M54" s="4" t="n">
        <v>16.65</v>
      </c>
      <c r="N54" s="4" t="n">
        <v>14.09</v>
      </c>
      <c r="O54" s="4" t="n">
        <v>18.71</v>
      </c>
      <c r="P54" s="4" t="n">
        <v>24.95</v>
      </c>
      <c r="Q54" s="4" t="n">
        <v>25.79</v>
      </c>
      <c r="R54" s="4" t="n">
        <v>43.04</v>
      </c>
      <c r="S54" s="4" t="n">
        <v>63.9</v>
      </c>
      <c r="T54" s="4" t="n">
        <v>55.14</v>
      </c>
      <c r="U54" s="4" t="n">
        <v>44.93</v>
      </c>
      <c r="V54" s="4" t="n">
        <v>37.43</v>
      </c>
    </row>
    <row r="55">
      <c r="A55" s="3" t="inlineStr">
        <is>
          <t>Redren Energy Private Limited</t>
        </is>
      </c>
      <c r="B55" s="4" t="n">
        <v>6.46</v>
      </c>
      <c r="C55" s="4" t="n">
        <v>9.77</v>
      </c>
      <c r="D55" s="4" t="n">
        <v>9.27</v>
      </c>
      <c r="E55" s="4" t="n">
        <v>4.58</v>
      </c>
      <c r="F55" s="4" t="n">
        <v>1.64</v>
      </c>
      <c r="G55" s="4" t="n">
        <v>6.72</v>
      </c>
      <c r="H55" s="4" t="n">
        <v>3.21</v>
      </c>
      <c r="I55" s="4" t="n">
        <v>3.37</v>
      </c>
      <c r="J55" s="4" t="n">
        <v>3.39</v>
      </c>
      <c r="K55" s="4" t="n">
        <v>8.01</v>
      </c>
      <c r="L55" s="4" t="n">
        <v>10.95</v>
      </c>
      <c r="M55" s="4" t="n">
        <v>5.27</v>
      </c>
      <c r="N55" s="4" t="n">
        <v>5.16</v>
      </c>
      <c r="O55" s="4" t="n">
        <v>4.61</v>
      </c>
      <c r="P55" s="4" t="n">
        <v>3.54</v>
      </c>
      <c r="Q55" s="4" t="n">
        <v>9.970000000000001</v>
      </c>
      <c r="R55" s="4" t="n">
        <v>20.51</v>
      </c>
      <c r="S55" s="4" t="n">
        <v>15.33</v>
      </c>
      <c r="T55" s="4" t="n">
        <v>19.76</v>
      </c>
      <c r="U55" s="4" t="n">
        <v>17</v>
      </c>
      <c r="V55" s="4" t="n">
        <v>11.04</v>
      </c>
    </row>
    <row r="56">
      <c r="A56" s="3" t="inlineStr">
        <is>
          <t>Renew Photovoltaics Private Limited</t>
        </is>
      </c>
      <c r="B56" s="4" t="n">
        <v>100.63</v>
      </c>
      <c r="C56" s="4" t="n">
        <v>129.5</v>
      </c>
      <c r="D56" s="4" t="n">
        <v>122.02</v>
      </c>
      <c r="E56" s="4" t="n">
        <v>87.5</v>
      </c>
      <c r="F56" s="4" t="n">
        <v>99.59</v>
      </c>
      <c r="G56" s="4" t="n">
        <v>58.06</v>
      </c>
      <c r="H56" s="4" t="n">
        <v>53.29</v>
      </c>
      <c r="I56" s="4" t="n">
        <v>28.5</v>
      </c>
      <c r="J56" s="4" t="n">
        <v>35.48</v>
      </c>
      <c r="K56" s="4" t="n">
        <v>36.39</v>
      </c>
      <c r="L56" s="4" t="n">
        <v>19.64</v>
      </c>
      <c r="M56" s="4" t="n">
        <v>24.11</v>
      </c>
      <c r="N56" s="4" t="n">
        <v>56.14</v>
      </c>
      <c r="O56" s="4" t="n">
        <v>66.86</v>
      </c>
      <c r="P56" s="4" t="n">
        <v>72.01000000000001</v>
      </c>
      <c r="Q56" s="4" t="n">
        <v>59</v>
      </c>
      <c r="R56" s="4" t="n">
        <v>140.68</v>
      </c>
      <c r="S56" s="4" t="n">
        <v>119.61</v>
      </c>
      <c r="T56" s="4" t="n">
        <v>84.98</v>
      </c>
      <c r="U56" s="4" t="n">
        <v>110.16</v>
      </c>
      <c r="V56" s="4" t="n">
        <v>115.66</v>
      </c>
    </row>
    <row r="57">
      <c r="A57" s="3" t="inlineStr">
        <is>
          <t>Renewsys India Private Limited</t>
        </is>
      </c>
      <c r="B57" s="4" t="n">
        <v>0</v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2.65</v>
      </c>
      <c r="R57" s="4" t="n">
        <v>8.960000000000001</v>
      </c>
      <c r="S57" s="4" t="n">
        <v>10.96</v>
      </c>
      <c r="T57" s="4" t="n">
        <v>6.19</v>
      </c>
      <c r="U57" s="4" t="n">
        <v>3.77</v>
      </c>
      <c r="V57" s="4" t="n">
        <v>7.9</v>
      </c>
    </row>
    <row r="58">
      <c r="A58" s="3" t="inlineStr">
        <is>
          <t>Rhine Solar Limited</t>
        </is>
      </c>
      <c r="B58" s="4" t="n">
        <v>1.57</v>
      </c>
      <c r="C58" s="4" t="n">
        <v>2.34</v>
      </c>
      <c r="D58" s="4" t="n">
        <v>3.41</v>
      </c>
      <c r="E58" s="4" t="n">
        <v>2.61</v>
      </c>
      <c r="F58" s="4" t="n">
        <v>4.39</v>
      </c>
      <c r="G58" s="4" t="n">
        <v>3.97</v>
      </c>
      <c r="H58" s="4" t="n">
        <v>4.31</v>
      </c>
      <c r="I58" s="4" t="n">
        <v>5.29</v>
      </c>
      <c r="J58" s="4" t="n">
        <v>1.83</v>
      </c>
      <c r="K58" s="4" t="n">
        <v>2.5</v>
      </c>
      <c r="L58" s="4" t="n">
        <v>1.77</v>
      </c>
      <c r="M58" s="4" t="n">
        <v>2.25</v>
      </c>
      <c r="N58" s="4" t="n">
        <v>2.03</v>
      </c>
      <c r="O58" s="4" t="n">
        <v>1.46</v>
      </c>
      <c r="P58" s="4" t="n">
        <v>1.67</v>
      </c>
      <c r="Q58" s="4" t="n">
        <v>1.22</v>
      </c>
      <c r="R58" s="4" t="n">
        <v>2.99</v>
      </c>
      <c r="S58" s="4" t="n">
        <v>3.71</v>
      </c>
      <c r="T58" s="4" t="n">
        <v>4.49</v>
      </c>
      <c r="U58" s="4" t="n">
        <v>2.31</v>
      </c>
      <c r="V58" s="4" t="n">
        <v>4.01</v>
      </c>
    </row>
    <row r="59">
      <c r="A59" s="3" t="inlineStr">
        <is>
          <t>Saatvik Green Energy Private Limited</t>
        </is>
      </c>
      <c r="B59" s="4" t="n">
        <v>4.89</v>
      </c>
      <c r="C59" s="4" t="n">
        <v>3.14</v>
      </c>
      <c r="D59" s="4" t="n">
        <v>3.71</v>
      </c>
      <c r="E59" s="4" t="n">
        <v>2.11</v>
      </c>
      <c r="F59" s="4" t="n">
        <v>6.94</v>
      </c>
      <c r="G59" s="4" t="n">
        <v>6.15</v>
      </c>
      <c r="H59" s="4" t="n">
        <v>3.78</v>
      </c>
      <c r="I59" s="4" t="n">
        <v>0.63</v>
      </c>
      <c r="J59" s="4" t="n">
        <v>1.42</v>
      </c>
      <c r="K59" s="4" t="n">
        <v>2.68</v>
      </c>
      <c r="L59" s="4" t="n">
        <v>3.52</v>
      </c>
      <c r="M59" s="4" t="n">
        <v>2.57</v>
      </c>
      <c r="N59" s="4" t="n">
        <v>2.03</v>
      </c>
      <c r="O59" s="4" t="n">
        <v>2.32</v>
      </c>
      <c r="P59" s="4" t="n">
        <v>1.37</v>
      </c>
      <c r="Q59" s="4" t="n">
        <v>0.17</v>
      </c>
      <c r="R59" s="4" t="n">
        <v>0.02</v>
      </c>
      <c r="S59" s="4" t="n">
        <v>3.9</v>
      </c>
      <c r="T59" s="4" t="n">
        <v>5.82</v>
      </c>
      <c r="U59" s="4" t="n">
        <v>4.74</v>
      </c>
      <c r="V59" s="4" t="n">
        <v>1.01</v>
      </c>
    </row>
    <row r="60">
      <c r="A60" s="3" t="inlineStr">
        <is>
          <t>Saatvik Solar Industries Private Limited</t>
        </is>
      </c>
      <c r="B60" s="4" t="n">
        <v>0</v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0.15</v>
      </c>
      <c r="M60" s="4" t="n">
        <v>1.75</v>
      </c>
      <c r="N60" s="4" t="n">
        <v>2.81</v>
      </c>
      <c r="O60" s="4" t="n">
        <v>1.7</v>
      </c>
      <c r="P60" s="4" t="n">
        <v>0.23</v>
      </c>
      <c r="Q60" s="4" t="n">
        <v>0.06</v>
      </c>
      <c r="R60" s="4" t="n">
        <v>8.470000000000001</v>
      </c>
      <c r="S60" s="4" t="n">
        <v>6.72</v>
      </c>
      <c r="T60" s="4" t="n">
        <v>4.01</v>
      </c>
      <c r="U60" s="4" t="n">
        <v>3.33</v>
      </c>
      <c r="V60" s="4" t="n">
        <v>2.85</v>
      </c>
    </row>
    <row r="61">
      <c r="A61" s="3" t="inlineStr">
        <is>
          <t>Sangam Solar One Private Limited</t>
        </is>
      </c>
      <c r="B61" s="4" t="n">
        <v>0</v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0.58</v>
      </c>
      <c r="T61" s="4" t="n">
        <v>0.38</v>
      </c>
      <c r="U61" s="4" t="n">
        <v>0</v>
      </c>
      <c r="V61" s="4" t="n">
        <v>0</v>
      </c>
    </row>
    <row r="62">
      <c r="A62" s="3" t="inlineStr">
        <is>
          <t>Sasa Energy LLP</t>
        </is>
      </c>
      <c r="B62" s="4" t="n">
        <v>0.59</v>
      </c>
      <c r="C62" s="4" t="n">
        <v>1.18</v>
      </c>
      <c r="D62" s="4" t="n">
        <v>1.01</v>
      </c>
      <c r="E62" s="4" t="n">
        <v>2.29</v>
      </c>
      <c r="F62" s="4" t="n">
        <v>3.61</v>
      </c>
      <c r="G62" s="4" t="n">
        <v>2.88</v>
      </c>
      <c r="H62" s="4" t="n">
        <v>1.63</v>
      </c>
      <c r="I62" s="4" t="n">
        <v>0.61</v>
      </c>
      <c r="J62" s="4" t="n">
        <v>0.61</v>
      </c>
      <c r="K62" s="4" t="n">
        <v>0.83</v>
      </c>
      <c r="L62" s="4" t="n">
        <v>0.77</v>
      </c>
      <c r="M62" s="4" t="n">
        <v>0.97</v>
      </c>
      <c r="N62" s="4" t="n">
        <v>1.06</v>
      </c>
      <c r="O62" s="4" t="n">
        <v>2.08</v>
      </c>
      <c r="P62" s="4" t="n">
        <v>4.21</v>
      </c>
      <c r="Q62" s="4" t="n">
        <v>1.37</v>
      </c>
      <c r="R62" s="4" t="n">
        <v>2.48</v>
      </c>
      <c r="S62" s="4" t="n">
        <v>4.45</v>
      </c>
      <c r="T62" s="4" t="n">
        <v>3.87</v>
      </c>
      <c r="U62" s="4" t="n">
        <v>3.41</v>
      </c>
      <c r="V62" s="4" t="n">
        <v>1.68</v>
      </c>
    </row>
    <row r="63">
      <c r="A63" s="3" t="inlineStr">
        <is>
          <t>Solarmint Energies Private Limited</t>
        </is>
      </c>
      <c r="B63" s="4" t="n">
        <v>0.74</v>
      </c>
      <c r="C63" s="4" t="n">
        <v>1.09</v>
      </c>
      <c r="D63" s="4" t="n">
        <v>1.18</v>
      </c>
      <c r="E63" s="4" t="n">
        <v>1.15</v>
      </c>
      <c r="F63" s="4" t="n">
        <v>3.15</v>
      </c>
      <c r="G63" s="4" t="n">
        <v>1.8</v>
      </c>
      <c r="H63" s="4" t="n">
        <v>2.29</v>
      </c>
      <c r="I63" s="4" t="n">
        <v>1.22</v>
      </c>
      <c r="J63" s="4" t="n">
        <v>0.73</v>
      </c>
      <c r="K63" s="4" t="n">
        <v>0.92</v>
      </c>
      <c r="L63" s="4" t="n">
        <v>0.42</v>
      </c>
      <c r="M63" s="4" t="n">
        <v>2.97</v>
      </c>
      <c r="N63" s="4" t="n">
        <v>2.97</v>
      </c>
      <c r="O63" s="4" t="n">
        <v>2.96</v>
      </c>
      <c r="P63" s="4" t="n">
        <v>2.04</v>
      </c>
      <c r="Q63" s="4" t="n">
        <v>2.47</v>
      </c>
      <c r="R63" s="4" t="n">
        <v>2.14</v>
      </c>
      <c r="S63" s="4" t="n">
        <v>3.3</v>
      </c>
      <c r="T63" s="4" t="n">
        <v>5.37</v>
      </c>
      <c r="U63" s="4" t="n">
        <v>3.03</v>
      </c>
      <c r="V63" s="4" t="n">
        <v>2.55</v>
      </c>
    </row>
    <row r="64">
      <c r="A64" s="3" t="inlineStr">
        <is>
          <t>Sova Solar Limited</t>
        </is>
      </c>
      <c r="B64" s="4" t="n">
        <v>1.29</v>
      </c>
      <c r="C64" s="4" t="n">
        <v>0.77</v>
      </c>
      <c r="D64" s="4" t="n">
        <v>0.57</v>
      </c>
      <c r="E64" s="4" t="n">
        <v>0.28</v>
      </c>
      <c r="F64" s="4" t="n">
        <v>0.05</v>
      </c>
      <c r="G64" s="4" t="n">
        <v>0</v>
      </c>
      <c r="H64" s="4" t="n">
        <v>0.67</v>
      </c>
      <c r="I64" s="4" t="n">
        <v>0.39</v>
      </c>
      <c r="J64" s="4" t="n">
        <v>0.13</v>
      </c>
      <c r="K64" s="4" t="n">
        <v>0.39</v>
      </c>
      <c r="L64" s="4" t="n">
        <v>0.22</v>
      </c>
      <c r="M64" s="4" t="n">
        <v>9.26</v>
      </c>
      <c r="N64" s="4" t="n">
        <v>0.37</v>
      </c>
      <c r="O64" s="4" t="n">
        <v>3.42</v>
      </c>
      <c r="P64" s="4" t="n">
        <v>5.18</v>
      </c>
      <c r="Q64" s="4" t="n">
        <v>0.36</v>
      </c>
      <c r="R64" s="4" t="n">
        <v>0.4</v>
      </c>
      <c r="S64" s="4" t="n">
        <v>1.76</v>
      </c>
      <c r="T64" s="4" t="n">
        <v>4.79</v>
      </c>
      <c r="U64" s="4" t="n">
        <v>6.12</v>
      </c>
      <c r="V64" s="4" t="n">
        <v>3.31</v>
      </c>
    </row>
    <row r="65">
      <c r="A65" s="3" t="inlineStr">
        <is>
          <t>Sri Savitr Solar Private Limited</t>
        </is>
      </c>
      <c r="B65" s="4" t="n">
        <v>4.39</v>
      </c>
      <c r="C65" s="4" t="n">
        <v>3.18</v>
      </c>
      <c r="D65" s="4" t="n">
        <v>4.62</v>
      </c>
      <c r="E65" s="4" t="n">
        <v>2.86</v>
      </c>
      <c r="F65" s="4" t="n">
        <v>3.76</v>
      </c>
      <c r="G65" s="4" t="n">
        <v>0.42</v>
      </c>
      <c r="H65" s="4" t="n">
        <v>0.31</v>
      </c>
      <c r="I65" s="4" t="n">
        <v>1.83</v>
      </c>
      <c r="J65" s="4" t="n">
        <v>2.17</v>
      </c>
      <c r="K65" s="4" t="n">
        <v>0.37</v>
      </c>
      <c r="L65" s="4" t="n">
        <v>0.31</v>
      </c>
      <c r="M65" s="4" t="n">
        <v>1.58</v>
      </c>
      <c r="N65" s="4" t="n">
        <v>3</v>
      </c>
      <c r="O65" s="4" t="n">
        <v>12.52</v>
      </c>
      <c r="P65" s="4" t="n">
        <v>12.36</v>
      </c>
      <c r="Q65" s="4" t="n">
        <v>5.69</v>
      </c>
      <c r="R65" s="4" t="n">
        <v>17.35</v>
      </c>
      <c r="S65" s="4" t="n">
        <v>8.51</v>
      </c>
      <c r="T65" s="4" t="n">
        <v>5.77</v>
      </c>
      <c r="U65" s="4" t="n">
        <v>9.16</v>
      </c>
      <c r="V65" s="4" t="n">
        <v>7.99</v>
      </c>
    </row>
    <row r="66">
      <c r="A66" s="3" t="inlineStr">
        <is>
          <t>Sunbond Energy Private Limited</t>
        </is>
      </c>
      <c r="B66" s="4" t="n">
        <v>1.95</v>
      </c>
      <c r="C66" s="4" t="n">
        <v>3.63</v>
      </c>
      <c r="D66" s="4" t="n">
        <v>5.16</v>
      </c>
      <c r="E66" s="4" t="n">
        <v>2.46</v>
      </c>
      <c r="F66" s="4" t="n">
        <v>2.95</v>
      </c>
      <c r="G66" s="4" t="n">
        <v>3.47</v>
      </c>
      <c r="H66" s="4" t="n">
        <v>2.79</v>
      </c>
      <c r="I66" s="4" t="n">
        <v>2.54</v>
      </c>
      <c r="J66" s="4" t="n">
        <v>1.67</v>
      </c>
      <c r="K66" s="4" t="n">
        <v>2.65</v>
      </c>
      <c r="L66" s="4" t="n">
        <v>3.13</v>
      </c>
      <c r="M66" s="4" t="n">
        <v>3.43</v>
      </c>
      <c r="N66" s="4" t="n">
        <v>4.5</v>
      </c>
      <c r="O66" s="4" t="n">
        <v>4.96</v>
      </c>
      <c r="P66" s="4" t="n">
        <v>5.55</v>
      </c>
      <c r="Q66" s="4" t="n">
        <v>1.22</v>
      </c>
      <c r="R66" s="4" t="n">
        <v>2.28</v>
      </c>
      <c r="S66" s="4" t="n">
        <v>3.6</v>
      </c>
      <c r="T66" s="4" t="n">
        <v>3.79</v>
      </c>
      <c r="U66" s="4" t="n">
        <v>3.96</v>
      </c>
      <c r="V66" s="4" t="n">
        <v>4.48</v>
      </c>
    </row>
    <row r="67">
      <c r="A67" s="3" t="inlineStr">
        <is>
          <t>Surya International Enterprise Private Limited</t>
        </is>
      </c>
      <c r="B67" s="4" t="n">
        <v>0.7</v>
      </c>
      <c r="C67" s="4" t="n">
        <v>3.66</v>
      </c>
      <c r="D67" s="4" t="n">
        <v>2.98</v>
      </c>
      <c r="E67" s="4" t="n">
        <v>2.53</v>
      </c>
      <c r="F67" s="4" t="n">
        <v>1.82</v>
      </c>
      <c r="G67" s="4" t="n">
        <v>0.54</v>
      </c>
      <c r="H67" s="4" t="n">
        <v>1.04</v>
      </c>
      <c r="I67" s="4" t="n">
        <v>0.88</v>
      </c>
      <c r="J67" s="4" t="n">
        <v>1</v>
      </c>
      <c r="K67" s="4" t="n">
        <v>0.91</v>
      </c>
      <c r="L67" s="4" t="n">
        <v>1.3</v>
      </c>
      <c r="M67" s="4" t="n">
        <v>1.12</v>
      </c>
      <c r="N67" s="4" t="n">
        <v>0.8</v>
      </c>
      <c r="O67" s="4" t="n">
        <v>2.77</v>
      </c>
      <c r="P67" s="4" t="n">
        <v>2.31</v>
      </c>
      <c r="Q67" s="4" t="n">
        <v>0.7</v>
      </c>
      <c r="R67" s="4" t="n">
        <v>1.07</v>
      </c>
      <c r="S67" s="4" t="n">
        <v>2.7</v>
      </c>
      <c r="T67" s="4" t="n">
        <v>1</v>
      </c>
      <c r="U67" s="4" t="n">
        <v>1.02</v>
      </c>
      <c r="V67" s="4" t="n">
        <v>0.9399999999999999</v>
      </c>
    </row>
    <row r="68">
      <c r="A68" s="3" t="inlineStr">
        <is>
          <t>Tata Power Renewable Energy Limited</t>
        </is>
      </c>
      <c r="B68" s="4" t="n">
        <v>143.38</v>
      </c>
      <c r="C68" s="4" t="n">
        <v>137.84</v>
      </c>
      <c r="D68" s="4" t="n">
        <v>240.67</v>
      </c>
      <c r="E68" s="4" t="n">
        <v>183</v>
      </c>
      <c r="F68" s="4" t="n">
        <v>217.79</v>
      </c>
      <c r="G68" s="4" t="n">
        <v>238.41</v>
      </c>
      <c r="H68" s="4" t="n">
        <v>256.31</v>
      </c>
      <c r="I68" s="4" t="n">
        <v>267.24</v>
      </c>
      <c r="J68" s="4" t="n">
        <v>556.62</v>
      </c>
      <c r="K68" s="4" t="n">
        <v>251.78</v>
      </c>
      <c r="L68" s="4" t="n">
        <v>270.29</v>
      </c>
      <c r="M68" s="4" t="n">
        <v>169.47</v>
      </c>
      <c r="N68" s="4" t="n">
        <v>87.5</v>
      </c>
      <c r="O68" s="4" t="n">
        <v>96.17</v>
      </c>
      <c r="P68" s="4" t="n">
        <v>120.79</v>
      </c>
      <c r="Q68" s="4" t="n">
        <v>84.09999999999999</v>
      </c>
      <c r="R68" s="4" t="n">
        <v>123.93</v>
      </c>
      <c r="S68" s="4" t="n">
        <v>158.15</v>
      </c>
      <c r="T68" s="4" t="n">
        <v>152.14</v>
      </c>
      <c r="U68" s="4" t="n">
        <v>124.95</v>
      </c>
      <c r="V68" s="4" t="n">
        <v>135.42</v>
      </c>
    </row>
    <row r="69">
      <c r="A69" s="3" t="inlineStr">
        <is>
          <t>TP Solar Limited</t>
        </is>
      </c>
      <c r="B69" s="4" t="n">
        <v>0</v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0.55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20.65</v>
      </c>
      <c r="M69" s="4" t="n">
        <v>130.7</v>
      </c>
      <c r="N69" s="4" t="n">
        <v>142.62</v>
      </c>
      <c r="O69" s="4" t="n">
        <v>0</v>
      </c>
      <c r="P69" s="4" t="n">
        <v>13.47</v>
      </c>
      <c r="Q69" s="4" t="n">
        <v>12.46</v>
      </c>
      <c r="R69" s="4" t="n">
        <v>28.41</v>
      </c>
      <c r="S69" s="4" t="n">
        <v>1.55</v>
      </c>
      <c r="T69" s="4" t="n">
        <v>1.62</v>
      </c>
      <c r="U69" s="4" t="n">
        <v>0.73</v>
      </c>
      <c r="V69" s="4" t="n">
        <v>146.63</v>
      </c>
    </row>
    <row r="70">
      <c r="A70" s="3" t="inlineStr">
        <is>
          <t>Unique Sun Power Private Limited</t>
        </is>
      </c>
      <c r="B70" s="4" t="n">
        <v>2.51</v>
      </c>
      <c r="C70" s="4" t="n">
        <v>1.76</v>
      </c>
      <c r="D70" s="4" t="n">
        <v>0.93</v>
      </c>
      <c r="E70" s="4" t="n">
        <v>0.7</v>
      </c>
      <c r="F70" s="4" t="n">
        <v>1.37</v>
      </c>
      <c r="G70" s="4" t="n">
        <v>0.72</v>
      </c>
      <c r="H70" s="4" t="n">
        <v>1.33</v>
      </c>
      <c r="I70" s="4" t="n">
        <v>1.45</v>
      </c>
      <c r="J70" s="4" t="n">
        <v>1.28</v>
      </c>
      <c r="K70" s="4" t="n">
        <v>1.87</v>
      </c>
      <c r="L70" s="4" t="n">
        <v>2.2</v>
      </c>
      <c r="M70" s="4" t="n">
        <v>4.61</v>
      </c>
      <c r="N70" s="4" t="n">
        <v>2.69</v>
      </c>
      <c r="O70" s="4" t="n">
        <v>4.11</v>
      </c>
      <c r="P70" s="4" t="n">
        <v>5.44</v>
      </c>
      <c r="Q70" s="4" t="n">
        <v>3.17</v>
      </c>
      <c r="R70" s="4" t="n">
        <v>4.65</v>
      </c>
      <c r="S70" s="4" t="n">
        <v>8.76</v>
      </c>
      <c r="T70" s="4" t="n">
        <v>11.98</v>
      </c>
      <c r="U70" s="4" t="n">
        <v>5.19</v>
      </c>
      <c r="V70" s="4" t="n">
        <v>12.39</v>
      </c>
    </row>
    <row r="71">
      <c r="A71" s="3" t="inlineStr">
        <is>
          <t>Uratom Solar (India) Private Limited</t>
        </is>
      </c>
      <c r="B71" s="4" t="n">
        <v>0.34</v>
      </c>
      <c r="C71" s="4" t="n">
        <v>0.79</v>
      </c>
      <c r="D71" s="4" t="n">
        <v>0.19</v>
      </c>
      <c r="E71" s="4" t="n">
        <v>0.62</v>
      </c>
      <c r="F71" s="4" t="n">
        <v>0.55</v>
      </c>
      <c r="G71" s="4" t="n">
        <v>0.37</v>
      </c>
      <c r="H71" s="4" t="n">
        <v>0.8</v>
      </c>
      <c r="I71" s="4" t="n">
        <v>0.85</v>
      </c>
      <c r="J71" s="4" t="n">
        <v>0.66</v>
      </c>
      <c r="K71" s="4" t="n">
        <v>0.7</v>
      </c>
      <c r="L71" s="4" t="n">
        <v>1.3</v>
      </c>
      <c r="M71" s="4" t="n">
        <v>1.23</v>
      </c>
      <c r="N71" s="4" t="n">
        <v>1.57</v>
      </c>
      <c r="O71" s="4" t="n">
        <v>1.83</v>
      </c>
      <c r="P71" s="4" t="n">
        <v>3.92</v>
      </c>
      <c r="Q71" s="4" t="n">
        <v>0.65</v>
      </c>
      <c r="R71" s="4" t="n">
        <v>1.4</v>
      </c>
      <c r="S71" s="4" t="n">
        <v>2.21</v>
      </c>
      <c r="T71" s="4" t="n">
        <v>1.46</v>
      </c>
      <c r="U71" s="4" t="n">
        <v>1.15</v>
      </c>
      <c r="V71" s="4" t="n">
        <v>1.05</v>
      </c>
    </row>
    <row r="72">
      <c r="A72" s="3" t="inlineStr">
        <is>
          <t>Vikram Solar Limited</t>
        </is>
      </c>
      <c r="B72" s="4" t="n">
        <v>5.28</v>
      </c>
      <c r="C72" s="4" t="n">
        <v>0.65</v>
      </c>
      <c r="D72" s="4" t="n">
        <v>5.76</v>
      </c>
      <c r="E72" s="4" t="n">
        <v>1.53</v>
      </c>
      <c r="F72" s="4" t="n">
        <v>2.73</v>
      </c>
      <c r="G72" s="4" t="n">
        <v>5.82</v>
      </c>
      <c r="H72" s="4" t="n">
        <v>3.79</v>
      </c>
      <c r="I72" s="4" t="n">
        <v>5.16</v>
      </c>
      <c r="J72" s="4" t="n">
        <v>2.18</v>
      </c>
      <c r="K72" s="4" t="n">
        <v>4.53</v>
      </c>
      <c r="L72" s="4" t="n">
        <v>3.98</v>
      </c>
      <c r="M72" s="4" t="n">
        <v>3.03</v>
      </c>
      <c r="N72" s="4" t="n">
        <v>7.8</v>
      </c>
      <c r="O72" s="4" t="n">
        <v>9.09</v>
      </c>
      <c r="P72" s="4" t="n">
        <v>11.87</v>
      </c>
      <c r="Q72" s="4" t="n">
        <v>6.26</v>
      </c>
      <c r="R72" s="4" t="n">
        <v>18.74</v>
      </c>
      <c r="S72" s="4" t="n">
        <v>50.75</v>
      </c>
      <c r="T72" s="4" t="n">
        <v>22.08</v>
      </c>
      <c r="U72" s="4" t="n">
        <v>15.87</v>
      </c>
      <c r="V72" s="4" t="n">
        <v>36.28</v>
      </c>
    </row>
    <row r="73">
      <c r="A73" s="3" t="inlineStr">
        <is>
          <t>Waaree Energies Limited</t>
        </is>
      </c>
      <c r="B73" s="4" t="n">
        <v>31.4</v>
      </c>
      <c r="C73" s="4" t="n">
        <v>40.06</v>
      </c>
      <c r="D73" s="4" t="n">
        <v>59.57</v>
      </c>
      <c r="E73" s="4" t="n">
        <v>65.56</v>
      </c>
      <c r="F73" s="4" t="n">
        <v>66</v>
      </c>
      <c r="G73" s="4" t="n">
        <v>61.88</v>
      </c>
      <c r="H73" s="4" t="n">
        <v>90.29000000000001</v>
      </c>
      <c r="I73" s="4" t="n">
        <v>77.55</v>
      </c>
      <c r="J73" s="4" t="n">
        <v>61.3</v>
      </c>
      <c r="K73" s="4" t="n">
        <v>90.2</v>
      </c>
      <c r="L73" s="4" t="n">
        <v>144.08</v>
      </c>
      <c r="M73" s="4" t="n">
        <v>204.31</v>
      </c>
      <c r="N73" s="4" t="n">
        <v>278.55</v>
      </c>
      <c r="O73" s="4" t="n">
        <v>268.08</v>
      </c>
      <c r="P73" s="4" t="n">
        <v>245.69</v>
      </c>
      <c r="Q73" s="4" t="n">
        <v>229.78</v>
      </c>
      <c r="R73" s="4" t="n">
        <v>281.31</v>
      </c>
      <c r="S73" s="4" t="n">
        <v>484.64</v>
      </c>
      <c r="T73" s="4" t="n">
        <v>454.62</v>
      </c>
      <c r="U73" s="4" t="n">
        <v>405.53</v>
      </c>
      <c r="V73" s="4" t="n">
        <v>440.35</v>
      </c>
    </row>
    <row r="74">
      <c r="A74" s="3" t="inlineStr">
        <is>
          <t>Websol Energy System Limited</t>
        </is>
      </c>
      <c r="B74" s="4" t="n">
        <v>0.3</v>
      </c>
      <c r="C74" s="4" t="n">
        <v>0.51</v>
      </c>
      <c r="D74" s="4" t="n">
        <v>4.03</v>
      </c>
      <c r="E74" s="4" t="n">
        <v>3.8</v>
      </c>
      <c r="F74" s="4" t="n">
        <v>12.54</v>
      </c>
      <c r="G74" s="4" t="n">
        <v>15.37</v>
      </c>
      <c r="H74" s="4" t="n">
        <v>12.56</v>
      </c>
      <c r="I74" s="4" t="n">
        <v>3.77</v>
      </c>
      <c r="J74" s="4" t="n">
        <v>8.01</v>
      </c>
      <c r="K74" s="4" t="n">
        <v>13.67</v>
      </c>
      <c r="L74" s="4" t="n">
        <v>19.83</v>
      </c>
      <c r="M74" s="4" t="n">
        <v>14.81</v>
      </c>
      <c r="N74" s="4" t="n">
        <v>8.369999999999999</v>
      </c>
      <c r="O74" s="4" t="n">
        <v>14.34</v>
      </c>
      <c r="P74" s="4" t="n">
        <v>58.14</v>
      </c>
      <c r="Q74" s="4" t="n">
        <v>9.960000000000001</v>
      </c>
      <c r="R74" s="4" t="n">
        <v>35.11</v>
      </c>
      <c r="S74" s="4" t="n">
        <v>26.09</v>
      </c>
      <c r="T74" s="4" t="n">
        <v>5.33</v>
      </c>
      <c r="U74" s="4" t="n">
        <v>12.07</v>
      </c>
      <c r="V74" s="4" t="n">
        <v>36.92</v>
      </c>
    </row>
    <row r="75">
      <c r="A75" s="3" t="inlineStr">
        <is>
          <t>Others (balancing figure)</t>
        </is>
      </c>
      <c r="B75" s="4" t="n">
        <v>6.73</v>
      </c>
      <c r="C75" s="4" t="n">
        <v>17.06</v>
      </c>
      <c r="D75" s="4" t="n">
        <v>13.84</v>
      </c>
      <c r="E75" s="4" t="n">
        <v>9.51</v>
      </c>
      <c r="F75" s="4" t="n">
        <v>12.38</v>
      </c>
      <c r="G75" s="4" t="n">
        <v>18.43</v>
      </c>
      <c r="H75" s="4" t="n">
        <v>18.96</v>
      </c>
      <c r="I75" s="4" t="n">
        <v>14.37</v>
      </c>
      <c r="J75" s="4" t="n">
        <v>40.19</v>
      </c>
      <c r="K75" s="4" t="n">
        <v>12.93</v>
      </c>
      <c r="L75" s="4" t="n">
        <v>13.55</v>
      </c>
      <c r="M75" s="4" t="n">
        <v>23.57</v>
      </c>
      <c r="N75" s="4" t="n">
        <v>29.63</v>
      </c>
      <c r="O75" s="4" t="n">
        <v>32.64</v>
      </c>
      <c r="P75" s="4" t="n">
        <v>42.23</v>
      </c>
      <c r="Q75" s="4" t="n">
        <v>19.08</v>
      </c>
      <c r="R75" s="4" t="n">
        <v>55.17</v>
      </c>
      <c r="S75" s="4" t="n">
        <v>68.04000000000001</v>
      </c>
      <c r="T75" s="4" t="n">
        <v>72.18000000000001</v>
      </c>
      <c r="U75" s="4" t="n">
        <v>94.19</v>
      </c>
      <c r="V75" s="4" t="n">
        <v>108.07</v>
      </c>
    </row>
    <row r="76">
      <c r="A76" s="5" t="inlineStr">
        <is>
          <t>TOTAL</t>
        </is>
      </c>
      <c r="B76" s="6">
        <f>SUM(B4:B75)</f>
        <v/>
      </c>
      <c r="C76" s="6">
        <f>SUM(C4:C75)</f>
        <v/>
      </c>
      <c r="D76" s="6">
        <f>SUM(D4:D75)</f>
        <v/>
      </c>
      <c r="E76" s="6">
        <f>SUM(E4:E75)</f>
        <v/>
      </c>
      <c r="F76" s="6">
        <f>SUM(F4:F75)</f>
        <v/>
      </c>
      <c r="G76" s="6">
        <f>SUM(G4:G75)</f>
        <v/>
      </c>
      <c r="H76" s="6">
        <f>SUM(H4:H75)</f>
        <v/>
      </c>
      <c r="I76" s="6">
        <f>SUM(I4:I75)</f>
        <v/>
      </c>
      <c r="J76" s="6">
        <f>SUM(J4:J75)</f>
        <v/>
      </c>
      <c r="K76" s="6">
        <f>SUM(K4:K75)</f>
        <v/>
      </c>
      <c r="L76" s="6">
        <f>SUM(L4:L75)</f>
        <v/>
      </c>
      <c r="M76" s="6">
        <f>SUM(M4:M75)</f>
        <v/>
      </c>
      <c r="N76" s="6">
        <f>SUM(N4:N75)</f>
        <v/>
      </c>
      <c r="O76" s="6">
        <f>SUM(O4:O75)</f>
        <v/>
      </c>
      <c r="P76" s="6">
        <f>SUM(P4:P75)</f>
        <v/>
      </c>
      <c r="Q76" s="6">
        <f>SUM(Q4:Q75)</f>
        <v/>
      </c>
      <c r="R76" s="6">
        <f>SUM(R4:R75)</f>
        <v/>
      </c>
      <c r="S76" s="6">
        <f>SUM(S4:S75)</f>
        <v/>
      </c>
      <c r="T76" s="6">
        <f>SUM(T4:T75)</f>
        <v/>
      </c>
      <c r="U76" s="6">
        <f>SUM(U4:U75)</f>
        <v/>
      </c>
      <c r="V76" s="6">
        <f>SUM(V4:V75)</f>
        <v/>
      </c>
    </row>
    <row r="78" ht="17.25" customHeight="1">
      <c r="A78" s="7" t="inlineStr">
        <is>
          <t>Summary — Key Players (MW)</t>
        </is>
      </c>
    </row>
    <row r="79">
      <c r="A79" s="2" t="inlineStr">
        <is>
          <t>Module Manufacturers</t>
        </is>
      </c>
      <c r="B79" s="9" t="inlineStr">
        <is>
          <t>2025 (MW)</t>
        </is>
      </c>
      <c r="C79" s="35" t="n"/>
      <c r="D79" s="35" t="n"/>
      <c r="E79" s="35" t="n"/>
      <c r="F79" s="35" t="n"/>
      <c r="G79" s="35" t="n"/>
      <c r="H79" s="35" t="n"/>
      <c r="I79" s="35" t="n"/>
      <c r="J79" s="35" t="n"/>
      <c r="K79" s="35" t="n"/>
      <c r="L79" s="35" t="n"/>
      <c r="M79" s="36" t="n"/>
      <c r="N79" s="9" t="inlineStr">
        <is>
          <t>2026 (MW)</t>
        </is>
      </c>
      <c r="O79" s="35" t="n"/>
      <c r="P79" s="35" t="n"/>
      <c r="Q79" s="35" t="n"/>
      <c r="R79" s="35" t="n"/>
      <c r="S79" s="35" t="n"/>
      <c r="T79" s="35" t="n"/>
      <c r="U79" s="35" t="n"/>
      <c r="V79" s="36" t="n"/>
    </row>
    <row r="80">
      <c r="A80" s="37" t="n"/>
      <c r="B80" s="9" t="inlineStr">
        <is>
          <t>Jan</t>
        </is>
      </c>
      <c r="C80" s="9" t="inlineStr">
        <is>
          <t>Feb</t>
        </is>
      </c>
      <c r="D80" s="9" t="inlineStr">
        <is>
          <t>Mar</t>
        </is>
      </c>
      <c r="E80" s="9" t="inlineStr">
        <is>
          <t>Apr</t>
        </is>
      </c>
      <c r="F80" s="9" t="inlineStr">
        <is>
          <t>May</t>
        </is>
      </c>
      <c r="G80" s="9" t="inlineStr">
        <is>
          <t>Jun</t>
        </is>
      </c>
      <c r="H80" s="9" t="inlineStr">
        <is>
          <t>Jul</t>
        </is>
      </c>
      <c r="I80" s="9" t="inlineStr">
        <is>
          <t>Aug</t>
        </is>
      </c>
      <c r="J80" s="9" t="inlineStr">
        <is>
          <t>Sep</t>
        </is>
      </c>
      <c r="K80" s="9" t="inlineStr">
        <is>
          <t>Oct</t>
        </is>
      </c>
      <c r="L80" s="9" t="inlineStr">
        <is>
          <t>Nov</t>
        </is>
      </c>
      <c r="M80" s="9" t="inlineStr">
        <is>
          <t>Dec</t>
        </is>
      </c>
      <c r="N80" s="9" t="inlineStr">
        <is>
          <t>Jan</t>
        </is>
      </c>
      <c r="O80" s="9" t="inlineStr">
        <is>
          <t>Feb</t>
        </is>
      </c>
      <c r="P80" s="9" t="inlineStr">
        <is>
          <t>Mar</t>
        </is>
      </c>
      <c r="Q80" s="9" t="inlineStr">
        <is>
          <t>Apr</t>
        </is>
      </c>
      <c r="R80" s="9" t="inlineStr">
        <is>
          <t>May</t>
        </is>
      </c>
      <c r="S80" s="9" t="inlineStr">
        <is>
          <t>Jun</t>
        </is>
      </c>
      <c r="T80" s="9" t="inlineStr">
        <is>
          <t>Jul</t>
        </is>
      </c>
      <c r="U80" t="inlineStr">
        <is>
          <t>Aug</t>
        </is>
      </c>
      <c r="V80" t="inlineStr">
        <is>
          <t>Sep</t>
        </is>
      </c>
    </row>
    <row r="81">
      <c r="A81" s="10" t="inlineStr">
        <is>
          <t>Tata Power</t>
        </is>
      </c>
      <c r="B81" s="11">
        <f>B68+B69</f>
        <v/>
      </c>
      <c r="C81" s="11">
        <f>C68+C69</f>
        <v/>
      </c>
      <c r="D81" s="11">
        <f>D68+D69</f>
        <v/>
      </c>
      <c r="E81" s="11">
        <f>E68+E69</f>
        <v/>
      </c>
      <c r="F81" s="11">
        <f>F68+F69</f>
        <v/>
      </c>
      <c r="G81" s="11">
        <f>G68+G69</f>
        <v/>
      </c>
      <c r="H81" s="11">
        <f>H68+H69</f>
        <v/>
      </c>
      <c r="I81" s="11">
        <f>I68+I69</f>
        <v/>
      </c>
      <c r="J81" s="11">
        <f>J68+J69</f>
        <v/>
      </c>
      <c r="K81" s="11">
        <f>K68+K69</f>
        <v/>
      </c>
      <c r="L81" s="11">
        <f>L68+L69</f>
        <v/>
      </c>
      <c r="M81" s="11">
        <f>M68+M69</f>
        <v/>
      </c>
      <c r="N81" s="11">
        <f>N68+N69</f>
        <v/>
      </c>
      <c r="O81" s="11">
        <f>O68+O69</f>
        <v/>
      </c>
      <c r="P81" s="11">
        <f>P68+P69</f>
        <v/>
      </c>
      <c r="Q81" s="11">
        <f>Q68+Q69</f>
        <v/>
      </c>
      <c r="R81" s="11">
        <f>R68+R69</f>
        <v/>
      </c>
      <c r="S81" s="11">
        <f>S68+S69</f>
        <v/>
      </c>
      <c r="T81" s="11">
        <f>T68+T69</f>
        <v/>
      </c>
      <c r="U81">
        <f>U68+U69</f>
        <v/>
      </c>
      <c r="V81">
        <f>V68+V69</f>
        <v/>
      </c>
    </row>
    <row r="82">
      <c r="A82" s="10" t="inlineStr">
        <is>
          <t>Adani</t>
        </is>
      </c>
      <c r="B82" s="11">
        <f>B41+B42</f>
        <v/>
      </c>
      <c r="C82" s="11">
        <f>C41+C42</f>
        <v/>
      </c>
      <c r="D82" s="11">
        <f>D41+D42</f>
        <v/>
      </c>
      <c r="E82" s="11">
        <f>E41+E42</f>
        <v/>
      </c>
      <c r="F82" s="11">
        <f>F41+F42</f>
        <v/>
      </c>
      <c r="G82" s="11">
        <f>G41+G42</f>
        <v/>
      </c>
      <c r="H82" s="11">
        <f>H41+H42</f>
        <v/>
      </c>
      <c r="I82" s="11">
        <f>I41+I42</f>
        <v/>
      </c>
      <c r="J82" s="11">
        <f>J41+J42</f>
        <v/>
      </c>
      <c r="K82" s="11">
        <f>K41+K42</f>
        <v/>
      </c>
      <c r="L82" s="11">
        <f>L41+L42</f>
        <v/>
      </c>
      <c r="M82" s="11">
        <f>M41+M42</f>
        <v/>
      </c>
      <c r="N82" s="11">
        <f>N41+N42</f>
        <v/>
      </c>
      <c r="O82" s="11">
        <f>O41+O42</f>
        <v/>
      </c>
      <c r="P82" s="11">
        <f>P41+P42</f>
        <v/>
      </c>
      <c r="Q82" s="11">
        <f>Q41+Q42</f>
        <v/>
      </c>
      <c r="R82" s="11">
        <f>R41+R42</f>
        <v/>
      </c>
      <c r="S82" s="11">
        <f>S41+S42</f>
        <v/>
      </c>
      <c r="T82" s="11">
        <f>T41+T42</f>
        <v/>
      </c>
      <c r="U82">
        <f>U41+U42</f>
        <v/>
      </c>
      <c r="V82">
        <f>V41+V42</f>
        <v/>
      </c>
    </row>
    <row r="83">
      <c r="A83" s="10" t="inlineStr">
        <is>
          <t>FS India Solar</t>
        </is>
      </c>
      <c r="B83" s="11">
        <f>B21</f>
        <v/>
      </c>
      <c r="C83" s="11">
        <f>C21</f>
        <v/>
      </c>
      <c r="D83" s="11">
        <f>D21</f>
        <v/>
      </c>
      <c r="E83" s="11">
        <f>E21</f>
        <v/>
      </c>
      <c r="F83" s="11">
        <f>F21</f>
        <v/>
      </c>
      <c r="G83" s="11">
        <f>G21</f>
        <v/>
      </c>
      <c r="H83" s="11">
        <f>H21</f>
        <v/>
      </c>
      <c r="I83" s="11">
        <f>I21</f>
        <v/>
      </c>
      <c r="J83" s="11">
        <f>J21</f>
        <v/>
      </c>
      <c r="K83" s="11">
        <f>K21</f>
        <v/>
      </c>
      <c r="L83" s="11">
        <f>L21</f>
        <v/>
      </c>
      <c r="M83" s="11">
        <f>M21</f>
        <v/>
      </c>
      <c r="N83" s="11">
        <f>N21</f>
        <v/>
      </c>
      <c r="O83" s="11">
        <f>O21</f>
        <v/>
      </c>
      <c r="P83" s="11">
        <f>P21</f>
        <v/>
      </c>
      <c r="Q83" s="11">
        <f>Q21</f>
        <v/>
      </c>
      <c r="R83" s="11">
        <f>R21</f>
        <v/>
      </c>
      <c r="S83" s="11">
        <f>S21</f>
        <v/>
      </c>
      <c r="T83" s="11">
        <f>T21</f>
        <v/>
      </c>
      <c r="U83">
        <f>U21</f>
        <v/>
      </c>
      <c r="V83">
        <f>V21</f>
        <v/>
      </c>
    </row>
    <row r="84">
      <c r="A84" s="10" t="inlineStr">
        <is>
          <t>Waaree Energies</t>
        </is>
      </c>
      <c r="B84" s="11">
        <f>B73</f>
        <v/>
      </c>
      <c r="C84" s="11">
        <f>C73</f>
        <v/>
      </c>
      <c r="D84" s="11">
        <f>D73</f>
        <v/>
      </c>
      <c r="E84" s="11">
        <f>E73</f>
        <v/>
      </c>
      <c r="F84" s="11">
        <f>F73</f>
        <v/>
      </c>
      <c r="G84" s="11">
        <f>G73</f>
        <v/>
      </c>
      <c r="H84" s="11">
        <f>H73</f>
        <v/>
      </c>
      <c r="I84" s="11">
        <f>I73</f>
        <v/>
      </c>
      <c r="J84" s="11">
        <f>J73</f>
        <v/>
      </c>
      <c r="K84" s="11">
        <f>K73</f>
        <v/>
      </c>
      <c r="L84" s="11">
        <f>L73</f>
        <v/>
      </c>
      <c r="M84" s="11">
        <f>M73</f>
        <v/>
      </c>
      <c r="N84" s="11">
        <f>N73</f>
        <v/>
      </c>
      <c r="O84" s="11">
        <f>O73</f>
        <v/>
      </c>
      <c r="P84" s="11">
        <f>P73</f>
        <v/>
      </c>
      <c r="Q84" s="11">
        <f>Q73</f>
        <v/>
      </c>
      <c r="R84" s="11">
        <f>R73</f>
        <v/>
      </c>
      <c r="S84" s="11">
        <f>S73</f>
        <v/>
      </c>
      <c r="T84" s="11">
        <f>T73</f>
        <v/>
      </c>
      <c r="U84">
        <f>U73</f>
        <v/>
      </c>
      <c r="V84">
        <f>V73</f>
        <v/>
      </c>
    </row>
    <row r="85">
      <c r="A85" s="10" t="inlineStr">
        <is>
          <t>Premier Energies</t>
        </is>
      </c>
      <c r="B85" s="11">
        <f>B50+B51</f>
        <v/>
      </c>
      <c r="C85" s="11">
        <f>C50+C51</f>
        <v/>
      </c>
      <c r="D85" s="11">
        <f>D50+D51</f>
        <v/>
      </c>
      <c r="E85" s="11">
        <f>E50+E51</f>
        <v/>
      </c>
      <c r="F85" s="11">
        <f>F50+F51</f>
        <v/>
      </c>
      <c r="G85" s="11">
        <f>G50+G51</f>
        <v/>
      </c>
      <c r="H85" s="11">
        <f>H50+H51</f>
        <v/>
      </c>
      <c r="I85" s="11">
        <f>I50+I51</f>
        <v/>
      </c>
      <c r="J85" s="11">
        <f>J50+J51</f>
        <v/>
      </c>
      <c r="K85" s="11">
        <f>K50+K51</f>
        <v/>
      </c>
      <c r="L85" s="11">
        <f>L50+L51</f>
        <v/>
      </c>
      <c r="M85" s="11">
        <f>M50+M51</f>
        <v/>
      </c>
      <c r="N85" s="11">
        <f>N50+N51</f>
        <v/>
      </c>
      <c r="O85" s="11">
        <f>O50+O51</f>
        <v/>
      </c>
      <c r="P85" s="11">
        <f>P50+P51</f>
        <v/>
      </c>
      <c r="Q85" s="11">
        <f>Q50+Q51</f>
        <v/>
      </c>
      <c r="R85" s="11">
        <f>R50+R51</f>
        <v/>
      </c>
      <c r="S85" s="11">
        <f>S50+S51</f>
        <v/>
      </c>
      <c r="T85" s="11">
        <f>T50+T51</f>
        <v/>
      </c>
      <c r="U85">
        <f>U50+U51</f>
        <v/>
      </c>
      <c r="V85">
        <f>V50+V51</f>
        <v/>
      </c>
    </row>
    <row r="86">
      <c r="A86" s="10" t="inlineStr">
        <is>
          <t>Emmvee</t>
        </is>
      </c>
      <c r="B86" s="11">
        <f>B19+B20</f>
        <v/>
      </c>
      <c r="C86" s="11">
        <f>C19+C20</f>
        <v/>
      </c>
      <c r="D86" s="11">
        <f>D19+D20</f>
        <v/>
      </c>
      <c r="E86" s="11">
        <f>E19+E20</f>
        <v/>
      </c>
      <c r="F86" s="11">
        <f>F19+F20</f>
        <v/>
      </c>
      <c r="G86" s="11">
        <f>G19+G20</f>
        <v/>
      </c>
      <c r="H86" s="11">
        <f>H19+H20</f>
        <v/>
      </c>
      <c r="I86" s="11">
        <f>I19+I20</f>
        <v/>
      </c>
      <c r="J86" s="11">
        <f>J19+J20</f>
        <v/>
      </c>
      <c r="K86" s="11">
        <f>K19+K20</f>
        <v/>
      </c>
      <c r="L86" s="11">
        <f>L19+L20</f>
        <v/>
      </c>
      <c r="M86" s="11">
        <f>M19+M20</f>
        <v/>
      </c>
      <c r="N86" s="11">
        <f>N19+N20</f>
        <v/>
      </c>
      <c r="O86" s="11">
        <f>O19+O20</f>
        <v/>
      </c>
      <c r="P86" s="11">
        <f>P19+P20</f>
        <v/>
      </c>
      <c r="Q86" s="11">
        <f>Q19+Q20</f>
        <v/>
      </c>
      <c r="R86" s="11">
        <f>R19+R20</f>
        <v/>
      </c>
      <c r="S86" s="11">
        <f>S19+S20</f>
        <v/>
      </c>
      <c r="T86" s="11">
        <f>T19+T20</f>
        <v/>
      </c>
      <c r="U86">
        <f>U19+U20</f>
        <v/>
      </c>
      <c r="V86">
        <f>V19+V20</f>
        <v/>
      </c>
    </row>
    <row r="87">
      <c r="A87" s="10" t="inlineStr">
        <is>
          <t>Renew Photovoltaics</t>
        </is>
      </c>
      <c r="B87" s="11">
        <f>B56</f>
        <v/>
      </c>
      <c r="C87" s="11">
        <f>C56</f>
        <v/>
      </c>
      <c r="D87" s="11">
        <f>D56</f>
        <v/>
      </c>
      <c r="E87" s="11">
        <f>E56</f>
        <v/>
      </c>
      <c r="F87" s="11">
        <f>F56</f>
        <v/>
      </c>
      <c r="G87" s="11">
        <f>G56</f>
        <v/>
      </c>
      <c r="H87" s="11">
        <f>H56</f>
        <v/>
      </c>
      <c r="I87" s="11">
        <f>I56</f>
        <v/>
      </c>
      <c r="J87" s="11">
        <f>J56</f>
        <v/>
      </c>
      <c r="K87" s="11">
        <f>K56</f>
        <v/>
      </c>
      <c r="L87" s="11">
        <f>L56</f>
        <v/>
      </c>
      <c r="M87" s="11">
        <f>M56</f>
        <v/>
      </c>
      <c r="N87" s="11">
        <f>N56</f>
        <v/>
      </c>
      <c r="O87" s="11">
        <f>O56</f>
        <v/>
      </c>
      <c r="P87" s="11">
        <f>P56</f>
        <v/>
      </c>
      <c r="Q87" s="11">
        <f>Q56</f>
        <v/>
      </c>
      <c r="R87" s="11">
        <f>R56</f>
        <v/>
      </c>
      <c r="S87" s="11">
        <f>S56</f>
        <v/>
      </c>
      <c r="T87" s="11">
        <f>T56</f>
        <v/>
      </c>
      <c r="U87">
        <f>U56</f>
        <v/>
      </c>
      <c r="V87">
        <f>V56</f>
        <v/>
      </c>
    </row>
    <row r="88">
      <c r="A88" s="10" t="inlineStr">
        <is>
          <t>Alpex Solar</t>
        </is>
      </c>
      <c r="B88" s="11">
        <f>B9</f>
        <v/>
      </c>
      <c r="C88" s="11">
        <f>C9</f>
        <v/>
      </c>
      <c r="D88" s="11">
        <f>D9</f>
        <v/>
      </c>
      <c r="E88" s="11">
        <f>E9</f>
        <v/>
      </c>
      <c r="F88" s="11">
        <f>F9</f>
        <v/>
      </c>
      <c r="G88" s="11">
        <f>G9</f>
        <v/>
      </c>
      <c r="H88" s="11">
        <f>H9</f>
        <v/>
      </c>
      <c r="I88" s="11">
        <f>I9</f>
        <v/>
      </c>
      <c r="J88" s="11">
        <f>J9</f>
        <v/>
      </c>
      <c r="K88" s="11">
        <f>K9</f>
        <v/>
      </c>
      <c r="L88" s="11">
        <f>L9</f>
        <v/>
      </c>
      <c r="M88" s="11">
        <f>M9</f>
        <v/>
      </c>
      <c r="N88" s="11">
        <f>N9</f>
        <v/>
      </c>
      <c r="O88" s="11">
        <f>O9</f>
        <v/>
      </c>
      <c r="P88" s="11">
        <f>P9</f>
        <v/>
      </c>
      <c r="Q88" s="11">
        <f>Q9</f>
        <v/>
      </c>
      <c r="R88" s="11">
        <f>R9</f>
        <v/>
      </c>
      <c r="S88" s="11">
        <f>S9</f>
        <v/>
      </c>
      <c r="T88" s="11">
        <f>T9</f>
        <v/>
      </c>
      <c r="U88">
        <f>U9</f>
        <v/>
      </c>
      <c r="V88">
        <f>V9</f>
        <v/>
      </c>
    </row>
    <row r="89">
      <c r="A89" s="10" t="inlineStr">
        <is>
          <t>Fujiyama Power Systems</t>
        </is>
      </c>
      <c r="B89" s="11">
        <f>B22</f>
        <v/>
      </c>
      <c r="C89" s="11">
        <f>C22</f>
        <v/>
      </c>
      <c r="D89" s="11">
        <f>D22</f>
        <v/>
      </c>
      <c r="E89" s="11">
        <f>E22</f>
        <v/>
      </c>
      <c r="F89" s="11">
        <f>F22</f>
        <v/>
      </c>
      <c r="G89" s="11">
        <f>G22</f>
        <v/>
      </c>
      <c r="H89" s="11">
        <f>H22</f>
        <v/>
      </c>
      <c r="I89" s="11">
        <f>I22</f>
        <v/>
      </c>
      <c r="J89" s="11">
        <f>J22</f>
        <v/>
      </c>
      <c r="K89" s="11">
        <f>K22</f>
        <v/>
      </c>
      <c r="L89" s="11">
        <f>L22</f>
        <v/>
      </c>
      <c r="M89" s="11">
        <f>M22</f>
        <v/>
      </c>
      <c r="N89" s="11">
        <f>N22</f>
        <v/>
      </c>
      <c r="O89" s="11">
        <f>O22</f>
        <v/>
      </c>
      <c r="P89" s="11">
        <f>P22</f>
        <v/>
      </c>
      <c r="Q89" s="11">
        <f>Q22</f>
        <v/>
      </c>
      <c r="R89" s="11">
        <f>R22</f>
        <v/>
      </c>
      <c r="S89" s="11">
        <f>S22</f>
        <v/>
      </c>
      <c r="T89" s="11">
        <f>T22</f>
        <v/>
      </c>
      <c r="U89">
        <f>U22</f>
        <v/>
      </c>
      <c r="V89">
        <f>V22</f>
        <v/>
      </c>
    </row>
    <row r="90">
      <c r="A90" s="10" t="inlineStr">
        <is>
          <t>Rayzon Solar</t>
        </is>
      </c>
      <c r="B90" s="11">
        <f>B54</f>
        <v/>
      </c>
      <c r="C90" s="11">
        <f>C54</f>
        <v/>
      </c>
      <c r="D90" s="11">
        <f>D54</f>
        <v/>
      </c>
      <c r="E90" s="11">
        <f>E54</f>
        <v/>
      </c>
      <c r="F90" s="11">
        <f>F54</f>
        <v/>
      </c>
      <c r="G90" s="11">
        <f>G54</f>
        <v/>
      </c>
      <c r="H90" s="11">
        <f>H54</f>
        <v/>
      </c>
      <c r="I90" s="11">
        <f>I54</f>
        <v/>
      </c>
      <c r="J90" s="11">
        <f>J54</f>
        <v/>
      </c>
      <c r="K90" s="11">
        <f>K54</f>
        <v/>
      </c>
      <c r="L90" s="11">
        <f>L54</f>
        <v/>
      </c>
      <c r="M90" s="11">
        <f>M54</f>
        <v/>
      </c>
      <c r="N90" s="11">
        <f>N54</f>
        <v/>
      </c>
      <c r="O90" s="11">
        <f>O54</f>
        <v/>
      </c>
      <c r="P90" s="11">
        <f>P54</f>
        <v/>
      </c>
      <c r="Q90" s="11">
        <f>Q54</f>
        <v/>
      </c>
      <c r="R90" s="11">
        <f>R54</f>
        <v/>
      </c>
      <c r="S90" s="11">
        <f>S54</f>
        <v/>
      </c>
      <c r="T90" s="11">
        <f>T54</f>
        <v/>
      </c>
      <c r="U90">
        <f>U54</f>
        <v/>
      </c>
      <c r="V90">
        <f>V54</f>
        <v/>
      </c>
    </row>
    <row r="91">
      <c r="A91" s="10" t="inlineStr">
        <is>
          <t>Goldi Solar</t>
        </is>
      </c>
      <c r="B91" s="11">
        <f>B25+B26</f>
        <v/>
      </c>
      <c r="C91" s="11">
        <f>C25+C26</f>
        <v/>
      </c>
      <c r="D91" s="11">
        <f>D25+D26</f>
        <v/>
      </c>
      <c r="E91" s="11">
        <f>E25+E26</f>
        <v/>
      </c>
      <c r="F91" s="11">
        <f>F25+F26</f>
        <v/>
      </c>
      <c r="G91" s="11">
        <f>G25+G26</f>
        <v/>
      </c>
      <c r="H91" s="11">
        <f>H25+H26</f>
        <v/>
      </c>
      <c r="I91" s="11">
        <f>I25+I26</f>
        <v/>
      </c>
      <c r="J91" s="11">
        <f>J25+J26</f>
        <v/>
      </c>
      <c r="K91" s="11">
        <f>K25+K26</f>
        <v/>
      </c>
      <c r="L91" s="11">
        <f>L25+L26</f>
        <v/>
      </c>
      <c r="M91" s="11">
        <f>M25+M26</f>
        <v/>
      </c>
      <c r="N91" s="11">
        <f>N25+N26</f>
        <v/>
      </c>
      <c r="O91" s="11">
        <f>O25+O26</f>
        <v/>
      </c>
      <c r="P91" s="11">
        <f>P25+P26</f>
        <v/>
      </c>
      <c r="Q91" s="11">
        <f>Q25+Q26</f>
        <v/>
      </c>
      <c r="R91" s="11">
        <f>R25+R26</f>
        <v/>
      </c>
      <c r="S91" s="11">
        <f>S25+S26</f>
        <v/>
      </c>
      <c r="T91" s="11">
        <f>T25+T26</f>
        <v/>
      </c>
      <c r="U91">
        <f>U25+U26</f>
        <v/>
      </c>
      <c r="V91">
        <f>V25+V26</f>
        <v/>
      </c>
    </row>
    <row r="92">
      <c r="A92" s="10" t="inlineStr">
        <is>
          <t>Vikram Solar</t>
        </is>
      </c>
      <c r="B92" s="11">
        <f>B72</f>
        <v/>
      </c>
      <c r="C92" s="11">
        <f>C72</f>
        <v/>
      </c>
      <c r="D92" s="11">
        <f>D72</f>
        <v/>
      </c>
      <c r="E92" s="11">
        <f>E72</f>
        <v/>
      </c>
      <c r="F92" s="11">
        <f>F72</f>
        <v/>
      </c>
      <c r="G92" s="11">
        <f>G72</f>
        <v/>
      </c>
      <c r="H92" s="11">
        <f>H72</f>
        <v/>
      </c>
      <c r="I92" s="11">
        <f>I72</f>
        <v/>
      </c>
      <c r="J92" s="11">
        <f>J72</f>
        <v/>
      </c>
      <c r="K92" s="11">
        <f>K72</f>
        <v/>
      </c>
      <c r="L92" s="11">
        <f>L72</f>
        <v/>
      </c>
      <c r="M92" s="11">
        <f>M72</f>
        <v/>
      </c>
      <c r="N92" s="11">
        <f>N72</f>
        <v/>
      </c>
      <c r="O92" s="11">
        <f>O72</f>
        <v/>
      </c>
      <c r="P92" s="11">
        <f>P72</f>
        <v/>
      </c>
      <c r="Q92" s="11">
        <f>Q72</f>
        <v/>
      </c>
      <c r="R92" s="11">
        <f>R72</f>
        <v/>
      </c>
      <c r="S92" s="11">
        <f>S72</f>
        <v/>
      </c>
      <c r="T92" s="11">
        <f>T72</f>
        <v/>
      </c>
      <c r="U92">
        <f>U72</f>
        <v/>
      </c>
      <c r="V92">
        <f>V72</f>
        <v/>
      </c>
    </row>
    <row r="93">
      <c r="A93" s="10" t="inlineStr">
        <is>
          <t>Saatvik Green Energy</t>
        </is>
      </c>
      <c r="B93" s="11">
        <f>B59+B60</f>
        <v/>
      </c>
      <c r="C93" s="11">
        <f>C59+C60</f>
        <v/>
      </c>
      <c r="D93" s="11">
        <f>D59+D60</f>
        <v/>
      </c>
      <c r="E93" s="11">
        <f>E59+E60</f>
        <v/>
      </c>
      <c r="F93" s="11">
        <f>F59+F60</f>
        <v/>
      </c>
      <c r="G93" s="11">
        <f>G59+G60</f>
        <v/>
      </c>
      <c r="H93" s="11">
        <f>H59+H60</f>
        <v/>
      </c>
      <c r="I93" s="11">
        <f>I59+I60</f>
        <v/>
      </c>
      <c r="J93" s="11">
        <f>J59+J60</f>
        <v/>
      </c>
      <c r="K93" s="11">
        <f>K59+K60</f>
        <v/>
      </c>
      <c r="L93" s="11">
        <f>L59+L60</f>
        <v/>
      </c>
      <c r="M93" s="11">
        <f>M59+M60</f>
        <v/>
      </c>
      <c r="N93" s="11">
        <f>N59+N60</f>
        <v/>
      </c>
      <c r="O93" s="11">
        <f>O59+O60</f>
        <v/>
      </c>
      <c r="P93" s="11">
        <f>P59+P60</f>
        <v/>
      </c>
      <c r="Q93" s="11">
        <f>Q59+Q60</f>
        <v/>
      </c>
      <c r="R93" s="11">
        <f>R59+R60</f>
        <v/>
      </c>
      <c r="S93" s="11">
        <f>S59+S60</f>
        <v/>
      </c>
      <c r="T93" s="11">
        <f>T59+T60</f>
        <v/>
      </c>
      <c r="U93">
        <f>U59+U60</f>
        <v/>
      </c>
      <c r="V93">
        <f>V59+V60</f>
        <v/>
      </c>
    </row>
    <row r="94">
      <c r="A94" s="10" t="inlineStr">
        <is>
          <t>Others</t>
        </is>
      </c>
      <c r="B94" s="11">
        <f>+B95-SUM(B81:B93)</f>
        <v/>
      </c>
      <c r="C94" s="11">
        <f>+C95-SUM(C81:C93)</f>
        <v/>
      </c>
      <c r="D94" s="11">
        <f>+D95-SUM(D81:D93)</f>
        <v/>
      </c>
      <c r="E94" s="11">
        <f>+E95-SUM(E81:E93)</f>
        <v/>
      </c>
      <c r="F94" s="11">
        <f>+F95-SUM(F81:F93)</f>
        <v/>
      </c>
      <c r="G94" s="11">
        <f>+G95-SUM(G81:G93)</f>
        <v/>
      </c>
      <c r="H94" s="11">
        <f>+H95-SUM(H81:H93)</f>
        <v/>
      </c>
      <c r="I94" s="11">
        <f>+I95-SUM(I81:I93)</f>
        <v/>
      </c>
      <c r="J94" s="11">
        <f>+J95-SUM(J81:J93)</f>
        <v/>
      </c>
      <c r="K94" s="11">
        <f>+K95-SUM(K81:K93)</f>
        <v/>
      </c>
      <c r="L94" s="11">
        <f>+L95-SUM(L81:L93)</f>
        <v/>
      </c>
      <c r="M94" s="11">
        <f>+M95-SUM(M81:M93)</f>
        <v/>
      </c>
      <c r="N94" s="11">
        <f>+N95-SUM(N81:N93)</f>
        <v/>
      </c>
      <c r="O94" s="11">
        <f>+O95-SUM(O81:O93)</f>
        <v/>
      </c>
      <c r="P94" s="11">
        <f>+P95-SUM(P81:P93)</f>
        <v/>
      </c>
      <c r="Q94" s="11">
        <f>+Q95-SUM(Q81:Q93)</f>
        <v/>
      </c>
      <c r="R94" s="11">
        <f>+R95-SUM(R81:R93)</f>
        <v/>
      </c>
      <c r="S94" s="11">
        <f>+S95-SUM(S81:S93)</f>
        <v/>
      </c>
      <c r="T94" s="11">
        <f>+T95-SUM(T81:T93)</f>
        <v/>
      </c>
      <c r="U94">
        <f>+U95-SUM(U81:U93)</f>
        <v/>
      </c>
      <c r="V94">
        <f>+V95-SUM(V81:V93)</f>
        <v/>
      </c>
    </row>
    <row r="95">
      <c r="A95" s="12" t="inlineStr">
        <is>
          <t>TOTAL (Key Players)</t>
        </is>
      </c>
      <c r="B95" s="13">
        <f>+B76</f>
        <v/>
      </c>
      <c r="C95" s="13">
        <f>+C76</f>
        <v/>
      </c>
      <c r="D95" s="13">
        <f>+D76</f>
        <v/>
      </c>
      <c r="E95" s="13">
        <f>+E76</f>
        <v/>
      </c>
      <c r="F95" s="13">
        <f>+F76</f>
        <v/>
      </c>
      <c r="G95" s="13">
        <f>+G76</f>
        <v/>
      </c>
      <c r="H95" s="13">
        <f>+H76</f>
        <v/>
      </c>
      <c r="I95" s="13">
        <f>+I76</f>
        <v/>
      </c>
      <c r="J95" s="13">
        <f>+J76</f>
        <v/>
      </c>
      <c r="K95" s="13">
        <f>+K76</f>
        <v/>
      </c>
      <c r="L95" s="13">
        <f>+L76</f>
        <v/>
      </c>
      <c r="M95" s="13">
        <f>+M76</f>
        <v/>
      </c>
      <c r="N95" s="13">
        <f>+N76</f>
        <v/>
      </c>
      <c r="O95" s="13">
        <f>+O76</f>
        <v/>
      </c>
      <c r="P95" s="13">
        <f>+P76</f>
        <v/>
      </c>
      <c r="Q95" s="13">
        <f>+Q76</f>
        <v/>
      </c>
      <c r="R95" s="13">
        <f>+R76</f>
        <v/>
      </c>
      <c r="S95" s="13">
        <f>+S76</f>
        <v/>
      </c>
      <c r="T95" s="13">
        <f>+T76</f>
        <v/>
      </c>
      <c r="U95">
        <f>+U76</f>
        <v/>
      </c>
      <c r="V95">
        <f>+V76</f>
        <v/>
      </c>
    </row>
    <row r="98" ht="17.25" customHeight="1">
      <c r="A98" s="14" t="inlineStr">
        <is>
          <t>DCR Module Sales (MW) — Fiscal Year Summary</t>
        </is>
      </c>
    </row>
    <row r="99">
      <c r="A99" s="9" t="inlineStr">
        <is>
          <t>Player</t>
        </is>
      </c>
      <c r="B99" s="9" t="inlineStr">
        <is>
          <t>FY25</t>
        </is>
      </c>
      <c r="C99" s="9" t="inlineStr">
        <is>
          <t>FY26</t>
        </is>
      </c>
      <c r="D99" s="9" t="inlineStr">
        <is>
          <t>Growth, %</t>
        </is>
      </c>
      <c r="E99" s="9" t="inlineStr">
        <is>
          <t>YTD FY26</t>
        </is>
      </c>
      <c r="F99" s="9" t="inlineStr">
        <is>
          <t>YTD FY27</t>
        </is>
      </c>
      <c r="G99" s="9" t="inlineStr">
        <is>
          <t>Growth, %</t>
        </is>
      </c>
    </row>
    <row r="100">
      <c r="A100" s="10" t="inlineStr">
        <is>
          <t>Tata Power</t>
        </is>
      </c>
      <c r="B100" s="11" t="n">
        <v>803</v>
      </c>
      <c r="C100" s="11">
        <f>SUM(E81:P81)</f>
        <v/>
      </c>
      <c r="D100" s="15">
        <f>IF(B100=0,"-",C100/B100-1)</f>
        <v/>
      </c>
      <c r="E100" s="11">
        <f>SUM(OFFSET(E81,0,0,1,COUNTA(Q$3:AB$3)))</f>
        <v/>
      </c>
      <c r="F100" s="11">
        <f>SUM(OFFSET(Q81,0,0,1,COUNTA(Q$3:AB$3)))</f>
        <v/>
      </c>
      <c r="G100" s="15">
        <f>IF(E100=0,"-",F100/E100-1)</f>
        <v/>
      </c>
    </row>
    <row r="101">
      <c r="A101" s="10" t="inlineStr">
        <is>
          <t>Adani</t>
        </is>
      </c>
      <c r="B101" s="11" t="n">
        <v>1679</v>
      </c>
      <c r="C101" s="11">
        <f>SUM(E82:P82)</f>
        <v/>
      </c>
      <c r="D101" s="15">
        <f>IF(B101=0,"-",C101/B101-1)</f>
        <v/>
      </c>
      <c r="E101" s="11">
        <f>SUM(OFFSET(E82,0,0,1,COUNTA(Q$3:AB$3)))</f>
        <v/>
      </c>
      <c r="F101" s="11">
        <f>SUM(OFFSET(Q82,0,0,1,COUNTA(Q$3:AB$3)))</f>
        <v/>
      </c>
      <c r="G101" s="15">
        <f>IF(E101=0,"-",F101/E101-1)</f>
        <v/>
      </c>
    </row>
    <row r="102">
      <c r="A102" s="10" t="inlineStr">
        <is>
          <t>FS India Solar</t>
        </is>
      </c>
      <c r="B102" s="11" t="n">
        <v>481</v>
      </c>
      <c r="C102" s="11">
        <f>SUM(E83:P83)</f>
        <v/>
      </c>
      <c r="D102" s="15">
        <f>IF(B102=0,"-",C102/B102-1)</f>
        <v/>
      </c>
      <c r="E102" s="11">
        <f>SUM(OFFSET(E83,0,0,1,COUNTA(Q$3:AB$3)))</f>
        <v/>
      </c>
      <c r="F102" s="11">
        <f>SUM(OFFSET(Q83,0,0,1,COUNTA(Q$3:AB$3)))</f>
        <v/>
      </c>
      <c r="G102" s="15">
        <f>IF(E102=0,"-",F102/E102-1)</f>
        <v/>
      </c>
    </row>
    <row r="103">
      <c r="A103" s="10" t="inlineStr">
        <is>
          <t>Waaree Energies</t>
        </is>
      </c>
      <c r="B103" s="11" t="n">
        <v>409</v>
      </c>
      <c r="C103" s="11">
        <f>SUM(E84:P84)</f>
        <v/>
      </c>
      <c r="D103" s="15">
        <f>IF(B103=0,"-",C103/B103-1)</f>
        <v/>
      </c>
      <c r="E103" s="11">
        <f>SUM(OFFSET(E84,0,0,1,COUNTA(Q$3:AB$3)))</f>
        <v/>
      </c>
      <c r="F103" s="11">
        <f>SUM(OFFSET(Q84,0,0,1,COUNTA(Q$3:AB$3)))</f>
        <v/>
      </c>
      <c r="G103" s="15">
        <f>IF(E103=0,"-",F103/E103-1)</f>
        <v/>
      </c>
    </row>
    <row r="104">
      <c r="A104" s="10" t="inlineStr">
        <is>
          <t>Premier Energies</t>
        </is>
      </c>
      <c r="B104" s="11" t="n">
        <v>940</v>
      </c>
      <c r="C104" s="11">
        <f>SUM(E85:P85)</f>
        <v/>
      </c>
      <c r="D104" s="15">
        <f>IF(B104=0,"-",C104/B104-1)</f>
        <v/>
      </c>
      <c r="E104" s="11">
        <f>SUM(OFFSET(E85,0,0,1,COUNTA(Q$3:AB$3)))</f>
        <v/>
      </c>
      <c r="F104" s="11">
        <f>SUM(OFFSET(Q85,0,0,1,COUNTA(Q$3:AB$3)))</f>
        <v/>
      </c>
      <c r="G104" s="15">
        <f>IF(E104=0,"-",F104/E104-1)</f>
        <v/>
      </c>
    </row>
    <row r="105">
      <c r="A105" s="10" t="inlineStr">
        <is>
          <t>Emmvee</t>
        </is>
      </c>
      <c r="B105" s="11" t="n">
        <v>438</v>
      </c>
      <c r="C105" s="11">
        <f>SUM(E86:P86)</f>
        <v/>
      </c>
      <c r="D105" s="15">
        <f>IF(B105=0,"-",C105/B105-1)</f>
        <v/>
      </c>
      <c r="E105" s="11">
        <f>SUM(OFFSET(E86,0,0,1,COUNTA(Q$3:AB$3)))</f>
        <v/>
      </c>
      <c r="F105" s="11">
        <f>SUM(OFFSET(Q86,0,0,1,COUNTA(Q$3:AB$3)))</f>
        <v/>
      </c>
      <c r="G105" s="15">
        <f>IF(E105=0,"-",F105/E105-1)</f>
        <v/>
      </c>
    </row>
    <row r="106">
      <c r="A106" s="10" t="inlineStr">
        <is>
          <t>Renew Photovoltaics</t>
        </is>
      </c>
      <c r="B106" s="11" t="n">
        <v>398</v>
      </c>
      <c r="C106" s="11">
        <f>SUM(E87:P87)</f>
        <v/>
      </c>
      <c r="D106" s="15">
        <f>IF(B106=0,"-",C106/B106-1)</f>
        <v/>
      </c>
      <c r="E106" s="11">
        <f>SUM(OFFSET(E87,0,0,1,COUNTA(Q$3:AB$3)))</f>
        <v/>
      </c>
      <c r="F106" s="11">
        <f>SUM(OFFSET(Q87,0,0,1,COUNTA(Q$3:AB$3)))</f>
        <v/>
      </c>
      <c r="G106" s="15">
        <f>IF(E106=0,"-",F106/E106-1)</f>
        <v/>
      </c>
    </row>
    <row r="107">
      <c r="A107" s="10" t="inlineStr">
        <is>
          <t>Alpex Solar</t>
        </is>
      </c>
      <c r="B107" s="11" t="n">
        <v>33</v>
      </c>
      <c r="C107" s="11">
        <f>SUM(E88:P88)</f>
        <v/>
      </c>
      <c r="D107" s="15">
        <f>IF(B107=0,"-",C107/B107-1)</f>
        <v/>
      </c>
      <c r="E107" s="11">
        <f>SUM(OFFSET(E88,0,0,1,COUNTA(Q$3:AB$3)))</f>
        <v/>
      </c>
      <c r="F107" s="11">
        <f>SUM(OFFSET(Q88,0,0,1,COUNTA(Q$3:AB$3)))</f>
        <v/>
      </c>
      <c r="G107" s="15">
        <f>IF(E107=0,"-",F107/E107-1)</f>
        <v/>
      </c>
    </row>
    <row r="108">
      <c r="A108" s="10" t="inlineStr">
        <is>
          <t>Fujiyama Power Systems</t>
        </is>
      </c>
      <c r="B108" s="11" t="n">
        <v>116</v>
      </c>
      <c r="C108" s="11">
        <f>SUM(E89:P89)</f>
        <v/>
      </c>
      <c r="D108" s="15">
        <f>IF(B108=0,"-",C108/B108-1)</f>
        <v/>
      </c>
      <c r="E108" s="11">
        <f>SUM(OFFSET(E89,0,0,1,COUNTA(Q$3:AB$3)))</f>
        <v/>
      </c>
      <c r="F108" s="11">
        <f>SUM(OFFSET(Q89,0,0,1,COUNTA(Q$3:AB$3)))</f>
        <v/>
      </c>
      <c r="G108" s="15">
        <f>IF(E108=0,"-",F108/E108-1)</f>
        <v/>
      </c>
    </row>
    <row r="109">
      <c r="A109" s="10" t="inlineStr">
        <is>
          <t>Rayzon Solar</t>
        </is>
      </c>
      <c r="B109" s="11" t="n">
        <v>160</v>
      </c>
      <c r="C109" s="11">
        <f>SUM(E90:P90)</f>
        <v/>
      </c>
      <c r="D109" s="15">
        <f>IF(B109=0,"-",C109/B109-1)</f>
        <v/>
      </c>
      <c r="E109" s="11">
        <f>SUM(OFFSET(E90,0,0,1,COUNTA(Q$3:AB$3)))</f>
        <v/>
      </c>
      <c r="F109" s="11">
        <f>SUM(OFFSET(Q90,0,0,1,COUNTA(Q$3:AB$3)))</f>
        <v/>
      </c>
      <c r="G109" s="15">
        <f>IF(E109=0,"-",F109/E109-1)</f>
        <v/>
      </c>
    </row>
    <row r="110">
      <c r="A110" s="10" t="inlineStr">
        <is>
          <t>Goldi Solar</t>
        </is>
      </c>
      <c r="B110" s="11" t="n">
        <v>48</v>
      </c>
      <c r="C110" s="11">
        <f>SUM(E91:P91)</f>
        <v/>
      </c>
      <c r="D110" s="15">
        <f>IF(B110=0,"-",C110/B110-1)</f>
        <v/>
      </c>
      <c r="E110" s="11">
        <f>SUM(OFFSET(E91,0,0,1,COUNTA(Q$3:AB$3)))</f>
        <v/>
      </c>
      <c r="F110" s="11">
        <f>SUM(OFFSET(Q91,0,0,1,COUNTA(Q$3:AB$3)))</f>
        <v/>
      </c>
      <c r="G110" s="15">
        <f>IF(E110=0,"-",F110/E110-1)</f>
        <v/>
      </c>
    </row>
    <row r="111">
      <c r="A111" s="10" t="inlineStr">
        <is>
          <t>Vikram Solar</t>
        </is>
      </c>
      <c r="B111" s="11" t="n">
        <v>71</v>
      </c>
      <c r="C111" s="11">
        <f>SUM(E92:P92)</f>
        <v/>
      </c>
      <c r="D111" s="15">
        <f>IF(B111=0,"-",C111/B111-1)</f>
        <v/>
      </c>
      <c r="E111" s="11">
        <f>SUM(OFFSET(E92,0,0,1,COUNTA(Q$3:AB$3)))</f>
        <v/>
      </c>
      <c r="F111" s="11">
        <f>SUM(OFFSET(Q92,0,0,1,COUNTA(Q$3:AB$3)))</f>
        <v/>
      </c>
      <c r="G111" s="15">
        <f>IF(E111=0,"-",F111/E111-1)</f>
        <v/>
      </c>
    </row>
    <row r="112">
      <c r="A112" s="10" t="inlineStr">
        <is>
          <t>Saatvik Green Energy</t>
        </is>
      </c>
      <c r="B112" s="11" t="n">
        <v>39</v>
      </c>
      <c r="C112" s="11">
        <f>SUM(E93:P93)</f>
        <v/>
      </c>
      <c r="D112" s="15">
        <f>IF(B112=0,"-",C112/B112-1)</f>
        <v/>
      </c>
      <c r="E112" s="11">
        <f>SUM(OFFSET(E93,0,0,1,COUNTA(Q$3:AB$3)))</f>
        <v/>
      </c>
      <c r="F112" s="11">
        <f>SUM(OFFSET(Q93,0,0,1,COUNTA(Q$3:AB$3)))</f>
        <v/>
      </c>
      <c r="G112" s="15">
        <f>IF(E112=0,"-",F112/E112-1)</f>
        <v/>
      </c>
    </row>
    <row r="113">
      <c r="A113" s="10" t="inlineStr">
        <is>
          <t>Others</t>
        </is>
      </c>
      <c r="B113" s="11" t="n">
        <v>1106</v>
      </c>
      <c r="C113" s="11">
        <f>SUM(E76:P76)-SUM(C100:C112)</f>
        <v/>
      </c>
      <c r="D113" s="15">
        <f>IF(B113=0,"-",C113/B113-1)</f>
        <v/>
      </c>
      <c r="E113" s="11">
        <f>SUM(OFFSET(E76,0,0,1,COUNTA(Q$3:AB$3)))-SUM(E100:E112)</f>
        <v/>
      </c>
      <c r="F113" s="11">
        <f>SUM(OFFSET(Q76,0,0,1,COUNTA(Q$3:AB$3)))-SUM(F100:F112)</f>
        <v/>
      </c>
      <c r="G113" s="15">
        <f>IF(E113=0,"-",F113/E113-1)</f>
        <v/>
      </c>
    </row>
    <row r="114">
      <c r="A114" s="12" t="inlineStr">
        <is>
          <t>Total</t>
        </is>
      </c>
      <c r="B114" s="13">
        <f>SUM(B100:B113)</f>
        <v/>
      </c>
      <c r="C114" s="13">
        <f>SUM(C100:C113)</f>
        <v/>
      </c>
      <c r="D114" s="16">
        <f>IF(B114=0,"-",C114/B114-1)</f>
        <v/>
      </c>
      <c r="E114" s="13">
        <f>SUM(E100:E113)</f>
        <v/>
      </c>
      <c r="F114" s="13">
        <f>SUM(F100:F113)</f>
        <v/>
      </c>
      <c r="G114" s="16">
        <f>IF(E114=0,"-",F114/E114-1)</f>
        <v/>
      </c>
    </row>
    <row r="116">
      <c r="A116" s="17" t="inlineStr">
        <is>
          <t>Solar Moules Sold</t>
        </is>
      </c>
      <c r="B116" s="18" t="inlineStr">
        <is>
          <t>FY23</t>
        </is>
      </c>
      <c r="C116" s="18" t="inlineStr">
        <is>
          <t>FY24</t>
        </is>
      </c>
      <c r="D116" s="18" t="inlineStr">
        <is>
          <t>FY25</t>
        </is>
      </c>
      <c r="E116" s="18" t="inlineStr">
        <is>
          <t>FY26</t>
        </is>
      </c>
    </row>
    <row r="117">
      <c r="B117" s="19">
        <f>[1]DCR!R101</f>
        <v/>
      </c>
      <c r="C117" s="19">
        <f>[1]DCR!S101</f>
        <v/>
      </c>
      <c r="D117" s="19">
        <f>+B114/1000</f>
        <v/>
      </c>
      <c r="E117" s="19">
        <f>+C114/1000</f>
        <v/>
      </c>
    </row>
    <row r="119">
      <c r="A119" s="17" t="inlineStr">
        <is>
          <t>Solar Moules Sold</t>
        </is>
      </c>
      <c r="B119" s="18" t="inlineStr">
        <is>
          <t>YTDFY26</t>
        </is>
      </c>
      <c r="C119" s="18" t="inlineStr">
        <is>
          <t>YTDFY27</t>
        </is>
      </c>
    </row>
    <row r="120">
      <c r="B120" s="20">
        <f>+E114/1000</f>
        <v/>
      </c>
      <c r="C120" s="20">
        <f>+F114/1000</f>
        <v/>
      </c>
    </row>
  </sheetData>
  <mergeCells count="6">
    <mergeCell ref="B2:M2"/>
    <mergeCell ref="A79:A80"/>
    <mergeCell ref="N2:V2"/>
    <mergeCell ref="N79:V79"/>
    <mergeCell ref="A2:A3"/>
    <mergeCell ref="B79:M79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V60"/>
  <sheetViews>
    <sheetView showGridLines="0" tabSelected="1" workbookViewId="0">
      <pane xSplit="1" ySplit="4" topLeftCell="B41" activePane="bottomRight" state="frozen"/>
      <selection pane="topRight" activeCell="A1" sqref="A1"/>
      <selection pane="bottomLeft" activeCell="A1" sqref="A1"/>
      <selection pane="bottomRight" activeCell="M54" sqref="M54"/>
    </sheetView>
  </sheetViews>
  <sheetFormatPr baseColWidth="8" defaultRowHeight="15"/>
  <cols>
    <col width="47.140625" bestFit="1" customWidth="1" min="1" max="1"/>
    <col width="12.7109375" customWidth="1" min="2" max="19"/>
    <col width="13" customWidth="1" min="18" max="18"/>
    <col width="13" customWidth="1" min="19" max="19"/>
    <col width="13" customWidth="1" min="20" max="20"/>
  </cols>
  <sheetData>
    <row r="3">
      <c r="A3" s="26" t="inlineStr">
        <is>
          <t>Company</t>
        </is>
      </c>
      <c r="B3" s="26" t="inlineStr">
        <is>
          <t>2025 (MW)</t>
        </is>
      </c>
      <c r="C3" s="35" t="n"/>
      <c r="D3" s="35" t="n"/>
      <c r="E3" s="35" t="n"/>
      <c r="F3" s="35" t="n"/>
      <c r="G3" s="35" t="n"/>
      <c r="H3" s="35" t="n"/>
      <c r="I3" s="35" t="n"/>
      <c r="J3" s="35" t="n"/>
      <c r="K3" s="35" t="n"/>
      <c r="L3" s="35" t="n"/>
      <c r="M3" s="36" t="n"/>
      <c r="N3" s="26" t="inlineStr">
        <is>
          <t>2026 (MW)</t>
        </is>
      </c>
      <c r="O3" s="35" t="n"/>
      <c r="P3" s="35" t="n"/>
      <c r="Q3" s="35" t="n"/>
      <c r="R3" s="35" t="n"/>
      <c r="S3" s="35" t="n"/>
      <c r="T3" s="35" t="n"/>
      <c r="U3" s="35" t="n"/>
      <c r="V3" s="36" t="n"/>
    </row>
    <row r="4">
      <c r="A4" s="37" t="n"/>
      <c r="B4" s="26" t="inlineStr">
        <is>
          <t>Jan</t>
        </is>
      </c>
      <c r="C4" s="26" t="inlineStr">
        <is>
          <t>Feb</t>
        </is>
      </c>
      <c r="D4" s="26" t="inlineStr">
        <is>
          <t>Mar</t>
        </is>
      </c>
      <c r="E4" s="26" t="inlineStr">
        <is>
          <t>Apr</t>
        </is>
      </c>
      <c r="F4" s="26" t="inlineStr">
        <is>
          <t>May</t>
        </is>
      </c>
      <c r="G4" s="26" t="inlineStr">
        <is>
          <t>Jun</t>
        </is>
      </c>
      <c r="H4" s="26" t="inlineStr">
        <is>
          <t>Jul</t>
        </is>
      </c>
      <c r="I4" s="26" t="inlineStr">
        <is>
          <t>Aug</t>
        </is>
      </c>
      <c r="J4" s="26" t="inlineStr">
        <is>
          <t>Sep</t>
        </is>
      </c>
      <c r="K4" s="26" t="inlineStr">
        <is>
          <t>Oct</t>
        </is>
      </c>
      <c r="L4" s="26" t="inlineStr">
        <is>
          <t>Nov</t>
        </is>
      </c>
      <c r="M4" s="26" t="inlineStr">
        <is>
          <t>Dec</t>
        </is>
      </c>
      <c r="N4" s="26" t="inlineStr">
        <is>
          <t>Jan</t>
        </is>
      </c>
      <c r="O4" s="26" t="inlineStr">
        <is>
          <t>Feb</t>
        </is>
      </c>
      <c r="P4" s="26" t="inlineStr">
        <is>
          <t>Mar</t>
        </is>
      </c>
      <c r="Q4" s="26" t="inlineStr">
        <is>
          <t>Apr</t>
        </is>
      </c>
      <c r="R4" s="26" t="inlineStr">
        <is>
          <t>May</t>
        </is>
      </c>
      <c r="S4" s="26" t="inlineStr">
        <is>
          <t>Jun</t>
        </is>
      </c>
      <c r="T4" s="26" t="inlineStr">
        <is>
          <t>Jul</t>
        </is>
      </c>
      <c r="U4" s="26" t="inlineStr">
        <is>
          <t>Aug</t>
        </is>
      </c>
      <c r="V4" s="26" t="inlineStr">
        <is>
          <t>Sep</t>
        </is>
      </c>
    </row>
    <row r="5">
      <c r="A5" s="3" t="inlineStr">
        <is>
          <t>Emmvee Energy Private Limited</t>
        </is>
      </c>
      <c r="B5" s="4" t="n">
        <v>0</v>
      </c>
      <c r="C5" s="4" t="n">
        <v>0</v>
      </c>
      <c r="D5" s="4" t="n">
        <v>61.74</v>
      </c>
      <c r="E5" s="4" t="n">
        <v>6.84</v>
      </c>
      <c r="F5" s="4" t="n">
        <v>11.87</v>
      </c>
      <c r="G5" s="4" t="n">
        <v>26.55</v>
      </c>
      <c r="H5" s="4" t="n">
        <v>28.23</v>
      </c>
      <c r="I5" s="4" t="n">
        <v>16.46</v>
      </c>
      <c r="J5" s="4" t="n">
        <v>7.64</v>
      </c>
      <c r="K5" s="4" t="n">
        <v>4.06</v>
      </c>
      <c r="L5" s="4" t="n">
        <v>6.56</v>
      </c>
      <c r="M5" s="4" t="n">
        <v>20.51</v>
      </c>
      <c r="N5" s="4" t="n">
        <v>29.67</v>
      </c>
      <c r="O5" s="4" t="n">
        <v>32.47</v>
      </c>
      <c r="P5" s="4" t="n">
        <v>37.83</v>
      </c>
      <c r="Q5" s="4" t="n">
        <v>60.56</v>
      </c>
      <c r="R5" s="4" t="n">
        <v>96.43000000000001</v>
      </c>
      <c r="S5" s="4" t="n">
        <v>133.4</v>
      </c>
      <c r="T5" s="4" t="n">
        <v>143.37</v>
      </c>
      <c r="U5" s="4" t="n">
        <v>119.03</v>
      </c>
      <c r="V5" s="4" t="n">
        <v>168.4</v>
      </c>
    </row>
    <row r="6">
      <c r="A6" s="3" t="inlineStr">
        <is>
          <t>Evervolt Solar Technology India Private Limited</t>
        </is>
      </c>
      <c r="B6" s="4" t="n">
        <v>0</v>
      </c>
      <c r="C6" s="4" t="n">
        <v>0</v>
      </c>
      <c r="D6" s="4" t="n">
        <v>0</v>
      </c>
      <c r="E6" s="4" t="n">
        <v>5.22</v>
      </c>
      <c r="F6" s="4" t="n">
        <v>6.97</v>
      </c>
      <c r="G6" s="4" t="n">
        <v>27.79</v>
      </c>
      <c r="H6" s="4" t="n">
        <v>37.81</v>
      </c>
      <c r="I6" s="4" t="n">
        <v>23.13</v>
      </c>
      <c r="J6" s="4" t="n">
        <v>42.93</v>
      </c>
      <c r="K6" s="4" t="n">
        <v>34.68</v>
      </c>
      <c r="L6" s="4" t="n">
        <v>18.93</v>
      </c>
      <c r="M6" s="4" t="n">
        <v>22.11</v>
      </c>
      <c r="N6" s="4" t="n">
        <v>26.34</v>
      </c>
      <c r="O6" s="4" t="n">
        <v>40.31</v>
      </c>
      <c r="P6" s="4" t="n">
        <v>77.48999999999999</v>
      </c>
      <c r="Q6" s="4" t="n">
        <v>7.62</v>
      </c>
      <c r="R6" s="4" t="n">
        <v>20.1</v>
      </c>
      <c r="S6" s="4" t="n">
        <v>82.34</v>
      </c>
      <c r="T6" s="4" t="n">
        <v>75.12</v>
      </c>
      <c r="U6" s="4" t="n">
        <v>44.98</v>
      </c>
      <c r="V6" s="4" t="n">
        <v>40.14</v>
      </c>
    </row>
    <row r="7">
      <c r="A7" s="3" t="inlineStr">
        <is>
          <t>FS India Solar Ventures Private Limited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</row>
    <row r="8">
      <c r="A8" s="3" t="inlineStr">
        <is>
          <t>Fujiyama Power Systems Limited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0.85</v>
      </c>
      <c r="N8" s="4" t="n">
        <v>5.64</v>
      </c>
      <c r="O8" s="4" t="n">
        <v>2.97</v>
      </c>
      <c r="P8" s="4" t="n">
        <v>8.970000000000001</v>
      </c>
      <c r="Q8" s="4" t="n">
        <v>6.32</v>
      </c>
      <c r="R8" s="4" t="n">
        <v>5.54</v>
      </c>
      <c r="S8" s="4" t="n">
        <v>2.19</v>
      </c>
      <c r="T8" s="4" t="n">
        <v>0</v>
      </c>
      <c r="U8" s="4" t="n">
        <v>8.19</v>
      </c>
      <c r="V8" s="4" t="n">
        <v>6.45</v>
      </c>
    </row>
    <row r="9">
      <c r="A9" s="3" t="inlineStr">
        <is>
          <t>Jupiter International Limited</t>
        </is>
      </c>
      <c r="B9" s="4" t="n">
        <v>37.07</v>
      </c>
      <c r="C9" s="4" t="n">
        <v>32.89</v>
      </c>
      <c r="D9" s="4" t="n">
        <v>48.92</v>
      </c>
      <c r="E9" s="4" t="n">
        <v>53.56</v>
      </c>
      <c r="F9" s="4" t="n">
        <v>60.1</v>
      </c>
      <c r="G9" s="4" t="n">
        <v>55.09</v>
      </c>
      <c r="H9" s="4" t="n">
        <v>60.04</v>
      </c>
      <c r="I9" s="4" t="n">
        <v>57.38</v>
      </c>
      <c r="J9" s="4" t="n">
        <v>62.5</v>
      </c>
      <c r="K9" s="4" t="n">
        <v>47.11</v>
      </c>
      <c r="L9" s="4" t="n">
        <v>29.84</v>
      </c>
      <c r="M9" s="4" t="n">
        <v>43.6</v>
      </c>
      <c r="N9" s="4" t="n">
        <v>86.77</v>
      </c>
      <c r="O9" s="4" t="n">
        <v>63</v>
      </c>
      <c r="P9" s="4" t="n">
        <v>83.56</v>
      </c>
      <c r="Q9" s="4" t="n">
        <v>97.61</v>
      </c>
      <c r="R9" s="4" t="n">
        <v>66.90000000000001</v>
      </c>
      <c r="S9" s="4" t="n">
        <v>73.15000000000001</v>
      </c>
      <c r="T9" s="4" t="n">
        <v>80.27</v>
      </c>
      <c r="U9" s="4" t="n">
        <v>66.56</v>
      </c>
      <c r="V9" s="4" t="n">
        <v>59.32</v>
      </c>
    </row>
    <row r="10">
      <c r="A10" s="3" t="inlineStr">
        <is>
          <t>Jupiter Solartech Private Limited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12.07</v>
      </c>
      <c r="R10" s="4" t="n">
        <v>50.88</v>
      </c>
      <c r="S10" s="4" t="n">
        <v>69.90000000000001</v>
      </c>
      <c r="T10" s="4" t="n">
        <v>77.83</v>
      </c>
      <c r="U10" s="4" t="n">
        <v>82.94</v>
      </c>
      <c r="V10" s="4" t="n">
        <v>70.04000000000001</v>
      </c>
    </row>
    <row r="11">
      <c r="A11" s="3" t="inlineStr">
        <is>
          <t>Mundra Solar Energy Limited</t>
        </is>
      </c>
      <c r="B11" s="4" t="n">
        <v>11.08</v>
      </c>
      <c r="C11" s="4" t="n">
        <v>3.18</v>
      </c>
      <c r="D11" s="4" t="n">
        <v>13.87</v>
      </c>
      <c r="E11" s="4" t="n">
        <v>8.24</v>
      </c>
      <c r="F11" s="4" t="n">
        <v>26.36</v>
      </c>
      <c r="G11" s="4" t="n">
        <v>13.69</v>
      </c>
      <c r="H11" s="4" t="n">
        <v>9.699999999999999</v>
      </c>
      <c r="I11" s="4" t="n">
        <v>10.94</v>
      </c>
      <c r="J11" s="4" t="n">
        <v>6.7</v>
      </c>
      <c r="K11" s="4" t="n">
        <v>3.81</v>
      </c>
      <c r="L11" s="4" t="n">
        <v>3.81</v>
      </c>
      <c r="M11" s="4" t="n">
        <v>0</v>
      </c>
      <c r="N11" s="4" t="n">
        <v>7.2</v>
      </c>
      <c r="O11" s="4" t="n">
        <v>9.460000000000001</v>
      </c>
      <c r="P11" s="4" t="n">
        <v>7.19</v>
      </c>
      <c r="Q11" s="4" t="n">
        <v>0</v>
      </c>
      <c r="R11" s="4" t="n">
        <v>9.460000000000001</v>
      </c>
      <c r="S11" s="4" t="n">
        <v>0</v>
      </c>
      <c r="T11" s="4" t="n">
        <v>0</v>
      </c>
      <c r="U11" s="4" t="n">
        <v>0</v>
      </c>
      <c r="V11" s="4" t="n">
        <v>0</v>
      </c>
    </row>
    <row r="12">
      <c r="A12" s="3" t="inlineStr">
        <is>
          <t>Mundra Solar PV Limited</t>
        </is>
      </c>
      <c r="B12" s="4" t="n">
        <v>47.48</v>
      </c>
      <c r="C12" s="4" t="n">
        <v>22.28</v>
      </c>
      <c r="D12" s="4" t="n">
        <v>86.98</v>
      </c>
      <c r="E12" s="4" t="n">
        <v>4.94</v>
      </c>
      <c r="F12" s="4" t="n">
        <v>50.61</v>
      </c>
      <c r="G12" s="4" t="n">
        <v>60.15</v>
      </c>
      <c r="H12" s="4" t="n">
        <v>19.03</v>
      </c>
      <c r="I12" s="4" t="n">
        <v>25.85</v>
      </c>
      <c r="J12" s="4" t="n">
        <v>40.25</v>
      </c>
      <c r="K12" s="4" t="n">
        <v>0</v>
      </c>
      <c r="L12" s="4" t="n">
        <v>0</v>
      </c>
      <c r="M12" s="4" t="n">
        <v>0</v>
      </c>
      <c r="N12" s="4" t="n">
        <v>103.61</v>
      </c>
      <c r="O12" s="4" t="n">
        <v>218.26</v>
      </c>
      <c r="P12" s="4" t="n">
        <v>176.27</v>
      </c>
      <c r="Q12" s="4" t="n">
        <v>150.59</v>
      </c>
      <c r="R12" s="4" t="n">
        <v>30.05</v>
      </c>
      <c r="S12" s="4" t="n">
        <v>0</v>
      </c>
      <c r="T12" s="4" t="n">
        <v>0</v>
      </c>
      <c r="U12" s="4" t="n">
        <v>0</v>
      </c>
      <c r="V12" s="4" t="n">
        <v>1.99</v>
      </c>
    </row>
    <row r="13">
      <c r="A13" s="3" t="inlineStr">
        <is>
          <t>Premier Energies International Private Limited</t>
        </is>
      </c>
      <c r="B13" s="4" t="n">
        <v>76.63</v>
      </c>
      <c r="C13" s="4" t="n">
        <v>60.09</v>
      </c>
      <c r="D13" s="4" t="n">
        <v>49.08</v>
      </c>
      <c r="E13" s="4" t="n">
        <v>36.28</v>
      </c>
      <c r="F13" s="4" t="n">
        <v>107.66</v>
      </c>
      <c r="G13" s="4" t="n">
        <v>98.95999999999999</v>
      </c>
      <c r="H13" s="4" t="n">
        <v>57.99</v>
      </c>
      <c r="I13" s="4" t="n">
        <v>109.55</v>
      </c>
      <c r="J13" s="4" t="n">
        <v>109.22</v>
      </c>
      <c r="K13" s="4" t="n">
        <v>77.37</v>
      </c>
      <c r="L13" s="4" t="n">
        <v>51.03</v>
      </c>
      <c r="M13" s="4" t="n">
        <v>78.01000000000001</v>
      </c>
      <c r="N13" s="4" t="n">
        <v>15.59</v>
      </c>
      <c r="O13" s="4" t="n">
        <v>52.14</v>
      </c>
      <c r="P13" s="4" t="n">
        <v>117.93</v>
      </c>
      <c r="Q13" s="4" t="n">
        <v>120.44</v>
      </c>
      <c r="R13" s="4" t="n">
        <v>72.73</v>
      </c>
      <c r="S13" s="4" t="n">
        <v>128.39</v>
      </c>
      <c r="T13" s="4" t="n">
        <v>134.68</v>
      </c>
      <c r="U13" s="4" t="n">
        <v>117.61</v>
      </c>
      <c r="V13" s="4" t="n">
        <v>143.94</v>
      </c>
    </row>
    <row r="14">
      <c r="A14" s="3" t="inlineStr">
        <is>
          <t>Premier Energies Photovoltaic Private Limited</t>
        </is>
      </c>
      <c r="B14" s="4" t="n">
        <v>47.66</v>
      </c>
      <c r="C14" s="4" t="n">
        <v>39.52</v>
      </c>
      <c r="D14" s="4" t="n">
        <v>14.69</v>
      </c>
      <c r="E14" s="4" t="n">
        <v>29.75</v>
      </c>
      <c r="F14" s="4" t="n">
        <v>37.04</v>
      </c>
      <c r="G14" s="4" t="n">
        <v>40</v>
      </c>
      <c r="H14" s="4" t="n">
        <v>31.45</v>
      </c>
      <c r="I14" s="4" t="n">
        <v>57.17</v>
      </c>
      <c r="J14" s="4" t="n">
        <v>59</v>
      </c>
      <c r="K14" s="4" t="n">
        <v>27.33</v>
      </c>
      <c r="L14" s="4" t="n">
        <v>19.2</v>
      </c>
      <c r="M14" s="4" t="n">
        <v>37.39</v>
      </c>
      <c r="N14" s="4" t="n">
        <v>53.04</v>
      </c>
      <c r="O14" s="4" t="n">
        <v>122.74</v>
      </c>
      <c r="P14" s="4" t="n">
        <v>88.06999999999999</v>
      </c>
      <c r="Q14" s="4" t="n">
        <v>100.48</v>
      </c>
      <c r="R14" s="4" t="n">
        <v>116.2</v>
      </c>
      <c r="S14" s="4" t="n">
        <v>187.48</v>
      </c>
      <c r="T14" s="4" t="n">
        <v>194.68</v>
      </c>
      <c r="U14" s="4" t="n">
        <v>127.22</v>
      </c>
      <c r="V14" s="4" t="n">
        <v>159.81</v>
      </c>
    </row>
    <row r="15">
      <c r="A15" s="3" t="inlineStr">
        <is>
          <t>Renew Photovoltaics Private Limited</t>
        </is>
      </c>
      <c r="B15" s="4" t="n">
        <v>10.15</v>
      </c>
      <c r="C15" s="4" t="n">
        <v>11.03</v>
      </c>
      <c r="D15" s="4" t="n">
        <v>14.89</v>
      </c>
      <c r="E15" s="4" t="n">
        <v>17.33</v>
      </c>
      <c r="F15" s="4" t="n">
        <v>50.87</v>
      </c>
      <c r="G15" s="4" t="n">
        <v>73.15000000000001</v>
      </c>
      <c r="H15" s="4" t="n">
        <v>65.89</v>
      </c>
      <c r="I15" s="4" t="n">
        <v>66.25</v>
      </c>
      <c r="J15" s="4" t="n">
        <v>46.08</v>
      </c>
      <c r="K15" s="4" t="n">
        <v>27.91</v>
      </c>
      <c r="L15" s="4" t="n">
        <v>20.54</v>
      </c>
      <c r="M15" s="4" t="n">
        <v>58.16</v>
      </c>
      <c r="N15" s="4" t="n">
        <v>137.16</v>
      </c>
      <c r="O15" s="4" t="n">
        <v>122.51</v>
      </c>
      <c r="P15" s="4" t="n">
        <v>93.93000000000001</v>
      </c>
      <c r="Q15" s="4" t="n">
        <v>25.26</v>
      </c>
      <c r="R15" s="4" t="n">
        <v>84.84999999999999</v>
      </c>
      <c r="S15" s="4" t="n">
        <v>133.96</v>
      </c>
      <c r="T15" s="4" t="n">
        <v>89.68000000000001</v>
      </c>
      <c r="U15" s="4" t="n">
        <v>94.79000000000001</v>
      </c>
      <c r="V15" s="4" t="n">
        <v>73.51000000000001</v>
      </c>
    </row>
    <row r="16">
      <c r="A16" s="3" t="inlineStr">
        <is>
          <t>Renewsys India Private Limited</t>
        </is>
      </c>
      <c r="B16" s="4" t="n">
        <v>1.68</v>
      </c>
      <c r="C16" s="4" t="n">
        <v>0.22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0.02</v>
      </c>
      <c r="Q16" s="4" t="n">
        <v>2.19</v>
      </c>
      <c r="R16" s="4" t="n">
        <v>20.09</v>
      </c>
      <c r="S16" s="4" t="n">
        <v>15.82</v>
      </c>
      <c r="T16" s="4" t="n">
        <v>19.81</v>
      </c>
      <c r="U16" s="4" t="n">
        <v>22.46</v>
      </c>
      <c r="V16" s="4" t="n">
        <v>27.04</v>
      </c>
    </row>
    <row r="17">
      <c r="A17" s="3" t="inlineStr">
        <is>
          <t>Tata Power Renewable Energy Limited</t>
        </is>
      </c>
      <c r="B17" s="4" t="n">
        <v>3.38</v>
      </c>
      <c r="C17" s="4" t="n">
        <v>6.54</v>
      </c>
      <c r="D17" s="4" t="n">
        <v>8.82</v>
      </c>
      <c r="E17" s="4" t="n">
        <v>0</v>
      </c>
      <c r="F17" s="4" t="n">
        <v>0</v>
      </c>
      <c r="G17" s="4" t="n">
        <v>3.06</v>
      </c>
      <c r="H17" s="4" t="n">
        <v>3.52</v>
      </c>
      <c r="I17" s="4" t="n">
        <v>0</v>
      </c>
      <c r="J17" s="4" t="n">
        <v>2.06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3.07</v>
      </c>
      <c r="P17" s="4" t="n">
        <v>2.32</v>
      </c>
      <c r="Q17" s="4" t="n">
        <v>0</v>
      </c>
      <c r="R17" s="4" t="n">
        <v>0</v>
      </c>
      <c r="S17" s="4" t="n">
        <v>3</v>
      </c>
      <c r="T17" s="4" t="n">
        <v>0</v>
      </c>
      <c r="U17" s="4" t="n">
        <v>2.33</v>
      </c>
      <c r="V17" s="4" t="n">
        <v>1.18</v>
      </c>
    </row>
    <row r="18">
      <c r="A18" s="3" t="inlineStr">
        <is>
          <t>TP Solar Limited</t>
        </is>
      </c>
      <c r="B18" s="4" t="n">
        <v>1.34</v>
      </c>
      <c r="C18" s="4" t="n">
        <v>1.99</v>
      </c>
      <c r="D18" s="4" t="n">
        <v>28.69</v>
      </c>
      <c r="E18" s="4" t="n">
        <v>0</v>
      </c>
      <c r="F18" s="4" t="n">
        <v>18.53</v>
      </c>
      <c r="G18" s="4" t="n">
        <v>18.94</v>
      </c>
      <c r="H18" s="4" t="n">
        <v>29.63</v>
      </c>
      <c r="I18" s="4" t="n">
        <v>12.84</v>
      </c>
      <c r="J18" s="4" t="n">
        <v>23</v>
      </c>
      <c r="K18" s="4" t="n">
        <v>15.81</v>
      </c>
      <c r="L18" s="4" t="n">
        <v>6.95</v>
      </c>
      <c r="M18" s="4" t="n">
        <v>19.27</v>
      </c>
      <c r="N18" s="4" t="n">
        <v>38.87</v>
      </c>
      <c r="O18" s="4" t="n">
        <v>79.87</v>
      </c>
      <c r="P18" s="4" t="n">
        <v>193.85</v>
      </c>
      <c r="Q18" s="4" t="n">
        <v>49.68</v>
      </c>
      <c r="R18" s="4" t="n">
        <v>190.05</v>
      </c>
      <c r="S18" s="4" t="n">
        <v>248.65</v>
      </c>
      <c r="T18" s="4" t="n">
        <v>171.51</v>
      </c>
      <c r="U18" s="4" t="n">
        <v>147.68</v>
      </c>
      <c r="V18" s="4" t="n">
        <v>187.21</v>
      </c>
    </row>
    <row r="19">
      <c r="A19" s="3" t="inlineStr">
        <is>
          <t>Waaree Energies Limited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44</v>
      </c>
      <c r="J19" s="4" t="n">
        <v>46.88</v>
      </c>
      <c r="K19" s="4" t="n">
        <v>45.04</v>
      </c>
      <c r="L19" s="4" t="n">
        <v>92.95999999999999</v>
      </c>
      <c r="M19" s="4" t="n">
        <v>45.33</v>
      </c>
      <c r="N19" s="4" t="n">
        <v>43.24</v>
      </c>
      <c r="O19" s="4" t="n">
        <v>12.37</v>
      </c>
      <c r="P19" s="4" t="n">
        <v>62.68</v>
      </c>
      <c r="Q19" s="4" t="n">
        <v>64.04000000000001</v>
      </c>
      <c r="R19" s="4" t="n">
        <v>35.51</v>
      </c>
      <c r="S19" s="4" t="n">
        <v>17.38</v>
      </c>
      <c r="T19" s="4" t="n">
        <v>0</v>
      </c>
      <c r="U19" s="4" t="n">
        <v>0</v>
      </c>
      <c r="V19" s="4" t="n">
        <v>0</v>
      </c>
    </row>
    <row r="20">
      <c r="A20" s="3" t="inlineStr">
        <is>
          <t>Websol Energy System Limited</t>
        </is>
      </c>
      <c r="B20" s="4" t="n">
        <v>37.17</v>
      </c>
      <c r="C20" s="4" t="n">
        <v>37.03</v>
      </c>
      <c r="D20" s="4" t="n">
        <v>36.21</v>
      </c>
      <c r="E20" s="4" t="n">
        <v>36.37</v>
      </c>
      <c r="F20" s="4" t="n">
        <v>29.8</v>
      </c>
      <c r="G20" s="4" t="n">
        <v>35.75</v>
      </c>
      <c r="H20" s="4" t="n">
        <v>13.72</v>
      </c>
      <c r="I20" s="4" t="n">
        <v>27.11</v>
      </c>
      <c r="J20" s="4" t="n">
        <v>46.77</v>
      </c>
      <c r="K20" s="4" t="n">
        <v>10.17</v>
      </c>
      <c r="L20" s="4" t="n">
        <v>27.56</v>
      </c>
      <c r="M20" s="4" t="n">
        <v>78.84999999999999</v>
      </c>
      <c r="N20" s="4" t="n">
        <v>28.6</v>
      </c>
      <c r="O20" s="4" t="n">
        <v>50.21</v>
      </c>
      <c r="P20" s="4" t="n">
        <v>82.36</v>
      </c>
      <c r="Q20" s="4" t="n">
        <v>11.17</v>
      </c>
      <c r="R20" s="4" t="n">
        <v>27.3</v>
      </c>
      <c r="S20" s="4" t="n">
        <v>114.79</v>
      </c>
      <c r="T20" s="4" t="n">
        <v>50.33</v>
      </c>
      <c r="U20" s="4" t="n">
        <v>45.47</v>
      </c>
      <c r="V20" s="4" t="n">
        <v>78.39</v>
      </c>
    </row>
    <row r="21">
      <c r="A21" s="3" t="inlineStr">
        <is>
          <t>Avaada Electro Limited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13.99</v>
      </c>
      <c r="V21" s="4" t="n">
        <v>220.36</v>
      </c>
    </row>
    <row r="22">
      <c r="A22" s="27" t="inlineStr">
        <is>
          <t>TOTAL</t>
        </is>
      </c>
      <c r="B22" s="28">
        <f>SUM(B5:B21)</f>
        <v/>
      </c>
      <c r="C22" s="28">
        <f>SUM(C5:C21)</f>
        <v/>
      </c>
      <c r="D22" s="28">
        <f>SUM(D5:D21)</f>
        <v/>
      </c>
      <c r="E22" s="28">
        <f>SUM(E5:E21)</f>
        <v/>
      </c>
      <c r="F22" s="28">
        <f>SUM(F5:F21)</f>
        <v/>
      </c>
      <c r="G22" s="28">
        <f>SUM(G5:G21)</f>
        <v/>
      </c>
      <c r="H22" s="28">
        <f>SUM(H5:H21)</f>
        <v/>
      </c>
      <c r="I22" s="28">
        <f>SUM(I5:I21)</f>
        <v/>
      </c>
      <c r="J22" s="28">
        <f>SUM(J5:J21)</f>
        <v/>
      </c>
      <c r="K22" s="28">
        <f>SUM(K5:K21)</f>
        <v/>
      </c>
      <c r="L22" s="28">
        <f>SUM(L5:L21)</f>
        <v/>
      </c>
      <c r="M22" s="28">
        <f>SUM(M5:M21)</f>
        <v/>
      </c>
      <c r="N22" s="28">
        <f>SUM(N5:N21)</f>
        <v/>
      </c>
      <c r="O22" s="28">
        <f>SUM(O5:O21)</f>
        <v/>
      </c>
      <c r="P22" s="28">
        <f>SUM(P5:P21)</f>
        <v/>
      </c>
      <c r="Q22" s="28">
        <f>SUM(Q5:Q21)</f>
        <v/>
      </c>
      <c r="R22" s="28">
        <f>SUM(R5:R21)</f>
        <v/>
      </c>
      <c r="S22" s="28">
        <f>SUM(S5:S21)</f>
        <v/>
      </c>
      <c r="T22" s="28">
        <f>SUM(T5:T21)</f>
        <v/>
      </c>
      <c r="U22" s="28">
        <f>SUM(U5:U21)</f>
        <v/>
      </c>
      <c r="V22" s="28">
        <f>SUM(V5:V21)</f>
        <v/>
      </c>
    </row>
    <row r="23"/>
    <row r="24" ht="17.25" customHeight="1"/>
    <row r="25">
      <c r="A25" s="29" t="inlineStr">
        <is>
          <t>Summary — Key Players (MW)</t>
        </is>
      </c>
    </row>
    <row r="26">
      <c r="A26" s="31" t="inlineStr">
        <is>
          <t>Player</t>
        </is>
      </c>
      <c r="B26" s="31" t="inlineStr">
        <is>
          <t>2025 (MW)</t>
        </is>
      </c>
      <c r="N26" s="31" t="inlineStr">
        <is>
          <t>2026 (MW)</t>
        </is>
      </c>
    </row>
    <row r="27">
      <c r="B27" s="31" t="inlineStr">
        <is>
          <t>Jan</t>
        </is>
      </c>
      <c r="C27" s="31" t="inlineStr">
        <is>
          <t>Feb</t>
        </is>
      </c>
      <c r="D27" s="31" t="inlineStr">
        <is>
          <t>Mar</t>
        </is>
      </c>
      <c r="E27" s="31" t="inlineStr">
        <is>
          <t>Apr</t>
        </is>
      </c>
      <c r="F27" s="31" t="inlineStr">
        <is>
          <t>May</t>
        </is>
      </c>
      <c r="G27" s="31" t="inlineStr">
        <is>
          <t>Jun</t>
        </is>
      </c>
      <c r="H27" s="31" t="inlineStr">
        <is>
          <t>Jul</t>
        </is>
      </c>
      <c r="I27" s="31" t="inlineStr">
        <is>
          <t>Aug</t>
        </is>
      </c>
      <c r="J27" s="31" t="inlineStr">
        <is>
          <t>Sep</t>
        </is>
      </c>
      <c r="K27" s="31" t="inlineStr">
        <is>
          <t>Oct</t>
        </is>
      </c>
      <c r="L27" s="31" t="inlineStr">
        <is>
          <t>Nov</t>
        </is>
      </c>
      <c r="M27" s="31" t="inlineStr">
        <is>
          <t>Dec</t>
        </is>
      </c>
      <c r="N27" s="31" t="inlineStr">
        <is>
          <t>Jan</t>
        </is>
      </c>
      <c r="O27" s="31" t="inlineStr">
        <is>
          <t>Feb</t>
        </is>
      </c>
      <c r="P27" s="31" t="inlineStr">
        <is>
          <t>Mar</t>
        </is>
      </c>
      <c r="Q27" s="31" t="inlineStr">
        <is>
          <t>Apr</t>
        </is>
      </c>
      <c r="R27" s="31" t="inlineStr">
        <is>
          <t>May</t>
        </is>
      </c>
      <c r="S27" s="31" t="inlineStr">
        <is>
          <t>Jun</t>
        </is>
      </c>
      <c r="T27" s="31" t="inlineStr">
        <is>
          <t>Jul</t>
        </is>
      </c>
      <c r="U27" s="31" t="inlineStr">
        <is>
          <t>Aug</t>
        </is>
      </c>
      <c r="V27" s="31" t="inlineStr">
        <is>
          <t>Sep</t>
        </is>
      </c>
    </row>
    <row r="28">
      <c r="A28" s="3" t="inlineStr">
        <is>
          <t>Tata Power</t>
        </is>
      </c>
      <c r="B28" s="4">
        <f>B17+B18</f>
        <v/>
      </c>
      <c r="C28" s="4">
        <f>C17+C18</f>
        <v/>
      </c>
      <c r="D28" s="4">
        <f>D17+D18</f>
        <v/>
      </c>
      <c r="E28" s="4">
        <f>E17+E18</f>
        <v/>
      </c>
      <c r="F28" s="4">
        <f>F17+F18</f>
        <v/>
      </c>
      <c r="G28" s="4">
        <f>G17+G18</f>
        <v/>
      </c>
      <c r="H28" s="4">
        <f>H17+H18</f>
        <v/>
      </c>
      <c r="I28" s="4">
        <f>I17+I18</f>
        <v/>
      </c>
      <c r="J28" s="4">
        <f>J17+J18</f>
        <v/>
      </c>
      <c r="K28" s="4">
        <f>K17+K18</f>
        <v/>
      </c>
      <c r="L28" s="4">
        <f>L17+L18</f>
        <v/>
      </c>
      <c r="M28" s="4">
        <f>M17+M18</f>
        <v/>
      </c>
      <c r="N28" s="4">
        <f>N17+N18</f>
        <v/>
      </c>
      <c r="O28" s="4">
        <f>O17+O18</f>
        <v/>
      </c>
      <c r="P28" s="4">
        <f>P17+P18</f>
        <v/>
      </c>
      <c r="Q28" s="4">
        <f>Q17+Q18</f>
        <v/>
      </c>
      <c r="R28" s="4">
        <f>R17+R18</f>
        <v/>
      </c>
      <c r="S28" s="4">
        <f>S17+S18</f>
        <v/>
      </c>
      <c r="T28" s="4">
        <f>T17+T18</f>
        <v/>
      </c>
      <c r="U28" s="4">
        <f>U17+U18</f>
        <v/>
      </c>
      <c r="V28" s="4">
        <f>V17+V18</f>
        <v/>
      </c>
    </row>
    <row r="29">
      <c r="A29" s="3" t="inlineStr">
        <is>
          <t>Adani</t>
        </is>
      </c>
      <c r="B29" s="4">
        <f>B11+B12</f>
        <v/>
      </c>
      <c r="C29" s="4">
        <f>C11+C12</f>
        <v/>
      </c>
      <c r="D29" s="4">
        <f>D11+D12</f>
        <v/>
      </c>
      <c r="E29" s="4">
        <f>E11+E12</f>
        <v/>
      </c>
      <c r="F29" s="4">
        <f>F11+F12</f>
        <v/>
      </c>
      <c r="G29" s="4">
        <f>G11+G12</f>
        <v/>
      </c>
      <c r="H29" s="4">
        <f>H11+H12</f>
        <v/>
      </c>
      <c r="I29" s="4">
        <f>I11+I12</f>
        <v/>
      </c>
      <c r="J29" s="4">
        <f>J11+J12</f>
        <v/>
      </c>
      <c r="K29" s="4">
        <f>K11+K12</f>
        <v/>
      </c>
      <c r="L29" s="4">
        <f>L11+L12</f>
        <v/>
      </c>
      <c r="M29" s="4">
        <f>M11+M12</f>
        <v/>
      </c>
      <c r="N29" s="4">
        <f>N11+N12</f>
        <v/>
      </c>
      <c r="O29" s="4">
        <f>O11+O12</f>
        <v/>
      </c>
      <c r="P29" s="4">
        <f>P11+P12</f>
        <v/>
      </c>
      <c r="Q29" s="4">
        <f>Q11+Q12</f>
        <v/>
      </c>
      <c r="R29" s="4">
        <f>R11+R12</f>
        <v/>
      </c>
      <c r="S29" s="4">
        <f>S11+S12</f>
        <v/>
      </c>
      <c r="T29" s="4">
        <f>T11+T12</f>
        <v/>
      </c>
      <c r="U29" s="4">
        <f>U11+U12</f>
        <v/>
      </c>
      <c r="V29" s="4">
        <f>V11+V12</f>
        <v/>
      </c>
    </row>
    <row r="30">
      <c r="A30" s="3" t="inlineStr">
        <is>
          <t>FS India Solar</t>
        </is>
      </c>
      <c r="B30" s="4">
        <f>B7</f>
        <v/>
      </c>
      <c r="C30" s="4">
        <f>C7</f>
        <v/>
      </c>
      <c r="D30" s="4">
        <f>D7</f>
        <v/>
      </c>
      <c r="E30" s="4">
        <f>E7</f>
        <v/>
      </c>
      <c r="F30" s="4">
        <f>F7</f>
        <v/>
      </c>
      <c r="G30" s="4">
        <f>G7</f>
        <v/>
      </c>
      <c r="H30" s="4">
        <f>H7</f>
        <v/>
      </c>
      <c r="I30" s="4">
        <f>I7</f>
        <v/>
      </c>
      <c r="J30" s="4">
        <f>J7</f>
        <v/>
      </c>
      <c r="K30" s="4">
        <f>K7</f>
        <v/>
      </c>
      <c r="L30" s="4">
        <f>L7</f>
        <v/>
      </c>
      <c r="M30" s="4">
        <f>M7</f>
        <v/>
      </c>
      <c r="N30" s="4">
        <f>N7</f>
        <v/>
      </c>
      <c r="O30" s="4">
        <f>O7</f>
        <v/>
      </c>
      <c r="P30" s="4">
        <f>P7</f>
        <v/>
      </c>
      <c r="Q30" s="4">
        <f>Q7</f>
        <v/>
      </c>
      <c r="R30" s="4">
        <f>R7</f>
        <v/>
      </c>
      <c r="S30" s="4">
        <f>S7</f>
        <v/>
      </c>
      <c r="T30" s="4">
        <f>T7</f>
        <v/>
      </c>
      <c r="U30" s="4">
        <f>U7</f>
        <v/>
      </c>
      <c r="V30" s="4">
        <f>V7</f>
        <v/>
      </c>
    </row>
    <row r="31">
      <c r="A31" s="3" t="inlineStr">
        <is>
          <t>Waaree Energies</t>
        </is>
      </c>
      <c r="B31" s="4">
        <f>B19</f>
        <v/>
      </c>
      <c r="C31" s="4">
        <f>C19</f>
        <v/>
      </c>
      <c r="D31" s="4">
        <f>D19</f>
        <v/>
      </c>
      <c r="E31" s="4">
        <f>E19</f>
        <v/>
      </c>
      <c r="F31" s="4">
        <f>F19</f>
        <v/>
      </c>
      <c r="G31" s="4">
        <f>G19</f>
        <v/>
      </c>
      <c r="H31" s="4">
        <f>H19</f>
        <v/>
      </c>
      <c r="I31" s="4">
        <f>I19</f>
        <v/>
      </c>
      <c r="J31" s="4">
        <f>J19</f>
        <v/>
      </c>
      <c r="K31" s="4">
        <f>K19</f>
        <v/>
      </c>
      <c r="L31" s="4">
        <f>L19</f>
        <v/>
      </c>
      <c r="M31" s="4">
        <f>M19</f>
        <v/>
      </c>
      <c r="N31" s="4">
        <f>N19</f>
        <v/>
      </c>
      <c r="O31" s="4">
        <f>O19</f>
        <v/>
      </c>
      <c r="P31" s="4">
        <f>P19</f>
        <v/>
      </c>
      <c r="Q31" s="4">
        <f>Q19</f>
        <v/>
      </c>
      <c r="R31" s="4">
        <f>R19</f>
        <v/>
      </c>
      <c r="S31" s="4">
        <f>S19</f>
        <v/>
      </c>
      <c r="T31" s="4">
        <f>T19</f>
        <v/>
      </c>
      <c r="U31" s="4">
        <f>U19</f>
        <v/>
      </c>
      <c r="V31" s="4">
        <f>V19</f>
        <v/>
      </c>
    </row>
    <row r="32">
      <c r="A32" s="3" t="inlineStr">
        <is>
          <t>Premier Energies</t>
        </is>
      </c>
      <c r="B32" s="4">
        <f>B13+B14</f>
        <v/>
      </c>
      <c r="C32" s="4">
        <f>C13+C14</f>
        <v/>
      </c>
      <c r="D32" s="4">
        <f>D13+D14</f>
        <v/>
      </c>
      <c r="E32" s="4">
        <f>E13+E14</f>
        <v/>
      </c>
      <c r="F32" s="4">
        <f>F13+F14</f>
        <v/>
      </c>
      <c r="G32" s="4">
        <f>G13+G14</f>
        <v/>
      </c>
      <c r="H32" s="4">
        <f>H13+H14</f>
        <v/>
      </c>
      <c r="I32" s="4">
        <f>I13+I14</f>
        <v/>
      </c>
      <c r="J32" s="4">
        <f>J13+J14</f>
        <v/>
      </c>
      <c r="K32" s="4">
        <f>K13+K14</f>
        <v/>
      </c>
      <c r="L32" s="4">
        <f>L13+L14</f>
        <v/>
      </c>
      <c r="M32" s="4">
        <f>M13+M14</f>
        <v/>
      </c>
      <c r="N32" s="4">
        <f>N13+N14</f>
        <v/>
      </c>
      <c r="O32" s="4">
        <f>O13+O14</f>
        <v/>
      </c>
      <c r="P32" s="4">
        <f>P13+P14</f>
        <v/>
      </c>
      <c r="Q32" s="4">
        <f>Q13+Q14</f>
        <v/>
      </c>
      <c r="R32" s="4">
        <f>R13+R14</f>
        <v/>
      </c>
      <c r="S32" s="4">
        <f>S13+S14</f>
        <v/>
      </c>
      <c r="T32" s="4">
        <f>T13+T14</f>
        <v/>
      </c>
      <c r="U32" s="4">
        <f>U13+U14</f>
        <v/>
      </c>
      <c r="V32" s="4">
        <f>V13+V14</f>
        <v/>
      </c>
    </row>
    <row r="33">
      <c r="A33" s="3" t="inlineStr">
        <is>
          <t>Jupiter International</t>
        </is>
      </c>
      <c r="B33" s="4">
        <f>B9+B10</f>
        <v/>
      </c>
      <c r="C33" s="4">
        <f>C9+C10</f>
        <v/>
      </c>
      <c r="D33" s="4">
        <f>D9+D10</f>
        <v/>
      </c>
      <c r="E33" s="4">
        <f>E9+E10</f>
        <v/>
      </c>
      <c r="F33" s="4">
        <f>F9+F10</f>
        <v/>
      </c>
      <c r="G33" s="4">
        <f>G9+G10</f>
        <v/>
      </c>
      <c r="H33" s="4">
        <f>H9+H10</f>
        <v/>
      </c>
      <c r="I33" s="4">
        <f>I9+I10</f>
        <v/>
      </c>
      <c r="J33" s="4">
        <f>J9+J10</f>
        <v/>
      </c>
      <c r="K33" s="4">
        <f>K9+K10</f>
        <v/>
      </c>
      <c r="L33" s="4">
        <f>L9+L10</f>
        <v/>
      </c>
      <c r="M33" s="4">
        <f>M9+M10</f>
        <v/>
      </c>
      <c r="N33" s="4">
        <f>N9+N10</f>
        <v/>
      </c>
      <c r="O33" s="4">
        <f>O9+O10</f>
        <v/>
      </c>
      <c r="P33" s="4">
        <f>P9+P10</f>
        <v/>
      </c>
      <c r="Q33" s="4">
        <f>Q9+Q10</f>
        <v/>
      </c>
      <c r="R33" s="4">
        <f>R9+R10</f>
        <v/>
      </c>
      <c r="S33" s="4">
        <f>S9+S10</f>
        <v/>
      </c>
      <c r="T33" s="4">
        <f>T9+T10</f>
        <v/>
      </c>
      <c r="U33" s="4">
        <f>U9+U10</f>
        <v/>
      </c>
      <c r="V33" s="4">
        <f>V9+V10</f>
        <v/>
      </c>
    </row>
    <row r="34">
      <c r="A34" s="3" t="inlineStr">
        <is>
          <t>Websol Energy System</t>
        </is>
      </c>
      <c r="B34" s="4">
        <f>B20</f>
        <v/>
      </c>
      <c r="C34" s="4">
        <f>C20</f>
        <v/>
      </c>
      <c r="D34" s="4">
        <f>D20</f>
        <v/>
      </c>
      <c r="E34" s="4">
        <f>E20</f>
        <v/>
      </c>
      <c r="F34" s="4">
        <f>F20</f>
        <v/>
      </c>
      <c r="G34" s="4">
        <f>G20</f>
        <v/>
      </c>
      <c r="H34" s="4">
        <f>H20</f>
        <v/>
      </c>
      <c r="I34" s="4">
        <f>I20</f>
        <v/>
      </c>
      <c r="J34" s="4">
        <f>J20</f>
        <v/>
      </c>
      <c r="K34" s="4">
        <f>K20</f>
        <v/>
      </c>
      <c r="L34" s="4">
        <f>L20</f>
        <v/>
      </c>
      <c r="M34" s="4">
        <f>M20</f>
        <v/>
      </c>
      <c r="N34" s="4">
        <f>N20</f>
        <v/>
      </c>
      <c r="O34" s="4">
        <f>O20</f>
        <v/>
      </c>
      <c r="P34" s="4">
        <f>P20</f>
        <v/>
      </c>
      <c r="Q34" s="4">
        <f>Q20</f>
        <v/>
      </c>
      <c r="R34" s="4">
        <f>R20</f>
        <v/>
      </c>
      <c r="S34" s="4">
        <f>S20</f>
        <v/>
      </c>
      <c r="T34" s="4">
        <f>T20</f>
        <v/>
      </c>
      <c r="U34" s="4">
        <f>U20</f>
        <v/>
      </c>
      <c r="V34" s="4">
        <f>V20</f>
        <v/>
      </c>
    </row>
    <row r="35">
      <c r="A35" s="3" t="inlineStr">
        <is>
          <t>Evervolt Solar Technology</t>
        </is>
      </c>
      <c r="B35" s="4">
        <f>B6</f>
        <v/>
      </c>
      <c r="C35" s="4">
        <f>C6</f>
        <v/>
      </c>
      <c r="D35" s="4">
        <f>D6</f>
        <v/>
      </c>
      <c r="E35" s="4">
        <f>E6</f>
        <v/>
      </c>
      <c r="F35" s="4">
        <f>F6</f>
        <v/>
      </c>
      <c r="G35" s="4">
        <f>G6</f>
        <v/>
      </c>
      <c r="H35" s="4">
        <f>H6</f>
        <v/>
      </c>
      <c r="I35" s="4">
        <f>I6</f>
        <v/>
      </c>
      <c r="J35" s="4">
        <f>J6</f>
        <v/>
      </c>
      <c r="K35" s="4">
        <f>K6</f>
        <v/>
      </c>
      <c r="L35" s="4">
        <f>L6</f>
        <v/>
      </c>
      <c r="M35" s="4">
        <f>M6</f>
        <v/>
      </c>
      <c r="N35" s="4">
        <f>N6</f>
        <v/>
      </c>
      <c r="O35" s="4">
        <f>O6</f>
        <v/>
      </c>
      <c r="P35" s="4">
        <f>P6</f>
        <v/>
      </c>
      <c r="Q35" s="4">
        <f>Q6</f>
        <v/>
      </c>
      <c r="R35" s="4">
        <f>R6</f>
        <v/>
      </c>
      <c r="S35" s="4">
        <f>S6</f>
        <v/>
      </c>
      <c r="T35" s="4">
        <f>T6</f>
        <v/>
      </c>
      <c r="U35" s="4">
        <f>U6</f>
        <v/>
      </c>
      <c r="V35" s="4">
        <f>V6</f>
        <v/>
      </c>
    </row>
    <row r="36">
      <c r="A36" s="3" t="inlineStr">
        <is>
          <t>Renew Photovoltaics</t>
        </is>
      </c>
      <c r="B36" s="4">
        <f>B15</f>
        <v/>
      </c>
      <c r="C36" s="4">
        <f>C15</f>
        <v/>
      </c>
      <c r="D36" s="4">
        <f>D15</f>
        <v/>
      </c>
      <c r="E36" s="4">
        <f>E15</f>
        <v/>
      </c>
      <c r="F36" s="4">
        <f>F15</f>
        <v/>
      </c>
      <c r="G36" s="4">
        <f>G15</f>
        <v/>
      </c>
      <c r="H36" s="4">
        <f>H15</f>
        <v/>
      </c>
      <c r="I36" s="4">
        <f>I15</f>
        <v/>
      </c>
      <c r="J36" s="4">
        <f>J15</f>
        <v/>
      </c>
      <c r="K36" s="4">
        <f>K15</f>
        <v/>
      </c>
      <c r="L36" s="4">
        <f>L15</f>
        <v/>
      </c>
      <c r="M36" s="4">
        <f>M15</f>
        <v/>
      </c>
      <c r="N36" s="4">
        <f>N15</f>
        <v/>
      </c>
      <c r="O36" s="4">
        <f>O15</f>
        <v/>
      </c>
      <c r="P36" s="4">
        <f>P15</f>
        <v/>
      </c>
      <c r="Q36" s="4">
        <f>Q15</f>
        <v/>
      </c>
      <c r="R36" s="4">
        <f>R15</f>
        <v/>
      </c>
      <c r="S36" s="4">
        <f>S15</f>
        <v/>
      </c>
      <c r="T36" s="4">
        <f>T15</f>
        <v/>
      </c>
      <c r="U36" s="4">
        <f>U15</f>
        <v/>
      </c>
      <c r="V36" s="4">
        <f>V15</f>
        <v/>
      </c>
    </row>
    <row r="37">
      <c r="A37" s="3" t="inlineStr">
        <is>
          <t>Emmvee</t>
        </is>
      </c>
      <c r="B37" s="4">
        <f>B5</f>
        <v/>
      </c>
      <c r="C37" s="4">
        <f>C5</f>
        <v/>
      </c>
      <c r="D37" s="4">
        <f>D5</f>
        <v/>
      </c>
      <c r="E37" s="4">
        <f>E5</f>
        <v/>
      </c>
      <c r="F37" s="4">
        <f>F5</f>
        <v/>
      </c>
      <c r="G37" s="4">
        <f>G5</f>
        <v/>
      </c>
      <c r="H37" s="4">
        <f>H5</f>
        <v/>
      </c>
      <c r="I37" s="4">
        <f>I5</f>
        <v/>
      </c>
      <c r="J37" s="4">
        <f>J5</f>
        <v/>
      </c>
      <c r="K37" s="4">
        <f>K5</f>
        <v/>
      </c>
      <c r="L37" s="4">
        <f>L5</f>
        <v/>
      </c>
      <c r="M37" s="4">
        <f>M5</f>
        <v/>
      </c>
      <c r="N37" s="4">
        <f>N5</f>
        <v/>
      </c>
      <c r="O37" s="4">
        <f>O5</f>
        <v/>
      </c>
      <c r="P37" s="4">
        <f>P5</f>
        <v/>
      </c>
      <c r="Q37" s="4">
        <f>Q5</f>
        <v/>
      </c>
      <c r="R37" s="4">
        <f>R5</f>
        <v/>
      </c>
      <c r="S37" s="4">
        <f>S5</f>
        <v/>
      </c>
      <c r="T37" s="4">
        <f>T5</f>
        <v/>
      </c>
      <c r="U37" s="4">
        <f>U5</f>
        <v/>
      </c>
      <c r="V37" s="4">
        <f>V5</f>
        <v/>
      </c>
    </row>
    <row r="38">
      <c r="A38" s="3" t="inlineStr">
        <is>
          <t>Others</t>
        </is>
      </c>
      <c r="B38" s="4">
        <f>B22-SUM(B28:B37)</f>
        <v/>
      </c>
      <c r="C38" s="4">
        <f>C22-SUM(C28:C37)</f>
        <v/>
      </c>
      <c r="D38" s="4">
        <f>D22-SUM(D28:D37)</f>
        <v/>
      </c>
      <c r="E38" s="4">
        <f>E22-SUM(E28:E37)</f>
        <v/>
      </c>
      <c r="F38" s="4">
        <f>F22-SUM(F28:F37)</f>
        <v/>
      </c>
      <c r="G38" s="4">
        <f>G22-SUM(G28:G37)</f>
        <v/>
      </c>
      <c r="H38" s="4">
        <f>H22-SUM(H28:H37)</f>
        <v/>
      </c>
      <c r="I38" s="4">
        <f>I22-SUM(I28:I37)</f>
        <v/>
      </c>
      <c r="J38" s="4">
        <f>J22-SUM(J28:J37)</f>
        <v/>
      </c>
      <c r="K38" s="4">
        <f>K22-SUM(K28:K37)</f>
        <v/>
      </c>
      <c r="L38" s="4">
        <f>L22-SUM(L28:L37)</f>
        <v/>
      </c>
      <c r="M38" s="4">
        <f>M22-SUM(M28:M37)</f>
        <v/>
      </c>
      <c r="N38" s="4">
        <f>N22-SUM(N28:N37)</f>
        <v/>
      </c>
      <c r="O38" s="4">
        <f>O22-SUM(O28:O37)</f>
        <v/>
      </c>
      <c r="P38" s="4">
        <f>P22-SUM(P28:P37)</f>
        <v/>
      </c>
      <c r="Q38" s="4">
        <f>Q22-SUM(Q28:Q37)</f>
        <v/>
      </c>
      <c r="R38" s="4">
        <f>R22-SUM(R28:R37)</f>
        <v/>
      </c>
      <c r="S38" s="4">
        <f>S22-SUM(S28:S37)</f>
        <v/>
      </c>
      <c r="T38" s="4">
        <f>T22-SUM(T28:T37)</f>
        <v/>
      </c>
      <c r="U38" s="4">
        <f>U22-SUM(U28:U37)</f>
        <v/>
      </c>
      <c r="V38" s="4">
        <f>V22-SUM(V28:V37)</f>
        <v/>
      </c>
    </row>
    <row r="39">
      <c r="A39" s="27" t="inlineStr">
        <is>
          <t>TOTAL</t>
        </is>
      </c>
      <c r="B39" s="28">
        <f>SUM(B28:B38)</f>
        <v/>
      </c>
      <c r="C39" s="28">
        <f>SUM(C28:C38)</f>
        <v/>
      </c>
      <c r="D39" s="28">
        <f>SUM(D28:D38)</f>
        <v/>
      </c>
      <c r="E39" s="28">
        <f>SUM(E28:E38)</f>
        <v/>
      </c>
      <c r="F39" s="28">
        <f>SUM(F28:F38)</f>
        <v/>
      </c>
      <c r="G39" s="28">
        <f>SUM(G28:G38)</f>
        <v/>
      </c>
      <c r="H39" s="28">
        <f>SUM(H28:H38)</f>
        <v/>
      </c>
      <c r="I39" s="28">
        <f>SUM(I28:I38)</f>
        <v/>
      </c>
      <c r="J39" s="28">
        <f>SUM(J28:J38)</f>
        <v/>
      </c>
      <c r="K39" s="28">
        <f>SUM(K28:K38)</f>
        <v/>
      </c>
      <c r="L39" s="28">
        <f>SUM(L28:L38)</f>
        <v/>
      </c>
      <c r="M39" s="28">
        <f>SUM(M28:M38)</f>
        <v/>
      </c>
      <c r="N39" s="28">
        <f>SUM(N28:N38)</f>
        <v/>
      </c>
      <c r="O39" s="28">
        <f>SUM(O28:O38)</f>
        <v/>
      </c>
      <c r="P39" s="28">
        <f>SUM(P28:P38)</f>
        <v/>
      </c>
      <c r="Q39" s="28">
        <f>SUM(Q28:Q38)</f>
        <v/>
      </c>
      <c r="R39" s="28">
        <f>SUM(R28:R38)</f>
        <v/>
      </c>
      <c r="S39" s="28">
        <f>SUM(S28:S38)</f>
        <v/>
      </c>
      <c r="T39" s="28">
        <f>SUM(T28:T38)</f>
        <v/>
      </c>
      <c r="U39" s="28">
        <f>SUM(U28:U38)</f>
        <v/>
      </c>
      <c r="V39" s="28">
        <f>SUM(V28:V38)</f>
        <v/>
      </c>
    </row>
    <row r="40"/>
    <row r="41" ht="17.25" customHeight="1"/>
    <row r="42">
      <c r="A42" s="29" t="inlineStr">
        <is>
          <t>DCR Cell Sales (MW) — Fiscal Year Summary</t>
        </is>
      </c>
    </row>
    <row r="43">
      <c r="A43" s="31" t="inlineStr">
        <is>
          <t>Player</t>
        </is>
      </c>
      <c r="B43" s="31" t="inlineStr">
        <is>
          <t>FY25</t>
        </is>
      </c>
      <c r="C43" s="31" t="inlineStr">
        <is>
          <t>FY26</t>
        </is>
      </c>
      <c r="D43" s="31" t="inlineStr">
        <is>
          <t>Growth, %</t>
        </is>
      </c>
      <c r="E43" s="31" t="inlineStr">
        <is>
          <t>YTD FY26</t>
        </is>
      </c>
      <c r="F43" s="31" t="inlineStr">
        <is>
          <t>YTD FY27</t>
        </is>
      </c>
      <c r="G43" s="31" t="inlineStr">
        <is>
          <t>Growth, %</t>
        </is>
      </c>
    </row>
    <row r="44">
      <c r="A44" s="3" t="inlineStr">
        <is>
          <t>Premier Energies</t>
        </is>
      </c>
      <c r="B44" s="4" t="n">
        <v>1438</v>
      </c>
      <c r="C44" s="4">
        <f>SUM(E32:P32)</f>
        <v/>
      </c>
      <c r="D44" s="32">
        <f>IF(B44=0,"NM",C44/B44-1)</f>
        <v/>
      </c>
      <c r="E44" s="4">
        <f>SUM(OFFSET(E32,0,0,1,COUNTA(Q$4:AB$4)))</f>
        <v/>
      </c>
      <c r="F44" s="4">
        <f>SUM(OFFSET(Q32,0,0,1,COUNTA(Q$4:AB$4)))</f>
        <v/>
      </c>
      <c r="G44" s="32">
        <f>IF(E44=0,"NM",F44/E44-1)</f>
        <v/>
      </c>
    </row>
    <row r="45">
      <c r="A45" s="3" t="inlineStr">
        <is>
          <t>Adani</t>
        </is>
      </c>
      <c r="B45" s="4" t="n">
        <v>361</v>
      </c>
      <c r="C45" s="4">
        <f>SUM(E29:P29)</f>
        <v/>
      </c>
      <c r="D45" s="32">
        <f>IF(B45=0,"NM",C45/B45-1)</f>
        <v/>
      </c>
      <c r="E45" s="4">
        <f>SUM(OFFSET(E29,0,0,1,COUNTA(Q$4:AB$4)))</f>
        <v/>
      </c>
      <c r="F45" s="4">
        <f>SUM(OFFSET(Q29,0,0,1,COUNTA(Q$4:AB$4)))</f>
        <v/>
      </c>
      <c r="G45" s="32">
        <f>IF(E45=0,"NM",F45/E45-1)</f>
        <v/>
      </c>
    </row>
    <row r="46">
      <c r="A46" s="3" t="inlineStr">
        <is>
          <t>Renew Photovoltaics</t>
        </is>
      </c>
      <c r="B46" s="4" t="n">
        <v>50</v>
      </c>
      <c r="C46" s="4">
        <f>SUM(E36:P36)</f>
        <v/>
      </c>
      <c r="D46" s="32">
        <f>IF(B46=0,"NM",C46/B46-1)</f>
        <v/>
      </c>
      <c r="E46" s="4">
        <f>SUM(OFFSET(E36,0,0,1,COUNTA(Q$4:AB$4)))</f>
        <v/>
      </c>
      <c r="F46" s="4">
        <f>SUM(OFFSET(Q36,0,0,1,COUNTA(Q$4:AB$4)))</f>
        <v/>
      </c>
      <c r="G46" s="32">
        <f>IF(E46=0,"NM",F46/E46-1)</f>
        <v/>
      </c>
    </row>
    <row r="47">
      <c r="A47" s="3" t="inlineStr">
        <is>
          <t>Jupiter International</t>
        </is>
      </c>
      <c r="B47" s="4" t="n">
        <v>491</v>
      </c>
      <c r="C47" s="4">
        <f>SUM(E33:P33)</f>
        <v/>
      </c>
      <c r="D47" s="32">
        <f>IF(B47=0,"NM",C47/B47-1)</f>
        <v/>
      </c>
      <c r="E47" s="4">
        <f>SUM(OFFSET(E33,0,0,1,COUNTA(Q$4:AB$4)))</f>
        <v/>
      </c>
      <c r="F47" s="4">
        <f>SUM(OFFSET(Q33,0,0,1,COUNTA(Q$4:AB$4)))</f>
        <v/>
      </c>
      <c r="G47" s="32">
        <f>IF(E47=0,"NM",F47/E47-1)</f>
        <v/>
      </c>
    </row>
    <row r="48">
      <c r="A48" s="3" t="inlineStr">
        <is>
          <t>Tata Power</t>
        </is>
      </c>
      <c r="B48" s="4" t="n">
        <v>272</v>
      </c>
      <c r="C48" s="4">
        <f>SUM(E28:P28)</f>
        <v/>
      </c>
      <c r="D48" s="32">
        <f>IF(B48=0,"NM",C48/B48-1)</f>
        <v/>
      </c>
      <c r="E48" s="4">
        <f>SUM(OFFSET(E28,0,0,1,COUNTA(Q$4:AB$4)))</f>
        <v/>
      </c>
      <c r="F48" s="4">
        <f>SUM(OFFSET(Q28,0,0,1,COUNTA(Q$4:AB$4)))</f>
        <v/>
      </c>
      <c r="G48" s="32">
        <f>IF(E48=0,"NM",F48/E48-1)</f>
        <v/>
      </c>
    </row>
    <row r="49">
      <c r="A49" s="3" t="inlineStr">
        <is>
          <t>Websol Energy System</t>
        </is>
      </c>
      <c r="B49" s="4" t="n">
        <v>438</v>
      </c>
      <c r="C49" s="4">
        <f>SUM(E34:P34)</f>
        <v/>
      </c>
      <c r="D49" s="32">
        <f>IF(B49=0,"NM",C49/B49-1)</f>
        <v/>
      </c>
      <c r="E49" s="4">
        <f>SUM(OFFSET(E34,0,0,1,COUNTA(Q$4:AB$4)))</f>
        <v/>
      </c>
      <c r="F49" s="4">
        <f>SUM(OFFSET(Q34,0,0,1,COUNTA(Q$4:AB$4)))</f>
        <v/>
      </c>
      <c r="G49" s="32">
        <f>IF(E49=0,"NM",F49/E49-1)</f>
        <v/>
      </c>
    </row>
    <row r="50">
      <c r="A50" s="3" t="inlineStr">
        <is>
          <t>Waaree Energies</t>
        </is>
      </c>
      <c r="B50" s="4" t="n">
        <v>0</v>
      </c>
      <c r="C50" s="4">
        <f>SUM(E31:P31)</f>
        <v/>
      </c>
      <c r="D50" s="32">
        <f>IF(B50=0,"NM",C50/B50-1)</f>
        <v/>
      </c>
      <c r="E50" s="4">
        <f>SUM(OFFSET(E31,0,0,1,COUNTA(Q$4:AB$4)))</f>
        <v/>
      </c>
      <c r="F50" s="4">
        <f>SUM(OFFSET(Q31,0,0,1,COUNTA(Q$4:AB$4)))</f>
        <v/>
      </c>
      <c r="G50" s="32">
        <f>IF(E50=0,"NM",F50/E50-1)</f>
        <v/>
      </c>
    </row>
    <row r="51">
      <c r="A51" s="3" t="inlineStr">
        <is>
          <t>Evervolt Solar Technology</t>
        </is>
      </c>
      <c r="B51" s="4" t="n">
        <v>0</v>
      </c>
      <c r="C51" s="4">
        <f>SUM(E35:P35)</f>
        <v/>
      </c>
      <c r="D51" s="32">
        <f>IF(B51=0,"NM",C51/B51-1)</f>
        <v/>
      </c>
      <c r="E51" s="4">
        <f>SUM(OFFSET(E35,0,0,1,COUNTA(Q$4:AB$4)))</f>
        <v/>
      </c>
      <c r="F51" s="4">
        <f>SUM(OFFSET(Q35,0,0,1,COUNTA(Q$4:AB$4)))</f>
        <v/>
      </c>
      <c r="G51" s="32">
        <f>IF(E51=0,"NM",F51/E51-1)</f>
        <v/>
      </c>
    </row>
    <row r="52">
      <c r="A52" s="3" t="inlineStr">
        <is>
          <t>Emmvee</t>
        </is>
      </c>
      <c r="B52" s="4" t="n">
        <v>66</v>
      </c>
      <c r="C52" s="4">
        <f>SUM(E37:P37)</f>
        <v/>
      </c>
      <c r="D52" s="32">
        <f>IF(B52=0,"NM",C52/B52-1)</f>
        <v/>
      </c>
      <c r="E52" s="4">
        <f>SUM(OFFSET(E37,0,0,1,COUNTA(Q$4:AB$4)))</f>
        <v/>
      </c>
      <c r="F52" s="4">
        <f>SUM(OFFSET(Q37,0,0,1,COUNTA(Q$4:AB$4)))</f>
        <v/>
      </c>
      <c r="G52" s="32">
        <f>IF(E52=0,"NM",F52/E52-1)</f>
        <v/>
      </c>
    </row>
    <row r="53">
      <c r="A53" s="3" t="inlineStr">
        <is>
          <t>Others</t>
        </is>
      </c>
      <c r="B53" s="4" t="n">
        <v>1</v>
      </c>
      <c r="C53" s="4">
        <f>SUM(E38:P38)</f>
        <v/>
      </c>
      <c r="D53" s="32">
        <f>IF(B53=0,"NM",C53/B53-1)</f>
        <v/>
      </c>
      <c r="E53" s="4">
        <f>SUM(OFFSET(E38,0,0,1,COUNTA(Q$4:AB$4)))</f>
        <v/>
      </c>
      <c r="F53" s="4">
        <f>SUM(OFFSET(Q38,0,0,1,COUNTA(Q$4:AB$4)))</f>
        <v/>
      </c>
      <c r="G53" s="32">
        <f>IF(E53=0,"NM",F53/E53-1)</f>
        <v/>
      </c>
    </row>
    <row r="54">
      <c r="A54" s="27" t="inlineStr">
        <is>
          <t>Total</t>
        </is>
      </c>
      <c r="B54" s="28">
        <f>SUM(B44:B53)</f>
        <v/>
      </c>
      <c r="C54" s="28">
        <f>SUM(C44:C53)</f>
        <v/>
      </c>
      <c r="D54" s="33">
        <f>IF(B54=0,"NM",C54/B54-1)</f>
        <v/>
      </c>
      <c r="E54" s="28">
        <f>SUM(E44:E53)</f>
        <v/>
      </c>
      <c r="F54" s="28">
        <f>SUM(F44:F53)</f>
        <v/>
      </c>
      <c r="G54" s="33">
        <f>IF(E54=0,"NM",F54/E54-1)</f>
        <v/>
      </c>
    </row>
    <row r="55"/>
    <row r="56">
      <c r="A56" s="34" t="n"/>
      <c r="B56" s="18" t="inlineStr">
        <is>
          <t>FY23</t>
        </is>
      </c>
      <c r="C56" s="18" t="inlineStr">
        <is>
          <t>FY24</t>
        </is>
      </c>
      <c r="D56" s="18" t="inlineStr">
        <is>
          <t>FY25</t>
        </is>
      </c>
      <c r="E56" s="18" t="inlineStr">
        <is>
          <t>FY26</t>
        </is>
      </c>
    </row>
    <row r="57">
      <c r="A57" s="17" t="inlineStr">
        <is>
          <t>Solar Cells Sold, GW</t>
        </is>
      </c>
      <c r="B57" s="19">
        <f>[1]DCR!AD101</f>
        <v/>
      </c>
      <c r="C57" s="19">
        <f>[1]DCR!AE101</f>
        <v/>
      </c>
      <c r="D57" s="19">
        <f>+B54/1000</f>
        <v/>
      </c>
      <c r="E57" s="19">
        <f>+C54/1000</f>
        <v/>
      </c>
    </row>
    <row r="58"/>
    <row r="59">
      <c r="A59" s="17" t="n"/>
      <c r="B59" s="18" t="inlineStr">
        <is>
          <t>YTDFY26</t>
        </is>
      </c>
      <c r="C59" s="18" t="inlineStr">
        <is>
          <t>YTDFY27</t>
        </is>
      </c>
    </row>
    <row r="60">
      <c r="A60" t="inlineStr">
        <is>
          <t>Solar Moules Sold, GW</t>
        </is>
      </c>
      <c r="B60" s="20">
        <f>+E54/1000</f>
        <v/>
      </c>
      <c r="C60" s="20">
        <f>+F54/1000</f>
        <v/>
      </c>
    </row>
  </sheetData>
  <mergeCells count="6">
    <mergeCell ref="B3:M3"/>
    <mergeCell ref="A3:A4"/>
    <mergeCell ref="A26:A27"/>
    <mergeCell ref="B26:M26"/>
    <mergeCell ref="N26:V26"/>
    <mergeCell ref="N3:V3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Dheeraj Kripalani</dc:creator>
  <dcterms:created xmlns:dcterms="http://purl.org/dc/terms/" xmlns:xsi="http://www.w3.org/2001/XMLSchema-instance" xsi:type="dcterms:W3CDTF">2026-07-04T13:05:02Z</dcterms:created>
  <dcterms:modified xmlns:dcterms="http://purl.org/dc/terms/" xmlns:xsi="http://www.w3.org/2001/XMLSchema-instance" xsi:type="dcterms:W3CDTF">2026-10-10T12:24:20Z</dcterms:modified>
  <cp:lastModifiedBy>Dheeraj Kripalani</cp:lastModifiedBy>
</cp:coreProperties>
</file>