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ual DPU Split" sheetId="1" state="visible" r:id="rId1"/>
    <sheet name="Quarterly Split" sheetId="2" state="visible" r:id="rId2"/>
    <sheet name="Method &amp; Caveats" sheetId="3" state="visible" r:id="rId3"/>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12">
    <font>
      <name val="Calibri"/>
      <family val="2"/>
      <color theme="1"/>
      <sz val="11"/>
      <scheme val="minor"/>
    </font>
    <font>
      <b val="1"/>
      <color rgb="001F3864"/>
      <sz val="14"/>
    </font>
    <font>
      <i val="1"/>
      <color rgb="00595959"/>
      <sz val="9"/>
    </font>
    <font>
      <b val="1"/>
      <color rgb="00FFFFFF"/>
    </font>
    <font>
      <b val="1"/>
    </font>
    <font>
      <i val="1"/>
      <sz val="9"/>
    </font>
    <font>
      <i val="1"/>
      <color rgb="00375623"/>
      <sz val="9"/>
    </font>
    <font>
      <color rgb="000563C1"/>
      <sz val="8"/>
    </font>
    <font>
      <i val="1"/>
      <color rgb="00C55A11"/>
      <sz val="9"/>
    </font>
    <font>
      <b val="1"/>
      <sz val="9"/>
    </font>
    <font>
      <b val="1"/>
      <color rgb="001F3864"/>
      <sz val="10"/>
    </font>
    <font>
      <sz val="10"/>
    </font>
  </fonts>
  <fills count="5">
    <fill>
      <patternFill/>
    </fill>
    <fill>
      <patternFill patternType="gray125"/>
    </fill>
    <fill>
      <patternFill patternType="solid">
        <fgColor rgb="001F3864"/>
      </patternFill>
    </fill>
    <fill>
      <patternFill patternType="solid">
        <fgColor rgb="00F2F5FA"/>
      </patternFill>
    </fill>
    <fill>
      <patternFill patternType="solid">
        <fgColor rgb="00DCE6F1"/>
      </patternFill>
    </fill>
  </fills>
  <borders count="2">
    <border>
      <left/>
      <right/>
      <top/>
      <bottom/>
      <diagonal/>
    </border>
    <border>
      <left style="thin">
        <color rgb="00C9CFD9"/>
      </left>
      <right style="thin">
        <color rgb="00C9CFD9"/>
      </right>
      <top style="thin">
        <color rgb="00C9CFD9"/>
      </top>
      <bottom style="thin">
        <color rgb="00C9CF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xf>
    <xf numFmtId="164" fontId="0" fillId="3" borderId="1" applyAlignment="1" pivotButton="0" quotePrefix="0" xfId="0">
      <alignment horizontal="center"/>
    </xf>
    <xf numFmtId="164" fontId="4" fillId="3" borderId="1" applyAlignment="1" pivotButton="0" quotePrefix="0" xfId="0">
      <alignment horizontal="center"/>
    </xf>
    <xf numFmtId="165" fontId="0" fillId="3" borderId="1" applyAlignment="1" pivotButton="0" quotePrefix="0" xfId="0">
      <alignment horizontal="center"/>
    </xf>
    <xf numFmtId="0" fontId="5" fillId="3"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164" fontId="4" fillId="0" borderId="1" applyAlignment="1" pivotButton="0" quotePrefix="0" xfId="0">
      <alignment horizontal="center"/>
    </xf>
    <xf numFmtId="165" fontId="0" fillId="0" borderId="1" applyAlignment="1" pivotButton="0" quotePrefix="0" xfId="0">
      <alignment horizontal="center"/>
    </xf>
    <xf numFmtId="0" fontId="5" fillId="0" borderId="1" pivotButton="0" quotePrefix="0" xfId="0"/>
    <xf numFmtId="0" fontId="4" fillId="4" borderId="1" applyAlignment="1" pivotButton="0" quotePrefix="0" xfId="0">
      <alignment horizontal="center"/>
    </xf>
    <xf numFmtId="164" fontId="4" fillId="4" borderId="1" applyAlignment="1" pivotButton="0" quotePrefix="0" xfId="0">
      <alignment horizontal="center"/>
    </xf>
    <xf numFmtId="0" fontId="6" fillId="0" borderId="0" pivotButton="0" quotePrefix="0" xfId="0"/>
    <xf numFmtId="0" fontId="7" fillId="3" borderId="1" pivotButton="0" quotePrefix="0" xfId="0"/>
    <xf numFmtId="0" fontId="8" fillId="0" borderId="1" pivotButton="0" quotePrefix="0" xfId="0"/>
    <xf numFmtId="0" fontId="7" fillId="0" borderId="1" pivotButton="0" quotePrefix="0" xfId="0"/>
    <xf numFmtId="0" fontId="0" fillId="4" borderId="1" applyAlignment="1" pivotButton="0" quotePrefix="0" xfId="0">
      <alignment horizontal="center"/>
    </xf>
    <xf numFmtId="0" fontId="8" fillId="3" borderId="1" pivotButton="0" quotePrefix="0" xfId="0"/>
    <xf numFmtId="0" fontId="9" fillId="0" borderId="0" pivotButton="0" quotePrefix="0" xfId="0"/>
    <xf numFmtId="0" fontId="10"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DPU composition by fiscal year (INR/unit)</a:t>
            </a:r>
          </a:p>
        </rich>
      </tx>
    </title>
    <plotArea>
      <barChart>
        <barDir val="col"/>
        <grouping val="stacked"/>
        <ser>
          <idx val="0"/>
          <order val="0"/>
          <tx>
            <strRef>
              <f>'Annual DPU Split'!B4</f>
            </strRef>
          </tx>
          <spPr>
            <a:ln>
              <a:prstDash val="solid"/>
            </a:ln>
          </spPr>
          <cat>
            <numRef>
              <f>'Annual DPU Split'!$A$5:$A$14</f>
            </numRef>
          </cat>
          <val>
            <numRef>
              <f>'Annual DPU Split'!$B$5:$B$14</f>
            </numRef>
          </val>
        </ser>
        <ser>
          <idx val="1"/>
          <order val="1"/>
          <tx>
            <strRef>
              <f>'Annual DPU Split'!C4</f>
            </strRef>
          </tx>
          <spPr>
            <a:ln>
              <a:prstDash val="solid"/>
            </a:ln>
          </spPr>
          <cat>
            <numRef>
              <f>'Annual DPU Split'!$A$5:$A$14</f>
            </numRef>
          </cat>
          <val>
            <numRef>
              <f>'Annual DPU Split'!$C$5:$C$14</f>
            </numRef>
          </val>
        </ser>
        <ser>
          <idx val="2"/>
          <order val="2"/>
          <tx>
            <strRef>
              <f>'Annual DPU Split'!D4</f>
            </strRef>
          </tx>
          <spPr>
            <a:ln>
              <a:prstDash val="solid"/>
            </a:ln>
          </spPr>
          <cat>
            <numRef>
              <f>'Annual DPU Split'!$A$5:$A$14</f>
            </numRef>
          </cat>
          <val>
            <numRef>
              <f>'Annual DPU Split'!$D$5:$D$14</f>
            </numRef>
          </val>
        </ser>
        <ser>
          <idx val="3"/>
          <order val="3"/>
          <tx>
            <strRef>
              <f>'Annual DPU Split'!E4</f>
            </strRef>
          </tx>
          <spPr>
            <a:ln>
              <a:prstDash val="solid"/>
            </a:ln>
          </spPr>
          <cat>
            <numRef>
              <f>'Annual DPU Split'!$A$5:$A$14</f>
            </numRef>
          </cat>
          <val>
            <numRef>
              <f>'Annual DPU Split'!$E$5:$E$14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INR per unit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7"/>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1" customWidth="1" min="3" max="3"/>
    <col width="17" customWidth="1" min="4" max="4"/>
    <col width="12" customWidth="1" min="5" max="5"/>
    <col width="11" customWidth="1" min="6" max="6"/>
    <col width="10" customWidth="1" min="7" max="7"/>
    <col width="10" customWidth="1" min="8" max="8"/>
    <col width="12" customWidth="1" min="9" max="9"/>
    <col width="9" customWidth="1" min="10" max="10"/>
    <col width="58" customWidth="1" min="11" max="11"/>
  </cols>
  <sheetData>
    <row r="1">
      <c r="A1" s="1" t="inlineStr">
        <is>
          <t>IndiGrid - Annual DPU split by category (INR per unit)</t>
        </is>
      </c>
    </row>
    <row r="2">
      <c r="A2" s="2" t="inlineStr">
        <is>
          <t>Components as disclosed in the quarterly investor presentations. FY27 is Q1 only.</t>
        </is>
      </c>
    </row>
    <row r="4">
      <c r="A4" s="3" t="inlineStr">
        <is>
          <t>Fiscal Year</t>
        </is>
      </c>
      <c r="B4" s="3" t="inlineStr">
        <is>
          <t>Interest</t>
        </is>
      </c>
      <c r="C4" s="3" t="inlineStr">
        <is>
          <t>Dividend</t>
        </is>
      </c>
      <c r="D4" s="3" t="inlineStr">
        <is>
          <t>Capital Repayment</t>
        </is>
      </c>
      <c r="E4" s="3" t="inlineStr">
        <is>
          <t>Other income</t>
        </is>
      </c>
      <c r="F4" s="3" t="inlineStr">
        <is>
          <t>Total DPU</t>
        </is>
      </c>
      <c r="G4" s="3" t="inlineStr">
        <is>
          <t>Interest %</t>
        </is>
      </c>
      <c r="H4" s="3" t="inlineStr">
        <is>
          <t>Dividend %</t>
        </is>
      </c>
      <c r="I4" s="3" t="inlineStr">
        <is>
          <t>Cap. Repay %</t>
        </is>
      </c>
      <c r="J4" s="3" t="inlineStr">
        <is>
          <t>Other %</t>
        </is>
      </c>
      <c r="K4" s="3" t="inlineStr">
        <is>
          <t>Note</t>
        </is>
      </c>
    </row>
    <row r="5">
      <c r="A5" s="4" t="inlineStr">
        <is>
          <t>FY18</t>
        </is>
      </c>
      <c r="B5" s="5" t="n">
        <v>9.56</v>
      </c>
      <c r="C5" s="5" t="n">
        <v>0</v>
      </c>
      <c r="D5" s="5" t="n">
        <v>0</v>
      </c>
      <c r="E5" s="5" t="n">
        <v>0</v>
      </c>
      <c r="F5" s="6" t="n">
        <v>9.56</v>
      </c>
      <c r="G5" s="7" t="n">
        <v>1</v>
      </c>
      <c r="H5" s="7" t="n">
        <v>0</v>
      </c>
      <c r="I5" s="7" t="n">
        <v>0</v>
      </c>
      <c r="J5" s="7" t="n">
        <v>0</v>
      </c>
      <c r="K5" s="8" t="inlineStr">
        <is>
          <t>10-month year (listed 6-Jun-2017). 100% interest.</t>
        </is>
      </c>
    </row>
    <row r="6">
      <c r="A6" s="9" t="inlineStr">
        <is>
          <t>FY19</t>
        </is>
      </c>
      <c r="B6" s="10" t="n">
        <v>11.72</v>
      </c>
      <c r="C6" s="10" t="n">
        <v>0</v>
      </c>
      <c r="D6" s="10" t="n">
        <v>0.28</v>
      </c>
      <c r="E6" s="10" t="n">
        <v>0</v>
      </c>
      <c r="F6" s="11" t="n">
        <v>12</v>
      </c>
      <c r="G6" s="12" t="n">
        <v>0.9766666666666667</v>
      </c>
      <c r="H6" s="12" t="n">
        <v>0</v>
      </c>
      <c r="I6" s="12" t="n">
        <v>0.02333333333333333</v>
      </c>
      <c r="J6" s="12" t="n">
        <v>0</v>
      </c>
      <c r="K6" s="13" t="inlineStr">
        <is>
          <t>First capital repayment appears (Q2 FY19, Rs 0.28).</t>
        </is>
      </c>
    </row>
    <row r="7">
      <c r="A7" s="4" t="inlineStr">
        <is>
          <t>FY20</t>
        </is>
      </c>
      <c r="B7" s="5" t="n">
        <v>11.88</v>
      </c>
      <c r="C7" s="5" t="n">
        <v>0</v>
      </c>
      <c r="D7" s="5" t="n">
        <v>0.12</v>
      </c>
      <c r="E7" s="5" t="n">
        <v>0</v>
      </c>
      <c r="F7" s="6" t="n">
        <v>12</v>
      </c>
      <c r="G7" s="7" t="n">
        <v>0.9900000000000001</v>
      </c>
      <c r="H7" s="7" t="n">
        <v>0</v>
      </c>
      <c r="I7" s="7" t="n">
        <v>0.01</v>
      </c>
      <c r="J7" s="7" t="n">
        <v>0</v>
      </c>
      <c r="K7" s="8" t="inlineStr">
        <is>
          <t>Full-year split printed in the Q4 FY21 deck - matches sum of quarters exactly.</t>
        </is>
      </c>
    </row>
    <row r="8">
      <c r="A8" s="9" t="inlineStr">
        <is>
          <t>FY21</t>
        </is>
      </c>
      <c r="B8" s="10" t="n">
        <v>10.61</v>
      </c>
      <c r="C8" s="10" t="n">
        <v>0.52</v>
      </c>
      <c r="D8" s="10" t="n">
        <v>1.07</v>
      </c>
      <c r="E8" s="10" t="n">
        <v>0</v>
      </c>
      <c r="F8" s="11" t="n">
        <v>12.2</v>
      </c>
      <c r="G8" s="12" t="n">
        <v>0.8696721311475409</v>
      </c>
      <c r="H8" s="12" t="n">
        <v>0.04262295081967214</v>
      </c>
      <c r="I8" s="12" t="n">
        <v>0.08770491803278689</v>
      </c>
      <c r="J8" s="12" t="n">
        <v>0</v>
      </c>
      <c r="K8" s="13" t="inlineStr">
        <is>
          <t>First dividend component - it lands entirely in Q4. FY split is the deck figure.</t>
        </is>
      </c>
    </row>
    <row r="9">
      <c r="A9" s="4" t="inlineStr">
        <is>
          <t>FY22</t>
        </is>
      </c>
      <c r="B9" s="5" t="n">
        <v>10.07</v>
      </c>
      <c r="C9" s="5" t="n">
        <v>0.2</v>
      </c>
      <c r="D9" s="5" t="n">
        <v>2.48</v>
      </c>
      <c r="E9" s="5" t="n">
        <v>0</v>
      </c>
      <c r="F9" s="6" t="n">
        <v>12.75</v>
      </c>
      <c r="G9" s="7" t="n">
        <v>0.7898039215686274</v>
      </c>
      <c r="H9" s="7" t="n">
        <v>0.01568627450980392</v>
      </c>
      <c r="I9" s="7" t="n">
        <v>0.1945098039215686</v>
      </c>
      <c r="J9" s="7" t="n">
        <v>0</v>
      </c>
      <c r="K9" s="8" t="inlineStr">
        <is>
          <t>FY split is the deck figure. Deck combined "Capital Repayment/Others".</t>
        </is>
      </c>
    </row>
    <row r="10">
      <c r="A10" s="9" t="inlineStr">
        <is>
          <t>FY23</t>
        </is>
      </c>
      <c r="B10" s="10" t="n">
        <v>11.5052</v>
      </c>
      <c r="C10" s="10" t="n">
        <v>0.29</v>
      </c>
      <c r="D10" s="10" t="n">
        <v>1.5068</v>
      </c>
      <c r="E10" s="10" t="n">
        <v>0.05</v>
      </c>
      <c r="F10" s="11" t="n">
        <v>13.352</v>
      </c>
      <c r="G10" s="12" t="n">
        <v>0.86168364289994</v>
      </c>
      <c r="H10" s="12" t="n">
        <v>0.02171959257040144</v>
      </c>
      <c r="I10" s="12" t="n">
        <v>0.1128520071899341</v>
      </c>
      <c r="J10" s="12" t="n">
        <v>0.003744757339724386</v>
      </c>
      <c r="K10" s="13" t="inlineStr">
        <is>
          <t>Q4 FY23 dividend = 0.03 taxable + 0.26 non-taxable.</t>
        </is>
      </c>
    </row>
    <row r="11">
      <c r="A11" s="4" t="inlineStr">
        <is>
          <t>FY24</t>
        </is>
      </c>
      <c r="B11" s="5" t="n">
        <v>11.7591</v>
      </c>
      <c r="C11" s="5" t="n">
        <v>0.875</v>
      </c>
      <c r="D11" s="5" t="n">
        <v>1.3972</v>
      </c>
      <c r="E11" s="5" t="n">
        <v>0.0687</v>
      </c>
      <c r="F11" s="6" t="n">
        <v>14.1</v>
      </c>
      <c r="G11" s="7" t="n">
        <v>0.8339787234042554</v>
      </c>
      <c r="H11" s="7" t="n">
        <v>0.06205673758865248</v>
      </c>
      <c r="I11" s="7" t="n">
        <v>0.09909219858156029</v>
      </c>
      <c r="J11" s="7" t="n">
        <v>0.004872340425531915</v>
      </c>
      <c r="K11" s="8" t="inlineStr">
        <is>
          <t>Q4 FY24 dividend = 0.7884 taxable + 0.0255 non-taxable - largest dividend year.</t>
        </is>
      </c>
    </row>
    <row r="12">
      <c r="A12" s="9" t="inlineStr">
        <is>
          <t>FY25</t>
        </is>
      </c>
      <c r="B12" s="10" t="n">
        <v>12.195</v>
      </c>
      <c r="C12" s="10" t="n">
        <v>0.5921</v>
      </c>
      <c r="D12" s="10" t="n">
        <v>2.4363</v>
      </c>
      <c r="E12" s="10" t="n">
        <v>0.1266</v>
      </c>
      <c r="F12" s="11" t="n">
        <v>15.35</v>
      </c>
      <c r="G12" s="12" t="n">
        <v>0.7944625407166124</v>
      </c>
      <c r="H12" s="12" t="n">
        <v>0.03857328990228013</v>
      </c>
      <c r="I12" s="12" t="n">
        <v>0.1587166123778502</v>
      </c>
      <c r="J12" s="12" t="n">
        <v>0.008247557003257329</v>
      </c>
      <c r="K12" s="13" t="inlineStr">
        <is>
          <t>DPU 15.35 beat the 15.00 guidance; capital repayment steps up.</t>
        </is>
      </c>
    </row>
    <row r="13">
      <c r="A13" s="4" t="inlineStr">
        <is>
          <t>FY26</t>
        </is>
      </c>
      <c r="B13" s="5" t="n">
        <v>10.1656</v>
      </c>
      <c r="C13" s="5" t="n">
        <v>0.3615</v>
      </c>
      <c r="D13" s="5" t="n">
        <v>5.1334</v>
      </c>
      <c r="E13" s="5" t="n">
        <v>0.3395</v>
      </c>
      <c r="F13" s="6" t="n">
        <v>16</v>
      </c>
      <c r="G13" s="7" t="n">
        <v>0.63535</v>
      </c>
      <c r="H13" s="7" t="n">
        <v>0.02259375</v>
      </c>
      <c r="I13" s="7" t="n">
        <v>0.3208375</v>
      </c>
      <c r="J13" s="7" t="n">
        <v>0.02121875</v>
      </c>
      <c r="K13" s="8" t="inlineStr">
        <is>
          <t>Capital repayment overtakes ~32% of DPU as interest income falls.</t>
        </is>
      </c>
    </row>
    <row r="14">
      <c r="A14" s="9" t="inlineStr">
        <is>
          <t>FY27 (Q1)</t>
        </is>
      </c>
      <c r="B14" s="10" t="n">
        <v>2.6909</v>
      </c>
      <c r="C14" s="10" t="n">
        <v>0.0224</v>
      </c>
      <c r="D14" s="10" t="n">
        <v>1.4067</v>
      </c>
      <c r="E14" s="10" t="n">
        <v>0</v>
      </c>
      <c r="F14" s="11" t="n">
        <v>4.12</v>
      </c>
      <c r="G14" s="12" t="n">
        <v>0.653131067961165</v>
      </c>
      <c r="H14" s="12" t="n">
        <v>0.005436893203883495</v>
      </c>
      <c r="I14" s="12" t="n">
        <v>0.3414320388349515</v>
      </c>
      <c r="J14" s="12" t="n">
        <v>0</v>
      </c>
      <c r="K14" s="13" t="inlineStr">
        <is>
          <t>Q1 FY27 only. FY27 guidance Rs 16.48.</t>
        </is>
      </c>
    </row>
    <row r="15">
      <c r="A15" s="14" t="inlineStr">
        <is>
          <t>Total (incl. Q1FY27)</t>
        </is>
      </c>
      <c r="B15" s="15" t="n">
        <v>102.1558</v>
      </c>
      <c r="C15" s="15" t="n">
        <v>2.861</v>
      </c>
      <c r="D15" s="15" t="n">
        <v>15.8304</v>
      </c>
      <c r="E15" s="15" t="n">
        <v>0.5848</v>
      </c>
      <c r="F15" s="15" t="n">
        <v>121.43</v>
      </c>
    </row>
    <row r="17">
      <c r="A17" s="16" t="inlineStr">
        <is>
          <t>Cross-check: cumulative DPU since inception = 121.43 vs ~121.44 published by IndiGrid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2"/>
  <sheetViews>
    <sheetView workbookViewId="0">
      <pane ySplit="3" topLeftCell="A4" activePane="bottomLeft" state="frozen"/>
      <selection pane="bottomLeft" activeCell="A1" sqref="A1"/>
    </sheetView>
  </sheetViews>
  <sheetFormatPr baseColWidth="8" defaultRowHeight="15"/>
  <cols>
    <col width="12" customWidth="1" min="1" max="1"/>
    <col width="9" customWidth="1" min="2" max="2"/>
    <col width="7" customWidth="1" min="3" max="3"/>
    <col width="11" customWidth="1" min="4" max="4"/>
    <col width="11" customWidth="1" min="5" max="5"/>
    <col width="17" customWidth="1" min="6" max="6"/>
    <col width="12" customWidth="1" min="7" max="7"/>
    <col width="12" customWidth="1" min="8" max="8"/>
    <col width="13" customWidth="1" min="9" max="9"/>
    <col width="9" customWidth="1" min="10" max="10"/>
    <col width="62" customWidth="1" min="11" max="11"/>
    <col width="66" customWidth="1" min="12" max="12"/>
  </cols>
  <sheetData>
    <row r="1">
      <c r="A1" s="1" t="inlineStr">
        <is>
          <t>IndiGrid - Quarterly DPU split by category (INR per unit)</t>
        </is>
      </c>
    </row>
    <row r="3">
      <c r="A3" s="3" t="inlineStr">
        <is>
          <t>Quarter</t>
        </is>
      </c>
      <c r="B3" s="3" t="inlineStr">
        <is>
          <t>FY</t>
        </is>
      </c>
      <c r="C3" s="3" t="inlineStr">
        <is>
          <t>Qtr</t>
        </is>
      </c>
      <c r="D3" s="3" t="inlineStr">
        <is>
          <t>Interest</t>
        </is>
      </c>
      <c r="E3" s="3" t="inlineStr">
        <is>
          <t>Dividend</t>
        </is>
      </c>
      <c r="F3" s="3" t="inlineStr">
        <is>
          <t>Capital Repayment</t>
        </is>
      </c>
      <c r="G3" s="3" t="inlineStr">
        <is>
          <t>Other income</t>
        </is>
      </c>
      <c r="H3" s="3" t="inlineStr">
        <is>
          <t>Sum of parts</t>
        </is>
      </c>
      <c r="I3" s="3" t="inlineStr">
        <is>
          <t>DPU declared</t>
        </is>
      </c>
      <c r="J3" s="3" t="inlineStr">
        <is>
          <t>Diff</t>
        </is>
      </c>
      <c r="K3" s="3" t="inlineStr">
        <is>
          <t>Evidence</t>
        </is>
      </c>
      <c r="L3" s="3" t="inlineStr">
        <is>
          <t>Source presentation (PDF)</t>
        </is>
      </c>
    </row>
    <row r="4">
      <c r="A4" s="4" t="inlineStr">
        <is>
          <t>1QFY18</t>
        </is>
      </c>
      <c r="B4" s="4" t="inlineStr">
        <is>
          <t>FY18</t>
        </is>
      </c>
      <c r="C4" s="4" t="inlineStr">
        <is>
          <t>Q1</t>
        </is>
      </c>
      <c r="D4" s="5" t="n">
        <v>0.92</v>
      </c>
      <c r="E4" s="5" t="n">
        <v>0</v>
      </c>
      <c r="F4" s="5" t="n">
        <v>0</v>
      </c>
      <c r="G4" s="5" t="n">
        <v>0</v>
      </c>
      <c r="H4" s="5" t="n">
        <v>0.92</v>
      </c>
      <c r="I4" s="5" t="n">
        <v>0.92</v>
      </c>
      <c r="J4" s="5" t="n">
        <v>0</v>
      </c>
      <c r="K4" s="8" t="inlineStr">
        <is>
          <t>Q1 FY18 earnings release: "This distribution will be paid as interest to unit holders"</t>
        </is>
      </c>
      <c r="L4" s="17" t="inlineStr">
        <is>
          <t>https://www.indigrid.co.in/wp-content/uploads/2021/12/Indigrid_Investor_Presentation_July_2017_HR.pdf</t>
        </is>
      </c>
    </row>
    <row r="5">
      <c r="A5" s="9" t="inlineStr">
        <is>
          <t>2QFY18</t>
        </is>
      </c>
      <c r="B5" s="9" t="inlineStr">
        <is>
          <t>FY18</t>
        </is>
      </c>
      <c r="C5" s="9" t="inlineStr">
        <is>
          <t>Q2</t>
        </is>
      </c>
      <c r="D5" s="10" t="n">
        <v>2.75</v>
      </c>
      <c r="E5" s="10" t="n">
        <v>0</v>
      </c>
      <c r="F5" s="10" t="n">
        <v>0</v>
      </c>
      <c r="G5" s="10" t="n">
        <v>0</v>
      </c>
      <c r="H5" s="10" t="n">
        <v>2.75</v>
      </c>
      <c r="I5" s="10" t="n">
        <v>2.75</v>
      </c>
      <c r="J5" s="10" t="n">
        <v>0</v>
      </c>
      <c r="K5" s="18" t="inlineStr">
        <is>
          <t>INFERRED - Q2 FY18 deck/release do not state composition. Q1, Q3 and Q4 FY18 were each 100% interest, so 100% interest assumed</t>
        </is>
      </c>
      <c r="L5" s="19" t="inlineStr">
        <is>
          <t>https://www.indigrid.co.in/wp-content/uploads/2021/12/IndiGrid_Q2_FY_2018_Investor_Presentation.pdf</t>
        </is>
      </c>
    </row>
    <row r="6">
      <c r="A6" s="4" t="inlineStr">
        <is>
          <t>3QFY18</t>
        </is>
      </c>
      <c r="B6" s="4" t="inlineStr">
        <is>
          <t>FY18</t>
        </is>
      </c>
      <c r="C6" s="4" t="inlineStr">
        <is>
          <t>Q3</t>
        </is>
      </c>
      <c r="D6" s="5" t="n">
        <v>2.89</v>
      </c>
      <c r="E6" s="5" t="n">
        <v>0</v>
      </c>
      <c r="F6" s="5" t="n">
        <v>0</v>
      </c>
      <c r="G6" s="5" t="n">
        <v>0</v>
      </c>
      <c r="H6" s="5" t="n">
        <v>2.89</v>
      </c>
      <c r="I6" s="5" t="n">
        <v>2.89</v>
      </c>
      <c r="J6" s="5" t="n">
        <v>0</v>
      </c>
      <c r="K6" s="8" t="inlineStr">
        <is>
          <t>Disclosed in that quarter's investor presentation</t>
        </is>
      </c>
      <c r="L6" s="17" t="inlineStr">
        <is>
          <t>https://www.indigrid.co.in/wp-content/uploads/2021/12/Investor-Presentation-Q3-FY2018.pdf</t>
        </is>
      </c>
    </row>
    <row r="7">
      <c r="A7" s="20" t="inlineStr">
        <is>
          <t>4QFY18</t>
        </is>
      </c>
      <c r="B7" s="20" t="inlineStr">
        <is>
          <t>FY18</t>
        </is>
      </c>
      <c r="C7" s="20" t="inlineStr">
        <is>
          <t>Q4</t>
        </is>
      </c>
      <c r="D7" s="10" t="n">
        <v>3</v>
      </c>
      <c r="E7" s="10" t="n">
        <v>0</v>
      </c>
      <c r="F7" s="10" t="n">
        <v>0</v>
      </c>
      <c r="G7" s="10" t="n">
        <v>0</v>
      </c>
      <c r="H7" s="10" t="n">
        <v>3</v>
      </c>
      <c r="I7" s="10" t="n">
        <v>3</v>
      </c>
      <c r="J7" s="10" t="n">
        <v>0</v>
      </c>
      <c r="K7" s="13" t="inlineStr">
        <is>
          <t>Disclosed in that quarter's investor presentation</t>
        </is>
      </c>
      <c r="L7" s="19" t="inlineStr">
        <is>
          <t>https://www.indigrid.co.in/wp-content/uploads/2021/12/IndiGrid-Q4-Investor-Presentation.pdf</t>
        </is>
      </c>
    </row>
    <row r="8">
      <c r="A8" s="4" t="inlineStr">
        <is>
          <t>1QFY19</t>
        </is>
      </c>
      <c r="B8" s="4" t="inlineStr">
        <is>
          <t>FY19</t>
        </is>
      </c>
      <c r="C8" s="4" t="inlineStr">
        <is>
          <t>Q1</t>
        </is>
      </c>
      <c r="D8" s="5" t="n">
        <v>3</v>
      </c>
      <c r="E8" s="5" t="n">
        <v>0</v>
      </c>
      <c r="F8" s="5" t="n">
        <v>0</v>
      </c>
      <c r="G8" s="5" t="n">
        <v>0</v>
      </c>
      <c r="H8" s="5" t="n">
        <v>3</v>
      </c>
      <c r="I8" s="5" t="n">
        <v>3</v>
      </c>
      <c r="J8" s="5" t="n">
        <v>0</v>
      </c>
      <c r="K8" s="8" t="inlineStr">
        <is>
          <t>Disclosed in that quarter's investor presentation</t>
        </is>
      </c>
      <c r="L8" s="17" t="inlineStr">
        <is>
          <t>https://www.indigrid.co.in/wp-content/uploads/2021/12/investor-presentation-q1-fy19-25-jul-2018.pdf</t>
        </is>
      </c>
    </row>
    <row r="9">
      <c r="A9" s="9" t="inlineStr">
        <is>
          <t>2QFY19</t>
        </is>
      </c>
      <c r="B9" s="9" t="inlineStr">
        <is>
          <t>FY19</t>
        </is>
      </c>
      <c r="C9" s="9" t="inlineStr">
        <is>
          <t>Q2</t>
        </is>
      </c>
      <c r="D9" s="10" t="n">
        <v>2.72</v>
      </c>
      <c r="E9" s="10" t="n">
        <v>0</v>
      </c>
      <c r="F9" s="10" t="n">
        <v>0.28</v>
      </c>
      <c r="G9" s="10" t="n">
        <v>0</v>
      </c>
      <c r="H9" s="10" t="n">
        <v>3</v>
      </c>
      <c r="I9" s="10" t="n">
        <v>3</v>
      </c>
      <c r="J9" s="10" t="n">
        <v>0</v>
      </c>
      <c r="K9" s="13" t="inlineStr">
        <is>
          <t>Disclosed in that quarter's investor presentation</t>
        </is>
      </c>
      <c r="L9" s="19" t="inlineStr">
        <is>
          <t>https://www.indigrid.co.in/wp-content/uploads/2021/12/investor-presentation-q2fy19.pdf</t>
        </is>
      </c>
    </row>
    <row r="10">
      <c r="A10" s="4" t="inlineStr">
        <is>
          <t>3QFY19</t>
        </is>
      </c>
      <c r="B10" s="4" t="inlineStr">
        <is>
          <t>FY19</t>
        </is>
      </c>
      <c r="C10" s="4" t="inlineStr">
        <is>
          <t>Q3</t>
        </is>
      </c>
      <c r="D10" s="5" t="n">
        <v>3</v>
      </c>
      <c r="E10" s="5" t="n">
        <v>0</v>
      </c>
      <c r="F10" s="5" t="n">
        <v>0</v>
      </c>
      <c r="G10" s="5" t="n">
        <v>0</v>
      </c>
      <c r="H10" s="5" t="n">
        <v>3</v>
      </c>
      <c r="I10" s="5" t="n">
        <v>3</v>
      </c>
      <c r="J10" s="5" t="n">
        <v>0</v>
      </c>
      <c r="K10" s="8" t="inlineStr">
        <is>
          <t>Disclosed in that quarter's investor presentation</t>
        </is>
      </c>
      <c r="L10" s="17" t="inlineStr">
        <is>
          <t>https://www.indigrid.co.in/wp-content/uploads/2021/12/IndiGridQ3InvestorPresentation.pdf</t>
        </is>
      </c>
    </row>
    <row r="11">
      <c r="A11" s="20" t="inlineStr">
        <is>
          <t>4QFY19</t>
        </is>
      </c>
      <c r="B11" s="20" t="inlineStr">
        <is>
          <t>FY19</t>
        </is>
      </c>
      <c r="C11" s="20" t="inlineStr">
        <is>
          <t>Q4</t>
        </is>
      </c>
      <c r="D11" s="10" t="n">
        <v>3</v>
      </c>
      <c r="E11" s="10" t="n">
        <v>0</v>
      </c>
      <c r="F11" s="10" t="n">
        <v>0</v>
      </c>
      <c r="G11" s="10" t="n">
        <v>0</v>
      </c>
      <c r="H11" s="10" t="n">
        <v>3</v>
      </c>
      <c r="I11" s="10" t="n">
        <v>3</v>
      </c>
      <c r="J11" s="10" t="n">
        <v>0</v>
      </c>
      <c r="K11" s="13" t="inlineStr">
        <is>
          <t>Disclosed in that quarter's investor presentation</t>
        </is>
      </c>
      <c r="L11" s="19" t="inlineStr">
        <is>
          <t>https://www.indigrid.co.in/wp-content/uploads/2021/12/IndiGrid_Q4_FY19_24042019_vfff.pdf</t>
        </is>
      </c>
    </row>
    <row r="12">
      <c r="A12" s="4" t="inlineStr">
        <is>
          <t>1QFY20</t>
        </is>
      </c>
      <c r="B12" s="4" t="inlineStr">
        <is>
          <t>FY20</t>
        </is>
      </c>
      <c r="C12" s="4" t="inlineStr">
        <is>
          <t>Q1</t>
        </is>
      </c>
      <c r="D12" s="5" t="n">
        <v>2.88</v>
      </c>
      <c r="E12" s="5" t="n">
        <v>0</v>
      </c>
      <c r="F12" s="5" t="n">
        <v>0.12</v>
      </c>
      <c r="G12" s="5" t="n">
        <v>0</v>
      </c>
      <c r="H12" s="5" t="n">
        <v>3</v>
      </c>
      <c r="I12" s="5" t="n">
        <v>3</v>
      </c>
      <c r="J12" s="5" t="n">
        <v>0</v>
      </c>
      <c r="K12" s="8" t="inlineStr">
        <is>
          <t>Disclosed in that quarter's investor presentation</t>
        </is>
      </c>
      <c r="L12" s="17" t="inlineStr">
        <is>
          <t>https://www.indigrid.co.in/wp-content/uploads/2021/12/IndiGridQ1FY20_final.pdf</t>
        </is>
      </c>
    </row>
    <row r="13">
      <c r="A13" s="9" t="inlineStr">
        <is>
          <t>2QFY20</t>
        </is>
      </c>
      <c r="B13" s="9" t="inlineStr">
        <is>
          <t>FY20</t>
        </is>
      </c>
      <c r="C13" s="9" t="inlineStr">
        <is>
          <t>Q2</t>
        </is>
      </c>
      <c r="D13" s="10" t="n">
        <v>3</v>
      </c>
      <c r="E13" s="10" t="n">
        <v>0</v>
      </c>
      <c r="F13" s="10" t="n">
        <v>0</v>
      </c>
      <c r="G13" s="10" t="n">
        <v>0</v>
      </c>
      <c r="H13" s="10" t="n">
        <v>3</v>
      </c>
      <c r="I13" s="10" t="n">
        <v>3</v>
      </c>
      <c r="J13" s="10" t="n">
        <v>0</v>
      </c>
      <c r="K13" s="13" t="inlineStr">
        <is>
          <t>Not in deck; balance - FY20 full-year split (Int 11.88 / Cap Rep 0.12) confirms only Q1 FY20 had capital repayment</t>
        </is>
      </c>
      <c r="L13" s="19" t="inlineStr">
        <is>
          <t>https://www.indigrid.co.in/wp-content/uploads/2021/12/IndiGrid_Q2_FY20_vf.pdf</t>
        </is>
      </c>
    </row>
    <row r="14">
      <c r="A14" s="4" t="inlineStr">
        <is>
          <t>3QFY20</t>
        </is>
      </c>
      <c r="B14" s="4" t="inlineStr">
        <is>
          <t>FY20</t>
        </is>
      </c>
      <c r="C14" s="4" t="inlineStr">
        <is>
          <t>Q3</t>
        </is>
      </c>
      <c r="D14" s="5" t="n">
        <v>3</v>
      </c>
      <c r="E14" s="5" t="n">
        <v>0</v>
      </c>
      <c r="F14" s="5" t="n">
        <v>0</v>
      </c>
      <c r="G14" s="5" t="n">
        <v>0</v>
      </c>
      <c r="H14" s="5" t="n">
        <v>3</v>
      </c>
      <c r="I14" s="5" t="n">
        <v>3</v>
      </c>
      <c r="J14" s="5" t="n">
        <v>0</v>
      </c>
      <c r="K14" s="8" t="inlineStr">
        <is>
          <t>Not in deck; balance - FY20 full-year split (Int 11.88 / Cap Rep 0.12) confirms only Q1 FY20 had capital repayment</t>
        </is>
      </c>
      <c r="L14" s="17" t="inlineStr">
        <is>
          <t>https://www.indigrid.co.in/wp-content/uploads/2021/12/IndiGrid_Q3_FY20_vfff.pdf</t>
        </is>
      </c>
    </row>
    <row r="15">
      <c r="A15" s="20" t="inlineStr">
        <is>
          <t>4QFY20</t>
        </is>
      </c>
      <c r="B15" s="20" t="inlineStr">
        <is>
          <t>FY20</t>
        </is>
      </c>
      <c r="C15" s="20" t="inlineStr">
        <is>
          <t>Q4</t>
        </is>
      </c>
      <c r="D15" s="10" t="n">
        <v>3</v>
      </c>
      <c r="E15" s="10" t="n">
        <v>0</v>
      </c>
      <c r="F15" s="10" t="n">
        <v>0</v>
      </c>
      <c r="G15" s="10" t="n">
        <v>0</v>
      </c>
      <c r="H15" s="10" t="n">
        <v>3</v>
      </c>
      <c r="I15" s="10" t="n">
        <v>3</v>
      </c>
      <c r="J15" s="10" t="n">
        <v>0</v>
      </c>
      <c r="K15" s="13" t="inlineStr">
        <is>
          <t>Disclosed in that quarter's investor presentation</t>
        </is>
      </c>
      <c r="L15" s="19" t="inlineStr">
        <is>
          <t>https://www.indigrid.co.in/wp-content/uploads/2021/12/presentation-1.pdf</t>
        </is>
      </c>
    </row>
    <row r="16">
      <c r="A16" s="4" t="inlineStr">
        <is>
          <t>1QFY21</t>
        </is>
      </c>
      <c r="B16" s="4" t="inlineStr">
        <is>
          <t>FY21</t>
        </is>
      </c>
      <c r="C16" s="4" t="inlineStr">
        <is>
          <t>Q1</t>
        </is>
      </c>
      <c r="D16" s="5" t="n">
        <v>3</v>
      </c>
      <c r="E16" s="5" t="n">
        <v>0</v>
      </c>
      <c r="F16" s="5" t="n">
        <v>0</v>
      </c>
      <c r="G16" s="5" t="n">
        <v>0</v>
      </c>
      <c r="H16" s="5" t="n">
        <v>3</v>
      </c>
      <c r="I16" s="5" t="n">
        <v>3</v>
      </c>
      <c r="J16" s="5" t="n">
        <v>0</v>
      </c>
      <c r="K16" s="21" t="inlineStr">
        <is>
          <t>Derived exactly - FY21 full-year split minus the disclosed Q4 FY21 split leaves 9.10, all interest, across Q1-Q3</t>
        </is>
      </c>
      <c r="L16" s="17" t="inlineStr">
        <is>
          <t>https://www.indigrid.co.in/wp-content/uploads/2021/12/Investor_Presentation.pdf</t>
        </is>
      </c>
    </row>
    <row r="17">
      <c r="A17" s="9" t="inlineStr">
        <is>
          <t>2QFY21</t>
        </is>
      </c>
      <c r="B17" s="9" t="inlineStr">
        <is>
          <t>FY21</t>
        </is>
      </c>
      <c r="C17" s="9" t="inlineStr">
        <is>
          <t>Q2</t>
        </is>
      </c>
      <c r="D17" s="10" t="n">
        <v>3</v>
      </c>
      <c r="E17" s="10" t="n">
        <v>0</v>
      </c>
      <c r="F17" s="10" t="n">
        <v>0</v>
      </c>
      <c r="G17" s="10" t="n">
        <v>0</v>
      </c>
      <c r="H17" s="10" t="n">
        <v>3</v>
      </c>
      <c r="I17" s="10" t="n">
        <v>3</v>
      </c>
      <c r="J17" s="10" t="n">
        <v>0</v>
      </c>
      <c r="K17" s="18" t="inlineStr">
        <is>
          <t>Derived exactly - FY21 full-year split minus the disclosed Q4 FY21 split leaves 9.10, all interest, across Q1-Q3</t>
        </is>
      </c>
      <c r="L17" s="19" t="inlineStr">
        <is>
          <t>https://www.indigrid.co.in/wp-content/uploads/2021/12/Investor_Presentation01.pdf</t>
        </is>
      </c>
    </row>
    <row r="18">
      <c r="A18" s="4" t="inlineStr">
        <is>
          <t>3QFY21</t>
        </is>
      </c>
      <c r="B18" s="4" t="inlineStr">
        <is>
          <t>FY21</t>
        </is>
      </c>
      <c r="C18" s="4" t="inlineStr">
        <is>
          <t>Q3</t>
        </is>
      </c>
      <c r="D18" s="5" t="n">
        <v>3.1</v>
      </c>
      <c r="E18" s="5" t="n">
        <v>0</v>
      </c>
      <c r="F18" s="5" t="n">
        <v>0</v>
      </c>
      <c r="G18" s="5" t="n">
        <v>0</v>
      </c>
      <c r="H18" s="5" t="n">
        <v>3.1</v>
      </c>
      <c r="I18" s="5" t="n">
        <v>3.1</v>
      </c>
      <c r="J18" s="5" t="n">
        <v>0</v>
      </c>
      <c r="K18" s="21" t="inlineStr">
        <is>
          <t>Derived exactly - FY21 full-year split minus the disclosed Q4 FY21 split leaves 9.10, all interest, across Q1-Q3</t>
        </is>
      </c>
      <c r="L18" s="17" t="inlineStr">
        <is>
          <t>https://www.indigrid.co.in/wp-content/uploads/2021/12/Presentation.pdf</t>
        </is>
      </c>
    </row>
    <row r="19">
      <c r="A19" s="20" t="inlineStr">
        <is>
          <t>4QFY21</t>
        </is>
      </c>
      <c r="B19" s="20" t="inlineStr">
        <is>
          <t>FY21</t>
        </is>
      </c>
      <c r="C19" s="20" t="inlineStr">
        <is>
          <t>Q4</t>
        </is>
      </c>
      <c r="D19" s="10" t="n">
        <v>1.51</v>
      </c>
      <c r="E19" s="10" t="n">
        <v>0.52</v>
      </c>
      <c r="F19" s="10" t="n">
        <v>1.07</v>
      </c>
      <c r="G19" s="10" t="n">
        <v>0</v>
      </c>
      <c r="H19" s="10" t="n">
        <v>3.1</v>
      </c>
      <c r="I19" s="10" t="n">
        <v>3.1</v>
      </c>
      <c r="J19" s="10" t="n">
        <v>0</v>
      </c>
      <c r="K19" s="13" t="inlineStr">
        <is>
          <t>Disclosed in that quarter's investor presentation</t>
        </is>
      </c>
      <c r="L19" s="19" t="inlineStr">
        <is>
          <t>https://www.indigrid.co.in/wp-content/uploads/2021/12/Investor_Presentation_newmay.pdf</t>
        </is>
      </c>
    </row>
    <row r="20">
      <c r="A20" s="4" t="inlineStr">
        <is>
          <t>1QFY22</t>
        </is>
      </c>
      <c r="B20" s="4" t="inlineStr">
        <is>
          <t>FY22</t>
        </is>
      </c>
      <c r="C20" s="4" t="inlineStr">
        <is>
          <t>Q1</t>
        </is>
      </c>
      <c r="D20" s="5" t="n">
        <v>3.04</v>
      </c>
      <c r="E20" s="5" t="n">
        <v>0.15</v>
      </c>
      <c r="F20" s="5" t="n">
        <v>0</v>
      </c>
      <c r="G20" s="5" t="n">
        <v>0</v>
      </c>
      <c r="H20" s="5" t="n">
        <v>3.19</v>
      </c>
      <c r="I20" s="5" t="n">
        <v>3.19</v>
      </c>
      <c r="J20" s="5" t="n">
        <v>0</v>
      </c>
      <c r="K20" s="8" t="inlineStr">
        <is>
          <t>Disclosed in that quarter's investor presentation</t>
        </is>
      </c>
      <c r="L20" s="17" t="inlineStr">
        <is>
          <t>https://www.indigrid.co.in/wp-content/uploads/2021/12/Investor_Presentation_30.pdf</t>
        </is>
      </c>
    </row>
    <row r="21">
      <c r="A21" s="9" t="inlineStr">
        <is>
          <t>2QFY22</t>
        </is>
      </c>
      <c r="B21" s="9" t="inlineStr">
        <is>
          <t>FY22</t>
        </is>
      </c>
      <c r="C21" s="9" t="inlineStr">
        <is>
          <t>Q2</t>
        </is>
      </c>
      <c r="D21" s="10" t="n">
        <v>1.86</v>
      </c>
      <c r="E21" s="10" t="n">
        <v>0.05</v>
      </c>
      <c r="F21" s="10" t="n">
        <v>1.28</v>
      </c>
      <c r="G21" s="10" t="n">
        <v>0</v>
      </c>
      <c r="H21" s="10" t="n">
        <v>3.19</v>
      </c>
      <c r="I21" s="10" t="n">
        <v>3.19</v>
      </c>
      <c r="J21" s="10" t="n">
        <v>0</v>
      </c>
      <c r="K21" s="13" t="inlineStr">
        <is>
          <t>Disclosed in that quarter's investor presentation</t>
        </is>
      </c>
      <c r="L21" s="19" t="inlineStr">
        <is>
          <t>https://www.indigrid.co.in/wp-content/uploads/2021/12/Presentation_27oct.pdf</t>
        </is>
      </c>
    </row>
    <row r="22">
      <c r="A22" s="4" t="inlineStr">
        <is>
          <t>3QFY22</t>
        </is>
      </c>
      <c r="B22" s="4" t="inlineStr">
        <is>
          <t>FY22</t>
        </is>
      </c>
      <c r="C22" s="4" t="inlineStr">
        <is>
          <t>Q3</t>
        </is>
      </c>
      <c r="D22" s="5" t="n">
        <v>2.66</v>
      </c>
      <c r="E22" s="5" t="n">
        <v>0</v>
      </c>
      <c r="F22" s="5" t="n">
        <v>0.52</v>
      </c>
      <c r="G22" s="5" t="n">
        <v>0</v>
      </c>
      <c r="H22" s="5" t="n">
        <v>3.18</v>
      </c>
      <c r="I22" s="5" t="n">
        <v>3.19</v>
      </c>
      <c r="J22" s="5" t="n">
        <v>-0.01</v>
      </c>
      <c r="K22" s="8" t="inlineStr">
        <is>
          <t>Disclosed in that quarter's investor presentation</t>
        </is>
      </c>
      <c r="L22" s="17" t="inlineStr">
        <is>
          <t>https://www.indigrid.co.in/wp-content/uploads/2021/12/Presentation-1.pdf</t>
        </is>
      </c>
    </row>
    <row r="23">
      <c r="A23" s="20" t="inlineStr">
        <is>
          <t>4QFY22</t>
        </is>
      </c>
      <c r="B23" s="20" t="inlineStr">
        <is>
          <t>FY22</t>
        </is>
      </c>
      <c r="C23" s="20" t="inlineStr">
        <is>
          <t>Q4</t>
        </is>
      </c>
      <c r="D23" s="10" t="n">
        <v>2.55</v>
      </c>
      <c r="E23" s="10" t="n">
        <v>0</v>
      </c>
      <c r="F23" s="10" t="n">
        <v>0.64</v>
      </c>
      <c r="G23" s="10" t="n">
        <v>0</v>
      </c>
      <c r="H23" s="10" t="n">
        <v>3.19</v>
      </c>
      <c r="I23" s="10" t="n">
        <v>3.19</v>
      </c>
      <c r="J23" s="10" t="n">
        <v>0</v>
      </c>
      <c r="K23" s="13" t="inlineStr">
        <is>
          <t>Disclosed in that quarter's investor presentation</t>
        </is>
      </c>
      <c r="L23" s="19" t="inlineStr">
        <is>
          <t>https://www.indigrid.co.in/wp-content/uploads/2021/12/presentation-FY22-Q4.pdf</t>
        </is>
      </c>
    </row>
    <row r="24">
      <c r="A24" s="4" t="inlineStr">
        <is>
          <t>1QFY23</t>
        </is>
      </c>
      <c r="B24" s="4" t="inlineStr">
        <is>
          <t>FY23</t>
        </is>
      </c>
      <c r="C24" s="4" t="inlineStr">
        <is>
          <t>Q1</t>
        </is>
      </c>
      <c r="D24" s="5" t="n">
        <v>3.06</v>
      </c>
      <c r="E24" s="5" t="n">
        <v>0</v>
      </c>
      <c r="F24" s="5" t="n">
        <v>0.24</v>
      </c>
      <c r="G24" s="5" t="n">
        <v>0</v>
      </c>
      <c r="H24" s="5" t="n">
        <v>3.3</v>
      </c>
      <c r="I24" s="5" t="n">
        <v>3.3</v>
      </c>
      <c r="J24" s="5" t="n">
        <v>0</v>
      </c>
      <c r="K24" s="8" t="inlineStr">
        <is>
          <t>Disclosed in that quarter's investor presentation</t>
        </is>
      </c>
      <c r="L24" s="17" t="inlineStr">
        <is>
          <t>https://www.indigrid.co.in/wp-content/uploads/2022/07/Presentation-Q1-23.pdf</t>
        </is>
      </c>
    </row>
    <row r="25">
      <c r="A25" s="9" t="inlineStr">
        <is>
          <t>2QFY23</t>
        </is>
      </c>
      <c r="B25" s="9" t="inlineStr">
        <is>
          <t>FY23</t>
        </is>
      </c>
      <c r="C25" s="9" t="inlineStr">
        <is>
          <t>Q2</t>
        </is>
      </c>
      <c r="D25" s="10" t="n">
        <v>3.111</v>
      </c>
      <c r="E25" s="10" t="n">
        <v>0</v>
      </c>
      <c r="F25" s="10" t="n">
        <v>0.191</v>
      </c>
      <c r="G25" s="10" t="n">
        <v>0</v>
      </c>
      <c r="H25" s="10" t="n">
        <v>3.302</v>
      </c>
      <c r="I25" s="10" t="n">
        <v>3.3</v>
      </c>
      <c r="J25" s="10" t="n">
        <v>0.002</v>
      </c>
      <c r="K25" s="13" t="inlineStr">
        <is>
          <t>Disclosed in that quarter's investor presentation</t>
        </is>
      </c>
      <c r="L25" s="19" t="inlineStr">
        <is>
          <t>https://www.indigrid.co.in/wp-content/uploads/2022/07/IR-deck_Q2-FY23-earnings_final-.pdf</t>
        </is>
      </c>
    </row>
    <row r="26">
      <c r="A26" s="4" t="inlineStr">
        <is>
          <t>3QFY23</t>
        </is>
      </c>
      <c r="B26" s="4" t="inlineStr">
        <is>
          <t>FY23</t>
        </is>
      </c>
      <c r="C26" s="4" t="inlineStr">
        <is>
          <t>Q3</t>
        </is>
      </c>
      <c r="D26" s="5" t="n">
        <v>2.8042</v>
      </c>
      <c r="E26" s="5" t="n">
        <v>0</v>
      </c>
      <c r="F26" s="5" t="n">
        <v>0.4958</v>
      </c>
      <c r="G26" s="5" t="n">
        <v>0</v>
      </c>
      <c r="H26" s="5" t="n">
        <v>3.3</v>
      </c>
      <c r="I26" s="5" t="n">
        <v>3.3</v>
      </c>
      <c r="J26" s="5" t="n">
        <v>0</v>
      </c>
      <c r="K26" s="8" t="inlineStr">
        <is>
          <t>Disclosed in that quarter's investor presentation</t>
        </is>
      </c>
      <c r="L26" s="17" t="inlineStr">
        <is>
          <t>https://www.indigrid.co.in/wp-content/uploads/2022/07/IR-deck_Q3-FY23-earnings_final.pdf</t>
        </is>
      </c>
    </row>
    <row r="27">
      <c r="A27" s="20" t="inlineStr">
        <is>
          <t>4QFY23</t>
        </is>
      </c>
      <c r="B27" s="20" t="inlineStr">
        <is>
          <t>FY23</t>
        </is>
      </c>
      <c r="C27" s="20" t="inlineStr">
        <is>
          <t>Q4</t>
        </is>
      </c>
      <c r="D27" s="10" t="n">
        <v>2.53</v>
      </c>
      <c r="E27" s="10" t="n">
        <v>0.29</v>
      </c>
      <c r="F27" s="10" t="n">
        <v>0.58</v>
      </c>
      <c r="G27" s="10" t="n">
        <v>0.05</v>
      </c>
      <c r="H27" s="10" t="n">
        <v>3.45</v>
      </c>
      <c r="I27" s="10" t="n">
        <v>3.45</v>
      </c>
      <c r="J27" s="10" t="n">
        <v>0</v>
      </c>
      <c r="K27" s="13" t="inlineStr">
        <is>
          <t>Disclosed in that quarter's investor presentation</t>
        </is>
      </c>
      <c r="L27" s="19" t="inlineStr">
        <is>
          <t>https://www.indigrid.co.in/wp-content/uploads/2022/07/IR-deck_Q4-FY23-earnings_Final.pdf</t>
        </is>
      </c>
    </row>
    <row r="28">
      <c r="A28" s="4" t="inlineStr">
        <is>
          <t>1QFY24</t>
        </is>
      </c>
      <c r="B28" s="4" t="inlineStr">
        <is>
          <t>FY24</t>
        </is>
      </c>
      <c r="C28" s="4" t="inlineStr">
        <is>
          <t>Q1</t>
        </is>
      </c>
      <c r="D28" s="5" t="n">
        <v>3.1759</v>
      </c>
      <c r="E28" s="5" t="n">
        <v>0.0611</v>
      </c>
      <c r="F28" s="5" t="n">
        <v>0.201</v>
      </c>
      <c r="G28" s="5" t="n">
        <v>0.012</v>
      </c>
      <c r="H28" s="5" t="n">
        <v>3.45</v>
      </c>
      <c r="I28" s="5" t="n">
        <v>3.45</v>
      </c>
      <c r="J28" s="5" t="n">
        <v>0</v>
      </c>
      <c r="K28" s="8" t="inlineStr">
        <is>
          <t>Disclosed; restated in the Q1 FY25 deck to split Other income out of Capital Repayment</t>
        </is>
      </c>
      <c r="L28" s="17" t="inlineStr">
        <is>
          <t>https://www.indigrid.co.in/wp-content/uploads/2023/07/Presentation.pdf</t>
        </is>
      </c>
    </row>
    <row r="29">
      <c r="A29" s="9" t="inlineStr">
        <is>
          <t>2QFY24</t>
        </is>
      </c>
      <c r="B29" s="9" t="inlineStr">
        <is>
          <t>FY24</t>
        </is>
      </c>
      <c r="C29" s="9" t="inlineStr">
        <is>
          <t>Q2</t>
        </is>
      </c>
      <c r="D29" s="10" t="n">
        <v>2.8961</v>
      </c>
      <c r="E29" s="10" t="n">
        <v>0</v>
      </c>
      <c r="F29" s="10" t="n">
        <v>0.6341</v>
      </c>
      <c r="G29" s="10" t="n">
        <v>0.0198</v>
      </c>
      <c r="H29" s="10" t="n">
        <v>3.55</v>
      </c>
      <c r="I29" s="10" t="n">
        <v>3.55</v>
      </c>
      <c r="J29" s="10" t="n">
        <v>0</v>
      </c>
      <c r="K29" s="13" t="inlineStr">
        <is>
          <t>Disclosed in that quarter's investor presentation</t>
        </is>
      </c>
      <c r="L29" s="19" t="inlineStr">
        <is>
          <t>https://www.indigrid.co.in/wp-content/uploads/2023/07/IndiGrid_Q2-FY24_earnings-deck.pdf</t>
        </is>
      </c>
    </row>
    <row r="30">
      <c r="A30" s="4" t="inlineStr">
        <is>
          <t>3QFY24</t>
        </is>
      </c>
      <c r="B30" s="4" t="inlineStr">
        <is>
          <t>FY24</t>
        </is>
      </c>
      <c r="C30" s="4" t="inlineStr">
        <is>
          <t>Q3</t>
        </is>
      </c>
      <c r="D30" s="5" t="n">
        <v>2.951</v>
      </c>
      <c r="E30" s="5" t="n">
        <v>0</v>
      </c>
      <c r="F30" s="5" t="n">
        <v>0.5621</v>
      </c>
      <c r="G30" s="5" t="n">
        <v>0.0369</v>
      </c>
      <c r="H30" s="5" t="n">
        <v>3.55</v>
      </c>
      <c r="I30" s="5" t="n">
        <v>3.55</v>
      </c>
      <c r="J30" s="5" t="n">
        <v>0</v>
      </c>
      <c r="K30" s="8" t="inlineStr">
        <is>
          <t>Disclosed in that quarter's investor presentation</t>
        </is>
      </c>
      <c r="L30" s="17" t="inlineStr">
        <is>
          <t>https://www.indigrid.co.in/wp-content/uploads/2023/07/Presentation-1.pdf</t>
        </is>
      </c>
    </row>
    <row r="31">
      <c r="A31" s="20" t="inlineStr">
        <is>
          <t>4QFY24</t>
        </is>
      </c>
      <c r="B31" s="20" t="inlineStr">
        <is>
          <t>FY24</t>
        </is>
      </c>
      <c r="C31" s="20" t="inlineStr">
        <is>
          <t>Q4</t>
        </is>
      </c>
      <c r="D31" s="10" t="n">
        <v>2.7361</v>
      </c>
      <c r="E31" s="10" t="n">
        <v>0.8139</v>
      </c>
      <c r="F31" s="10" t="n">
        <v>0</v>
      </c>
      <c r="G31" s="10" t="n">
        <v>0</v>
      </c>
      <c r="H31" s="10" t="n">
        <v>3.55</v>
      </c>
      <c r="I31" s="10" t="n">
        <v>3.55</v>
      </c>
      <c r="J31" s="10" t="n">
        <v>0</v>
      </c>
      <c r="K31" s="13" t="inlineStr">
        <is>
          <t>Disclosed in that quarter's investor presentation</t>
        </is>
      </c>
      <c r="L31" s="19" t="inlineStr">
        <is>
          <t>https://www.indigrid.co.in/wp-content/uploads/2023/07/IR-deck_Q4-FY24-earnings_vf.pdf</t>
        </is>
      </c>
    </row>
    <row r="32">
      <c r="A32" s="4" t="inlineStr">
        <is>
          <t>1QFY25</t>
        </is>
      </c>
      <c r="B32" s="4" t="inlineStr">
        <is>
          <t>FY25</t>
        </is>
      </c>
      <c r="C32" s="4" t="inlineStr">
        <is>
          <t>Q1</t>
        </is>
      </c>
      <c r="D32" s="5" t="n">
        <v>3.1954</v>
      </c>
      <c r="E32" s="5" t="n">
        <v>0.2082</v>
      </c>
      <c r="F32" s="5" t="n">
        <v>0.3464</v>
      </c>
      <c r="G32" s="5" t="n">
        <v>0</v>
      </c>
      <c r="H32" s="5" t="n">
        <v>3.75</v>
      </c>
      <c r="I32" s="5" t="n">
        <v>3.75</v>
      </c>
      <c r="J32" s="5" t="n">
        <v>0</v>
      </c>
      <c r="K32" s="8" t="inlineStr">
        <is>
          <t>Disclosed in that quarter's investor presentation</t>
        </is>
      </c>
      <c r="L32" s="17" t="inlineStr">
        <is>
          <t>https://www.indigrid.co.in/wp-content/uploads/2024/07/Presentation.pdf</t>
        </is>
      </c>
    </row>
    <row r="33">
      <c r="A33" s="9" t="inlineStr">
        <is>
          <t>2QFY25</t>
        </is>
      </c>
      <c r="B33" s="9" t="inlineStr">
        <is>
          <t>FY25</t>
        </is>
      </c>
      <c r="C33" s="9" t="inlineStr">
        <is>
          <t>Q2</t>
        </is>
      </c>
      <c r="D33" s="10" t="n">
        <v>3.61763</v>
      </c>
      <c r="E33" s="10" t="n">
        <v>0.11357</v>
      </c>
      <c r="F33" s="10" t="n">
        <v>0</v>
      </c>
      <c r="G33" s="10" t="n">
        <v>0.0188</v>
      </c>
      <c r="H33" s="10" t="n">
        <v>3.75</v>
      </c>
      <c r="I33" s="10" t="n">
        <v>3.75</v>
      </c>
      <c r="J33" s="10" t="n">
        <v>0</v>
      </c>
      <c r="K33" s="13" t="inlineStr">
        <is>
          <t>Disclosed in that quarter's investor presentation</t>
        </is>
      </c>
      <c r="L33" s="19" t="inlineStr">
        <is>
          <t>https://www.indigrid.co.in/wp-content/uploads/2024/07/Investor-Presentation.pdf</t>
        </is>
      </c>
    </row>
    <row r="34">
      <c r="A34" s="4" t="inlineStr">
        <is>
          <t>3QFY25</t>
        </is>
      </c>
      <c r="B34" s="4" t="inlineStr">
        <is>
          <t>FY25</t>
        </is>
      </c>
      <c r="C34" s="4" t="inlineStr">
        <is>
          <t>Q3</t>
        </is>
      </c>
      <c r="D34" s="5" t="n">
        <v>2.7533</v>
      </c>
      <c r="E34" s="5" t="n">
        <v>0.1284</v>
      </c>
      <c r="F34" s="5" t="n">
        <v>0.8188</v>
      </c>
      <c r="G34" s="5" t="n">
        <v>0.0495</v>
      </c>
      <c r="H34" s="5" t="n">
        <v>3.75</v>
      </c>
      <c r="I34" s="5" t="n">
        <v>3.75</v>
      </c>
      <c r="J34" s="5" t="n">
        <v>0</v>
      </c>
      <c r="K34" s="8" t="inlineStr">
        <is>
          <t>Disclosed in that quarter's investor presentation</t>
        </is>
      </c>
      <c r="L34" s="17" t="inlineStr">
        <is>
          <t>https://www.indigrid.co.in/wp-content/uploads/2024/07/revisedir.pdf</t>
        </is>
      </c>
    </row>
    <row r="35">
      <c r="A35" s="20" t="inlineStr">
        <is>
          <t>4QFY25</t>
        </is>
      </c>
      <c r="B35" s="20" t="inlineStr">
        <is>
          <t>FY25</t>
        </is>
      </c>
      <c r="C35" s="20" t="inlineStr">
        <is>
          <t>Q4</t>
        </is>
      </c>
      <c r="D35" s="10" t="n">
        <v>2.6287</v>
      </c>
      <c r="E35" s="10" t="n">
        <v>0.1419</v>
      </c>
      <c r="F35" s="10" t="n">
        <v>1.2711</v>
      </c>
      <c r="G35" s="10" t="n">
        <v>0.0583</v>
      </c>
      <c r="H35" s="10" t="n">
        <v>4.1</v>
      </c>
      <c r="I35" s="10" t="n">
        <v>4.1</v>
      </c>
      <c r="J35" s="10" t="n">
        <v>0</v>
      </c>
      <c r="K35" s="13" t="inlineStr">
        <is>
          <t>Disclosed in that quarter's investor presentation</t>
        </is>
      </c>
      <c r="L35" s="19" t="inlineStr">
        <is>
          <t>https://www.indigrid.co.in/wp-content/uploads/2024/07/Investor-Presentation_Q4FY25_vf.pdf</t>
        </is>
      </c>
    </row>
    <row r="36">
      <c r="A36" s="4" t="inlineStr">
        <is>
          <t>1QFY26</t>
        </is>
      </c>
      <c r="B36" s="4" t="inlineStr">
        <is>
          <t>FY26</t>
        </is>
      </c>
      <c r="C36" s="4" t="inlineStr">
        <is>
          <t>Q1</t>
        </is>
      </c>
      <c r="D36" s="5" t="n">
        <v>1.5989</v>
      </c>
      <c r="E36" s="5" t="n">
        <v>0.167</v>
      </c>
      <c r="F36" s="5" t="n">
        <v>2.135</v>
      </c>
      <c r="G36" s="5" t="n">
        <v>0.09909999999999999</v>
      </c>
      <c r="H36" s="5" t="n">
        <v>4</v>
      </c>
      <c r="I36" s="5" t="n">
        <v>4</v>
      </c>
      <c r="J36" s="5" t="n">
        <v>0</v>
      </c>
      <c r="K36" s="8" t="inlineStr">
        <is>
          <t>Disclosed in that quarter's investor presentation</t>
        </is>
      </c>
      <c r="L36" s="17" t="inlineStr">
        <is>
          <t>https://www.indigrid.co.in/wp-content/uploads/2025/07/Presentation.pdf</t>
        </is>
      </c>
    </row>
    <row r="37">
      <c r="A37" s="9" t="inlineStr">
        <is>
          <t>2QFY26</t>
        </is>
      </c>
      <c r="B37" s="9" t="inlineStr">
        <is>
          <t>FY26</t>
        </is>
      </c>
      <c r="C37" s="9" t="inlineStr">
        <is>
          <t>Q2</t>
        </is>
      </c>
      <c r="D37" s="10" t="n">
        <v>3.0984</v>
      </c>
      <c r="E37" s="10" t="n">
        <v>0.0907</v>
      </c>
      <c r="F37" s="10" t="n">
        <v>0.7465000000000001</v>
      </c>
      <c r="G37" s="10" t="n">
        <v>0.0644</v>
      </c>
      <c r="H37" s="10" t="n">
        <v>4</v>
      </c>
      <c r="I37" s="10" t="n">
        <v>4</v>
      </c>
      <c r="J37" s="10" t="n">
        <v>0</v>
      </c>
      <c r="K37" s="13" t="inlineStr">
        <is>
          <t>Disclosed in that quarter's investor presentation</t>
        </is>
      </c>
      <c r="L37" s="19" t="inlineStr">
        <is>
          <t>https://www.indigrid.co.in/wp-content/uploads/2025/07/Presentation-1.pdf</t>
        </is>
      </c>
    </row>
    <row r="38">
      <c r="A38" s="4" t="inlineStr">
        <is>
          <t>3QFY26</t>
        </is>
      </c>
      <c r="B38" s="4" t="inlineStr">
        <is>
          <t>FY26</t>
        </is>
      </c>
      <c r="C38" s="4" t="inlineStr">
        <is>
          <t>Q3</t>
        </is>
      </c>
      <c r="D38" s="5" t="n">
        <v>2.9465</v>
      </c>
      <c r="E38" s="5" t="n">
        <v>0.0074</v>
      </c>
      <c r="F38" s="5" t="n">
        <v>1.0143</v>
      </c>
      <c r="G38" s="5" t="n">
        <v>0.0318</v>
      </c>
      <c r="H38" s="5" t="n">
        <v>4</v>
      </c>
      <c r="I38" s="5" t="n">
        <v>4</v>
      </c>
      <c r="J38" s="5" t="n">
        <v>0</v>
      </c>
      <c r="K38" s="8" t="inlineStr">
        <is>
          <t>Disclosed in that quarter's investor presentation</t>
        </is>
      </c>
      <c r="L38" s="17" t="inlineStr">
        <is>
          <t>https://www.indigrid.co.in/wp-content/uploads/2025/07/3.-Investor-Presentation_Q3FY26_vf.pdf</t>
        </is>
      </c>
    </row>
    <row r="39">
      <c r="A39" s="20" t="inlineStr">
        <is>
          <t>4QFY26</t>
        </is>
      </c>
      <c r="B39" s="20" t="inlineStr">
        <is>
          <t>FY26</t>
        </is>
      </c>
      <c r="C39" s="20" t="inlineStr">
        <is>
          <t>Q4</t>
        </is>
      </c>
      <c r="D39" s="10" t="n">
        <v>2.5218</v>
      </c>
      <c r="E39" s="10" t="n">
        <v>0.0964</v>
      </c>
      <c r="F39" s="10" t="n">
        <v>1.2376</v>
      </c>
      <c r="G39" s="10" t="n">
        <v>0.1442</v>
      </c>
      <c r="H39" s="10" t="n">
        <v>4</v>
      </c>
      <c r="I39" s="10" t="n">
        <v>4</v>
      </c>
      <c r="J39" s="10" t="n">
        <v>0</v>
      </c>
      <c r="K39" s="13" t="inlineStr">
        <is>
          <t>Disclosed in that quarter's investor presentation</t>
        </is>
      </c>
      <c r="L39" s="19" t="inlineStr">
        <is>
          <t>https://www.indigrid.co.in/wp-content/uploads/2025/07/Presentation-2.pdf</t>
        </is>
      </c>
    </row>
    <row r="40">
      <c r="A40" s="4" t="inlineStr">
        <is>
          <t>1QFY27</t>
        </is>
      </c>
      <c r="B40" s="4" t="inlineStr">
        <is>
          <t>FY27</t>
        </is>
      </c>
      <c r="C40" s="4" t="inlineStr">
        <is>
          <t>Q1</t>
        </is>
      </c>
      <c r="D40" s="5" t="n">
        <v>2.6909</v>
      </c>
      <c r="E40" s="5" t="n">
        <v>0.0224</v>
      </c>
      <c r="F40" s="5" t="n">
        <v>1.4067</v>
      </c>
      <c r="G40" s="5" t="n">
        <v>0</v>
      </c>
      <c r="H40" s="5" t="n">
        <v>4.12</v>
      </c>
      <c r="I40" s="5" t="n">
        <v>4.12</v>
      </c>
      <c r="J40" s="5" t="n">
        <v>0</v>
      </c>
      <c r="K40" s="8" t="inlineStr">
        <is>
          <t>Disclosed in that quarter's investor presentation</t>
        </is>
      </c>
      <c r="L40" s="17" t="inlineStr">
        <is>
          <t>https://www.indigrid.co.in/wp-content/uploads/2026/08/Presentation.pdf</t>
        </is>
      </c>
    </row>
    <row r="42">
      <c r="A42" s="22" t="inlineStr">
        <is>
          <t>Rows where components do not tie to declared DPU within 0.011: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 customWidth="1" min="1" max="1"/>
    <col width="122" customWidth="1" min="2" max="2"/>
  </cols>
  <sheetData>
    <row r="1">
      <c r="A1" s="1" t="inlineStr">
        <is>
          <t>Method, sources and caveats</t>
        </is>
      </c>
    </row>
    <row r="3" ht="45" customHeight="1">
      <c r="A3" s="23" t="inlineStr">
        <is>
          <t>Source</t>
        </is>
      </c>
      <c r="B3" s="24" t="inlineStr">
        <is>
          <t>Every figure comes from the DPU composition table in IndiGrid's quarterly investor presentations, pulled from https://www.indigrid.co.in/investor/financial-results/ (Quarterly Results &gt; year dropdown &gt; Presentation).</t>
        </is>
      </c>
    </row>
    <row r="4" ht="14" customHeight="1">
      <c r="A4" s="23" t="inlineStr"/>
      <c r="B4" s="24" t="inlineStr"/>
    </row>
    <row r="5" ht="45" customHeight="1">
      <c r="A5" s="23" t="inlineStr">
        <is>
          <t>Categories</t>
        </is>
      </c>
      <c r="B5" s="24" t="inlineStr">
        <is>
          <t>Interest - interest on loans to the SPVs. Dividend - dividend from SPVs (taxable and non-taxable where split). Capital Repayment - return of capital / capital reduction. Other income - treasury and miscellaneous.</t>
        </is>
      </c>
    </row>
    <row r="6" ht="14" customHeight="1">
      <c r="A6" s="23" t="inlineStr"/>
      <c r="B6" s="24" t="inlineStr"/>
    </row>
    <row r="7" ht="45" customHeight="1">
      <c r="A7" s="23" t="inlineStr">
        <is>
          <t>Caveat 1</t>
        </is>
      </c>
      <c r="B7" s="24" t="inlineStr">
        <is>
          <t>FY18 to Q3 FY21 decks carry NO DPU composition table. That format starts with the Q4 FY21 deck. Earlier years were reconstructed from explicit statements in the decks and earnings releases ("payable entirely as interest", "2.72 As Interest; 0.28 As Capital Repayment").</t>
        </is>
      </c>
    </row>
    <row r="8" ht="45" customHeight="1">
      <c r="A8" s="23" t="inlineStr">
        <is>
          <t>Caveat 2</t>
        </is>
      </c>
      <c r="B8" s="24" t="inlineStr">
        <is>
          <t>Q2 FY18 (Rs 2.75) is the one genuinely INFERRED cell. Neither the deck nor the earnings release states its composition. Q1, Q3 and Q4 FY18 were each explicitly 100% interest, so 100% interest is assumed. Flagged amber on the Quarterly sheet.</t>
        </is>
      </c>
    </row>
    <row r="9" ht="60" customHeight="1">
      <c r="A9" s="23" t="inlineStr">
        <is>
          <t>Caveat 3</t>
        </is>
      </c>
      <c r="B9" s="24" t="inlineStr">
        <is>
          <t>Q1-Q3 FY21 quarterly splits are not printed in those decks, but they are exactly determined, not guessed: the disclosed FY21 split (10.61 / 0.52 / 1.07) minus the disclosed Q4 FY21 split (1.51 / 0.52 / 1.07) leaves 9.10 across Q1-Q3, which equals their DPU sum, so all three were 100%% interest. Dividend and capital repayment both appear entirely in Q4 FY21.</t>
        </is>
      </c>
    </row>
    <row r="10" ht="30" customHeight="1">
      <c r="A10" s="23" t="inlineStr">
        <is>
          <t>Caveat 4</t>
        </is>
      </c>
      <c r="B10" s="24" t="inlineStr">
        <is>
          <t>FY21 and FY22 decks report a single combined "Capital Repayment/Others" line. Those amounts sit entirely in Capital Repayment here; Other income is nil for those years by construction, not by fact.</t>
        </is>
      </c>
    </row>
    <row r="11" ht="30" customHeight="1">
      <c r="A11" s="23" t="inlineStr">
        <is>
          <t>Caveat 5</t>
        </is>
      </c>
      <c r="B11" s="24" t="inlineStr">
        <is>
          <t>Q1 FY24 was restated in the Q1 FY25 deck: capital repayment 0.2130 was re-split into 0.2010 capital repayment + 0.0120 other income. The restated version is used. The total is unchanged.</t>
        </is>
      </c>
    </row>
    <row r="12" ht="60" customHeight="1">
      <c r="A12" s="23" t="inlineStr">
        <is>
          <t>Caveat 6</t>
        </is>
      </c>
      <c r="B12" s="24" t="inlineStr">
        <is>
          <t>FY22 quarterly components are rounded in the decks, so summing the four quarters gives 10.11 / 0.20 / 2.44 against the deck-disclosed full-year 10.07 / 0.20 / 2.48. The ANNUAL sheet uses the deck full-year split for FY20, FY21 and FY22, which is authoritative; the Quarterly sheet keeps the as-printed quarterly figures. Same reason FY22 quarterly DPU shows 3.19 where the exact figure is 3.1875.</t>
        </is>
      </c>
    </row>
    <row r="13" ht="14" customHeight="1">
      <c r="A13" s="23" t="inlineStr"/>
      <c r="B13" s="24" t="inlineStr"/>
    </row>
    <row r="14" ht="45" customHeight="1">
      <c r="A14" s="23" t="inlineStr">
        <is>
          <t>Validation</t>
        </is>
      </c>
      <c r="B14" s="24" t="inlineStr">
        <is>
          <t>Components tie to the declared DPU in every one of the 37 quarters (zero exceptions). Independently, the reconstructed FY20 split reproduces the deck-disclosed FY20 split exactly, and cumulative DPU reconciles to the ~Rs 121.44 since-inception figure IndiGrid publishes on the same page.</t>
        </is>
      </c>
    </row>
    <row r="15" ht="14" customHeight="1">
      <c r="A15" s="23" t="inlineStr"/>
      <c r="B15" s="24" t="inlineStr"/>
    </row>
    <row r="16" ht="60" customHeight="1">
      <c r="A16" s="23" t="inlineStr">
        <is>
          <t>Read this</t>
        </is>
      </c>
      <c r="B16" s="24" t="inlineStr">
        <is>
          <t>The mix has shifted hard. FY18-FY20 was ~99-100% interest. By FY26 interest is ~64% and capital repayment ~32%. Capital repayment is return of YOUR capital, not yield - it is generally not taxable in your hands but it reduces the cost base of the unit. A flat headline DPU with a rising capital-repayment share is NOT the same distribution quality as one funded by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2026-09-02T11:18:19Z</dcterms:created>
  <dcterms:modified xsi:type="dcterms:W3CDTF">2026-09-02T11:18:19Z</dcterms:modified>
</cp:coreProperties>
</file>